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900" firstSheet="6" activeTab="9"/>
  </bookViews>
  <sheets>
    <sheet name="Walmart_Sales_raw_data" sheetId="1" r:id="rId1"/>
    <sheet name="Average_weeklysales_per_store" sheetId="4" r:id="rId2"/>
    <sheet name="Sum_of_weeklysales_per_store" sheetId="5" r:id="rId3"/>
    <sheet name="Store_performance" sheetId="7" r:id="rId4"/>
    <sheet name="Consistency_report" sheetId="3" r:id="rId5"/>
    <sheet name="Economic_data_correlations" sheetId="8" r:id="rId6"/>
    <sheet name="Holiday_impact_by_store" sheetId="10" r:id="rId7"/>
    <sheet name="Holiday_vs_non_holidays" sheetId="9" r:id="rId8"/>
    <sheet name="list_of_stores" sheetId="6" r:id="rId9"/>
    <sheet name="sales_level" sheetId="11" r:id="rId10"/>
  </sheet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<sst xmlns="http://schemas.openxmlformats.org/spreadsheetml/2006/main" count="58" uniqueCount="47">
  <si>
    <t>Store</t>
  </si>
  <si>
    <t>Date</t>
  </si>
  <si>
    <t>Weekly_Sales</t>
  </si>
  <si>
    <t>Holiday_Flag</t>
  </si>
  <si>
    <t>Temperature</t>
  </si>
  <si>
    <t>Fuel_Price</t>
  </si>
  <si>
    <t>CPI</t>
  </si>
  <si>
    <t>Unemployment</t>
  </si>
  <si>
    <t>Column1</t>
  </si>
  <si>
    <t xml:space="preserve">SORTED FROM HIGHEST TO LOWEST AVERAGE WEEKLY SALES
</t>
  </si>
  <si>
    <t>Average of Weekly_Sales</t>
  </si>
  <si>
    <t>Grand Total</t>
  </si>
  <si>
    <t xml:space="preserve">SORTED FROM HIGHEST TO LOWEST WEEKLY SALES PER STORE
</t>
  </si>
  <si>
    <t>In this section, the sum of weekly sales per store is evaluated in descending order</t>
  </si>
  <si>
    <t>Sum of Weekly_Sales</t>
  </si>
  <si>
    <t>Weekly performance
(in descending order)</t>
  </si>
  <si>
    <t xml:space="preserve">IMPORTANT TO NOTE:
In this section, Stores were categorized in decending order into "High weekly sales" and "Low weekly sales" by the following metric: Average weekly sales per store &gt;=Overall average weekly sales = High weekly sales and vice versa </t>
  </si>
  <si>
    <t>List of Stores with High weekly sales</t>
  </si>
  <si>
    <t>List of Stores with Low weekly sales</t>
  </si>
  <si>
    <t>Low weekly sales</t>
  </si>
  <si>
    <t>High weekly sales</t>
  </si>
  <si>
    <t xml:space="preserve">No of weeks with low sales </t>
  </si>
  <si>
    <t xml:space="preserve">No of weeks with high sales </t>
  </si>
  <si>
    <t>In this section, the Performance Consistency of each store in producing High weekly sales(i.e individual weekly sales above the overall average weekly sale across the stores) over the total duration of 143 weeks, is evaluated and stores are appropriately categorized into "Outstanding Consistency", "Consistent", "Fairly consistent" and "Poorly consistent</t>
  </si>
  <si>
    <r>
      <rPr>
        <b/>
        <sz val="11"/>
        <color theme="1"/>
        <rFont val="Calibri"/>
        <charset val="134"/>
        <scheme val="minor"/>
      </rPr>
      <t>List of Stores with Outstanding Consistency(all 143 weeks)</t>
    </r>
    <r>
      <rPr>
        <sz val="11"/>
        <color theme="1"/>
        <rFont val="Calibri"/>
        <charset val="134"/>
        <scheme val="minor"/>
      </rPr>
      <t xml:space="preserve">
Click cell below to reveal</t>
    </r>
  </si>
  <si>
    <r>
      <rPr>
        <b/>
        <sz val="11"/>
        <color theme="1"/>
        <rFont val="Calibri"/>
        <charset val="134"/>
        <scheme val="minor"/>
      </rPr>
      <t xml:space="preserve">List of Consistent stores(less than 143 weeks but greater than 100)
</t>
    </r>
    <r>
      <rPr>
        <sz val="11"/>
        <color theme="1"/>
        <rFont val="Calibri"/>
        <charset val="134"/>
        <scheme val="minor"/>
      </rPr>
      <t>Click cell below to reveal</t>
    </r>
  </si>
  <si>
    <r>
      <rPr>
        <b/>
        <sz val="11"/>
        <color theme="1"/>
        <rFont val="Calibri"/>
        <charset val="134"/>
        <scheme val="minor"/>
      </rPr>
      <t>List of fairly Consistent stores(less than 100 weeks but greater than 75)</t>
    </r>
    <r>
      <rPr>
        <sz val="11"/>
        <color theme="1"/>
        <rFont val="Calibri"/>
        <charset val="134"/>
        <scheme val="minor"/>
      </rPr>
      <t xml:space="preserve">
Click cell below to reveal</t>
    </r>
  </si>
  <si>
    <r>
      <rPr>
        <b/>
        <sz val="11"/>
        <color theme="1"/>
        <rFont val="Calibri"/>
        <charset val="134"/>
        <scheme val="minor"/>
      </rPr>
      <t>List of poorly Consistent stores(less than 75)</t>
    </r>
    <r>
      <rPr>
        <sz val="11"/>
        <color theme="1"/>
        <rFont val="Calibri"/>
        <charset val="134"/>
        <scheme val="minor"/>
      </rPr>
      <t xml:space="preserve">
Click cell below to reveal</t>
    </r>
  </si>
  <si>
    <t>Correlation between sales and Climatic and Economic factors</t>
  </si>
  <si>
    <t>Inference</t>
  </si>
  <si>
    <t>Most correlated economic/climatic factor i.e has most impact on weekly sales</t>
  </si>
  <si>
    <t>fuel price</t>
  </si>
  <si>
    <t>unemployment rate</t>
  </si>
  <si>
    <t>cpi correl</t>
  </si>
  <si>
    <t>In this section, the impact of holidays on weekly sales by stores is investtigated. In Overall, the holiday weeks had a positive impact on weekly sales recording an 8% increase compared to non-holiday weeks. However, there were some outliers , some stores were not affected by it and some were even negatively affected by holiday weeks</t>
  </si>
  <si>
    <t>Non_Holiday_Avg_Sales</t>
  </si>
  <si>
    <t>Holiday_Avg_Sales</t>
  </si>
  <si>
    <t>Lift_Percentage</t>
  </si>
  <si>
    <t>List of Stores positively impacted by holidays
Click below to reveal</t>
  </si>
  <si>
    <t>List of Stores negatively impacted by holidays
Click below to reveal</t>
  </si>
  <si>
    <t xml:space="preserve">Store most positively impacted by holidays
</t>
  </si>
  <si>
    <t>Store most negatively impacted by holidays</t>
  </si>
  <si>
    <t>Total</t>
  </si>
  <si>
    <t>No Holidays</t>
  </si>
  <si>
    <t>Holidays</t>
  </si>
  <si>
    <t>weeklysales</t>
  </si>
  <si>
    <t>Sales level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</si>
</sst>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_ "/>
    <numFmt numFmtId="177" formatCode="0.000_ "/>
    <numFmt numFmtId="178" formatCode="[$$-45C]#,##0.00_);[Red]\([$$-45C]#,##0.00\)"/>
    <numFmt numFmtId="179" formatCode="0.00_);[Red]\(0.00\)"/>
    <numFmt numFmtId="180" formatCode="[$$-409]#,##0.00_);[Red]\([$$-409]#,##0.00\)"/>
    <numFmt numFmtId="181" formatCode="[$$-409]#,##0.000;\-[$$-409]#,##0.000"/>
    <numFmt numFmtId="182" formatCode="0.00_ "/>
    <numFmt numFmtId="183" formatCode="0.00000_ "/>
  </numFmts>
  <fonts count="28">
    <font>
      <sz val="11"/>
      <color theme="1"/>
      <name val="Calibri"/>
      <charset val="134"/>
      <scheme val="minor"/>
    </font>
    <font>
      <b/>
      <sz val="11"/>
      <color theme="1"/>
      <name val="Calibri"/>
      <charset val="134"/>
      <scheme val="minor"/>
    </font>
    <font>
      <b/>
      <sz val="14"/>
      <color theme="1"/>
      <name val="Calibri"/>
      <charset val="134"/>
      <scheme val="minor"/>
    </font>
    <font>
      <b/>
      <sz val="11"/>
      <color theme="0"/>
      <name val="Calibri"/>
      <charset val="134"/>
      <scheme val="minor"/>
    </font>
    <font>
      <sz val="11"/>
      <color theme="0"/>
      <name val="Calibri"/>
      <charset val="134"/>
      <scheme val="minor"/>
    </font>
    <font>
      <b/>
      <sz val="12"/>
      <color theme="1"/>
      <name val="Calibri"/>
      <charset val="134"/>
      <scheme val="minor"/>
    </font>
    <font>
      <sz val="14"/>
      <color theme="1"/>
      <name val="Calibri"/>
      <charset val="134"/>
      <scheme val="minor"/>
    </font>
    <font>
      <sz val="11"/>
      <name val="Calibri"/>
      <charset val="134"/>
      <scheme val="minor"/>
    </font>
    <font>
      <b/>
      <sz val="14"/>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0">
    <fill>
      <patternFill patternType="none"/>
    </fill>
    <fill>
      <patternFill patternType="gray125"/>
    </fill>
    <fill>
      <patternFill patternType="solid">
        <fgColor theme="4" tint="0.799981688894314"/>
        <bgColor theme="4" tint="0.799981688894314"/>
      </patternFill>
    </fill>
    <fill>
      <patternFill patternType="solid">
        <fgColor theme="4" tint="0.799981688894314"/>
        <bgColor theme="4" tint="0.799981688894314"/>
      </patternFill>
    </fill>
    <fill>
      <patternFill patternType="solid">
        <fgColor theme="7" tint="0.8"/>
        <bgColor indexed="64"/>
      </patternFill>
    </fill>
    <fill>
      <patternFill patternType="solid">
        <fgColor theme="7" tint="-0.25"/>
        <bgColor indexed="64"/>
      </patternFill>
    </fill>
    <fill>
      <patternFill patternType="solid">
        <fgColor theme="5" tint="0.8"/>
        <bgColor indexed="64"/>
      </patternFill>
    </fill>
    <fill>
      <patternFill patternType="solid">
        <fgColor theme="5" tint="0.6"/>
        <bgColor indexed="64"/>
      </patternFill>
    </fill>
    <fill>
      <patternFill patternType="solid">
        <fgColor theme="5" tint="0.4"/>
        <bgColor indexed="64"/>
      </patternFill>
    </fill>
    <fill>
      <patternFill patternType="solid">
        <fgColor theme="4" tint="0.6"/>
        <bgColor indexed="64"/>
      </patternFill>
    </fill>
    <fill>
      <patternFill patternType="solid">
        <fgColor theme="0"/>
        <bgColor indexed="64"/>
      </patternFill>
    </fill>
    <fill>
      <patternFill patternType="solid">
        <fgColor theme="4" tint="0.8"/>
        <bgColor indexed="64"/>
      </patternFill>
    </fill>
    <fill>
      <patternFill patternType="solid">
        <fgColor theme="9" tint="0.6"/>
        <bgColor indexed="64"/>
      </patternFill>
    </fill>
    <fill>
      <patternFill patternType="solid">
        <fgColor theme="9" tint="0.8"/>
        <bgColor indexed="64"/>
      </patternFill>
    </fill>
    <fill>
      <patternFill patternType="solid">
        <fgColor theme="9" tint="-0.5"/>
        <bgColor indexed="64"/>
      </patternFill>
    </fill>
    <fill>
      <patternFill patternType="solid">
        <fgColor theme="7" tint="0.6"/>
        <bgColor indexed="64"/>
      </patternFill>
    </fill>
    <fill>
      <patternFill patternType="solid">
        <fgColor theme="4" tint="0.4"/>
        <bgColor indexed="64"/>
      </patternFill>
    </fill>
    <fill>
      <patternFill patternType="solid">
        <fgColor theme="5" tint="-0.25"/>
        <bgColor indexed="64"/>
      </patternFill>
    </fill>
    <fill>
      <patternFill patternType="solid">
        <fgColor theme="9"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theme="4"/>
      </left>
      <right/>
      <top style="thin">
        <color theme="4" tint="0.399975585192419"/>
      </top>
      <bottom style="thin">
        <color theme="4" tint="0.399975585192419"/>
      </bottom>
      <diagonal/>
    </border>
    <border>
      <left style="thin">
        <color theme="4"/>
      </left>
      <right/>
      <top style="thin">
        <color theme="4" tint="0.399975585192419"/>
      </top>
      <bottom style="thin">
        <color theme="4"/>
      </bottom>
      <diagonal/>
    </border>
    <border>
      <left/>
      <right/>
      <top/>
      <bottom style="thin">
        <color theme="4" tint="0.399975585192419"/>
      </bottom>
      <diagonal/>
    </border>
    <border>
      <left/>
      <right/>
      <top style="thin">
        <color theme="4" tint="0.399975585192419"/>
      </top>
      <bottom style="thin">
        <color theme="4" tint="0.399975585192419"/>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tint="-0.15"/>
      </left>
      <right style="thin">
        <color theme="0" tint="-0.15"/>
      </right>
      <top style="thin">
        <color theme="0" tint="-0.15"/>
      </top>
      <bottom/>
      <diagonal/>
    </border>
    <border>
      <left style="thin">
        <color theme="0" tint="-0.15"/>
      </left>
      <right style="thin">
        <color theme="0" tint="-0.15"/>
      </right>
      <top/>
      <bottom/>
      <diagonal/>
    </border>
    <border>
      <left style="thin">
        <color theme="0" tint="-0.15"/>
      </left>
      <right/>
      <top style="thin">
        <color theme="0" tint="-0.15"/>
      </top>
      <bottom/>
      <diagonal/>
    </border>
    <border>
      <left/>
      <right/>
      <top style="thin">
        <color theme="0" tint="-0.15"/>
      </top>
      <bottom/>
      <diagonal/>
    </border>
    <border>
      <left/>
      <right style="thin">
        <color theme="0" tint="-0.15"/>
      </right>
      <top style="thin">
        <color theme="0" tint="-0.15"/>
      </top>
      <bottom/>
      <diagonal/>
    </border>
    <border>
      <left/>
      <right style="thin">
        <color theme="0" tint="-0.15"/>
      </right>
      <top style="thin">
        <color theme="0" tint="-0.15"/>
      </top>
      <bottom style="thin">
        <color theme="0" tint="-0.15"/>
      </bottom>
      <diagonal/>
    </border>
    <border>
      <left/>
      <right/>
      <top/>
      <bottom style="thin">
        <color theme="0" tint="-0.15"/>
      </bottom>
      <diagonal/>
    </border>
    <border>
      <left/>
      <right style="thin">
        <color theme="0" tint="-0.15"/>
      </right>
      <top/>
      <bottom style="thin">
        <color theme="0" tint="-0.15"/>
      </bottom>
      <diagonal/>
    </border>
    <border>
      <left style="thin">
        <color theme="0" tint="-0.15"/>
      </left>
      <right/>
      <top/>
      <bottom style="thin">
        <color theme="0" tint="-0.15"/>
      </bottom>
      <diagonal/>
    </border>
    <border>
      <left style="thin">
        <color theme="0" tint="-0.15"/>
      </left>
      <right style="thin">
        <color theme="0" tint="-0.15"/>
      </right>
      <top/>
      <bottom style="thin">
        <color theme="0" tint="-0.15"/>
      </bottom>
      <diagonal/>
    </border>
    <border>
      <left style="thin">
        <color theme="0" tint="-0.15"/>
      </left>
      <right style="thin">
        <color theme="0" tint="-0.15"/>
      </right>
      <top style="thin">
        <color theme="0" tint="-0.15"/>
      </top>
      <bottom style="thin">
        <color theme="0" tint="-0.1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9" borderId="1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9" applyNumberFormat="0" applyFill="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6" fillId="0" borderId="0" applyNumberFormat="0" applyFill="0" applyBorder="0" applyAlignment="0" applyProtection="0">
      <alignment vertical="center"/>
    </xf>
    <xf numFmtId="0" fontId="17" fillId="20" borderId="21" applyNumberFormat="0" applyAlignment="0" applyProtection="0">
      <alignment vertical="center"/>
    </xf>
    <xf numFmtId="0" fontId="18" fillId="21" borderId="22" applyNumberFormat="0" applyAlignment="0" applyProtection="0">
      <alignment vertical="center"/>
    </xf>
    <xf numFmtId="0" fontId="19" fillId="21" borderId="21" applyNumberFormat="0" applyAlignment="0" applyProtection="0">
      <alignment vertical="center"/>
    </xf>
    <xf numFmtId="0" fontId="20" fillId="22" borderId="23" applyNumberFormat="0" applyAlignment="0" applyProtection="0">
      <alignment vertical="center"/>
    </xf>
    <xf numFmtId="0" fontId="21" fillId="0" borderId="24" applyNumberFormat="0" applyFill="0" applyAlignment="0" applyProtection="0">
      <alignment vertical="center"/>
    </xf>
    <xf numFmtId="0" fontId="22" fillId="0" borderId="25" applyNumberFormat="0" applyFill="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xf numFmtId="0" fontId="26" fillId="42" borderId="0" applyNumberFormat="0" applyBorder="0" applyAlignment="0" applyProtection="0">
      <alignment vertical="center"/>
    </xf>
    <xf numFmtId="0" fontId="27" fillId="43" borderId="0" applyNumberFormat="0" applyBorder="0" applyAlignment="0" applyProtection="0">
      <alignment vertical="center"/>
    </xf>
    <xf numFmtId="0" fontId="27" fillId="44" borderId="0" applyNumberFormat="0" applyBorder="0" applyAlignment="0" applyProtection="0">
      <alignment vertical="center"/>
    </xf>
    <xf numFmtId="0" fontId="26" fillId="45" borderId="0" applyNumberFormat="0" applyBorder="0" applyAlignment="0" applyProtection="0">
      <alignment vertical="center"/>
    </xf>
    <xf numFmtId="0" fontId="26" fillId="46" borderId="0" applyNumberFormat="0" applyBorder="0" applyAlignment="0" applyProtection="0">
      <alignment vertical="center"/>
    </xf>
    <xf numFmtId="0" fontId="27" fillId="47" borderId="0" applyNumberFormat="0" applyBorder="0" applyAlignment="0" applyProtection="0">
      <alignment vertical="center"/>
    </xf>
    <xf numFmtId="0" fontId="27" fillId="48" borderId="0" applyNumberFormat="0" applyBorder="0" applyAlignment="0" applyProtection="0">
      <alignment vertical="center"/>
    </xf>
    <xf numFmtId="0" fontId="26" fillId="49" borderId="0" applyNumberFormat="0" applyBorder="0" applyAlignment="0" applyProtection="0">
      <alignment vertical="center"/>
    </xf>
  </cellStyleXfs>
  <cellXfs count="68">
    <xf numFmtId="0" fontId="0" fillId="0" borderId="0" xfId="0">
      <alignment vertical="center"/>
    </xf>
    <xf numFmtId="0" fontId="0" fillId="2" borderId="1" xfId="0" applyFont="1" applyFill="1" applyBorder="1">
      <alignment vertical="center"/>
    </xf>
    <xf numFmtId="176" fontId="0" fillId="0" borderId="0" xfId="0" applyNumberFormat="1">
      <alignment vertical="center"/>
    </xf>
    <xf numFmtId="0" fontId="0" fillId="0" borderId="1" xfId="0" applyFont="1" applyBorder="1">
      <alignment vertical="center"/>
    </xf>
    <xf numFmtId="0" fontId="0" fillId="2" borderId="2" xfId="0" applyFont="1" applyFill="1" applyBorder="1">
      <alignment vertical="center"/>
    </xf>
    <xf numFmtId="0" fontId="1" fillId="3" borderId="3" xfId="0" applyFont="1" applyFill="1" applyBorder="1">
      <alignment vertical="center"/>
    </xf>
    <xf numFmtId="0" fontId="0" fillId="0" borderId="3" xfId="0" applyBorder="1">
      <alignment vertical="center"/>
    </xf>
    <xf numFmtId="0" fontId="1" fillId="3" borderId="4" xfId="0" applyFont="1" applyFill="1" applyBorder="1">
      <alignment vertical="center"/>
    </xf>
    <xf numFmtId="177" fontId="0" fillId="0" borderId="0" xfId="0" applyNumberFormat="1">
      <alignment vertical="center"/>
    </xf>
    <xf numFmtId="0" fontId="2" fillId="4" borderId="0" xfId="0" applyFont="1" applyFill="1" applyAlignment="1">
      <alignment horizontal="center" vertical="center" wrapText="1"/>
    </xf>
    <xf numFmtId="0" fontId="2" fillId="4" borderId="0" xfId="0" applyFont="1" applyFill="1" applyAlignment="1">
      <alignment horizontal="center" vertical="center" wrapText="1"/>
    </xf>
    <xf numFmtId="0" fontId="3" fillId="5" borderId="0" xfId="0" applyFont="1" applyFill="1">
      <alignment vertical="center"/>
    </xf>
    <xf numFmtId="0" fontId="0" fillId="4" borderId="5" xfId="0" applyFill="1" applyBorder="1" applyAlignment="1">
      <alignment horizontal="center" vertical="center" wrapText="1"/>
    </xf>
    <xf numFmtId="178" fontId="0" fillId="0" borderId="0" xfId="0" applyNumberFormat="1">
      <alignment vertical="center"/>
    </xf>
    <xf numFmtId="9" fontId="0" fillId="0" borderId="0" xfId="3">
      <alignment vertical="center"/>
    </xf>
    <xf numFmtId="0" fontId="0" fillId="6" borderId="6" xfId="0" applyFill="1" applyBorder="1"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xf>
    <xf numFmtId="0" fontId="1" fillId="0" borderId="0" xfId="0" applyFont="1">
      <alignment vertical="center"/>
    </xf>
    <xf numFmtId="178" fontId="1" fillId="0" borderId="0" xfId="0" applyNumberFormat="1" applyFont="1">
      <alignment vertical="center"/>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0" fillId="9" borderId="0" xfId="0" applyFill="1" applyAlignment="1">
      <alignment horizontal="center" vertical="center" wrapText="1"/>
    </xf>
    <xf numFmtId="0" fontId="0" fillId="10" borderId="0" xfId="0" applyFill="1" applyAlignment="1">
      <alignment vertical="center" wrapText="1"/>
    </xf>
    <xf numFmtId="0" fontId="0" fillId="0" borderId="0" xfId="0" applyAlignment="1">
      <alignment vertical="center" wrapText="1"/>
    </xf>
    <xf numFmtId="0" fontId="0" fillId="0" borderId="0" xfId="0" applyFill="1" applyAlignment="1">
      <alignment horizontal="center" vertical="center"/>
    </xf>
    <xf numFmtId="0" fontId="0" fillId="0" borderId="0" xfId="0" applyAlignment="1">
      <alignment vertical="center"/>
    </xf>
    <xf numFmtId="0" fontId="1" fillId="11" borderId="0" xfId="0" applyFont="1" applyFill="1" applyAlignment="1">
      <alignment vertical="center" wrapText="1"/>
    </xf>
    <xf numFmtId="0" fontId="2" fillId="6" borderId="0" xfId="0" applyFont="1" applyFill="1" applyAlignment="1">
      <alignment horizontal="center" vertical="center" wrapText="1"/>
    </xf>
    <xf numFmtId="0" fontId="1" fillId="12" borderId="0" xfId="0" applyFont="1" applyFill="1" applyAlignment="1">
      <alignment horizontal="center" vertical="center" wrapText="1"/>
    </xf>
    <xf numFmtId="0" fontId="0" fillId="13" borderId="0" xfId="0" applyFill="1" applyAlignment="1">
      <alignment horizontal="center" vertical="center"/>
    </xf>
    <xf numFmtId="0" fontId="4" fillId="14" borderId="0" xfId="0" applyFont="1" applyFill="1" applyAlignment="1">
      <alignment horizontal="center" vertical="center"/>
    </xf>
    <xf numFmtId="0" fontId="5" fillId="15" borderId="0" xfId="0" applyFont="1" applyFill="1">
      <alignment vertical="center"/>
    </xf>
    <xf numFmtId="0" fontId="5" fillId="15" borderId="0" xfId="0" applyFont="1" applyFill="1" applyAlignment="1">
      <alignment vertical="center" wrapText="1"/>
    </xf>
    <xf numFmtId="0" fontId="2" fillId="16" borderId="0" xfId="0" applyFont="1" applyFill="1" applyAlignment="1">
      <alignment horizontal="center" vertical="center" wrapText="1"/>
    </xf>
    <xf numFmtId="0" fontId="2" fillId="16" borderId="7" xfId="0" applyFont="1" applyFill="1" applyBorder="1" applyAlignment="1">
      <alignment horizontal="center" vertical="center" wrapText="1"/>
    </xf>
    <xf numFmtId="0" fontId="2" fillId="16" borderId="8" xfId="0" applyFont="1" applyFill="1" applyBorder="1" applyAlignment="1">
      <alignment horizontal="center" vertical="center" wrapText="1"/>
    </xf>
    <xf numFmtId="0" fontId="6" fillId="10" borderId="9" xfId="0" applyFont="1" applyFill="1" applyBorder="1" applyAlignment="1">
      <alignment vertical="center"/>
    </xf>
    <xf numFmtId="0" fontId="6" fillId="10" borderId="7" xfId="0" applyFont="1" applyFill="1" applyBorder="1" applyAlignment="1">
      <alignment vertical="center"/>
    </xf>
    <xf numFmtId="0" fontId="6" fillId="10" borderId="10" xfId="0" applyFont="1" applyFill="1" applyBorder="1" applyAlignment="1">
      <alignment vertical="center"/>
    </xf>
    <xf numFmtId="0" fontId="6" fillId="10" borderId="11" xfId="0" applyFont="1" applyFill="1" applyBorder="1" applyAlignment="1">
      <alignment vertical="center"/>
    </xf>
    <xf numFmtId="0" fontId="1" fillId="4" borderId="0" xfId="0" applyFont="1" applyFill="1" applyAlignment="1">
      <alignment horizontal="center" vertical="center" wrapText="1"/>
    </xf>
    <xf numFmtId="0" fontId="3" fillId="17" borderId="0" xfId="0" applyFont="1" applyFill="1" applyAlignment="1">
      <alignment horizontal="center" vertical="center" wrapText="1"/>
    </xf>
    <xf numFmtId="0" fontId="6" fillId="10" borderId="12" xfId="0" applyFont="1" applyFill="1" applyBorder="1" applyAlignment="1">
      <alignment vertical="center"/>
    </xf>
    <xf numFmtId="0" fontId="0" fillId="8" borderId="0" xfId="0" applyFill="1" applyAlignment="1">
      <alignment horizontal="center" vertical="center"/>
    </xf>
    <xf numFmtId="0" fontId="6" fillId="6" borderId="13" xfId="0" applyFont="1" applyFill="1" applyBorder="1" applyAlignment="1">
      <alignment horizontal="center" vertical="center"/>
    </xf>
    <xf numFmtId="0" fontId="6" fillId="6" borderId="14" xfId="0" applyFont="1" applyFill="1" applyBorder="1" applyAlignment="1">
      <alignment horizontal="center" vertical="center"/>
    </xf>
    <xf numFmtId="0" fontId="6" fillId="10" borderId="14" xfId="0" applyFont="1" applyFill="1" applyBorder="1" applyAlignment="1">
      <alignment vertical="center"/>
    </xf>
    <xf numFmtId="0" fontId="6" fillId="10" borderId="15" xfId="0" applyFont="1" applyFill="1" applyBorder="1" applyAlignment="1">
      <alignment vertical="center"/>
    </xf>
    <xf numFmtId="0" fontId="6" fillId="10" borderId="16" xfId="0" applyFont="1" applyFill="1" applyBorder="1" applyAlignment="1">
      <alignment vertical="center"/>
    </xf>
    <xf numFmtId="0" fontId="6" fillId="10" borderId="13" xfId="0" applyFont="1" applyFill="1" applyBorder="1" applyAlignment="1">
      <alignment vertical="center"/>
    </xf>
    <xf numFmtId="0" fontId="4" fillId="0" borderId="0" xfId="0" applyFont="1">
      <alignment vertical="center"/>
    </xf>
    <xf numFmtId="0" fontId="6" fillId="10" borderId="17" xfId="0" applyFont="1" applyFill="1" applyBorder="1" applyAlignment="1">
      <alignment vertical="center"/>
    </xf>
    <xf numFmtId="0" fontId="0" fillId="0" borderId="12" xfId="0" applyBorder="1">
      <alignment vertical="center"/>
    </xf>
    <xf numFmtId="0" fontId="7" fillId="0" borderId="0" xfId="0" applyFont="1">
      <alignment vertical="center"/>
    </xf>
    <xf numFmtId="10" fontId="7" fillId="0" borderId="0" xfId="3" applyNumberFormat="1" applyFont="1">
      <alignment vertical="center"/>
    </xf>
    <xf numFmtId="179" fontId="7" fillId="0" borderId="0" xfId="3" applyNumberFormat="1" applyFont="1">
      <alignment vertical="center"/>
    </xf>
    <xf numFmtId="0" fontId="7" fillId="0" borderId="0" xfId="0" applyNumberFormat="1" applyFont="1">
      <alignment vertical="center"/>
    </xf>
    <xf numFmtId="179" fontId="0" fillId="0" borderId="0" xfId="0" applyNumberFormat="1">
      <alignment vertical="center"/>
    </xf>
    <xf numFmtId="0" fontId="1" fillId="15" borderId="0" xfId="0" applyFont="1" applyFill="1" applyAlignment="1">
      <alignment horizontal="center" vertical="center" wrapText="1"/>
    </xf>
    <xf numFmtId="0" fontId="1" fillId="15" borderId="0" xfId="0" applyFont="1" applyFill="1" applyAlignment="1">
      <alignment horizontal="center" vertical="center"/>
    </xf>
    <xf numFmtId="0" fontId="8" fillId="18" borderId="0" xfId="0" applyFont="1" applyFill="1" applyAlignment="1">
      <alignment horizontal="center" vertical="center" wrapText="1"/>
    </xf>
    <xf numFmtId="180" fontId="0" fillId="0" borderId="0" xfId="0" applyNumberFormat="1">
      <alignment vertical="center"/>
    </xf>
    <xf numFmtId="181" fontId="0" fillId="0" borderId="0" xfId="0" applyNumberFormat="1">
      <alignment vertical="center"/>
    </xf>
    <xf numFmtId="58" fontId="0" fillId="0" borderId="0" xfId="0" applyNumberFormat="1">
      <alignment vertical="center"/>
    </xf>
    <xf numFmtId="182" fontId="0" fillId="0" borderId="0" xfId="0" applyNumberFormat="1">
      <alignment vertical="center"/>
    </xf>
    <xf numFmtId="183" fontId="0" fillId="0" borderId="0" xfId="0" applyNumberFormat="1">
      <alignment vertical="center"/>
    </xf>
    <xf numFmtId="9" fontId="0" fillId="0" borderId="0" xfId="3"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1">
    <dxf>
      <numFmt numFmtId="177" formatCode="0.000_ "/>
    </dxf>
    <dxf>
      <numFmt numFmtId="182" formatCode="0.00_ "/>
    </dxf>
    <dxf>
      <numFmt numFmtId="177" formatCode="0.000_ "/>
    </dxf>
    <dxf>
      <numFmt numFmtId="181" formatCode="[$$-409]#,##0.000;\-[$$-409]#,##0.000"/>
    </dxf>
    <dxf>
      <numFmt numFmtId="184" formatCode="&quot;£&quot;#,##0.00_);[Red]\(&quot;£&quot;#,##0.00\)"/>
    </dxf>
    <dxf>
      <numFmt numFmtId="180" formatCode="[$$-409]#,##0.00_);[Red]\([$$-409]#,##0.00\)"/>
    </dxf>
    <dxf>
      <numFmt numFmtId="177" formatCode="0.000_ "/>
    </dxf>
    <dxf>
      <numFmt numFmtId="177" formatCode="0.000_ "/>
    </dxf>
    <dxf>
      <numFmt numFmtId="58" formatCode="dd/mm/yyyy"/>
    </dxf>
    <dxf>
      <numFmt numFmtId="176" formatCode="0.0_ "/>
    </dxf>
    <dxf>
      <numFmt numFmtId="182" formatCode="0.00_ "/>
    </dxf>
    <dxf>
      <numFmt numFmtId="177" formatCode="0.000_ "/>
    </dxf>
    <dxf>
      <numFmt numFmtId="183" formatCode="0.00000_ "/>
    </dxf>
    <dxf>
      <numFmt numFmtId="177" formatCode="0.000_ "/>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PivotStylePreset2_Accent1" table="0" count="10" xr9:uid="{267968C8-6FFD-4C36-ACC1-9EA1FD1885CA}">
      <tableStyleElement type="headerRow" dxfId="30"/>
      <tableStyleElement type="totalRow" dxfId="29"/>
      <tableStyleElement type="firstRowStripe" dxfId="28"/>
      <tableStyleElement type="firstColumnStripe" dxfId="27"/>
      <tableStyleElement type="firstSubtotalRow" dxfId="26"/>
      <tableStyleElement type="secondSubtotalRow" dxfId="25"/>
      <tableStyleElement type="firstRowSubheading" dxfId="24"/>
      <tableStyleElement type="secondRowSubheading" dxfId="23"/>
      <tableStyleElement type="pageFieldLabels" dxfId="22"/>
      <tableStyleElement type="pageFieldValues" dxfId="2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eetMetadata" Target="metadata.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pivotCacheDefinition" Target="pivotCache/pivotCacheDefinition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[Walmart_Salee.xlsx]Average_weeklysales_per_store!PivotTable1</c:name>
    <c:fmtId val="0"/>
  </c:pivotSource>
  <c:chart>
    <c:title>
      <c:layout/>
      <c:overlay val="0"/>
      <c:spPr>
        <a:noFill/>
        <a:ln>
          <a:noFill/>
        </a:ln>
        <a:effectLst/>
      </c:spPr>
      <c:txPr>
        <a:bodyPr rot="0" spcFirstLastPara="0"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Average_weeklysales_per_store!$B$2</c:f>
              <c:strCache>
                <c:ptCount val="1"/>
                <c:pt idx="0">
                  <c:v>Total</c:v>
                </c:pt>
              </c:strCache>
            </c:strRef>
          </c:tx>
          <c:spPr>
            <a:solidFill>
              <a:schemeClr val="accent1"/>
            </a:solidFill>
            <a:ln>
              <a:noFill/>
            </a:ln>
            <a:effectLst/>
          </c:spPr>
          <c:invertIfNegative val="0"/>
          <c:dLbls>
            <c:delete val="1"/>
          </c:dLbls>
          <c:cat>
            <c:strRef>
              <c:f>Average_weeklysales_per_store!$A$3:$A$48</c:f>
              <c:strCache>
                <c:ptCount val="45"/>
                <c:pt idx="0">
                  <c:v>20</c:v>
                </c:pt>
                <c:pt idx="1">
                  <c:v>4</c:v>
                </c:pt>
                <c:pt idx="2">
                  <c:v>14</c:v>
                </c:pt>
                <c:pt idx="3">
                  <c:v>13</c:v>
                </c:pt>
                <c:pt idx="4">
                  <c:v>2</c:v>
                </c:pt>
                <c:pt idx="5">
                  <c:v>10</c:v>
                </c:pt>
                <c:pt idx="6">
                  <c:v>27</c:v>
                </c:pt>
                <c:pt idx="7">
                  <c:v>6</c:v>
                </c:pt>
                <c:pt idx="8">
                  <c:v>1</c:v>
                </c:pt>
                <c:pt idx="9">
                  <c:v>39</c:v>
                </c:pt>
                <c:pt idx="10">
                  <c:v>19</c:v>
                </c:pt>
                <c:pt idx="11">
                  <c:v>31</c:v>
                </c:pt>
                <c:pt idx="12">
                  <c:v>23</c:v>
                </c:pt>
                <c:pt idx="13">
                  <c:v>24</c:v>
                </c:pt>
                <c:pt idx="14">
                  <c:v>11</c:v>
                </c:pt>
                <c:pt idx="15">
                  <c:v>28</c:v>
                </c:pt>
                <c:pt idx="16">
                  <c:v>41</c:v>
                </c:pt>
                <c:pt idx="17">
                  <c:v>32</c:v>
                </c:pt>
                <c:pt idx="18">
                  <c:v>18</c:v>
                </c:pt>
                <c:pt idx="19">
                  <c:v>22</c:v>
                </c:pt>
                <c:pt idx="20">
                  <c:v>12</c:v>
                </c:pt>
                <c:pt idx="21">
                  <c:v>26</c:v>
                </c:pt>
                <c:pt idx="22">
                  <c:v>34</c:v>
                </c:pt>
                <c:pt idx="23">
                  <c:v>40</c:v>
                </c:pt>
                <c:pt idx="24">
                  <c:v>35</c:v>
                </c:pt>
                <c:pt idx="25">
                  <c:v>8</c:v>
                </c:pt>
                <c:pt idx="26">
                  <c:v>17</c:v>
                </c:pt>
                <c:pt idx="27">
                  <c:v>45</c:v>
                </c:pt>
                <c:pt idx="28">
                  <c:v>21</c:v>
                </c:pt>
                <c:pt idx="29">
                  <c:v>25</c:v>
                </c:pt>
                <c:pt idx="30">
                  <c:v>43</c:v>
                </c:pt>
                <c:pt idx="31">
                  <c:v>15</c:v>
                </c:pt>
                <c:pt idx="32">
                  <c:v>7</c:v>
                </c:pt>
                <c:pt idx="33">
                  <c:v>42</c:v>
                </c:pt>
                <c:pt idx="34">
                  <c:v>9</c:v>
                </c:pt>
                <c:pt idx="35">
                  <c:v>29</c:v>
                </c:pt>
                <c:pt idx="36">
                  <c:v>16</c:v>
                </c:pt>
                <c:pt idx="37">
                  <c:v>37</c:v>
                </c:pt>
                <c:pt idx="38">
                  <c:v>30</c:v>
                </c:pt>
                <c:pt idx="39">
                  <c:v>3</c:v>
                </c:pt>
                <c:pt idx="40">
                  <c:v>38</c:v>
                </c:pt>
                <c:pt idx="41">
                  <c:v>36</c:v>
                </c:pt>
                <c:pt idx="42">
                  <c:v>5</c:v>
                </c:pt>
                <c:pt idx="43">
                  <c:v>44</c:v>
                </c:pt>
                <c:pt idx="44">
                  <c:v>33</c:v>
                </c:pt>
              </c:strCache>
            </c:strRef>
          </c:cat>
          <c:val>
            <c:numRef>
              <c:f>Average_weeklysales_per_store!$B$3:$B$48</c:f>
              <c:numCache>
                <c:formatCode>[$$-409]#,##0.000;\-[$$-409]#,##0.000</c:formatCode>
                <c:ptCount val="45"/>
                <c:pt idx="0">
                  <c:v>2107676.87034965</c:v>
                </c:pt>
                <c:pt idx="1">
                  <c:v>2094712.9606993</c:v>
                </c:pt>
                <c:pt idx="2">
                  <c:v>2020978.40097902</c:v>
                </c:pt>
                <c:pt idx="3">
                  <c:v>2003620.30629371</c:v>
                </c:pt>
                <c:pt idx="4">
                  <c:v>1925751.33552448</c:v>
                </c:pt>
                <c:pt idx="5">
                  <c:v>1899424.57265734</c:v>
                </c:pt>
                <c:pt idx="6">
                  <c:v>1775216.20195804</c:v>
                </c:pt>
                <c:pt idx="7">
                  <c:v>1564728.18629371</c:v>
                </c:pt>
                <c:pt idx="8">
                  <c:v>1555264.39755245</c:v>
                </c:pt>
                <c:pt idx="9">
                  <c:v>1450668.12916084</c:v>
                </c:pt>
                <c:pt idx="10">
                  <c:v>1444999.03566434</c:v>
                </c:pt>
                <c:pt idx="11">
                  <c:v>1395901.43706294</c:v>
                </c:pt>
                <c:pt idx="12">
                  <c:v>1389864.46048951</c:v>
                </c:pt>
                <c:pt idx="13">
                  <c:v>1356755.39356643</c:v>
                </c:pt>
                <c:pt idx="14">
                  <c:v>1356383.12447552</c:v>
                </c:pt>
                <c:pt idx="15">
                  <c:v>1323522.24181818</c:v>
                </c:pt>
                <c:pt idx="16">
                  <c:v>1268125.41881119</c:v>
                </c:pt>
                <c:pt idx="17">
                  <c:v>1166568.15496504</c:v>
                </c:pt>
                <c:pt idx="18">
                  <c:v>1084718.42104895</c:v>
                </c:pt>
                <c:pt idx="19">
                  <c:v>1028501.03895105</c:v>
                </c:pt>
                <c:pt idx="20">
                  <c:v>1009001.60944056</c:v>
                </c:pt>
                <c:pt idx="21">
                  <c:v>1002911.84468532</c:v>
                </c:pt>
                <c:pt idx="22">
                  <c:v>966781.55944056</c:v>
                </c:pt>
                <c:pt idx="23">
                  <c:v>964128.040489511</c:v>
                </c:pt>
                <c:pt idx="24">
                  <c:v>919724.979580419</c:v>
                </c:pt>
                <c:pt idx="25">
                  <c:v>908749.518391608</c:v>
                </c:pt>
                <c:pt idx="26">
                  <c:v>893581.390419581</c:v>
                </c:pt>
                <c:pt idx="27">
                  <c:v>785981.408531469</c:v>
                </c:pt>
                <c:pt idx="28">
                  <c:v>756069.083356643</c:v>
                </c:pt>
                <c:pt idx="29">
                  <c:v>706721.532657343</c:v>
                </c:pt>
                <c:pt idx="30">
                  <c:v>633324.723146853</c:v>
                </c:pt>
                <c:pt idx="31">
                  <c:v>623312.474965035</c:v>
                </c:pt>
                <c:pt idx="32">
                  <c:v>570617.308671329</c:v>
                </c:pt>
                <c:pt idx="33">
                  <c:v>556403.863146853</c:v>
                </c:pt>
                <c:pt idx="34">
                  <c:v>543980.552377622</c:v>
                </c:pt>
                <c:pt idx="35">
                  <c:v>539451.428741259</c:v>
                </c:pt>
                <c:pt idx="36">
                  <c:v>519247.73006993</c:v>
                </c:pt>
                <c:pt idx="37">
                  <c:v>518900.281958042</c:v>
                </c:pt>
                <c:pt idx="38">
                  <c:v>438579.616223776</c:v>
                </c:pt>
                <c:pt idx="39">
                  <c:v>402704.441048951</c:v>
                </c:pt>
                <c:pt idx="40">
                  <c:v>385731.653286713</c:v>
                </c:pt>
                <c:pt idx="41">
                  <c:v>373511.992797203</c:v>
                </c:pt>
                <c:pt idx="42">
                  <c:v>318011.810489511</c:v>
                </c:pt>
                <c:pt idx="43">
                  <c:v>302748.866013986</c:v>
                </c:pt>
                <c:pt idx="44">
                  <c:v>259861.692027972</c:v>
                </c:pt>
              </c:numCache>
            </c:numRef>
          </c:val>
        </c:ser>
        <c:dLbls>
          <c:showLegendKey val="0"/>
          <c:showVal val="0"/>
          <c:showCatName val="0"/>
          <c:showSerName val="0"/>
          <c:showPercent val="0"/>
          <c:showBubbleSize val="0"/>
        </c:dLbls>
        <c:gapWidth val="219"/>
        <c:overlap val="0"/>
        <c:axId val="409131485"/>
        <c:axId val="796889749"/>
      </c:barChart>
      <c:catAx>
        <c:axId val="40913148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796889749"/>
        <c:crosses val="autoZero"/>
        <c:auto val="1"/>
        <c:lblAlgn val="ctr"/>
        <c:lblOffset val="100"/>
        <c:noMultiLvlLbl val="0"/>
      </c:catAx>
      <c:valAx>
        <c:axId val="796889749"/>
        <c:scaling>
          <c:orientation val="minMax"/>
        </c:scaling>
        <c:delete val="0"/>
        <c:axPos val="l"/>
        <c:majorGridlines>
          <c:spPr>
            <a:ln w="9525" cap="flat" cmpd="sng" algn="ctr">
              <a:solidFill>
                <a:schemeClr val="tx1">
                  <a:lumMod val="15000"/>
                  <a:lumOff val="85000"/>
                </a:schemeClr>
              </a:solidFill>
              <a:round/>
            </a:ln>
            <a:effectLst/>
          </c:spPr>
        </c:majorGridlines>
        <c:numFmt formatCode="[$$-409]#,##0.000;\-[$$-409]#,##0.000"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40913148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87cfd59-2b26-438c-af1e-3c06dc8399eb}"/>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[Walmart_Salee.xlsx]Sum_of_weeklysales_per_store!PivotTable2</c:name>
    <c:fmtId val="0"/>
  </c:pivotSource>
  <c:chart>
    <c:title>
      <c:layout/>
      <c:overlay val="0"/>
      <c:spPr>
        <a:noFill/>
        <a:ln>
          <a:noFill/>
        </a:ln>
        <a:effectLst/>
      </c:spPr>
      <c:txPr>
        <a:bodyPr rot="0" spcFirstLastPara="0"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Sum_of_weeklysales_per_store!$B$2</c:f>
              <c:strCache>
                <c:ptCount val="1"/>
                <c:pt idx="0">
                  <c:v>Total</c:v>
                </c:pt>
              </c:strCache>
            </c:strRef>
          </c:tx>
          <c:spPr>
            <a:solidFill>
              <a:schemeClr val="accent1"/>
            </a:solidFill>
            <a:ln>
              <a:noFill/>
            </a:ln>
            <a:effectLst/>
          </c:spPr>
          <c:invertIfNegative val="0"/>
          <c:dLbls>
            <c:delete val="1"/>
          </c:dLbls>
          <c:cat>
            <c:strRef>
              <c:f>Sum_of_weeklysales_per_store!$A$3:$A$48</c:f>
              <c:strCache>
                <c:ptCount val="45"/>
                <c:pt idx="0">
                  <c:v>20</c:v>
                </c:pt>
                <c:pt idx="1">
                  <c:v>4</c:v>
                </c:pt>
                <c:pt idx="2">
                  <c:v>14</c:v>
                </c:pt>
                <c:pt idx="3">
                  <c:v>13</c:v>
                </c:pt>
                <c:pt idx="4">
                  <c:v>2</c:v>
                </c:pt>
                <c:pt idx="5">
                  <c:v>10</c:v>
                </c:pt>
                <c:pt idx="6">
                  <c:v>27</c:v>
                </c:pt>
                <c:pt idx="7">
                  <c:v>6</c:v>
                </c:pt>
                <c:pt idx="8">
                  <c:v>1</c:v>
                </c:pt>
                <c:pt idx="9">
                  <c:v>39</c:v>
                </c:pt>
                <c:pt idx="10">
                  <c:v>19</c:v>
                </c:pt>
                <c:pt idx="11">
                  <c:v>31</c:v>
                </c:pt>
                <c:pt idx="12">
                  <c:v>23</c:v>
                </c:pt>
                <c:pt idx="13">
                  <c:v>24</c:v>
                </c:pt>
                <c:pt idx="14">
                  <c:v>11</c:v>
                </c:pt>
                <c:pt idx="15">
                  <c:v>28</c:v>
                </c:pt>
                <c:pt idx="16">
                  <c:v>41</c:v>
                </c:pt>
                <c:pt idx="17">
                  <c:v>32</c:v>
                </c:pt>
                <c:pt idx="18">
                  <c:v>18</c:v>
                </c:pt>
                <c:pt idx="19">
                  <c:v>22</c:v>
                </c:pt>
                <c:pt idx="20">
                  <c:v>12</c:v>
                </c:pt>
                <c:pt idx="21">
                  <c:v>26</c:v>
                </c:pt>
                <c:pt idx="22">
                  <c:v>34</c:v>
                </c:pt>
                <c:pt idx="23">
                  <c:v>40</c:v>
                </c:pt>
                <c:pt idx="24">
                  <c:v>35</c:v>
                </c:pt>
                <c:pt idx="25">
                  <c:v>8</c:v>
                </c:pt>
                <c:pt idx="26">
                  <c:v>17</c:v>
                </c:pt>
                <c:pt idx="27">
                  <c:v>45</c:v>
                </c:pt>
                <c:pt idx="28">
                  <c:v>21</c:v>
                </c:pt>
                <c:pt idx="29">
                  <c:v>25</c:v>
                </c:pt>
                <c:pt idx="30">
                  <c:v>43</c:v>
                </c:pt>
                <c:pt idx="31">
                  <c:v>15</c:v>
                </c:pt>
                <c:pt idx="32">
                  <c:v>7</c:v>
                </c:pt>
                <c:pt idx="33">
                  <c:v>42</c:v>
                </c:pt>
                <c:pt idx="34">
                  <c:v>9</c:v>
                </c:pt>
                <c:pt idx="35">
                  <c:v>29</c:v>
                </c:pt>
                <c:pt idx="36">
                  <c:v>16</c:v>
                </c:pt>
                <c:pt idx="37">
                  <c:v>37</c:v>
                </c:pt>
                <c:pt idx="38">
                  <c:v>30</c:v>
                </c:pt>
                <c:pt idx="39">
                  <c:v>3</c:v>
                </c:pt>
                <c:pt idx="40">
                  <c:v>38</c:v>
                </c:pt>
                <c:pt idx="41">
                  <c:v>36</c:v>
                </c:pt>
                <c:pt idx="42">
                  <c:v>5</c:v>
                </c:pt>
                <c:pt idx="43">
                  <c:v>44</c:v>
                </c:pt>
                <c:pt idx="44">
                  <c:v>33</c:v>
                </c:pt>
              </c:strCache>
            </c:strRef>
          </c:cat>
          <c:val>
            <c:numRef>
              <c:f>Sum_of_weeklysales_per_store!$B$3:$B$48</c:f>
              <c:numCache>
                <c:formatCode>[$$-409]#,##0.00_);[Red]\([$$-409]#,##0.00\)</c:formatCode>
                <c:ptCount val="45"/>
                <c:pt idx="0">
                  <c:v>301397792.46</c:v>
                </c:pt>
                <c:pt idx="1">
                  <c:v>299543953.38</c:v>
                </c:pt>
                <c:pt idx="2">
                  <c:v>288999911.34</c:v>
                </c:pt>
                <c:pt idx="3">
                  <c:v>286517703.8</c:v>
                </c:pt>
                <c:pt idx="4">
                  <c:v>275382440.98</c:v>
                </c:pt>
                <c:pt idx="5">
                  <c:v>271617713.89</c:v>
                </c:pt>
                <c:pt idx="6">
                  <c:v>253855916.88</c:v>
                </c:pt>
                <c:pt idx="7">
                  <c:v>223756130.64</c:v>
                </c:pt>
                <c:pt idx="8">
                  <c:v>222402808.85</c:v>
                </c:pt>
                <c:pt idx="9">
                  <c:v>207445542.47</c:v>
                </c:pt>
                <c:pt idx="10">
                  <c:v>206634862.1</c:v>
                </c:pt>
                <c:pt idx="11">
                  <c:v>199613905.5</c:v>
                </c:pt>
                <c:pt idx="12">
                  <c:v>198750617.85</c:v>
                </c:pt>
                <c:pt idx="13">
                  <c:v>194016021.28</c:v>
                </c:pt>
                <c:pt idx="14">
                  <c:v>193962786.8</c:v>
                </c:pt>
                <c:pt idx="15">
                  <c:v>189263680.58</c:v>
                </c:pt>
                <c:pt idx="16">
                  <c:v>181341934.89</c:v>
                </c:pt>
                <c:pt idx="17">
                  <c:v>166819246.16</c:v>
                </c:pt>
                <c:pt idx="18">
                  <c:v>155114734.21</c:v>
                </c:pt>
                <c:pt idx="19">
                  <c:v>147075648.57</c:v>
                </c:pt>
                <c:pt idx="20">
                  <c:v>144287230.15</c:v>
                </c:pt>
                <c:pt idx="21">
                  <c:v>143416393.79</c:v>
                </c:pt>
                <c:pt idx="22">
                  <c:v>138249763</c:v>
                </c:pt>
                <c:pt idx="23">
                  <c:v>137870309.79</c:v>
                </c:pt>
                <c:pt idx="24">
                  <c:v>131520672.08</c:v>
                </c:pt>
                <c:pt idx="25">
                  <c:v>129951181.13</c:v>
                </c:pt>
                <c:pt idx="26">
                  <c:v>127782138.83</c:v>
                </c:pt>
                <c:pt idx="27">
                  <c:v>112395341.42</c:v>
                </c:pt>
                <c:pt idx="28">
                  <c:v>108117878.92</c:v>
                </c:pt>
                <c:pt idx="29">
                  <c:v>101061179.17</c:v>
                </c:pt>
                <c:pt idx="30">
                  <c:v>90565435.41</c:v>
                </c:pt>
                <c:pt idx="31">
                  <c:v>89133683.92</c:v>
                </c:pt>
                <c:pt idx="32">
                  <c:v>81598275.14</c:v>
                </c:pt>
                <c:pt idx="33">
                  <c:v>79565752.43</c:v>
                </c:pt>
                <c:pt idx="34">
                  <c:v>77789218.99</c:v>
                </c:pt>
                <c:pt idx="35">
                  <c:v>77141554.31</c:v>
                </c:pt>
                <c:pt idx="36">
                  <c:v>74252425.4</c:v>
                </c:pt>
                <c:pt idx="37">
                  <c:v>74202740.32</c:v>
                </c:pt>
                <c:pt idx="38">
                  <c:v>62716885.12</c:v>
                </c:pt>
                <c:pt idx="39">
                  <c:v>57586735.07</c:v>
                </c:pt>
                <c:pt idx="40">
                  <c:v>55159626.42</c:v>
                </c:pt>
                <c:pt idx="41">
                  <c:v>53412214.97</c:v>
                </c:pt>
                <c:pt idx="42">
                  <c:v>45475688.9</c:v>
                </c:pt>
                <c:pt idx="43">
                  <c:v>43293087.84</c:v>
                </c:pt>
                <c:pt idx="44">
                  <c:v>37160221.96</c:v>
                </c:pt>
              </c:numCache>
            </c:numRef>
          </c:val>
        </c:ser>
        <c:dLbls>
          <c:showLegendKey val="0"/>
          <c:showVal val="0"/>
          <c:showCatName val="0"/>
          <c:showSerName val="0"/>
          <c:showPercent val="0"/>
          <c:showBubbleSize val="0"/>
        </c:dLbls>
        <c:gapWidth val="219"/>
        <c:overlap val="-27"/>
        <c:axId val="302059071"/>
        <c:axId val="115261997"/>
      </c:barChart>
      <c:catAx>
        <c:axId val="3020590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5261997"/>
        <c:crosses val="autoZero"/>
        <c:auto val="1"/>
        <c:lblAlgn val="ctr"/>
        <c:lblOffset val="100"/>
        <c:noMultiLvlLbl val="0"/>
      </c:catAx>
      <c:valAx>
        <c:axId val="115261997"/>
        <c:scaling>
          <c:orientation val="minMax"/>
        </c:scaling>
        <c:delete val="0"/>
        <c:axPos val="l"/>
        <c:majorGridlines>
          <c:spPr>
            <a:ln w="9525" cap="flat" cmpd="sng" algn="ctr">
              <a:solidFill>
                <a:schemeClr val="tx1">
                  <a:lumMod val="15000"/>
                  <a:lumOff val="85000"/>
                </a:schemeClr>
              </a:solidFill>
              <a:round/>
            </a:ln>
            <a:effectLst/>
          </c:spPr>
        </c:majorGridlines>
        <c:numFmt formatCode="[$$-409]#,##0.00_);[Red]\([$$-409]#,##0.00\)"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30205907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3676fa9-e2c1-45a5-9092-837f29ec9023}"/>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Sale performance across the 45 stores</a:t>
            </a:r>
          </a:p>
        </c:rich>
      </c:tx>
      <c:layout/>
      <c:overlay val="0"/>
      <c:spPr>
        <a:noFill/>
        <a:ln>
          <a:noFill/>
        </a:ln>
        <a:effectLst/>
      </c:spPr>
    </c:title>
    <c:autoTitleDeleted val="0"/>
    <c:plotArea>
      <c:layout/>
      <c:barChart>
        <c:barDir val="col"/>
        <c:grouping val="clustered"/>
        <c:varyColors val="0"/>
        <c:ser>
          <c:idx val="0"/>
          <c:order val="0"/>
          <c:tx>
            <c:strRef>
              <c:f>Store_performance!$I$77</c:f>
              <c:strCache>
                <c:ptCount val="1"/>
                <c:pt idx="0">
                  <c:v>High weekly sales</c:v>
                </c:pt>
              </c:strCache>
            </c:strRef>
          </c:tx>
          <c:spPr>
            <a:solidFill>
              <a:schemeClr val="accent1"/>
            </a:solidFill>
            <a:ln>
              <a:noFill/>
            </a:ln>
            <a:effectLst/>
          </c:spPr>
          <c:invertIfNegative val="0"/>
          <c:dLbls>
            <c:dLbl>
              <c:idx val="0"/>
              <c:layout/>
              <c:tx>
                <c:rich>
                  <a:bodyPr rot="0" spcFirstLastPara="0" vertOverflow="ellipsis" vert="horz" wrap="square" lIns="38100" tIns="19050" rIns="38100" bIns="19050" anchor="ctr" anchorCtr="1"/>
                  <a:lstStyle/>
                  <a:p>
                    <a:pPr defTabSz="914400">
                      <a:defRPr lang="en-GB" sz="1000" b="0" i="0" u="none" strike="noStrike" kern="1200" baseline="0">
                        <a:solidFill>
                          <a:schemeClr val="tx1">
                            <a:lumMod val="75000"/>
                            <a:lumOff val="25000"/>
                          </a:schemeClr>
                        </a:solidFill>
                        <a:latin typeface="+mn-lt"/>
                        <a:ea typeface="+mn-ea"/>
                        <a:cs typeface="+mn-cs"/>
                      </a:defRPr>
                    </a:pPr>
                    <a:r>
                      <a:t>19 </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Store_performance!$I$79</c:f>
              <c:numCache>
                <c:formatCode>0.00_);[Red]\(0.00\)</c:formatCode>
                <c:ptCount val="1"/>
                <c:pt idx="0">
                  <c:v>19</c:v>
                </c:pt>
              </c:numCache>
            </c:numRef>
          </c:val>
        </c:ser>
        <c:ser>
          <c:idx val="1"/>
          <c:order val="1"/>
          <c:tx>
            <c:strRef>
              <c:f>Store_performance!$J$84</c:f>
              <c:strCache>
                <c:ptCount val="1"/>
                <c:pt idx="0">
                  <c:v>Low weekly sales</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Store_performance!$J$85</c:f>
              <c:numCache>
                <c:formatCode>General</c:formatCode>
                <c:ptCount val="1"/>
                <c:pt idx="0">
                  <c:v>26</c:v>
                </c:pt>
              </c:numCache>
            </c:numRef>
          </c:val>
        </c:ser>
        <c:ser>
          <c:idx val="2"/>
          <c:order val="2"/>
          <c:tx>
            <c:strRef>
              <c:f>Store_performance!$K$84</c:f>
              <c:strCache>
                <c:ptCount val="1"/>
                <c:pt idx="0">
                  <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Store_performance!$K$85</c:f>
              <c:numCache>
                <c:formatCode>General</c:formatCode>
                <c:ptCount val="1"/>
              </c:numCache>
            </c:numRef>
          </c:val>
        </c:ser>
        <c:dLbls>
          <c:showLegendKey val="0"/>
          <c:showVal val="1"/>
          <c:showCatName val="0"/>
          <c:showSerName val="0"/>
          <c:showPercent val="0"/>
          <c:showBubbleSize val="0"/>
        </c:dLbls>
        <c:gapWidth val="246"/>
        <c:overlap val="-28"/>
        <c:axId val="35183190"/>
        <c:axId val="232051270"/>
      </c:barChart>
      <c:catAx>
        <c:axId val="35183190"/>
        <c:scaling>
          <c:orientation val="minMax"/>
        </c:scaling>
        <c:delete val="0"/>
        <c:axPos val="b"/>
        <c:title>
          <c:layout/>
          <c:overlay val="0"/>
          <c:spPr>
            <a:noFill/>
            <a:ln>
              <a:noFill/>
            </a:ln>
            <a:effectLst/>
          </c:spPr>
          <c:txPr>
            <a:bodyPr rot="0" spcFirstLastPara="0" vertOverflow="ellipsis" vert="horz" wrap="square" anchor="ctr" anchorCtr="1"/>
            <a:lstStyle/>
            <a:p>
              <a:pPr>
                <a:defRPr lang="en-GB" sz="1000" b="0" i="0" u="none" strike="noStrike" kern="1200" baseline="0">
                  <a:solidFill>
                    <a:schemeClr val="tx1">
                      <a:lumMod val="65000"/>
                      <a:lumOff val="35000"/>
                    </a:schemeClr>
                  </a:solidFill>
                  <a:latin typeface="+mn-lt"/>
                  <a:ea typeface="+mn-ea"/>
                  <a:cs typeface="+mn-cs"/>
                </a:defRPr>
              </a:pPr>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232051270"/>
        <c:crosses val="autoZero"/>
        <c:auto val="1"/>
        <c:lblAlgn val="ctr"/>
        <c:lblOffset val="100"/>
        <c:noMultiLvlLbl val="0"/>
      </c:catAx>
      <c:valAx>
        <c:axId val="232051270"/>
        <c:scaling>
          <c:orientation val="minMax"/>
          <c:max val="45"/>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t>No of stores</a:t>
                </a:r>
              </a:p>
            </c:rich>
          </c:tx>
          <c:layout/>
          <c:overlay val="0"/>
          <c:spPr>
            <a:noFill/>
            <a:ln>
              <a:noFill/>
            </a:ln>
            <a:effectLst/>
          </c:spPr>
        </c:title>
        <c:numFmt formatCode="0.00_);[Red]\(0.00\)"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3518319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a6aa9c8-3ece-44f7-bf3a-6ef548c2b166}"/>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Sale performance</a:t>
            </a:r>
          </a:p>
          <a:p>
            <a:pPr defTabSz="914400">
              <a:defRPr lang="en-GB" sz="1400" b="1" i="0" u="none" strike="noStrike" kern="1200" baseline="0">
                <a:solidFill>
                  <a:schemeClr val="tx1">
                    <a:lumMod val="75000"/>
                    <a:lumOff val="25000"/>
                  </a:schemeClr>
                </a:solidFill>
                <a:latin typeface="+mn-lt"/>
                <a:ea typeface="+mn-ea"/>
                <a:cs typeface="+mn-cs"/>
              </a:defRPr>
            </a:pPr>
          </a:p>
        </c:rich>
      </c:tx>
      <c:layout/>
      <c:overlay val="0"/>
      <c:spPr>
        <a:noFill/>
        <a:ln>
          <a:noFill/>
        </a:ln>
        <a:effectLst/>
      </c:spPr>
    </c:title>
    <c:autoTitleDeleted val="0"/>
    <c:plotArea>
      <c:layout/>
      <c:pieChart>
        <c:varyColors val="1"/>
        <c:ser>
          <c:idx val="0"/>
          <c:order val="0"/>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delete val="1"/>
          </c:dLbls>
          <c:cat>
            <c:strRef>
              <c:f>Store_performance!$E$81:$F$81</c:f>
              <c:strCache>
                <c:ptCount val="2"/>
                <c:pt idx="0">
                  <c:v>Low weekly sales</c:v>
                </c:pt>
                <c:pt idx="1">
                  <c:v>High weekly sales</c:v>
                </c:pt>
              </c:strCache>
            </c:strRef>
          </c:cat>
          <c:val>
            <c:numRef>
              <c:f>Store_performance!$E$82:$F$82</c:f>
              <c:numCache>
                <c:formatCode>0%</c:formatCode>
                <c:ptCount val="2"/>
                <c:pt idx="0">
                  <c:v>0.577777777777778</c:v>
                </c:pt>
                <c:pt idx="1" c:formatCode="0.00%">
                  <c:v>0.422222222222222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61e6890-2a23-45a4-bfd0-a7c614b9c67e}"/>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Store performance consistency</a:t>
            </a:r>
          </a:p>
          <a:p>
            <a:pPr defTabSz="914400">
              <a:defRPr lang="en-GB" sz="1400" b="1" i="0" u="none" strike="noStrike" kern="1200" baseline="0">
                <a:solidFill>
                  <a:schemeClr val="tx1">
                    <a:lumMod val="75000"/>
                    <a:lumOff val="25000"/>
                  </a:schemeClr>
                </a:solidFill>
                <a:latin typeface="+mn-lt"/>
                <a:ea typeface="+mn-ea"/>
                <a:cs typeface="+mn-cs"/>
              </a:defRPr>
            </a:pPr>
          </a:p>
        </c:rich>
      </c:tx>
      <c:layout/>
      <c:overlay val="0"/>
      <c:spPr>
        <a:noFill/>
        <a:ln>
          <a:noFill/>
        </a:ln>
        <a:effectLst/>
      </c:spPr>
    </c:title>
    <c:autoTitleDeleted val="0"/>
    <c:plotArea>
      <c:layout/>
      <c:scatterChart>
        <c:scatterStyle val="marker"/>
        <c:varyColors val="0"/>
        <c:ser>
          <c:idx val="0"/>
          <c:order val="0"/>
          <c:tx>
            <c:strRef>
              <c:f>Consistency_report!$A$1</c:f>
              <c:strCache>
                <c:ptCount val="1"/>
                <c:pt idx="0">
                  <c:v>Store</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yVal>
            <c:numRef>
              <c:f>Consistency_report!$A$2:$A$87</c:f>
              <c:numCache>
                <c:formatCode>General</c:formatCode>
                <c:ptCount val="86"/>
                <c:pt idx="0">
                  <c:v>1</c:v>
                </c:pt>
                <c:pt idx="1">
                  <c:v>2</c:v>
                </c:pt>
                <c:pt idx="2">
                  <c:v>4</c:v>
                </c:pt>
                <c:pt idx="3">
                  <c:v>6</c:v>
                </c:pt>
                <c:pt idx="4">
                  <c:v>10</c:v>
                </c:pt>
                <c:pt idx="5">
                  <c:v>11</c:v>
                </c:pt>
                <c:pt idx="6">
                  <c:v>13</c:v>
                </c:pt>
                <c:pt idx="7">
                  <c:v>14</c:v>
                </c:pt>
                <c:pt idx="8">
                  <c:v>19</c:v>
                </c:pt>
                <c:pt idx="9">
                  <c:v>20</c:v>
                </c:pt>
                <c:pt idx="10">
                  <c:v>24</c:v>
                </c:pt>
                <c:pt idx="11">
                  <c:v>27</c:v>
                </c:pt>
                <c:pt idx="12">
                  <c:v>28</c:v>
                </c:pt>
                <c:pt idx="13">
                  <c:v>31</c:v>
                </c:pt>
                <c:pt idx="14">
                  <c:v>39</c:v>
                </c:pt>
                <c:pt idx="15">
                  <c:v>23</c:v>
                </c:pt>
                <c:pt idx="16">
                  <c:v>32</c:v>
                </c:pt>
                <c:pt idx="17">
                  <c:v>41</c:v>
                </c:pt>
                <c:pt idx="18">
                  <c:v>18</c:v>
                </c:pt>
                <c:pt idx="19">
                  <c:v>26</c:v>
                </c:pt>
                <c:pt idx="20">
                  <c:v>22</c:v>
                </c:pt>
                <c:pt idx="21">
                  <c:v>12</c:v>
                </c:pt>
                <c:pt idx="22">
                  <c:v>35</c:v>
                </c:pt>
                <c:pt idx="23">
                  <c:v>40</c:v>
                </c:pt>
                <c:pt idx="24">
                  <c:v>17</c:v>
                </c:pt>
                <c:pt idx="25">
                  <c:v>34</c:v>
                </c:pt>
                <c:pt idx="26">
                  <c:v>8</c:v>
                </c:pt>
                <c:pt idx="27">
                  <c:v>45</c:v>
                </c:pt>
                <c:pt idx="28">
                  <c:v>21</c:v>
                </c:pt>
                <c:pt idx="29">
                  <c:v>25</c:v>
                </c:pt>
                <c:pt idx="30">
                  <c:v>15</c:v>
                </c:pt>
                <c:pt idx="31">
                  <c:v>7</c:v>
                </c:pt>
                <c:pt idx="32">
                  <c:v>29</c:v>
                </c:pt>
                <c:pt idx="33">
                  <c:v>3</c:v>
                </c:pt>
                <c:pt idx="34">
                  <c:v>5</c:v>
                </c:pt>
                <c:pt idx="35">
                  <c:v>9</c:v>
                </c:pt>
                <c:pt idx="36">
                  <c:v>16</c:v>
                </c:pt>
                <c:pt idx="37">
                  <c:v>30</c:v>
                </c:pt>
                <c:pt idx="38">
                  <c:v>33</c:v>
                </c:pt>
                <c:pt idx="39">
                  <c:v>36</c:v>
                </c:pt>
                <c:pt idx="40">
                  <c:v>37</c:v>
                </c:pt>
                <c:pt idx="41">
                  <c:v>38</c:v>
                </c:pt>
                <c:pt idx="42">
                  <c:v>42</c:v>
                </c:pt>
                <c:pt idx="43">
                  <c:v>43</c:v>
                </c:pt>
                <c:pt idx="44">
                  <c:v>44</c:v>
                </c:pt>
                <c:pt idx="45">
                  <c:v>45</c:v>
                </c:pt>
              </c:numCache>
            </c:numRef>
          </c:yVal>
          <c:smooth val="0"/>
        </c:ser>
        <c:ser>
          <c:idx val="1"/>
          <c:order val="1"/>
          <c:tx>
            <c:strRef>
              <c:f>Consistency_report!$C$1</c:f>
              <c:strCache>
                <c:ptCount val="1"/>
                <c:pt idx="0">
                  <c:v>No of weeks with high sales </c:v>
                </c:pt>
              </c:strCache>
            </c:strRef>
          </c:tx>
          <c:spPr>
            <a:ln w="19050" cap="rnd">
              <a:noFill/>
              <a:round/>
            </a:ln>
            <a:effectLst/>
          </c:spPr>
          <c:marker>
            <c:symbol val="circle"/>
            <c:size val="5"/>
            <c:spPr>
              <a:solidFill>
                <a:schemeClr val="accent2"/>
              </a:solidFill>
              <a:ln w="9525">
                <a:solidFill>
                  <a:schemeClr val="accent2"/>
                </a:solidFill>
              </a:ln>
              <a:effectLst/>
            </c:spPr>
          </c:marker>
          <c:dLbls>
            <c:delete val="1"/>
          </c:dLbls>
          <c:yVal>
            <c:numRef>
              <c:f>Consistency_report!$C$2:$C$87</c:f>
              <c:numCache>
                <c:formatCode>General</c:formatCode>
                <c:ptCount val="86"/>
                <c:pt idx="0">
                  <c:v>143</c:v>
                </c:pt>
                <c:pt idx="1">
                  <c:v>143</c:v>
                </c:pt>
                <c:pt idx="2">
                  <c:v>143</c:v>
                </c:pt>
                <c:pt idx="3">
                  <c:v>143</c:v>
                </c:pt>
                <c:pt idx="4">
                  <c:v>143</c:v>
                </c:pt>
                <c:pt idx="5">
                  <c:v>143</c:v>
                </c:pt>
                <c:pt idx="6">
                  <c:v>143</c:v>
                </c:pt>
                <c:pt idx="7">
                  <c:v>143</c:v>
                </c:pt>
                <c:pt idx="8">
                  <c:v>143</c:v>
                </c:pt>
                <c:pt idx="9">
                  <c:v>143</c:v>
                </c:pt>
                <c:pt idx="10">
                  <c:v>143</c:v>
                </c:pt>
                <c:pt idx="11">
                  <c:v>143</c:v>
                </c:pt>
                <c:pt idx="12">
                  <c:v>143</c:v>
                </c:pt>
                <c:pt idx="13">
                  <c:v>143</c:v>
                </c:pt>
                <c:pt idx="14">
                  <c:v>143</c:v>
                </c:pt>
                <c:pt idx="15">
                  <c:v>139</c:v>
                </c:pt>
                <c:pt idx="16">
                  <c:v>137</c:v>
                </c:pt>
                <c:pt idx="17">
                  <c:v>136</c:v>
                </c:pt>
                <c:pt idx="18">
                  <c:v>86</c:v>
                </c:pt>
                <c:pt idx="19">
                  <c:v>40</c:v>
                </c:pt>
                <c:pt idx="20">
                  <c:v>39</c:v>
                </c:pt>
                <c:pt idx="21">
                  <c:v>37</c:v>
                </c:pt>
                <c:pt idx="22">
                  <c:v>34</c:v>
                </c:pt>
                <c:pt idx="23">
                  <c:v>24</c:v>
                </c:pt>
                <c:pt idx="24">
                  <c:v>14</c:v>
                </c:pt>
                <c:pt idx="25">
                  <c:v>13</c:v>
                </c:pt>
                <c:pt idx="26">
                  <c:v>10</c:v>
                </c:pt>
                <c:pt idx="27">
                  <c:v>6</c:v>
                </c:pt>
                <c:pt idx="28">
                  <c:v>5</c:v>
                </c:pt>
                <c:pt idx="29">
                  <c:v>5</c:v>
                </c:pt>
                <c:pt idx="30">
                  <c:v>4</c:v>
                </c:pt>
                <c:pt idx="31">
                  <c:v>1</c:v>
                </c:pt>
                <c:pt idx="32">
                  <c:v>1</c:v>
                </c:pt>
                <c:pt idx="33">
                  <c:v>0</c:v>
                </c:pt>
                <c:pt idx="34">
                  <c:v>0</c:v>
                </c:pt>
                <c:pt idx="35">
                  <c:v>0</c:v>
                </c:pt>
                <c:pt idx="36">
                  <c:v>0</c:v>
                </c:pt>
                <c:pt idx="37">
                  <c:v>0</c:v>
                </c:pt>
                <c:pt idx="38">
                  <c:v>0</c:v>
                </c:pt>
                <c:pt idx="39">
                  <c:v>0</c:v>
                </c:pt>
                <c:pt idx="40">
                  <c:v>0</c:v>
                </c:pt>
                <c:pt idx="41">
                  <c:v>0</c:v>
                </c:pt>
                <c:pt idx="42">
                  <c:v>0</c:v>
                </c:pt>
                <c:pt idx="43">
                  <c:v>0</c:v>
                </c:pt>
                <c:pt idx="44">
                  <c:v>0</c:v>
                </c:pt>
                <c:pt idx="45">
                  <c:v>6</c:v>
                </c:pt>
              </c:numCache>
            </c:numRef>
          </c:yVal>
          <c:smooth val="0"/>
        </c:ser>
        <c:dLbls>
          <c:showLegendKey val="0"/>
          <c:showVal val="0"/>
          <c:showCatName val="0"/>
          <c:showSerName val="0"/>
          <c:showPercent val="0"/>
          <c:showBubbleSize val="0"/>
        </c:dLbls>
        <c:axId val="405251246"/>
        <c:axId val="389774402"/>
      </c:scatterChart>
      <c:valAx>
        <c:axId val="405251246"/>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389774402"/>
        <c:crosses val="autoZero"/>
        <c:crossBetween val="midCat"/>
        <c:majorUnit val="1"/>
        <c:minorUnit val="1"/>
      </c:valAx>
      <c:valAx>
        <c:axId val="38977440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405251246"/>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cb107d8-dab8-4df1-9a51-81213c14512f}"/>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Correlation of economic numbers and impact on sales</a:t>
            </a:r>
          </a:p>
          <a:p>
            <a:pPr defTabSz="914400">
              <a:defRPr lang="en-GB" sz="1400" b="1" i="0" u="none" strike="noStrike" kern="1200" baseline="0">
                <a:solidFill>
                  <a:schemeClr val="tx1">
                    <a:lumMod val="75000"/>
                    <a:lumOff val="25000"/>
                  </a:schemeClr>
                </a:solidFill>
                <a:latin typeface="+mn-lt"/>
                <a:ea typeface="+mn-ea"/>
                <a:cs typeface="+mn-cs"/>
              </a:defRPr>
            </a:pPr>
          </a:p>
        </c:rich>
      </c:tx>
      <c:layout/>
      <c:overlay val="0"/>
      <c:spPr>
        <a:noFill/>
        <a:ln>
          <a:noFill/>
        </a:ln>
        <a:effectLst/>
      </c:sp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strRef>
              <c:f>Economic_data_correlations!$A$3:$A$6</c:f>
              <c:strCache>
                <c:ptCount val="4"/>
                <c:pt idx="0">
                  <c:v>Temperature</c:v>
                </c:pt>
                <c:pt idx="1">
                  <c:v>fuel price</c:v>
                </c:pt>
                <c:pt idx="2">
                  <c:v>unemployment rate</c:v>
                </c:pt>
                <c:pt idx="3">
                  <c:v>cpi correl</c:v>
                </c:pt>
              </c:strCache>
            </c:strRef>
          </c:cat>
          <c:val>
            <c:numRef>
              <c:f>Economic_data_correlations!$B$3:$B$6</c:f>
              <c:numCache>
                <c:formatCode>General</c:formatCode>
                <c:ptCount val="4"/>
              </c:numCache>
            </c:numRef>
          </c:val>
        </c:ser>
        <c:ser>
          <c:idx val="1"/>
          <c:order val="1"/>
          <c:spPr>
            <a:solidFill>
              <a:schemeClr val="accent2"/>
            </a:solidFill>
            <a:ln>
              <a:noFill/>
            </a:ln>
            <a:effectLst/>
          </c:spPr>
          <c:invertIfNegative val="0"/>
          <c:dLbls>
            <c:delete val="1"/>
          </c:dLbls>
          <c:cat>
            <c:strRef>
              <c:f>Economic_data_correlations!$A$3:$A$6</c:f>
              <c:strCache>
                <c:ptCount val="4"/>
                <c:pt idx="0">
                  <c:v>Temperature</c:v>
                </c:pt>
                <c:pt idx="1">
                  <c:v>fuel price</c:v>
                </c:pt>
                <c:pt idx="2">
                  <c:v>unemployment rate</c:v>
                </c:pt>
                <c:pt idx="3">
                  <c:v>cpi correl</c:v>
                </c:pt>
              </c:strCache>
            </c:strRef>
          </c:cat>
          <c:val>
            <c:numRef>
              <c:f>Economic_data_correlations!$C$3:$C$6</c:f>
              <c:numCache>
                <c:formatCode>General</c:formatCode>
                <c:ptCount val="4"/>
                <c:pt idx="0">
                  <c:v>-0.0638100131794696</c:v>
                </c:pt>
                <c:pt idx="1">
                  <c:v>0.00946378631447516</c:v>
                </c:pt>
                <c:pt idx="2">
                  <c:v>-0.106176089657954</c:v>
                </c:pt>
                <c:pt idx="3">
                  <c:v>-0.0638100131794696</c:v>
                </c:pt>
              </c:numCache>
            </c:numRef>
          </c:val>
        </c:ser>
        <c:dLbls>
          <c:showLegendKey val="0"/>
          <c:showVal val="0"/>
          <c:showCatName val="0"/>
          <c:showSerName val="0"/>
          <c:showPercent val="0"/>
          <c:showBubbleSize val="0"/>
        </c:dLbls>
        <c:gapWidth val="246"/>
        <c:overlap val="-28"/>
        <c:axId val="269149848"/>
        <c:axId val="549570531"/>
      </c:barChart>
      <c:catAx>
        <c:axId val="2691498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549570531"/>
        <c:crosses val="autoZero"/>
        <c:auto val="1"/>
        <c:lblAlgn val="ctr"/>
        <c:lblOffset val="100"/>
        <c:noMultiLvlLbl val="0"/>
      </c:catAx>
      <c:valAx>
        <c:axId val="54957053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26914984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[Walmart_Salee.xlsx]Holiday_vs_non_holidays!PivotTable2</c:name>
    <c:fmtId val="0"/>
  </c:pivotSource>
  <c:chart>
    <c:title>
      <c:layout/>
      <c:overlay val="0"/>
      <c:spPr>
        <a:noFill/>
        <a:ln>
          <a:noFill/>
        </a:ln>
        <a:effectLst/>
      </c:spPr>
      <c:txPr>
        <a:bodyPr rot="0" spcFirstLastPara="0"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Holiday_vs_non_holidays!$B$1</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0" vertOverflow="ellipsis" vert="horz" wrap="square" lIns="38100" tIns="19050" rIns="38100" bIns="19050" anchor="ctr" anchorCtr="1"/>
              <a:lstStyle/>
              <a:p>
                <a:pPr>
                  <a:defRPr lang="en-GB"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Holiday_vs_non_holidays!$A$2:$A$4</c:f>
              <c:strCache>
                <c:ptCount val="2"/>
                <c:pt idx="0">
                  <c:v>No Holidays</c:v>
                </c:pt>
                <c:pt idx="1">
                  <c:v>Holidays</c:v>
                </c:pt>
              </c:strCache>
            </c:strRef>
          </c:cat>
          <c:val>
            <c:numRef>
              <c:f>Holiday_vs_non_holidays!$B$2:$B$4</c:f>
              <c:numCache>
                <c:formatCode>0.000_ </c:formatCode>
                <c:ptCount val="2"/>
                <c:pt idx="0">
                  <c:v>1041256.38020886</c:v>
                </c:pt>
                <c:pt idx="1">
                  <c:v>1122887.89235556</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527685</xdr:colOff>
      <xdr:row>1</xdr:row>
      <xdr:rowOff>67310</xdr:rowOff>
    </xdr:from>
    <xdr:to>
      <xdr:col>17</xdr:col>
      <xdr:colOff>198755</xdr:colOff>
      <xdr:row>18</xdr:row>
      <xdr:rowOff>74930</xdr:rowOff>
    </xdr:to>
    <xdr:graphicFrame>
      <xdr:nvGraphicFramePr>
        <xdr:cNvPr id="2" name="Chart 1"/>
        <xdr:cNvGraphicFramePr/>
      </xdr:nvGraphicFramePr>
      <xdr:xfrm>
        <a:off x="3051810" y="511810"/>
        <a:ext cx="8815070" cy="3246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327660</xdr:colOff>
      <xdr:row>4</xdr:row>
      <xdr:rowOff>50800</xdr:rowOff>
    </xdr:from>
    <xdr:to>
      <xdr:col>16</xdr:col>
      <xdr:colOff>532130</xdr:colOff>
      <xdr:row>21</xdr:row>
      <xdr:rowOff>67945</xdr:rowOff>
    </xdr:to>
    <xdr:graphicFrame>
      <xdr:nvGraphicFramePr>
        <xdr:cNvPr id="2" name="Chart 1"/>
        <xdr:cNvGraphicFramePr/>
      </xdr:nvGraphicFramePr>
      <xdr:xfrm>
        <a:off x="2594610" y="1079500"/>
        <a:ext cx="8738870" cy="32556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7</xdr:col>
      <xdr:colOff>536575</xdr:colOff>
      <xdr:row>4</xdr:row>
      <xdr:rowOff>222885</xdr:rowOff>
    </xdr:from>
    <xdr:to>
      <xdr:col>15</xdr:col>
      <xdr:colOff>19050</xdr:colOff>
      <xdr:row>11</xdr:row>
      <xdr:rowOff>279400</xdr:rowOff>
    </xdr:to>
    <xdr:graphicFrame>
      <xdr:nvGraphicFramePr>
        <xdr:cNvPr id="4" name="Chart 3"/>
        <xdr:cNvGraphicFramePr/>
      </xdr:nvGraphicFramePr>
      <xdr:xfrm>
        <a:off x="5603875" y="2127885"/>
        <a:ext cx="4940300" cy="29902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222250</xdr:colOff>
      <xdr:row>11</xdr:row>
      <xdr:rowOff>327025</xdr:rowOff>
    </xdr:from>
    <xdr:to>
      <xdr:col>14</xdr:col>
      <xdr:colOff>200025</xdr:colOff>
      <xdr:row>18</xdr:row>
      <xdr:rowOff>136525</xdr:rowOff>
    </xdr:to>
    <xdr:graphicFrame>
      <xdr:nvGraphicFramePr>
        <xdr:cNvPr id="5" name="Chart 4"/>
        <xdr:cNvGraphicFramePr/>
      </xdr:nvGraphicFramePr>
      <xdr:xfrm>
        <a:off x="5289550" y="5165725"/>
        <a:ext cx="4826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307975</xdr:colOff>
      <xdr:row>12</xdr:row>
      <xdr:rowOff>136525</xdr:rowOff>
    </xdr:from>
    <xdr:to>
      <xdr:col>18</xdr:col>
      <xdr:colOff>152400</xdr:colOff>
      <xdr:row>29</xdr:row>
      <xdr:rowOff>145415</xdr:rowOff>
    </xdr:to>
    <xdr:graphicFrame>
      <xdr:nvGraphicFramePr>
        <xdr:cNvPr id="6" name="Chart 5"/>
        <xdr:cNvGraphicFramePr/>
      </xdr:nvGraphicFramePr>
      <xdr:xfrm>
        <a:off x="2746375" y="2994025"/>
        <a:ext cx="8378825" cy="32473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5</xdr:col>
      <xdr:colOff>12700</xdr:colOff>
      <xdr:row>5</xdr:row>
      <xdr:rowOff>127000</xdr:rowOff>
    </xdr:from>
    <xdr:to>
      <xdr:col>12</xdr:col>
      <xdr:colOff>323850</xdr:colOff>
      <xdr:row>16</xdr:row>
      <xdr:rowOff>15875</xdr:rowOff>
    </xdr:to>
    <xdr:graphicFrame>
      <xdr:nvGraphicFramePr>
        <xdr:cNvPr id="3" name="Chart 2"/>
        <xdr:cNvGraphicFramePr/>
      </xdr:nvGraphicFramePr>
      <xdr:xfrm>
        <a:off x="3908425" y="2540000"/>
        <a:ext cx="4826000" cy="2746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xdr:col>
      <xdr:colOff>374650</xdr:colOff>
      <xdr:row>3</xdr:row>
      <xdr:rowOff>12700</xdr:rowOff>
    </xdr:from>
    <xdr:to>
      <xdr:col>11</xdr:col>
      <xdr:colOff>323850</xdr:colOff>
      <xdr:row>17</xdr:row>
      <xdr:rowOff>88900</xdr:rowOff>
    </xdr:to>
    <xdr:graphicFrame>
      <xdr:nvGraphicFramePr>
        <xdr:cNvPr id="2" name="Chart 1"/>
        <xdr:cNvGraphicFramePr/>
      </xdr:nvGraphicFramePr>
      <xdr:xfrm>
        <a:off x="3708400" y="5842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40.5917361111" refreshedBy="MY PC" recordCount="6435">
  <cacheSource type="worksheet">
    <worksheetSource name="Table1"/>
  </cacheSource>
  <cacheFields count="9">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58">
      <sharedItems containsSemiMixedTypes="0" containsString="0" containsNonDate="0" containsDate="1" minDate="2010-02-05T00:00:00" maxDate="2012-10-26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cacheField>
    <cacheField name="Weekly_Sales" numFmtId="176">
      <sharedItems containsSemiMixedTypes="0" containsString="0" containsNumber="1" minValue="209986.25" maxValue="3818686.45" count="6435">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
        <n v="1497462.72"/>
        <n v="1550369.92"/>
        <n v="1459601.17"/>
        <n v="1394393.84"/>
        <n v="1319325.59"/>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5"/>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3"/>
        <n v="1954952"/>
        <n v="2290549.32"/>
        <n v="2432736.52"/>
        <n v="3224369.8"/>
        <n v="1874226.52"/>
        <n v="1799520.14"/>
        <n v="1744725.48"/>
        <n v="1711769.11"/>
        <n v="1660906.14"/>
        <n v="1935299.94"/>
        <n v="2103322.68"/>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4"/>
        <n v="373454.33"/>
        <n v="360617.37"/>
        <n v="345381.29"/>
        <n v="409981.25"/>
        <n v="380376.85"/>
        <n v="379716.91"/>
        <n v="366367.55"/>
        <n v="375988.69"/>
        <n v="377347.49"/>
        <n v="375629.51"/>
        <n v="365248.94"/>
        <n v="368477.93"/>
        <n v="403342.4"/>
        <n v="368282.57"/>
        <n v="394976.36"/>
        <n v="389540.62"/>
        <n v="459443.22"/>
        <n v="407764.25"/>
        <n v="398838.97"/>
        <n v="556925.19"/>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6"/>
        <n v="1878167.44"/>
        <n v="2063682.76"/>
        <n v="2002362.37"/>
        <n v="2015563.48"/>
        <n v="1986597.95"/>
        <n v="2065377.15"/>
        <n v="2073951.38"/>
        <n v="2141210.62"/>
        <n v="2008344.92"/>
        <n v="2051533.53"/>
        <n v="2066541.86"/>
        <n v="2049046.95"/>
        <n v="2036231.39"/>
        <n v="1989674.07"/>
        <n v="2160057.39"/>
        <n v="2105668.74"/>
        <n v="2232892.1"/>
        <n v="1988490.21"/>
        <n v="2078420.31"/>
        <n v="2093139.01"/>
        <n v="2075577.33"/>
        <n v="2031406.41"/>
        <n v="1929486.63"/>
        <n v="2166737.65"/>
        <n v="2074548.85"/>
        <n v="2207742.13"/>
        <n v="2151659.59"/>
        <n v="2281217.31"/>
        <n v="2203028.96"/>
        <n v="2243946.59"/>
        <n v="3004702.33"/>
        <n v="2180999.26"/>
        <n v="2508955.24"/>
        <n v="2771397.17"/>
        <n v="3676388.98"/>
        <n v="2007105.86"/>
        <n v="2047766.07"/>
        <n v="1941676.61"/>
        <n v="2005097.76"/>
        <n v="1928720.51"/>
        <n v="2173373.91"/>
        <n v="2374660.64"/>
        <n v="2427640.17"/>
        <n v="2226662.17"/>
        <n v="2206319.9"/>
        <n v="2202450.81"/>
        <n v="2214967.44"/>
        <n v="2091592.54"/>
        <n v="2089381.77"/>
        <n v="2470206.13"/>
        <n v="2105301.39"/>
        <n v="2144336.89"/>
        <n v="2064065.66"/>
        <n v="2196968.33"/>
        <n v="2127661.17"/>
        <n v="2207214.81"/>
        <n v="2154137.67"/>
        <n v="2179360.94"/>
        <n v="2245257.18"/>
        <n v="2234190.93"/>
        <n v="2197299.65"/>
        <n v="2128362.92"/>
        <n v="2224499.28"/>
        <n v="2100252.61"/>
        <n v="2175563.69"/>
        <n v="2048613.65"/>
        <n v="2174514.13"/>
        <n v="2193367.69"/>
        <n v="2283540.3"/>
        <n v="2125241.68"/>
        <n v="2081181.35"/>
        <n v="2125104.72"/>
        <n v="2117854.6"/>
        <n v="2119438.53"/>
        <n v="2027620.23"/>
        <n v="2209835.43"/>
        <n v="2133026.07"/>
        <n v="2097266.85"/>
        <n v="2149594.46"/>
        <n v="317173.1"/>
        <n v="311825.7"/>
        <n v="303447.57"/>
        <n v="270281.63"/>
        <n v="288855.71"/>
        <n v="297293.59"/>
        <n v="281706.41"/>
        <n v="273282.97"/>
        <n v="331406"/>
        <n v="328020.49"/>
        <n v="306858.69"/>
        <n v="288839.73"/>
        <n v="298697.84"/>
        <n v="333522.6"/>
        <n v="296673.77"/>
        <n v="301615.49"/>
        <n v="310013.11"/>
        <n v="337825.89"/>
        <n v="296641.91"/>
        <n v="313795.6"/>
        <n v="295257.3"/>
        <n v="305993.27"/>
        <n v="291808.87"/>
        <n v="280701.7"/>
        <n v="274742.63"/>
        <n v="268929.03"/>
        <n v="303043.02"/>
        <n v="286477.35"/>
        <n v="287205.38"/>
        <n v="288519.75"/>
        <n v="323798"/>
        <n v="306533.08"/>
        <n v="282558.65"/>
        <n v="293131.58"/>
        <n v="283178.12"/>
        <n v="290494.85"/>
        <n v="280681.2"/>
        <n v="284988.27"/>
        <n v="278031.81"/>
        <n v="325310.3"/>
        <n v="301827.36"/>
        <n v="297384.81"/>
        <n v="488362.61"/>
        <n v="344490.88"/>
        <n v="352811.53"/>
        <n v="367801.19"/>
        <n v="466010.25"/>
        <n v="298180.18"/>
        <n v="286347.26"/>
        <n v="260636.71"/>
        <n v="275313.34"/>
        <n v="279088.39"/>
        <n v="329613.2"/>
        <n v="311590.54"/>
        <n v="356622.61"/>
        <n v="294659.5"/>
        <n v="329033.66"/>
        <n v="293098.1"/>
        <n v="312177.67"/>
        <n v="294732.5"/>
        <n v="314316.55"/>
        <n v="307333.62"/>
        <n v="307913.58"/>
        <n v="328415.44"/>
        <n v="307291.56"/>
        <n v="322904.68"/>
        <n v="290930.01"/>
        <n v="299614.33"/>
        <n v="297149.69"/>
        <n v="329183.92"/>
        <n v="304984.14"/>
        <n v="304811.82"/>
        <n v="302881.64"/>
        <n v="327093.89"/>
        <n v="310804.93"/>
        <n v="283248.62"/>
        <n v="292539.73"/>
        <n v="275142.17"/>
        <n v="317738.56"/>
        <n v="289886.16"/>
        <n v="303643.84"/>
        <n v="310338.17"/>
        <n v="315645.53"/>
        <n v="321110.22"/>
        <n v="278529.71"/>
        <n v="291024.98"/>
        <n v="292315.38"/>
        <n v="309111.47"/>
        <n v="286117.72"/>
        <n v="306069.18"/>
        <n v="307035.11"/>
        <n v="353652.23"/>
        <n v="311906.7"/>
        <n v="307944.37"/>
        <n v="507900.07"/>
        <n v="376225.61"/>
        <n v="367433.77"/>
        <n v="379530.3"/>
        <n v="458562.24"/>
        <n v="349624.88"/>
        <n v="312078.71"/>
        <n v="291454.52"/>
        <n v="287523.98"/>
        <n v="295974.22"/>
        <n v="333948"/>
        <n v="349239.88"/>
        <n v="356427.98"/>
        <n v="312220.47"/>
        <n v="359206.21"/>
        <n v="347295.6"/>
        <n v="339392.54"/>
        <n v="321299.99"/>
        <n v="331318.73"/>
        <n v="402985.7"/>
        <n v="351832.03"/>
        <n v="330063.06"/>
        <n v="324839.74"/>
        <n v="360932.69"/>
        <n v="333870.52"/>
        <n v="336189.66"/>
        <n v="341994.48"/>
        <n v="359867.8"/>
        <n v="341704.59"/>
        <n v="327383.64"/>
        <n v="325041.68"/>
        <n v="329658.1"/>
        <n v="341214.43"/>
        <n v="316203.64"/>
        <n v="321205.12"/>
        <n v="306827.36"/>
        <n v="324195.17"/>
        <n v="306759.7"/>
        <n v="314014.18"/>
        <n v="320831.36"/>
        <n v="344642.01"/>
        <n v="350648.91"/>
        <n v="299800.67"/>
        <n v="307306.76"/>
        <n v="310141.68"/>
        <n v="343048.29"/>
        <n v="325345.41"/>
        <n v="313358.15"/>
        <n v="319550.77"/>
        <n v="1652635.1"/>
        <n v="1606283.86"/>
        <n v="1567138.07"/>
        <n v="1432953.21"/>
        <n v="1601348.82"/>
        <n v="1558621.36"/>
        <n v="1693058.91"/>
        <n v="1472033.38"/>
        <n v="1770333.9"/>
        <n v="1667181.82"/>
        <n v="1519846.36"/>
        <n v="1540435.99"/>
        <n v="1498080.16"/>
        <n v="1619920.04"/>
        <n v="1524059.4"/>
        <n v="1531938.44"/>
        <n v="1644470.66"/>
        <n v="1857380.09"/>
        <n v="1685652.35"/>
        <n v="1677248.24"/>
        <n v="1640681.88"/>
        <n v="1759777.25"/>
        <n v="1690317.99"/>
        <n v="1560120.8"/>
        <n v="1585240.92"/>
        <n v="1532308.78"/>
        <n v="1633241.59"/>
        <n v="1547654.98"/>
        <n v="1539930.5"/>
        <n v="1450766.12"/>
        <n v="1510925.32"/>
        <n v="1424225.44"/>
        <n v="1308537.75"/>
        <n v="1275591.84"/>
        <n v="1328468.89"/>
        <n v="1360317.9"/>
        <n v="1344580.92"/>
        <n v="1332716.53"/>
        <n v="1385323.7"/>
        <n v="1505442.15"/>
        <n v="1495536.46"/>
        <n v="1518841.45"/>
        <n v="2267452.4"/>
        <n v="1677067.24"/>
        <n v="1834737.58"/>
        <n v="2090268.95"/>
        <n v="2727575.18"/>
        <n v="1464050.02"/>
        <n v="1350441.68"/>
        <n v="1306194.55"/>
        <n v="1261253.18"/>
        <n v="1287034.7"/>
        <n v="1514999.17"/>
        <n v="1486920.17"/>
        <n v="1572117.54"/>
        <n v="1422600.43"/>
        <n v="1502617.99"/>
        <n v="1494497.39"/>
        <n v="1685375.47"/>
        <n v="1438465.81"/>
        <n v="1459276.77"/>
        <n v="1534594"/>
        <n v="1448797.02"/>
        <n v="1639358.93"/>
        <n v="1479249.9"/>
        <n v="1504651.57"/>
        <n v="1453185.65"/>
        <n v="1382783.83"/>
        <n v="1523979.11"/>
        <n v="1705506.29"/>
        <n v="1598643.65"/>
        <n v="1622150.33"/>
        <n v="1543365.9"/>
        <n v="1694551.15"/>
        <n v="1709373.62"/>
        <n v="1526801.24"/>
        <n v="1526506.08"/>
        <n v="1483991.05"/>
        <n v="1601584.57"/>
        <n v="1484995.38"/>
        <n v="1493544.04"/>
        <n v="1420405.41"/>
        <n v="1481618.74"/>
        <n v="1483574.38"/>
        <n v="1351407.79"/>
        <n v="1336044.75"/>
        <n v="1307551.92"/>
        <n v="1481739.2"/>
        <n v="1386520.99"/>
        <n v="1417922.37"/>
        <n v="1419445.12"/>
        <n v="1523420.38"/>
        <n v="1536176.54"/>
        <n v="1524390.07"/>
        <n v="2249811.55"/>
        <n v="1688531.34"/>
        <n v="1903385.14"/>
        <n v="2034695.56"/>
        <n v="2644633.02"/>
        <n v="1598080.52"/>
        <n v="1395339.71"/>
        <n v="1344243.17"/>
        <n v="1326255.7"/>
        <n v="1315610.66"/>
        <n v="1496305.78"/>
        <n v="1620603.92"/>
        <n v="1632616.09"/>
        <n v="1465187.71"/>
        <n v="1550385.65"/>
        <n v="1569304.4"/>
        <n v="1748010.29"/>
        <n v="1495143.62"/>
        <n v="1508933.26"/>
        <n v="1840131.19"/>
        <n v="1616394.45"/>
        <n v="1456073.24"/>
        <n v="1456221.1"/>
        <n v="1543461.12"/>
        <n v="1517075.67"/>
        <n v="1513635.64"/>
        <n v="1603793.42"/>
        <n v="1681121.38"/>
        <n v="1696619.52"/>
        <n v="1642247.48"/>
        <n v="1618272.25"/>
        <n v="1648863.46"/>
        <n v="1876359.39"/>
        <n v="1588142.26"/>
        <n v="1574361.97"/>
        <n v="1513229.16"/>
        <n v="1627274.93"/>
        <n v="1588380.73"/>
        <n v="1543049.52"/>
        <n v="1501095.49"/>
        <n v="1577439.81"/>
        <n v="1608077.01"/>
        <n v="1375166.86"/>
        <n v="1425603.65"/>
        <n v="1369131.46"/>
        <n v="1518177.71"/>
        <n v="1459396.84"/>
        <n v="1436883.99"/>
        <n v="1431426.34"/>
        <n v="496725.44"/>
        <n v="524104.92"/>
        <n v="506760.54"/>
        <n v="496083.24"/>
        <n v="491419.55"/>
        <n v="480452.1"/>
        <n v="574450.23"/>
        <n v="514731.6"/>
        <n v="561145.14"/>
        <n v="484263.25"/>
        <n v="406228.19"/>
        <n v="404751.25"/>
        <n v="373655.61"/>
        <n v="395453.83"/>
        <n v="372673.61"/>
        <n v="395195.65"/>
        <n v="442734.55"/>
        <n v="509183.22"/>
        <n v="498580.87"/>
        <n v="481144.09"/>
        <n v="553714.87"/>
        <n v="575570.77"/>
        <n v="593462.34"/>
        <n v="557166.35"/>
        <n v="570231.21"/>
        <n v="603547.16"/>
        <n v="643854.17"/>
        <n v="598185.4"/>
        <n v="582353.17"/>
        <n v="554309.24"/>
        <n v="532765.05"/>
        <n v="535769.32"/>
        <n v="489408.53"/>
        <n v="488008.83"/>
        <n v="448998.73"/>
        <n v="480239.88"/>
        <n v="463370.48"/>
        <n v="472450.81"/>
        <n v="465493.15"/>
        <n v="480512.44"/>
        <n v="507584.29"/>
        <n v="482528.36"/>
        <n v="835189.26"/>
        <n v="552811.62"/>
        <n v="599730.07"/>
        <n v="716388.81"/>
        <n v="1045124.88"/>
        <n v="729572.08"/>
        <n v="661163.94"/>
        <n v="547384.9"/>
        <n v="521539.46"/>
        <n v="513372.17"/>
        <n v="558027.77"/>
        <n v="559903.13"/>
        <n v="572387.47"/>
        <n v="546690.84"/>
        <n v="551378.39"/>
        <n v="558963.83"/>
        <n v="635014.69"/>
        <n v="559061.58"/>
        <n v="513409.67"/>
        <n v="500552.16"/>
        <n v="423380.14"/>
        <n v="466594.89"/>
        <n v="410429.73"/>
        <n v="407012.47"/>
        <n v="414094.05"/>
        <n v="424670.98"/>
        <n v="457216.87"/>
        <n v="542295.37"/>
        <n v="621099.95"/>
        <n v="610991.35"/>
        <n v="640043.97"/>
        <n v="704344.21"/>
        <n v="761793.94"/>
        <n v="642748.21"/>
        <n v="688043.96"/>
        <n v="653382.62"/>
        <n v="695392.84"/>
        <n v="670670.46"/>
        <n v="645156.21"/>
        <n v="629994.47"/>
        <n v="592355.24"/>
        <n v="613135.23"/>
        <n v="558981.45"/>
        <n v="536144.81"/>
        <n v="488880.26"/>
        <n v="525866.36"/>
        <n v="501959.19"/>
        <n v="558691.43"/>
        <n v="527339.52"/>
        <n v="564536.01"/>
        <n v="556015.59"/>
        <n v="539826.56"/>
        <n v="949075.87"/>
        <n v="591907.88"/>
        <n v="653845.45"/>
        <n v="720242.19"/>
        <n v="1059715.27"/>
        <n v="815915.52"/>
        <n v="713117.66"/>
        <n v="593875.46"/>
        <n v="578002.85"/>
        <n v="541037.98"/>
        <n v="580453.32"/>
        <n v="563460.77"/>
        <n v="620908.18"/>
        <n v="603041.14"/>
        <n v="551058.13"/>
        <n v="579166.5"/>
        <n v="669205.73"/>
        <n v="615997.29"/>
        <n v="583322.2"/>
        <n v="621425.98"/>
        <n v="517420.23"/>
        <n v="457340.06"/>
        <n v="467827.75"/>
        <n v="465198.89"/>
        <n v="460397.41"/>
        <n v="468428.3"/>
        <n v="532739.77"/>
        <n v="598495.02"/>
        <n v="642963.75"/>
        <n v="666942.02"/>
        <n v="687344.68"/>
        <n v="704335.41"/>
        <n v="805642.61"/>
        <n v="694150.89"/>
        <n v="686345.69"/>
        <n v="686365.4"/>
        <n v="680954.81"/>
        <n v="675926.3"/>
        <n v="642450.4"/>
        <n v="609099.37"/>
        <n v="586467.16"/>
        <n v="597876.55"/>
        <n v="541120.2"/>
        <n v="530842.25"/>
        <n v="525545.76"/>
        <n v="505830.56"/>
        <n v="503463.93"/>
        <n v="516424.83"/>
        <n v="495543.28"/>
        <n v="1004137.09"/>
        <n v="994801.4"/>
        <n v="963960.37"/>
        <n v="847592.11"/>
        <n v="881503.95"/>
        <n v="860336.16"/>
        <n v="839911"/>
        <n v="772539.12"/>
        <n v="914500.91"/>
        <n v="916033.92"/>
        <n v="882917.12"/>
        <n v="850440.26"/>
        <n v="778672.64"/>
        <n v="916820.96"/>
        <n v="873337.84"/>
        <n v="818333.21"/>
        <n v="868041.56"/>
        <n v="958225.41"/>
        <n v="914835.86"/>
        <n v="869922.56"/>
        <n v="814919.11"/>
        <n v="852333.75"/>
        <n v="845289.77"/>
        <n v="848630.57"/>
        <n v="785515.88"/>
        <n v="787295.09"/>
        <n v="893399.77"/>
        <n v="867919.21"/>
        <n v="870676.44"/>
        <n v="888816.78"/>
        <n v="899036.47"/>
        <n v="831425.2"/>
        <n v="836707.85"/>
        <n v="773725.08"/>
        <n v="804105.49"/>
        <n v="870349.86"/>
        <n v="826546.96"/>
        <n v="836419.14"/>
        <n v="830756.76"/>
        <n v="927266.34"/>
        <n v="911538.98"/>
        <n v="885608.04"/>
        <n v="1261693.16"/>
        <n v="952766.93"/>
        <n v="1069061.63"/>
        <n v="1220579.55"/>
        <n v="1511641.09"/>
        <n v="773586.49"/>
        <n v="873065.23"/>
        <n v="809646.66"/>
        <n v="822668.23"/>
        <n v="782256.66"/>
        <n v="944594.78"/>
        <n v="996147.39"/>
        <n v="1065108.64"/>
        <n v="917317.15"/>
        <n v="935266.43"/>
        <n v="900387.29"/>
        <n v="898289.14"/>
        <n v="827968.36"/>
        <n v="878762.3"/>
        <n v="949825.83"/>
        <n v="908278.74"/>
        <n v="937473.13"/>
        <n v="855014.77"/>
        <n v="941457.34"/>
        <n v="895763.41"/>
        <n v="836049.89"/>
        <n v="857939.41"/>
        <n v="929222.16"/>
        <n v="897309.41"/>
        <n v="922048.41"/>
        <n v="864881.24"/>
        <n v="883683.35"/>
        <n v="861965.12"/>
        <n v="849925.37"/>
        <n v="829902.42"/>
        <n v="807082.19"/>
        <n v="892393.77"/>
        <n v="856796.1"/>
        <n v="895066.5"/>
        <n v="912542.82"/>
        <n v="891387.14"/>
        <n v="848358.09"/>
        <n v="870971.82"/>
        <n v="806444.29"/>
        <n v="809049.37"/>
        <n v="929976.55"/>
        <n v="863188.26"/>
        <n v="905984.49"/>
        <n v="876712.31"/>
        <n v="947815.05"/>
        <n v="917088.48"/>
        <n v="897032.19"/>
        <n v="1235163.86"/>
        <n v="986601.46"/>
        <n v="1051922.95"/>
        <n v="1118163.94"/>
        <n v="1462254.05"/>
        <n v="858572.22"/>
        <n v="872113.23"/>
        <n v="817661.76"/>
        <n v="813954.82"/>
        <n v="778178.53"/>
        <n v="927610.69"/>
        <n v="1021400.42"/>
        <n v="1096232.89"/>
        <n v="928537.54"/>
        <n v="952264.91"/>
        <n v="960115.56"/>
        <n v="921178.39"/>
        <n v="874223.25"/>
        <n v="905935.29"/>
        <n v="1046816.59"/>
        <n v="909989.45"/>
        <n v="872288.46"/>
        <n v="879448.25"/>
        <n v="937232.09"/>
        <n v="920128.89"/>
        <n v="913922.01"/>
        <n v="895157.44"/>
        <n v="921161.2"/>
        <n v="928820"/>
        <n v="916918.7"/>
        <n v="899449.65"/>
        <n v="878298.22"/>
        <n v="936205.5"/>
        <n v="890488.01"/>
        <n v="888834.07"/>
        <n v="838227.52"/>
        <n v="897076.73"/>
        <n v="930745.69"/>
        <n v="896613.19"/>
        <n v="936373.65"/>
        <n v="976137.73"/>
        <n v="932160.37"/>
        <n v="883569.38"/>
        <n v="857796.45"/>
        <n v="884724.41"/>
        <n v="976436.02"/>
        <n v="927511.99"/>
        <n v="900309.75"/>
        <n v="891671.44"/>
        <n v="549505.55"/>
        <n v="552677.48"/>
        <n v="511327.9"/>
        <n v="473773.27"/>
        <n v="507297.88"/>
        <n v="494145.8"/>
        <n v="485744.61"/>
        <n v="484946.56"/>
        <n v="545206.32"/>
        <n v="529384.31"/>
        <n v="485764.32"/>
        <n v="488683.57"/>
        <n v="491723.42"/>
        <n v="526128.61"/>
        <n v="492792.8"/>
        <n v="506274.94"/>
        <n v="558143.53"/>
        <n v="586061.46"/>
        <n v="522715.68"/>
        <n v="513073.87"/>
        <n v="509263.28"/>
        <n v="528832.54"/>
        <n v="485389.15"/>
        <n v="474030.51"/>
        <n v="462676.5"/>
        <n v="468675.19"/>
        <n v="522815.45"/>
        <n v="481897.98"/>
        <n v="499325.38"/>
        <n v="506789.66"/>
        <n v="511049.06"/>
        <n v="484835.2"/>
        <n v="463448.59"/>
        <n v="452905.22"/>
        <n v="495692.19"/>
        <n v="505069.21"/>
        <n v="454769.68"/>
        <n v="466322.76"/>
        <n v="508801.61"/>
        <n v="517869.97"/>
        <n v="520846.68"/>
        <n v="519823.3"/>
        <n v="768070.53"/>
        <n v="578164.82"/>
        <n v="618121.82"/>
        <n v="685243.2"/>
        <n v="873347.55"/>
        <n v="459770.85"/>
        <n v="490981.78"/>
        <n v="458086.69"/>
        <n v="454021.69"/>
        <n v="463561.48"/>
        <n v="544612.28"/>
        <n v="555279.02"/>
        <n v="610985.56"/>
        <n v="513107.2"/>
        <n v="542016.18"/>
        <n v="517783.5"/>
        <n v="515226.11"/>
        <n v="497488.4"/>
        <n v="520962.14"/>
        <n v="561625.92"/>
        <n v="528420.28"/>
        <n v="549502.11"/>
        <n v="532226.2"/>
        <n v="545251.1"/>
        <n v="539126"/>
        <n v="518266.9"/>
        <n v="553834.04"/>
        <n v="587004.29"/>
        <n v="550076.32"/>
        <n v="558671.14"/>
        <n v="538745.93"/>
        <n v="537064.03"/>
        <n v="535983.13"/>
        <n v="512834.04"/>
        <n v="491449.94"/>
        <n v="471449.98"/>
        <n v="554879.67"/>
        <n v="520284.79"/>
        <n v="540819.44"/>
        <n v="542663.53"/>
        <n v="544643.33"/>
        <n v="528784.86"/>
        <n v="500274.03"/>
        <n v="506743.78"/>
        <n v="508567.04"/>
        <n v="553836.98"/>
        <n v="529515.66"/>
        <n v="557075.21"/>
        <n v="548527.49"/>
        <n v="597855.07"/>
        <n v="594574.12"/>
        <n v="542414.27"/>
        <n v="814753.5"/>
        <n v="613115.21"/>
        <n v="630327.28"/>
        <n v="705557.97"/>
        <n v="905324.68"/>
        <n v="549788.36"/>
        <n v="519585.67"/>
        <n v="474964.6"/>
        <n v="480130.04"/>
        <n v="482451.21"/>
        <n v="549967.89"/>
        <n v="609736.12"/>
        <n v="658965.05"/>
        <n v="563578.79"/>
        <n v="619498.28"/>
        <n v="574955.95"/>
        <n v="550373.57"/>
        <n v="550791.32"/>
        <n v="574985.37"/>
        <n v="677885.99"/>
        <n v="578539.86"/>
        <n v="542819.03"/>
        <n v="550414.99"/>
        <n v="586289.08"/>
        <n v="592572.3"/>
        <n v="571463.93"/>
        <n v="547226"/>
        <n v="583648.59"/>
        <n v="582525.42"/>
        <n v="564606.1"/>
        <n v="562173.12"/>
        <n v="544770.7"/>
        <n v="578790.36"/>
        <n v="536537.64"/>
        <n v="513991.57"/>
        <n v="495951"/>
        <n v="533887.54"/>
        <n v="538713.47"/>
        <n v="535153.47"/>
        <n v="572887.78"/>
        <n v="576879.15"/>
        <n v="565812.29"/>
        <n v="523427.35"/>
        <n v="533756.88"/>
        <n v="516361.06"/>
        <n v="606755.3"/>
        <n v="558464.8"/>
        <n v="542009.46"/>
        <n v="549731.49"/>
        <n v="2193048.75"/>
        <n v="2176028.52"/>
        <n v="2113432.58"/>
        <n v="2006774.96"/>
        <n v="1987090.09"/>
        <n v="1941346.13"/>
        <n v="1946875.06"/>
        <n v="1893532.46"/>
        <n v="2138651.97"/>
        <n v="2041069.37"/>
        <n v="1826241.44"/>
        <n v="1829521.83"/>
        <n v="1790694.59"/>
        <n v="1921432.16"/>
        <n v="1808056.41"/>
        <n v="1847613.58"/>
        <n v="1904618.17"/>
        <n v="1931406.28"/>
        <n v="1827521.71"/>
        <n v="1837636.24"/>
        <n v="1768172.31"/>
        <n v="1845893.87"/>
        <n v="1769793.37"/>
        <n v="1828052.47"/>
        <n v="1831676.03"/>
        <n v="1832664.03"/>
        <n v="1949236.09"/>
        <n v="1962996.7"/>
        <n v="1983190.56"/>
        <n v="1727565.42"/>
        <n v="1766331.45"/>
        <n v="1720530.23"/>
        <n v="1716755.78"/>
        <n v="1655036.75"/>
        <n v="1645892.97"/>
        <n v="1772192.42"/>
        <n v="1703850.25"/>
        <n v="1740234.06"/>
        <n v="1741308.56"/>
        <n v="1832211.96"/>
        <n v="1895901.59"/>
        <n v="1949177.13"/>
        <n v="2939946.38"/>
        <n v="2251206.64"/>
        <n v="2411790.21"/>
        <n v="2811646.85"/>
        <n v="3749057.69"/>
        <n v="1707298.14"/>
        <n v="1714309.9"/>
        <n v="1710803.59"/>
        <n v="1677556.18"/>
        <n v="1715769.05"/>
        <n v="1968045.91"/>
        <n v="2115408.31"/>
        <n v="2106934.55"/>
        <n v="1967996.71"/>
        <n v="1958003.19"/>
        <n v="1933469.15"/>
        <n v="1884734.31"/>
        <n v="1815798.85"/>
        <n v="1827733.18"/>
        <n v="1870720.73"/>
        <n v="1781767.22"/>
        <n v="2004831.14"/>
        <n v="1873646.34"/>
        <n v="1841369.99"/>
        <n v="1712995.44"/>
        <n v="1720908.01"/>
        <n v="1743000.38"/>
        <n v="1792210.89"/>
        <n v="1740063.1"/>
        <n v="1817934.76"/>
        <n v="1711813.13"/>
        <n v="1751369.75"/>
        <n v="1699708.38"/>
        <n v="1775068.4"/>
        <n v="1774342.61"/>
        <n v="1745841.33"/>
        <n v="1886299.98"/>
        <n v="1917397.63"/>
        <n v="1954849.68"/>
        <n v="1728399.07"/>
        <n v="1758587.35"/>
        <n v="1670579.82"/>
        <n v="1650894.3"/>
        <n v="1685910.53"/>
        <n v="1627707.31"/>
        <n v="1788227.6"/>
        <n v="1704753.02"/>
        <n v="1745928.56"/>
        <n v="1771792.97"/>
        <n v="1904438.59"/>
        <n v="2076570.84"/>
        <n v="1869087.85"/>
        <n v="2950198.64"/>
        <n v="2068097.18"/>
        <n v="2429310.9"/>
        <n v="2555031.18"/>
        <n v="3487986.89"/>
        <n v="1930690.37"/>
        <n v="1683401.78"/>
        <n v="1711562.73"/>
        <n v="1675562.94"/>
        <n v="1632406"/>
        <n v="1867403.01"/>
        <n v="2218595.8"/>
        <n v="2168709.76"/>
        <n v="2039415.74"/>
        <n v="1990371.02"/>
        <n v="1917483.1"/>
        <n v="1930814.66"/>
        <n v="1837457.69"/>
        <n v="1815760.42"/>
        <n v="2163384.17"/>
        <n v="1974687.51"/>
        <n v="1777166.53"/>
        <n v="1712987.56"/>
        <n v="1821364.42"/>
        <n v="1792345.3"/>
        <n v="1795152.73"/>
        <n v="1830939.1"/>
        <n v="1767471.48"/>
        <n v="1840491.41"/>
        <n v="1811562.88"/>
        <n v="1755334.18"/>
        <n v="1707481.9"/>
        <n v="1805999.79"/>
        <n v="1765571.91"/>
        <n v="1869967.03"/>
        <n v="1817603.66"/>
        <n v="1939440.09"/>
        <n v="1880436.94"/>
        <n v="1827797.4"/>
        <n v="1764984.15"/>
        <n v="1650285.54"/>
        <n v="1708283.28"/>
        <n v="1640168.99"/>
        <n v="1671857.57"/>
        <n v="1694862.41"/>
        <n v="1758971.38"/>
        <n v="1713889.11"/>
        <n v="1734834.82"/>
        <n v="1744349.05"/>
        <n v="1528008.64"/>
        <n v="1574684.08"/>
        <n v="1503298.7"/>
        <n v="1336404.65"/>
        <n v="1426622.65"/>
        <n v="1331883.16"/>
        <n v="1364207"/>
        <n v="1245624.27"/>
        <n v="1446210.26"/>
        <n v="1470308.32"/>
        <n v="1323243.35"/>
        <n v="1283766.55"/>
        <n v="1239766.89"/>
        <n v="1312329.78"/>
        <n v="1266796.13"/>
        <n v="1271646.62"/>
        <n v="1264272.52"/>
        <n v="1396322.19"/>
        <n v="1339570.85"/>
        <n v="1336522.92"/>
        <n v="1262025.08"/>
        <n v="1302600.14"/>
        <n v="1280156.47"/>
        <n v="1290609.54"/>
        <n v="1244390.03"/>
        <n v="1250178.89"/>
        <n v="1369634.92"/>
        <n v="1384339.1"/>
        <n v="1430192.37"/>
        <n v="1311263.07"/>
        <n v="1303914.27"/>
        <n v="1231428.46"/>
        <n v="1215676.31"/>
        <n v="1170103.25"/>
        <n v="1182490.46"/>
        <n v="1293472.8"/>
        <n v="1175003.67"/>
        <n v="1169831.38"/>
        <n v="1195036"/>
        <n v="1332759.13"/>
        <n v="1281675.6"/>
        <n v="1292346.57"/>
        <n v="1757242.51"/>
        <n v="1380522.64"/>
        <n v="1564516.43"/>
        <n v="1843971.15"/>
        <n v="2306265.36"/>
        <n v="1172003.1"/>
        <n v="1178905.44"/>
        <n v="1194449.78"/>
        <n v="1187776.19"/>
        <n v="1100418.69"/>
        <n v="1422546.05"/>
        <n v="1419236.9"/>
        <n v="1554747.15"/>
        <n v="1323999.36"/>
        <n v="1399456.99"/>
        <n v="1314557.31"/>
        <n v="1391813.69"/>
        <n v="1229777.24"/>
        <n v="1258674.12"/>
        <n v="1327401.06"/>
        <n v="1312905.8"/>
        <n v="1388118.53"/>
        <n v="1357589.89"/>
        <n v="1331453.41"/>
        <n v="1277959.42"/>
        <n v="1239466.97"/>
        <n v="1216876.52"/>
        <n v="1343637"/>
        <n v="1314626.75"/>
        <n v="1337506.74"/>
        <n v="1254587.84"/>
        <n v="1297472.06"/>
        <n v="1334627.96"/>
        <n v="1266546.73"/>
        <n v="1290576.44"/>
        <n v="1212938.67"/>
        <n v="1403198.94"/>
        <n v="1354188.43"/>
        <n v="1484169.74"/>
        <n v="1304706.75"/>
        <n v="1297792.41"/>
        <n v="1249439.95"/>
        <n v="1270816.01"/>
        <n v="1235775.15"/>
        <n v="1190515.83"/>
        <n v="1346271.06"/>
        <n v="1286388.96"/>
        <n v="1325107.53"/>
        <n v="1310684.1"/>
        <n v="1458287.38"/>
        <n v="1366053.69"/>
        <n v="1315091.63"/>
        <n v="1848953.48"/>
        <n v="1399322.44"/>
        <n v="1646655.94"/>
        <n v="1783910.06"/>
        <n v="2213518.5"/>
        <n v="1352084.21"/>
        <n v="1283885.55"/>
        <n v="1264736.59"/>
        <n v="1207303.29"/>
        <n v="1162675.85"/>
        <n v="1376732.18"/>
        <n v="1574287.76"/>
        <n v="1569607.94"/>
        <n v="1379473.03"/>
        <n v="1438383.44"/>
        <n v="1413382.76"/>
        <n v="1441884.28"/>
        <n v="1300593.61"/>
        <n v="1300104.03"/>
        <n v="1596325.01"/>
        <n v="1472752.01"/>
        <n v="1315356.99"/>
        <n v="1236238.29"/>
        <n v="1370251.22"/>
        <n v="1300147.07"/>
        <n v="1352442.31"/>
        <n v="1297335.87"/>
        <n v="1361595.33"/>
        <n v="1414343.53"/>
        <n v="1417875.42"/>
        <n v="1355680.3"/>
        <n v="1297028.6"/>
        <n v="1461129.94"/>
        <n v="1320239.51"/>
        <n v="1344483.81"/>
        <n v="1272395.02"/>
        <n v="1399341.07"/>
        <n v="1388973.65"/>
        <n v="1421307.2"/>
        <n v="1409515.73"/>
        <n v="1372872.35"/>
        <n v="1304584.4"/>
        <n v="1267675.05"/>
        <n v="1326132.98"/>
        <n v="1227430.73"/>
        <n v="1422794.26"/>
        <n v="1311965.09"/>
        <n v="1232073.18"/>
        <n v="1200729.45"/>
        <n v="1100046.37"/>
        <n v="1117863.33"/>
        <n v="1095421.65"/>
        <n v="1048617.17"/>
        <n v="1077018.27"/>
        <n v="985594.23"/>
        <n v="972088.34"/>
        <n v="981615.81"/>
        <n v="1011822.3"/>
        <n v="1041238.87"/>
        <n v="957997.52"/>
        <n v="993833.44"/>
        <n v="954220.22"/>
        <n v="1043240.27"/>
        <n v="966054.97"/>
        <n v="958374.56"/>
        <n v="955451.16"/>
        <n v="1049357.36"/>
        <n v="1016039.71"/>
        <n v="956211.2"/>
        <n v="958007.69"/>
        <n v="951957.31"/>
        <n v="943506.28"/>
        <n v="916402.76"/>
        <n v="912403.67"/>
        <n v="913548.25"/>
        <n v="967576.95"/>
        <n v="928264.4"/>
        <n v="948447.34"/>
        <n v="1004516.46"/>
        <n v="1075758.55"/>
        <n v="903119.03"/>
        <n v="852882.61"/>
        <n v="851919.34"/>
        <n v="850936.26"/>
        <n v="918335.68"/>
        <n v="862419.84"/>
        <n v="857883.46"/>
        <n v="955294.7"/>
        <n v="929690.71"/>
        <n v="942475.24"/>
        <n v="894493.7"/>
        <n v="1601377.41"/>
        <n v="1069533.17"/>
        <n v="1121934.15"/>
        <n v="1295605.35"/>
        <n v="1768249.89"/>
        <n v="891736.91"/>
        <n v="910110.24"/>
        <n v="812011.8"/>
        <n v="802105.5"/>
        <n v="873119.06"/>
        <n v="1046068.17"/>
        <n v="1086421.57"/>
        <n v="1128485.1"/>
        <n v="1046203.72"/>
        <n v="1085248.21"/>
        <n v="997672.62"/>
        <n v="1009502.01"/>
        <n v="954107.32"/>
        <n v="1005463.49"/>
        <n v="998362.05"/>
        <n v="990951.77"/>
        <n v="1016019.47"/>
        <n v="994966.1"/>
        <n v="1021154.48"/>
        <n v="977033.5"/>
        <n v="924134.99"/>
        <n v="964332.51"/>
        <n v="970328.68"/>
        <n v="996937.95"/>
        <n v="986504.93"/>
        <n v="997282.75"/>
        <n v="961993.34"/>
        <n v="943717.38"/>
        <n v="936001.98"/>
        <n v="922231.92"/>
        <n v="890547.07"/>
        <n v="988712.52"/>
        <n v="955913.68"/>
        <n v="966817.24"/>
        <n v="1017593.47"/>
        <n v="1052051.45"/>
        <n v="922850.57"/>
        <n v="889290.23"/>
        <n v="871692.74"/>
        <n v="866401.45"/>
        <n v="951244.66"/>
        <n v="927600.01"/>
        <n v="938604.58"/>
        <n v="990926.38"/>
        <n v="1051944.79"/>
        <n v="1095091.53"/>
        <n v="970641.34"/>
        <n v="1591920.42"/>
        <n v="1071383.1"/>
        <n v="1189646.45"/>
        <n v="1293404.18"/>
        <n v="1617612.03"/>
        <n v="1111638.07"/>
        <n v="945823.65"/>
        <n v="865467.86"/>
        <n v="855922.64"/>
        <n v="888203.69"/>
        <n v="1058767.95"/>
        <n v="1199330.85"/>
        <n v="1240048.85"/>
        <n v="1112034.72"/>
        <n v="1147636.96"/>
        <n v="1113208.57"/>
        <n v="1088498.52"/>
        <n v="1045419.87"/>
        <n v="1025382.22"/>
        <n v="1128765.71"/>
        <n v="1083811.19"/>
        <n v="1006486.96"/>
        <n v="1004252.38"/>
        <n v="1073433.69"/>
        <n v="1041995.22"/>
        <n v="1020486.05"/>
        <n v="991514.21"/>
        <n v="981345.2"/>
        <n v="1086231.47"/>
        <n v="1019555.51"/>
        <n v="981386.25"/>
        <n v="943124.74"/>
        <n v="1014898.78"/>
        <n v="960312.75"/>
        <n v="941550.34"/>
        <n v="916967.92"/>
        <n v="958667.23"/>
        <n v="984689.9"/>
        <n v="1005003.12"/>
        <n v="1048101.39"/>
        <n v="1061943.49"/>
        <n v="955146.04"/>
        <n v="885892.37"/>
        <n v="922735.37"/>
        <n v="880415.67"/>
        <n v="979825.92"/>
        <n v="934917.47"/>
        <n v="960945.43"/>
        <n v="974697.6"/>
        <n v="1967220.53"/>
        <n v="2030933.46"/>
        <n v="1970274.64"/>
        <n v="1817850.32"/>
        <n v="1939980.43"/>
        <n v="1840686.94"/>
        <n v="1879794.89"/>
        <n v="1882095.98"/>
        <n v="2142482.14"/>
        <n v="1898321.33"/>
        <n v="1819660.44"/>
        <n v="1909330.77"/>
        <n v="1785823.37"/>
        <n v="2005478.46"/>
        <n v="1890273.44"/>
        <n v="1853657.6"/>
        <n v="1877358.86"/>
        <n v="2022705.22"/>
        <n v="2037880.96"/>
        <n v="2003435.31"/>
        <n v="1970340.25"/>
        <n v="2018314.71"/>
        <n v="1870843.9"/>
        <n v="1932231.05"/>
        <n v="1907351.2"/>
        <n v="1817887.23"/>
        <n v="1969121.45"/>
        <n v="1877592.55"/>
        <n v="1997397.63"/>
        <n v="1908278.27"/>
        <n v="1911852.58"/>
        <n v="1772143.94"/>
        <n v="1790279.74"/>
        <n v="1705655.09"/>
        <n v="1765584.48"/>
        <n v="1871924.07"/>
        <n v="1851431.06"/>
        <n v="1796949.59"/>
        <n v="1887895.07"/>
        <n v="1854967.66"/>
        <n v="1939964.63"/>
        <n v="1925393.91"/>
        <n v="2766400.05"/>
        <n v="2083379.89"/>
        <n v="2461468.35"/>
        <n v="2771646.81"/>
        <n v="3595903.2"/>
        <n v="1675292"/>
        <n v="1744544.39"/>
        <n v="1682316.31"/>
        <n v="1770177.37"/>
        <n v="1633663.12"/>
        <n v="1848186.58"/>
        <n v="1944438.9"/>
        <n v="2003480.59"/>
        <n v="1831933.95"/>
        <n v="1894960.68"/>
        <n v="1852432.58"/>
        <n v="1852443.78"/>
        <n v="1807545.43"/>
        <n v="1864238.64"/>
        <n v="1887465.04"/>
        <n v="1950994.04"/>
        <n v="2124316.34"/>
        <n v="1895583.12"/>
        <n v="1986380.4"/>
        <n v="1958823.56"/>
        <n v="1860923.55"/>
        <n v="1866369.93"/>
        <n v="1935593.87"/>
        <n v="1997816.98"/>
        <n v="2086433.49"/>
        <n v="2009163.08"/>
        <n v="2048035.74"/>
        <n v="2021699.38"/>
        <n v="1956813.31"/>
        <n v="1987089.36"/>
        <n v="1880785.69"/>
        <n v="2076231.8"/>
        <n v="1970341.38"/>
        <n v="2090340.98"/>
        <n v="2035244.54"/>
        <n v="1953628.82"/>
        <n v="1872921.31"/>
        <n v="1923223.82"/>
        <n v="1847430.96"/>
        <n v="1835662.69"/>
        <n v="2067232.56"/>
        <n v="1929659.07"/>
        <n v="1973544.27"/>
        <n v="1948733.81"/>
        <n v="2036317.54"/>
        <n v="2111592.09"/>
        <n v="2016323.51"/>
        <n v="2864170.61"/>
        <n v="2051315.66"/>
        <n v="2462779.06"/>
        <n v="2760346.71"/>
        <n v="3556766.03"/>
        <n v="1969056.91"/>
        <n v="1865752.78"/>
        <n v="1794962.64"/>
        <n v="1811606.21"/>
        <n v="1733983.09"/>
        <n v="1927780.74"/>
        <n v="2069284.57"/>
        <n v="2214477.06"/>
        <n v="1929768.03"/>
        <n v="1969742.76"/>
        <n v="1986445.65"/>
        <n v="2025582.62"/>
        <n v="1904421.74"/>
        <n v="1948982.7"/>
        <n v="2271614.76"/>
        <n v="2057637.86"/>
        <n v="1955689.12"/>
        <n v="1970121.65"/>
        <n v="1995994.51"/>
        <n v="2080764.17"/>
        <n v="2131900.55"/>
        <n v="2043349.41"/>
        <n v="2035431.39"/>
        <n v="2182437.9"/>
        <n v="2152229.11"/>
        <n v="2094373"/>
        <n v="2037663.71"/>
        <n v="2184980.35"/>
        <n v="2002750.99"/>
        <n v="2053089.32"/>
        <n v="1914430.53"/>
        <n v="2044148.23"/>
        <n v="2041019.92"/>
        <n v="2095769.18"/>
        <n v="2059458.25"/>
        <n v="2073855.42"/>
        <n v="2165796.31"/>
        <n v="1919917.03"/>
        <n v="1938379.66"/>
        <n v="1927664.11"/>
        <n v="2041918.74"/>
        <n v="1999079.44"/>
        <n v="2018010.15"/>
        <n v="2035189.66"/>
        <n v="2623469.95"/>
        <n v="1704218.84"/>
        <n v="2204556.7"/>
        <n v="2095591.63"/>
        <n v="2237544.75"/>
        <n v="2156035.06"/>
        <n v="2066219.3"/>
        <n v="2050396.27"/>
        <n v="2495630.51"/>
        <n v="2258781.28"/>
        <n v="2121788.61"/>
        <n v="2138144.91"/>
        <n v="2082355.12"/>
        <n v="2370116.52"/>
        <n v="2129771.13"/>
        <n v="2108187.1"/>
        <n v="2227152.16"/>
        <n v="2363601.47"/>
        <n v="2249570.04"/>
        <n v="2248645.59"/>
        <n v="2246179.91"/>
        <n v="2334788.42"/>
        <n v="2236209.13"/>
        <n v="2130287.27"/>
        <n v="2044155.39"/>
        <n v="2054843.28"/>
        <n v="2219813.5"/>
        <n v="2052984.81"/>
        <n v="2057138.31"/>
        <n v="2020332.07"/>
        <n v="2182563.66"/>
        <n v="2191767.76"/>
        <n v="1953539.85"/>
        <n v="1879891.13"/>
        <n v="1855703.66"/>
        <n v="2091663.2"/>
        <n v="1932162.63"/>
        <n v="1936621.09"/>
        <n v="1984768.34"/>
        <n v="2078417.47"/>
        <n v="2092189.06"/>
        <n v="1968462.58"/>
        <n v="2921709.71"/>
        <n v="2258489.63"/>
        <n v="2600519.26"/>
        <n v="2762861.41"/>
        <n v="3818686.45"/>
        <n v="1623716.46"/>
        <n v="1864746.1"/>
        <n v="1699095.9"/>
        <n v="1743188.87"/>
        <n v="1613718.38"/>
        <n v="1995891.87"/>
        <n v="1980405.03"/>
        <n v="2019031.67"/>
        <n v="1875708.88"/>
        <n v="2041215.61"/>
        <n v="1931104.67"/>
        <n v="1932491.42"/>
        <n v="1879451.23"/>
        <n v="1869110.55"/>
        <n v="2037798.88"/>
        <n v="1974960.86"/>
        <n v="2256461.39"/>
        <n v="1930617.64"/>
        <n v="2095599.93"/>
        <n v="2004330.3"/>
        <n v="1959967.8"/>
        <n v="2080694.24"/>
        <n v="2079899.47"/>
        <n v="2132446"/>
        <n v="2082083.34"/>
        <n v="2069523.52"/>
        <n v="2074668.19"/>
        <n v="2063401.06"/>
        <n v="1953544.76"/>
        <n v="1882070.88"/>
        <n v="1871021.01"/>
        <n v="2066020.69"/>
        <n v="1928773.82"/>
        <n v="1896873.99"/>
        <n v="2273470.62"/>
        <n v="1750891.47"/>
        <n v="2202742.9"/>
        <n v="1864637.89"/>
        <n v="1871555.64"/>
        <n v="1809989.29"/>
        <n v="2078796.76"/>
        <n v="1890870.75"/>
        <n v="2009004.59"/>
        <n v="2056846.12"/>
        <n v="2174056.71"/>
        <n v="2081534.65"/>
        <n v="1969360.72"/>
        <n v="2685351.81"/>
        <n v="2143080.57"/>
        <n v="2470581.29"/>
        <n v="2594363.09"/>
        <n v="3369068.99"/>
        <n v="1914148.89"/>
        <n v="1859144.96"/>
        <n v="1696248.27"/>
        <n v="1789113.32"/>
        <n v="1595362.27"/>
        <n v="1877410.36"/>
        <n v="2077256.24"/>
        <n v="2020550.99"/>
        <n v="1875040.16"/>
        <n v="1926004.99"/>
        <n v="2020839.31"/>
        <n v="1941040.5"/>
        <n v="1893447.71"/>
        <n v="1905033.01"/>
        <n v="2376022.26"/>
        <n v="1912909.69"/>
        <n v="1875686.44"/>
        <n v="1784029.95"/>
        <n v="1949354.29"/>
        <n v="1987531.05"/>
        <n v="1932233.17"/>
        <n v="2030869.61"/>
        <n v="2049485.49"/>
        <n v="2099615.88"/>
        <n v="1905733.68"/>
        <n v="1660228.88"/>
        <n v="1591835.02"/>
        <n v="1862128.95"/>
        <n v="1544422.35"/>
        <n v="1553250.16"/>
        <n v="1479514.66"/>
        <n v="1656886.46"/>
        <n v="1648570.03"/>
        <n v="1660433.3"/>
        <n v="1621841.33"/>
        <n v="1613342.19"/>
        <n v="1904512.34"/>
        <n v="1554794.22"/>
        <n v="1565352.46"/>
        <n v="1522512.2"/>
        <n v="1687592.16"/>
        <n v="1639585.61"/>
        <n v="1590274.72"/>
        <n v="1704357.62"/>
        <n v="652122.44"/>
        <n v="682447.1"/>
        <n v="660838.75"/>
        <n v="564883.2"/>
        <n v="605325.43"/>
        <n v="604173.59"/>
        <n v="593710.67"/>
        <n v="592111.49"/>
        <n v="718470.71"/>
        <n v="634605.77"/>
        <n v="641208.65"/>
        <n v="643097.6"/>
        <n v="570791.11"/>
        <n v="661348.88"/>
        <n v="594385.2"/>
        <n v="616598.1"/>
        <n v="744772.88"/>
        <n v="693192.5"/>
        <n v="619337.29"/>
        <n v="652329.53"/>
        <n v="672194.03"/>
        <n v="709337.11"/>
        <n v="691497.62"/>
        <n v="633203.69"/>
        <n v="598553.43"/>
        <n v="619224.06"/>
        <n v="639651.24"/>
        <n v="622437.08"/>
        <n v="637090.44"/>
        <n v="649791.15"/>
        <n v="638647.21"/>
        <n v="641965.2"/>
        <n v="583210.87"/>
        <n v="548542.47"/>
        <n v="566945.95"/>
        <n v="591603.79"/>
        <n v="577011.26"/>
        <n v="600395.73"/>
        <n v="598301.5"/>
        <n v="612987.64"/>
        <n v="619639.74"/>
        <n v="608200.81"/>
        <n v="1120018.92"/>
        <n v="754134.95"/>
        <n v="847294.04"/>
        <n v="983825.15"/>
        <n v="1368318.17"/>
        <n v="543754.17"/>
        <n v="509640.77"/>
        <n v="479424.2"/>
        <n v="487311.03"/>
        <n v="481119.6"/>
        <n v="556550.85"/>
        <n v="582864.35"/>
        <n v="649993.5"/>
        <n v="547564.09"/>
        <n v="573374.49"/>
        <n v="537035.28"/>
        <n v="551553.99"/>
        <n v="527389.28"/>
        <n v="542556.05"/>
        <n v="587370.81"/>
        <n v="607691.36"/>
        <n v="655318.26"/>
        <n v="560764.41"/>
        <n v="630522.67"/>
        <n v="630482.91"/>
        <n v="593941.9"/>
        <n v="636193.24"/>
        <n v="695396.19"/>
        <n v="642679.81"/>
        <n v="639928.85"/>
        <n v="656594.95"/>
        <n v="674669.16"/>
        <n v="635118.48"/>
        <n v="624114.56"/>
        <n v="607475.44"/>
        <n v="577511.02"/>
        <n v="607961.21"/>
        <n v="590836.37"/>
        <n v="599488.98"/>
        <n v="605413.17"/>
        <n v="649159.68"/>
        <n v="607593.51"/>
        <n v="545052.34"/>
        <n v="545570.86"/>
        <n v="521297.31"/>
        <n v="579068.88"/>
        <n v="537300.94"/>
        <n v="603318.89"/>
        <n v="589842.69"/>
        <n v="615121.78"/>
        <n v="618949.82"/>
        <n v="597856.51"/>
        <n v="1066478.1"/>
        <n v="699028.66"/>
        <n v="764565.55"/>
        <n v="870415.49"/>
        <n v="1182691.87"/>
        <n v="603460.79"/>
        <n v="516087.65"/>
        <n v="454183.42"/>
        <n v="492721.85"/>
        <n v="466045.63"/>
        <n v="523831.64"/>
        <n v="628218.22"/>
        <n v="598502.83"/>
        <n v="561137.06"/>
        <n v="541292.64"/>
        <n v="545120.67"/>
        <n v="570611.23"/>
        <n v="565481.88"/>
        <n v="557547.25"/>
        <n v="659950.36"/>
        <n v="558585.13"/>
        <n v="534780.57"/>
        <n v="527402.62"/>
        <n v="577868.38"/>
        <n v="579539.95"/>
        <n v="600050.98"/>
        <n v="693780.42"/>
        <n v="663971.26"/>
        <n v="611390.67"/>
        <n v="636737.65"/>
        <n v="687085.6"/>
        <n v="624099.48"/>
        <n v="678024.75"/>
        <n v="591335.5"/>
        <n v="592369.22"/>
        <n v="571190.83"/>
        <n v="590739.62"/>
        <n v="590453.63"/>
        <n v="579738.2"/>
        <n v="606210.77"/>
        <n v="610185.32"/>
        <n v="587259.82"/>
        <n v="527509.76"/>
        <n v="533161.64"/>
        <n v="553901.97"/>
        <n v="573498.64"/>
        <n v="551799.63"/>
        <n v="555652.77"/>
        <n v="558473.6"/>
        <n v="477409.3"/>
        <n v="472044.28"/>
        <n v="469868.7"/>
        <n v="443242.17"/>
        <n v="444181.85"/>
        <n v="445393.74"/>
        <n v="504307.35"/>
        <n v="483177.2"/>
        <n v="490503.69"/>
        <n v="424083.99"/>
        <n v="436312.41"/>
        <n v="370230.94"/>
        <n v="383550.93"/>
        <n v="403217.22"/>
        <n v="401770.9"/>
        <n v="435300.51"/>
        <n v="479430"/>
        <n v="516295.81"/>
        <n v="535587.31"/>
        <n v="540149.85"/>
        <n v="546554.96"/>
        <n v="610641.42"/>
        <n v="614253.33"/>
        <n v="586583.69"/>
        <n v="588344.18"/>
        <n v="562633.67"/>
        <n v="586936.45"/>
        <n v="543757.97"/>
        <n v="521516.96"/>
        <n v="581010.52"/>
        <n v="542087.89"/>
        <n v="537518.57"/>
        <n v="522049.52"/>
        <n v="511330.32"/>
        <n v="463977.54"/>
        <n v="442894.2"/>
        <n v="452169.28"/>
        <n v="541216.92"/>
        <n v="495022.51"/>
        <n v="446905.02"/>
        <n v="453632.76"/>
        <n v="458634.68"/>
        <n v="651837.77"/>
        <n v="512260.59"/>
        <n v="570103.64"/>
        <n v="648652.01"/>
        <n v="1004730.69"/>
        <n v="575317.38"/>
        <n v="573545.96"/>
        <n v="470365.59"/>
        <n v="462888.13"/>
        <n v="448391.99"/>
        <n v="479263.15"/>
        <n v="466806.89"/>
        <n v="491179.79"/>
        <n v="475201.64"/>
        <n v="484829.07"/>
        <n v="457504.35"/>
        <n v="497373.49"/>
        <n v="465279.68"/>
        <n v="459756.11"/>
        <n v="439276.5"/>
        <n v="427855.24"/>
        <n v="368600"/>
        <n v="378100.31"/>
        <n v="423805.22"/>
        <n v="410406.95"/>
        <n v="435397.19"/>
        <n v="444718.68"/>
        <n v="531080.31"/>
        <n v="600952.06"/>
        <n v="581546.23"/>
        <n v="569105.03"/>
        <n v="608737.56"/>
        <n v="634634.66"/>
        <n v="586841.77"/>
        <n v="581758.22"/>
        <n v="582381.95"/>
        <n v="592981.33"/>
        <n v="563884.47"/>
        <n v="554630.42"/>
        <n v="557312.01"/>
        <n v="580805.33"/>
        <n v="574622.56"/>
        <n v="539081.09"/>
        <n v="504856.97"/>
        <n v="450075.31"/>
        <n v="482926.93"/>
        <n v="498241.06"/>
        <n v="560104.16"/>
        <n v="505918.21"/>
        <n v="511059.95"/>
        <n v="513181.31"/>
        <n v="480353.64"/>
        <n v="712422.4"/>
        <n v="530492.84"/>
        <n v="574798.86"/>
        <n v="679481.9"/>
        <n v="950691.96"/>
        <n v="665861.06"/>
        <n v="564538.07"/>
        <n v="508520.09"/>
        <n v="474389.75"/>
        <n v="453979.19"/>
        <n v="475905.1"/>
        <n v="473766.97"/>
        <n v="494069.49"/>
        <n v="495720.3"/>
        <n v="464189.09"/>
        <n v="495951.66"/>
        <n v="520850.71"/>
        <n v="493503.89"/>
        <n v="485095.41"/>
        <n v="502662.07"/>
        <n v="450756.71"/>
        <n v="436221.26"/>
        <n v="398445.15"/>
        <n v="426959.62"/>
        <n v="479855"/>
        <n v="493506.47"/>
        <n v="518045.09"/>
        <n v="532311.93"/>
        <n v="603618.89"/>
        <n v="570045.79"/>
        <n v="581745.72"/>
        <n v="570162.28"/>
        <n v="641763.53"/>
        <n v="569005.06"/>
        <n v="565297.54"/>
        <n v="539337.87"/>
        <n v="584000.71"/>
        <n v="554036.84"/>
        <n v="521896.6"/>
        <n v="551152.15"/>
        <n v="551837.31"/>
        <n v="537138.58"/>
        <n v="526525.16"/>
        <n v="509942.56"/>
        <n v="469607.73"/>
        <n v="471281.68"/>
        <n v="491817.19"/>
        <n v="577198.97"/>
        <n v="475770.14"/>
        <n v="789036.02"/>
        <n v="841951.91"/>
        <n v="800714"/>
        <n v="749549.55"/>
        <n v="783300.05"/>
        <n v="763961.82"/>
        <n v="752034.52"/>
        <n v="793097.64"/>
        <n v="848521.17"/>
        <n v="770228.02"/>
        <n v="757738.76"/>
        <n v="977790.83"/>
        <n v="807798.73"/>
        <n v="843848.65"/>
        <n v="813756.09"/>
        <n v="826626.5"/>
        <n v="872817.62"/>
        <n v="876902.87"/>
        <n v="845252.21"/>
        <n v="877996.27"/>
        <n v="893995.44"/>
        <n v="958875.37"/>
        <n v="836915.92"/>
        <n v="876591.41"/>
        <n v="893504.87"/>
        <n v="833517.19"/>
        <n v="795301.17"/>
        <n v="759995.18"/>
        <n v="783929.7"/>
        <n v="802583.89"/>
        <n v="834373.73"/>
        <n v="1200888.28"/>
        <n v="871264.25"/>
        <n v="852876.29"/>
        <n v="829207.27"/>
        <n v="827738.06"/>
        <n v="838297.32"/>
        <n v="815093.76"/>
        <n v="861941.25"/>
        <n v="818434.49"/>
        <n v="855459.96"/>
        <n v="782252.57"/>
        <n v="1005448.76"/>
        <n v="926573.81"/>
        <n v="962475.55"/>
        <n v="1049372.38"/>
        <n v="1309226.79"/>
        <n v="635862.55"/>
        <n v="1083071.14"/>
        <n v="758510.36"/>
        <n v="755804.37"/>
        <n v="736335.69"/>
        <n v="816603.05"/>
        <n v="813211.46"/>
        <n v="860962.91"/>
        <n v="767256.53"/>
        <n v="816138.33"/>
        <n v="779602.36"/>
        <n v="778436.81"/>
        <n v="781267.76"/>
        <n v="795859.23"/>
        <n v="811855.72"/>
        <n v="825283.43"/>
        <n v="1060770.11"/>
        <n v="806979.15"/>
        <n v="882132.28"/>
        <n v="870625.49"/>
        <n v="844443.35"/>
        <n v="892056.64"/>
        <n v="895020.48"/>
        <n v="881190.46"/>
        <n v="894686.67"/>
        <n v="920719.98"/>
        <n v="940554.34"/>
        <n v="915064.22"/>
        <n v="902727.76"/>
        <n v="899044.34"/>
        <n v="861894.77"/>
        <n v="866184.92"/>
        <n v="800819.79"/>
        <n v="797523.04"/>
        <n v="837390.79"/>
        <n v="847380.07"/>
        <n v="1161900.18"/>
        <n v="1051116.95"/>
        <n v="895535.31"/>
        <n v="868191.05"/>
        <n v="918006.9"/>
        <n v="884042.63"/>
        <n v="877380.22"/>
        <n v="936508.43"/>
        <n v="927657.63"/>
        <n v="914759.2"/>
        <n v="877724.31"/>
        <n v="1225700.28"/>
        <n v="945267.68"/>
        <n v="976522.93"/>
        <n v="1067754.06"/>
        <n v="1289156.9"/>
        <n v="777207.3"/>
        <n v="1198104.22"/>
        <n v="873576.96"/>
        <n v="809272.65"/>
        <n v="769522.33"/>
        <n v="864852.85"/>
        <n v="880165.7"/>
        <n v="927084.65"/>
        <n v="843864.43"/>
        <n v="856178.47"/>
        <n v="860224.98"/>
        <n v="853136.46"/>
        <n v="851762.28"/>
        <n v="872469.03"/>
        <n v="986922.62"/>
        <n v="877055.32"/>
        <n v="1119979.98"/>
        <n v="925916.65"/>
        <n v="930121.14"/>
        <n v="944100.3"/>
        <n v="968816.33"/>
        <n v="984881.59"/>
        <n v="938914.28"/>
        <n v="987990.24"/>
        <n v="964169.67"/>
        <n v="981210.57"/>
        <n v="982322.24"/>
        <n v="1046782.52"/>
        <n v="960746.04"/>
        <n v="944698.7"/>
        <n v="907493.24"/>
        <n v="877813.33"/>
        <n v="849074.04"/>
        <n v="844928.17"/>
        <n v="924299.78"/>
        <n v="865924.2"/>
        <n v="1255633.29"/>
        <n v="1071040.22"/>
        <n v="938303.28"/>
        <n v="972716.24"/>
        <n v="952609.17"/>
        <n v="919878.34"/>
        <n v="957356.84"/>
        <n v="943465.29"/>
        <n v="1205307.5"/>
        <n v="1187880.7"/>
        <n v="1150663.42"/>
        <n v="1068157.45"/>
        <n v="1179738.5"/>
        <n v="1138800.32"/>
        <n v="1087507.47"/>
        <n v="1092704.09"/>
        <n v="1254107.84"/>
        <n v="1174447.55"/>
        <n v="1135577.62"/>
        <n v="1132433.55"/>
        <n v="1060446.16"/>
        <n v="1222255.47"/>
        <n v="1092616.49"/>
        <n v="1101621.36"/>
        <n v="1256282.79"/>
        <n v="1271311.76"/>
        <n v="1173521.82"/>
        <n v="1183225.92"/>
        <n v="1220983.17"/>
        <n v="1257928.35"/>
        <n v="1171391.41"/>
        <n v="1115514.61"/>
        <n v="1032908.23"/>
        <n v="1078557.62"/>
        <n v="1166117.85"/>
        <n v="1084722.78"/>
        <n v="1141860.67"/>
        <n v="1214302.76"/>
        <n v="1187359.77"/>
        <n v="1011201.12"/>
        <n v="997998.21"/>
        <n v="950862.92"/>
        <n v="948977.5"/>
        <n v="1107432.71"/>
        <n v="1029618.1"/>
        <n v="1052120.43"/>
        <n v="1038576.54"/>
        <n v="1089530.94"/>
        <n v="1081322.12"/>
        <n v="1045722.37"/>
        <n v="1653759.36"/>
        <n v="1211026.13"/>
        <n v="1416168.98"/>
        <n v="1588430.71"/>
        <n v="2027507.15"/>
        <n v="887907.01"/>
        <n v="933960.3"/>
        <n v="777175.28"/>
        <n v="891148.55"/>
        <n v="849540.85"/>
        <n v="1055841.24"/>
        <n v="1122053.58"/>
        <n v="1095058.57"/>
        <n v="1005983.31"/>
        <n v="1063310.62"/>
        <n v="1002714.25"/>
        <n v="945889.59"/>
        <n v="944523.3"/>
        <n v="938083.17"/>
        <n v="1018541.3"/>
        <n v="988157.72"/>
        <n v="1105860.06"/>
        <n v="974114.39"/>
        <n v="1065427.37"/>
        <n v="993172.98"/>
        <n v="994610.43"/>
        <n v="1065214.14"/>
        <n v="1178039"/>
        <n v="1044079.2"/>
        <n v="1045859.39"/>
        <n v="1056478.65"/>
        <n v="1087051.26"/>
        <n v="1048802.62"/>
        <n v="974916.13"/>
        <n v="991262.46"/>
        <n v="954148.64"/>
        <n v="1002806.39"/>
        <n v="928470.83"/>
        <n v="932679.79"/>
        <n v="1147906.46"/>
        <n v="540922.94"/>
        <n v="951549.61"/>
        <n v="845715.37"/>
        <n v="853073.17"/>
        <n v="847348.08"/>
        <n v="1019741.1"/>
        <n v="953533.95"/>
        <n v="1048212.62"/>
        <n v="1106642.63"/>
        <n v="1100625.06"/>
        <n v="1079931.63"/>
        <n v="1056992.18"/>
        <n v="1624170.99"/>
        <n v="1188047.61"/>
        <n v="1368471.23"/>
        <n v="1516924.23"/>
        <n v="1882393.4"/>
        <n v="1010562.49"/>
        <n v="977286.07"/>
        <n v="890130.25"/>
        <n v="937522.77"/>
        <n v="825584.22"/>
        <n v="1049772.04"/>
        <n v="1161615.51"/>
        <n v="1115985.81"/>
        <n v="1037861.11"/>
        <n v="1047178.91"/>
        <n v="1084894.47"/>
        <n v="1022018.43"/>
        <n v="1031139.3"/>
        <n v="1009121.2"/>
        <n v="1200815.3"/>
        <n v="998443.5"/>
        <n v="1025813.8"/>
        <n v="961186.23"/>
        <n v="1050027.89"/>
        <n v="1060433.1"/>
        <n v="1047444.59"/>
        <n v="1088446.58"/>
        <n v="1118313.7"/>
        <n v="1110479.94"/>
        <n v="1057425.83"/>
        <n v="1080357.89"/>
        <n v="1097006.3"/>
        <n v="1158247.31"/>
        <n v="1024784.92"/>
        <n v="1033543.56"/>
        <n v="924506.26"/>
        <n v="1052066.58"/>
        <n v="967304.07"/>
        <n v="1048134.24"/>
        <n v="1145840.91"/>
        <n v="1117097.23"/>
        <n v="1083521.24"/>
        <n v="960476.1"/>
        <n v="971386.65"/>
        <n v="1002856.2"/>
        <n v="1092204.79"/>
        <n v="1074079"/>
        <n v="1048706.75"/>
        <n v="1127516.25"/>
        <n v="1507637.17"/>
        <n v="1536549.95"/>
        <n v="1515976.11"/>
        <n v="1373270.06"/>
        <n v="1495844.57"/>
        <n v="1467889.2"/>
        <n v="1332940.35"/>
        <n v="1427023.45"/>
        <n v="1642970.27"/>
        <n v="1489613.32"/>
        <n v="1460354.67"/>
        <n v="1456793.33"/>
        <n v="1405065.57"/>
        <n v="1566219.77"/>
        <n v="1437319.45"/>
        <n v="1377716.17"/>
        <n v="1648882.62"/>
        <n v="1519013.49"/>
        <n v="1410683.94"/>
        <n v="1457314.39"/>
        <n v="1450407.32"/>
        <n v="1549018.68"/>
        <n v="1577541.24"/>
        <n v="1412157.02"/>
        <n v="1372043.71"/>
        <n v="1366395.96"/>
        <n v="1492060.89"/>
        <n v="1418027.08"/>
        <n v="1419383.19"/>
        <n v="1557888.16"/>
        <n v="1623519.64"/>
        <n v="1591453.39"/>
        <n v="1386789.31"/>
        <n v="1318343.58"/>
        <n v="1379456.3"/>
        <n v="1428960.72"/>
        <n v="1369317.63"/>
        <n v="1357154.71"/>
        <n v="1404576.48"/>
        <n v="1435379.25"/>
        <n v="1490235.86"/>
        <n v="1377593.1"/>
        <n v="1993367.83"/>
        <n v="1615987.96"/>
        <n v="1799070.98"/>
        <n v="1911967.44"/>
        <n v="2678206.42"/>
        <n v="1275146.94"/>
        <n v="1224175.99"/>
        <n v="1181204.53"/>
        <n v="1212967.84"/>
        <n v="1284185.49"/>
        <n v="1370562.11"/>
        <n v="1430851.11"/>
        <n v="1457270.16"/>
        <n v="1296658.47"/>
        <n v="1433569.44"/>
        <n v="1351450.43"/>
        <n v="1257972.37"/>
        <n v="1266564.94"/>
        <n v="1305950.22"/>
        <n v="1419911.91"/>
        <n v="1392093.04"/>
        <n v="1514288.82"/>
        <n v="1297237.7"/>
        <n v="1451953.95"/>
        <n v="1429143.06"/>
        <n v="1355234.3"/>
        <n v="1388553.11"/>
        <n v="1457345.75"/>
        <n v="1467473.63"/>
        <n v="1418973.62"/>
        <n v="1440785.7"/>
        <n v="1462731.93"/>
        <n v="1465489.75"/>
        <n v="1391580.41"/>
        <n v="1377119.45"/>
        <n v="1298775.8"/>
        <n v="1408968.55"/>
        <n v="1360969.45"/>
        <n v="1391792.69"/>
        <n v="1547729.24"/>
        <n v="1609951.02"/>
        <n v="1566712.79"/>
        <n v="1365633.53"/>
        <n v="1300375.76"/>
        <n v="1330757.22"/>
        <n v="1461718.87"/>
        <n v="1318905.53"/>
        <n v="1374863.1"/>
        <n v="1396612.36"/>
        <n v="1480289.64"/>
        <n v="1502078.93"/>
        <n v="1411835.57"/>
        <n v="1974646.78"/>
        <n v="1484708.38"/>
        <n v="1713769.06"/>
        <n v="1852179.15"/>
        <n v="2480159.47"/>
        <n v="1405168.06"/>
        <n v="1266570.4"/>
        <n v="1182198.7"/>
        <n v="1237104.73"/>
        <n v="1279623.26"/>
        <n v="1345311.65"/>
        <n v="1499496.67"/>
        <n v="1424720.27"/>
        <n v="1352470.09"/>
        <n v="1308977.05"/>
        <n v="1358816.46"/>
        <n v="1312849.1"/>
        <n v="1342254.55"/>
        <n v="1327139.35"/>
        <n v="1631737.68"/>
        <n v="1365098.46"/>
        <n v="1255087.26"/>
        <n v="1285897.24"/>
        <n v="1405007.44"/>
        <n v="1442873.22"/>
        <n v="1366937.1"/>
        <n v="1485540.28"/>
        <n v="1450733.29"/>
        <n v="1390122.11"/>
        <n v="1440263.15"/>
        <n v="1468350.36"/>
        <n v="1379652.65"/>
        <n v="1557120.44"/>
        <n v="1321741.35"/>
        <n v="1317672.92"/>
        <n v="1248915.43"/>
        <n v="1342123.78"/>
        <n v="1408907.89"/>
        <n v="1375101.26"/>
        <n v="1544653.37"/>
        <n v="1542719.87"/>
        <n v="1497073.82"/>
        <n v="1370653.41"/>
        <n v="1338572.29"/>
        <n v="1338299.02"/>
        <n v="1408016.1"/>
        <n v="1352809.5"/>
        <n v="1321102.35"/>
        <n v="1322117.96"/>
        <n v="2401395.47"/>
        <n v="2109107.9"/>
        <n v="2161549.76"/>
        <n v="1898193.95"/>
        <n v="2119213.72"/>
        <n v="2010974.84"/>
        <n v="1951848.43"/>
        <n v="1894742.95"/>
        <n v="2405395.22"/>
        <n v="2007796.26"/>
        <n v="1985784.59"/>
        <n v="1878862.42"/>
        <n v="1919053.21"/>
        <n v="2137202.38"/>
        <n v="2033211.62"/>
        <n v="1893736.9"/>
        <n v="2065984.95"/>
        <n v="2203619.35"/>
        <n v="2100489.79"/>
        <n v="2091903.63"/>
        <n v="1973135.87"/>
        <n v="2143676.77"/>
        <n v="2107285.85"/>
        <n v="2031852.16"/>
        <n v="1900535.9"/>
        <n v="1955896.59"/>
        <n v="1910177.38"/>
        <n v="2071022.45"/>
        <n v="1975374.56"/>
        <n v="1946369.57"/>
        <n v="2121561.41"/>
        <n v="2014954.79"/>
        <n v="1948359.78"/>
        <n v="1789687.65"/>
        <n v="1933719.21"/>
        <n v="2060389.27"/>
        <n v="1950676.39"/>
        <n v="1893955.27"/>
        <n v="1891816"/>
        <n v="2184316.64"/>
        <n v="2187765.28"/>
        <n v="2105058.91"/>
        <n v="2811634.04"/>
        <n v="2416051.17"/>
        <n v="2752122.08"/>
        <n v="2819193.17"/>
        <n v="3766687.43"/>
        <n v="1799737.79"/>
        <n v="1843030.95"/>
        <n v="1884345.01"/>
        <n v="1781805.66"/>
        <n v="1761506.68"/>
        <n v="2351143.07"/>
        <n v="2211388.14"/>
        <n v="2258616.24"/>
        <n v="1938608.52"/>
        <n v="2143424.61"/>
        <n v="1990932.77"/>
        <n v="1931668.64"/>
        <n v="1824711.21"/>
        <n v="1927993.09"/>
        <n v="2027056.39"/>
        <n v="2057406.33"/>
        <n v="2313861.81"/>
        <n v="1881788.19"/>
        <n v="2090838.44"/>
        <n v="2036748.53"/>
        <n v="1953416.06"/>
        <n v="1944433.17"/>
        <n v="2182246.69"/>
        <n v="2135062.04"/>
        <n v="2065191.27"/>
        <n v="1950826.32"/>
        <n v="2053165.41"/>
        <n v="2123787.79"/>
        <n v="2039875.75"/>
        <n v="1950904.84"/>
        <n v="1858440.92"/>
        <n v="2189353.63"/>
        <n v="2052246.4"/>
        <n v="1990017.93"/>
        <n v="1933577.2"/>
        <n v="2141765.98"/>
        <n v="2050542.56"/>
        <n v="1979009.46"/>
        <n v="1888119.7"/>
        <n v="1945808.26"/>
        <n v="2135982.79"/>
        <n v="2010107.68"/>
        <n v="2104241.9"/>
        <n v="2065421.52"/>
        <n v="2284106.6"/>
        <n v="2269975.85"/>
        <n v="2169933.82"/>
        <n v="2906233.25"/>
        <n v="2298776.83"/>
        <n v="2546123.78"/>
        <n v="2762816.65"/>
        <n v="3555371.03"/>
        <n v="2043245"/>
        <n v="1964701.94"/>
        <n v="1911510.64"/>
        <n v="1892775.94"/>
        <n v="1761016.51"/>
        <n v="2203523.2"/>
        <n v="2462978.28"/>
        <n v="2309025.16"/>
        <n v="2045837.55"/>
        <n v="2148822.76"/>
        <n v="2139265.4"/>
        <n v="2064991.71"/>
        <n v="1992436.96"/>
        <n v="2074721.74"/>
        <n v="2565259.92"/>
        <n v="2045396.06"/>
        <n v="1884427.84"/>
        <n v="1886503.93"/>
        <n v="2163510.89"/>
        <n v="2168097.11"/>
        <n v="2039222.26"/>
        <n v="2114989"/>
        <n v="2143126.59"/>
        <n v="2231962.13"/>
        <n v="2165160.29"/>
        <n v="2060588.69"/>
        <n v="2055952.61"/>
        <n v="2358055.3"/>
        <n v="2134680.12"/>
        <n v="1970170.29"/>
        <n v="1911559.1"/>
        <n v="2094515.71"/>
        <n v="2144245.39"/>
        <n v="2045061.22"/>
        <n v="2005341.43"/>
        <n v="2062481.56"/>
        <n v="2080529.06"/>
        <n v="2047949.98"/>
        <n v="2028587.24"/>
        <n v="2008350.58"/>
        <n v="2246411.89"/>
        <n v="2162951.36"/>
        <n v="1999363.49"/>
        <n v="2031650.55"/>
        <n v="798593.88"/>
        <n v="809321.44"/>
        <n v="867283.25"/>
        <n v="749597.24"/>
        <n v="747444.32"/>
        <n v="712312.89"/>
        <n v="727070"/>
        <n v="686497.53"/>
        <n v="753664.12"/>
        <n v="751181.4"/>
        <n v="716026.51"/>
        <n v="718780.59"/>
        <n v="680532.69"/>
        <n v="744969.42"/>
        <n v="723559.88"/>
        <n v="753361.72"/>
        <n v="755214.26"/>
        <n v="806012.48"/>
        <n v="784305.55"/>
        <n v="785104.29"/>
        <n v="769848.75"/>
        <n v="711470.8"/>
        <n v="714677.47"/>
        <n v="755098.41"/>
        <n v="765823.48"/>
        <n v="715876.27"/>
        <n v="739279.19"/>
        <n v="793589.18"/>
        <n v="848873.28"/>
        <n v="855882.57"/>
        <n v="727772.8"/>
        <n v="674055.81"/>
        <n v="684340.86"/>
        <n v="671688.06"/>
        <n v="677158.39"/>
        <n v="680579.49"/>
        <n v="693412.05"/>
        <n v="710668.45"/>
        <n v="731756.65"/>
        <n v="719888.76"/>
        <n v="735796.38"/>
        <n v="756288.89"/>
        <n v="1245628.61"/>
        <n v="829210.73"/>
        <n v="943891.64"/>
        <n v="1147556.83"/>
        <n v="1587257.78"/>
        <n v="672903.23"/>
        <n v="629152.06"/>
        <n v="650789.13"/>
        <n v="663941.73"/>
        <n v="649878.29"/>
        <n v="596218.24"/>
        <n v="771908.51"/>
        <n v="884701.92"/>
        <n v="768313.85"/>
        <n v="796277.72"/>
        <n v="763479.9"/>
        <n v="793569"/>
        <n v="753711.32"/>
        <n v="732056.37"/>
        <n v="744782.89"/>
        <n v="768390.05"/>
        <n v="801302.01"/>
        <n v="783250.75"/>
        <n v="718898.33"/>
        <n v="754236.7"/>
        <n v="744836.56"/>
        <n v="744389.81"/>
        <n v="773878.58"/>
        <n v="794397.89"/>
        <n v="823220.43"/>
        <n v="771298.98"/>
        <n v="784639.12"/>
        <n v="734099.4"/>
        <n v="728311.15"/>
        <n v="784490.67"/>
        <n v="751167.12"/>
        <n v="783614.89"/>
        <n v="776933.37"/>
        <n v="855546.5"/>
        <n v="821127.53"/>
        <n v="705557.8"/>
        <n v="653989.65"/>
        <n v="653525.84"/>
        <n v="681913.29"/>
        <n v="651970.48"/>
        <n v="663452.46"/>
        <n v="671379.44"/>
        <n v="729036.06"/>
        <n v="738812"/>
        <n v="767358.37"/>
        <n v="757369.87"/>
        <n v="737014.09"/>
        <n v="1219263.4"/>
        <n v="793184.25"/>
        <n v="897747.13"/>
        <n v="1027584.51"/>
        <n v="1384552.17"/>
        <n v="804362.36"/>
        <n v="640181.86"/>
        <n v="631181.25"/>
        <n v="651178.2"/>
        <n v="611258.71"/>
        <n v="680725.43"/>
        <n v="770652.79"/>
        <n v="834663.52"/>
        <n v="747099.07"/>
        <n v="764385.4"/>
        <n v="755084.4"/>
        <n v="767338.32"/>
        <n v="729759.97"/>
        <n v="724798.76"/>
        <n v="761956.58"/>
        <n v="769319.04"/>
        <n v="734858.91"/>
        <n v="674829.58"/>
        <n v="697645.32"/>
        <n v="649945.54"/>
        <n v="700554.16"/>
        <n v="722891.24"/>
        <n v="695439.83"/>
        <n v="707895.72"/>
        <n v="727049.04"/>
        <n v="735870"/>
        <n v="716341.39"/>
        <n v="693013.59"/>
        <n v="668132.36"/>
        <n v="691200.33"/>
        <n v="677789.14"/>
        <n v="693785.85"/>
        <n v="700272.01"/>
        <n v="751963.81"/>
        <n v="802003.61"/>
        <n v="763867.59"/>
        <n v="642827.29"/>
        <n v="628494.63"/>
        <n v="667151.46"/>
        <n v="647097.65"/>
        <n v="651768.91"/>
        <n v="653043.44"/>
        <n v="641368.14"/>
        <n v="675202.87"/>
        <n v="1033017.37"/>
        <n v="1022571.25"/>
        <n v="988467.61"/>
        <n v="899761.48"/>
        <n v="1009201.24"/>
        <n v="967187.37"/>
        <n v="966145.09"/>
        <n v="1012075.12"/>
        <n v="1177340.99"/>
        <n v="1033171.07"/>
        <n v="1000968.67"/>
        <n v="969594.47"/>
        <n v="977683.06"/>
        <n v="1052973.28"/>
        <n v="973585.33"/>
        <n v="979977.89"/>
        <n v="1103740.4"/>
        <n v="1095539.13"/>
        <n v="1061196.47"/>
        <n v="1052895.25"/>
        <n v="1095020.33"/>
        <n v="1120259.71"/>
        <n v="1092654.26"/>
        <n v="988392.99"/>
        <n v="974123.2"/>
        <n v="970773.64"/>
        <n v="1010326.14"/>
        <n v="993097.43"/>
        <n v="1017045.44"/>
        <n v="1081420.96"/>
        <n v="1074535.88"/>
        <n v="924174.4"/>
        <n v="918285.97"/>
        <n v="902779.25"/>
        <n v="905987.17"/>
        <n v="1015051.62"/>
        <n v="954401.46"/>
        <n v="960998.52"/>
        <n v="1025766.27"/>
        <n v="1006888.16"/>
        <n v="1043698.64"/>
        <n v="985896.44"/>
        <n v="1564502.26"/>
        <n v="1230514.58"/>
        <n v="1367202.84"/>
        <n v="1527682.99"/>
        <n v="1962445.04"/>
        <n v="774262.28"/>
        <n v="873954.7"/>
        <n v="807535.52"/>
        <n v="855001.02"/>
        <n v="799369.15"/>
        <n v="946060.98"/>
        <n v="1009206.33"/>
        <n v="975964.86"/>
        <n v="911245.43"/>
        <n v="997353.15"/>
        <n v="944587.23"/>
        <n v="926427.12"/>
        <n v="933528.39"/>
        <n v="951588.37"/>
        <n v="969046.69"/>
        <n v="1008557.04"/>
        <n v="1152781.9"/>
        <n v="926133.8"/>
        <n v="1032076.06"/>
        <n v="1001558.74"/>
        <n v="970307.83"/>
        <n v="1021568.34"/>
        <n v="1125169.92"/>
        <n v="1060868.49"/>
        <n v="1042454.61"/>
        <n v="1012584.2"/>
        <n v="1077491.68"/>
        <n v="1017050.65"/>
        <n v="961953.57"/>
        <n v="964683.8"/>
        <n v="944958.69"/>
        <n v="983232.96"/>
        <n v="991779.2"/>
        <n v="973004.91"/>
        <n v="1181815.31"/>
        <n v="912762.76"/>
        <n v="1004434.54"/>
        <n v="937420.65"/>
        <n v="899834.75"/>
        <n v="953314.16"/>
        <n v="993436.67"/>
        <n v="944337.32"/>
        <n v="981567.22"/>
        <n v="1099351.68"/>
        <n v="1106575.59"/>
        <n v="1051740.29"/>
        <n v="1007579.44"/>
        <n v="1535857.49"/>
        <n v="1167621.14"/>
        <n v="1308967.44"/>
        <n v="1453153.33"/>
        <n v="1863195.68"/>
        <n v="982661.14"/>
        <n v="895358.2"/>
        <n v="855437.57"/>
        <n v="897027.44"/>
        <n v="786459.23"/>
        <n v="958487.75"/>
        <n v="1034448.07"/>
        <n v="1004749.41"/>
        <n v="912958.95"/>
        <n v="974866.65"/>
        <n v="991127.01"/>
        <n v="966780.01"/>
        <n v="992774.4"/>
        <n v="965769.93"/>
        <n v="1197489.66"/>
        <n v="939118.24"/>
        <n v="1000342.87"/>
        <n v="922539.94"/>
        <n v="1005083.31"/>
        <n v="997868.63"/>
        <n v="986612.02"/>
        <n v="1047297.38"/>
        <n v="1102857.37"/>
        <n v="1061134.37"/>
        <n v="1061219.19"/>
        <n v="1112449.3"/>
        <n v="1053881.78"/>
        <n v="1097786.14"/>
        <n v="971361.38"/>
        <n v="991969.37"/>
        <n v="925731.21"/>
        <n v="1007257.83"/>
        <n v="973812.79"/>
        <n v="981273.26"/>
        <n v="1060906.75"/>
        <n v="1022270.86"/>
        <n v="996628.8"/>
        <n v="918049.28"/>
        <n v="921612.53"/>
        <n v="976479.51"/>
        <n v="1009887.36"/>
        <n v="1004039.84"/>
        <n v="978027.95"/>
        <n v="1094422.69"/>
        <n v="1364721.58"/>
        <n v="1380892.08"/>
        <n v="1319588.04"/>
        <n v="1198709.65"/>
        <n v="1311175.93"/>
        <n v="1408082.96"/>
        <n v="1229008.32"/>
        <n v="1310701.8"/>
        <n v="1556627.62"/>
        <n v="1264434.7"/>
        <n v="1288823.72"/>
        <n v="1315023.08"/>
        <n v="1259414.52"/>
        <n v="1365552.28"/>
        <n v="1303055.09"/>
        <n v="1327424.28"/>
        <n v="1571158.56"/>
        <n v="1514435.51"/>
        <n v="1439432.06"/>
        <n v="1507708.93"/>
        <n v="1415204.88"/>
        <n v="1549113.18"/>
        <n v="1417535.78"/>
        <n v="1413124.11"/>
        <n v="1333634.45"/>
        <n v="1319773.55"/>
        <n v="1417013.07"/>
        <n v="1346345.97"/>
        <n v="1439901.05"/>
        <n v="1584623.36"/>
        <n v="1405119.23"/>
        <n v="1272842.85"/>
        <n v="1159132.58"/>
        <n v="1099055.65"/>
        <n v="1129909.44"/>
        <n v="1179851.68"/>
        <n v="1119809.71"/>
        <n v="1147503.92"/>
        <n v="1112871.23"/>
        <n v="1203119.96"/>
        <n v="1387953.75"/>
        <n v="1314994.32"/>
        <n v="2072685.05"/>
        <n v="1617025.41"/>
        <n v="1872365.99"/>
        <n v="2238573.48"/>
        <n v="2734277.1"/>
        <n v="1169773.85"/>
        <n v="1122034.48"/>
        <n v="1016756.1"/>
        <n v="1110706.06"/>
        <n v="1083657.61"/>
        <n v="1159438.53"/>
        <n v="1249786.4"/>
        <n v="1369971.57"/>
        <n v="1206917.2"/>
        <n v="1301185.28"/>
        <n v="1042043.55"/>
        <n v="1203682.62"/>
        <n v="1148624.83"/>
        <n v="1182694.95"/>
        <n v="1248901.98"/>
        <n v="1263680.51"/>
        <n v="1447301.24"/>
        <n v="1173307.4"/>
        <n v="1359921.13"/>
        <n v="1254914.87"/>
        <n v="1337617.55"/>
        <n v="1361945.18"/>
        <n v="1562161.97"/>
        <n v="1447028.06"/>
        <n v="1470520.83"/>
        <n v="1434036.18"/>
        <n v="1492507.44"/>
        <n v="1379488.05"/>
        <n v="1360520.56"/>
        <n v="1362144"/>
        <n v="1319767.55"/>
        <n v="1416344.68"/>
        <n v="1380952.05"/>
        <n v="1453416.53"/>
        <n v="1637266.29"/>
        <n v="1464295.69"/>
        <n v="1423289.9"/>
        <n v="1253329.17"/>
        <n v="1289082.81"/>
        <n v="1275597.85"/>
        <n v="1463501.99"/>
        <n v="1257778.34"/>
        <n v="1441032.59"/>
        <n v="1407191.96"/>
        <n v="1428436.33"/>
        <n v="1436940.78"/>
        <n v="1345631.96"/>
        <n v="2057059.53"/>
        <n v="1552886.59"/>
        <n v="1841173.6"/>
        <n v="2173621.2"/>
        <n v="2587953.32"/>
        <n v="1213486.95"/>
        <n v="1150662.55"/>
        <n v="1031451.35"/>
        <n v="1146992.13"/>
        <n v="1037476.38"/>
        <n v="1261872.67"/>
        <n v="1358444.07"/>
        <n v="1365546.69"/>
        <n v="1272948.27"/>
        <n v="1322852.2"/>
        <n v="1292724.9"/>
        <n v="1258364.31"/>
        <n v="1288154.1"/>
        <n v="1261964.96"/>
        <n v="1604605.69"/>
        <n v="1231752.54"/>
        <n v="1287899.41"/>
        <n v="1277758.76"/>
        <n v="1317379.68"/>
        <n v="1321914.34"/>
        <n v="1332952.47"/>
        <n v="1552934.64"/>
        <n v="1476144.34"/>
        <n v="1568048.54"/>
        <n v="1543667.68"/>
        <n v="1522042.57"/>
        <n v="1451782.16"/>
        <n v="1545370.16"/>
        <n v="1384921.63"/>
        <n v="1381339.23"/>
        <n v="1322932.36"/>
        <n v="1416926.31"/>
        <n v="1436311.76"/>
        <n v="1510131.45"/>
        <n v="1702220.96"/>
        <n v="1577468.78"/>
        <n v="1427162.26"/>
        <n v="1279041.64"/>
        <n v="1338627.55"/>
        <n v="1319035.06"/>
        <n v="1464616.59"/>
        <n v="1412925.25"/>
        <n v="1363155.77"/>
        <n v="1347454.59"/>
        <n v="1388725.63"/>
        <n v="1414107.1"/>
        <n v="1385362.49"/>
        <n v="1158722.74"/>
        <n v="1412387.37"/>
        <n v="1309340.16"/>
        <n v="1222511.29"/>
        <n v="1258311.56"/>
        <n v="1478321.26"/>
        <n v="1379579.63"/>
        <n v="1268266.72"/>
        <n v="1264117.01"/>
        <n v="1259877.19"/>
        <n v="1409705.03"/>
        <n v="1346783.35"/>
        <n v="1283482.85"/>
        <n v="1473868.15"/>
        <n v="1566668.91"/>
        <n v="1375458.21"/>
        <n v="1354168.18"/>
        <n v="1399073.75"/>
        <n v="1563387.94"/>
        <n v="1665502.55"/>
        <n v="1418697.05"/>
        <n v="1333740.35"/>
        <n v="1387517.63"/>
        <n v="1442819.28"/>
        <n v="1384243.75"/>
        <n v="1375307.54"/>
        <n v="1350059.35"/>
        <n v="1366381.6"/>
        <n v="1474498.59"/>
        <n v="1273295.46"/>
        <n v="1169413.27"/>
        <n v="1215273.2"/>
        <n v="1361944.94"/>
        <n v="1300806.74"/>
        <n v="1234875.33"/>
        <n v="1244925.94"/>
        <n v="1285358.01"/>
        <n v="1312877.01"/>
        <n v="1277150.6"/>
        <n v="1779276.51"/>
        <n v="1413302.7"/>
        <n v="1593012.75"/>
        <n v="1663525.77"/>
        <n v="2386015.75"/>
        <n v="1208600.05"/>
        <n v="1178641.71"/>
        <n v="1167740.2"/>
        <n v="1107170.39"/>
        <n v="1126921.34"/>
        <n v="1225182.04"/>
        <n v="1341240.62"/>
        <n v="1360150.12"/>
        <n v="1235121.33"/>
        <n v="1346994.53"/>
        <n v="1253218.7"/>
        <n v="1168397.26"/>
        <n v="1158693.12"/>
        <n v="1163803.3"/>
        <n v="1273670.32"/>
        <n v="1245576.65"/>
        <n v="1372484.9"/>
        <n v="1197761.17"/>
        <n v="1339630.35"/>
        <n v="1311950.16"/>
        <n v="1234281.7"/>
        <n v="1311153.72"/>
        <n v="1554837.62"/>
        <n v="1373841.91"/>
        <n v="1320359.23"/>
        <n v="1304850.67"/>
        <n v="1445596.61"/>
        <n v="1567340.07"/>
        <n v="1356938.95"/>
        <n v="1357672.24"/>
        <n v="1310973.06"/>
        <n v="1417616.81"/>
        <n v="1402818.01"/>
        <n v="1352039.88"/>
        <n v="1402372.09"/>
        <n v="1196105.44"/>
        <n v="1527455.19"/>
        <n v="1227535.97"/>
        <n v="1232376.49"/>
        <n v="1246242.61"/>
        <n v="1405914.39"/>
        <n v="1333315.03"/>
        <n v="1283563.43"/>
        <n v="1307142.75"/>
        <n v="1385860.38"/>
        <n v="1425078.59"/>
        <n v="1297535.69"/>
        <n v="1761235.67"/>
        <n v="1335647.1"/>
        <n v="1529615.54"/>
        <n v="1624994.43"/>
        <n v="2168344.23"/>
        <n v="1363973.16"/>
        <n v="1251581.89"/>
        <n v="1155594.2"/>
        <n v="1151993.85"/>
        <n v="1057290.41"/>
        <n v="1249696.97"/>
        <n v="1403460.87"/>
        <n v="1326370.08"/>
        <n v="1303233.15"/>
        <n v="1213994.39"/>
        <n v="1325835.7"/>
        <n v="1239299.12"/>
        <n v="1221723.94"/>
        <n v="1230106.13"/>
        <n v="1524734.29"/>
        <n v="1285783.87"/>
        <n v="1208654.4"/>
        <n v="1194334.65"/>
        <n v="1306551.71"/>
        <n v="1355391.79"/>
        <n v="1298809.8"/>
        <n v="1407897.57"/>
        <n v="1467722.19"/>
        <n v="1406313.13"/>
        <n v="1364445.98"/>
        <n v="1434709.63"/>
        <n v="1428869.9"/>
        <n v="1645097.75"/>
        <n v="1405475.78"/>
        <n v="1394299"/>
        <n v="1307339.14"/>
        <n v="1440374.13"/>
        <n v="1497054.81"/>
        <n v="1397970.54"/>
        <n v="1303726.54"/>
        <n v="1344558.92"/>
        <n v="1477134.75"/>
        <n v="1242909.53"/>
        <n v="1261158.47"/>
        <n v="1259278.36"/>
        <n v="1416720.54"/>
        <n v="1416301.17"/>
        <n v="1255414.84"/>
        <n v="1307182.29"/>
        <n v="677231.63"/>
        <n v="583364.02"/>
        <n v="676260.67"/>
        <n v="628516.57"/>
        <n v="665750.06"/>
        <n v="660619.99"/>
        <n v="659795.84"/>
        <n v="696687.6"/>
        <n v="822486.37"/>
        <n v="712647.97"/>
        <n v="715311.6"/>
        <n v="694531.72"/>
        <n v="706924.02"/>
        <n v="724468.97"/>
        <n v="698073.95"/>
        <n v="704113.22"/>
        <n v="792442.54"/>
        <n v="764155.44"/>
        <n v="737163.2"/>
        <n v="780444.94"/>
        <n v="737569.14"/>
        <n v="759407.87"/>
        <n v="719591.13"/>
        <n v="726997.84"/>
        <n v="665290.93"/>
        <n v="682124.34"/>
        <n v="699464.43"/>
        <n v="686072.39"/>
        <n v="724499.81"/>
        <n v="711461.95"/>
        <n v="685700.08"/>
        <n v="655811.95"/>
        <n v="628989.88"/>
        <n v="607819.33"/>
        <n v="658640.14"/>
        <n v="674283.86"/>
        <n v="616094.72"/>
        <n v="661644.19"/>
        <n v="674458.03"/>
        <n v="696314.53"/>
        <n v="713250.08"/>
        <n v="718056.73"/>
        <n v="1115240.61"/>
        <n v="885572.96"/>
        <n v="964729.18"/>
        <n v="1047707.59"/>
        <n v="1295391.19"/>
        <n v="623092.54"/>
        <n v="558794.63"/>
        <n v="572360.83"/>
        <n v="568093.57"/>
        <n v="600448.69"/>
        <n v="639830.45"/>
        <n v="615666.78"/>
        <n v="634637.03"/>
        <n v="570816.34"/>
        <n v="640912.18"/>
        <n v="599828.39"/>
        <n v="603393.64"/>
        <n v="616324.24"/>
        <n v="618377.79"/>
        <n v="648606.13"/>
        <n v="674562.45"/>
        <n v="756588.42"/>
        <n v="649245"/>
        <n v="659446.55"/>
        <n v="684783.15"/>
        <n v="677971.33"/>
        <n v="718373.94"/>
        <n v="737551.74"/>
        <n v="740259.63"/>
        <n v="717373.43"/>
        <n v="699270.1"/>
        <n v="706206.86"/>
        <n v="698529.64"/>
        <n v="680510.23"/>
        <n v="670854.96"/>
        <n v="668390.82"/>
        <n v="679706.01"/>
        <n v="667130.48"/>
        <n v="688958.75"/>
        <n v="726422.55"/>
        <n v="699779"/>
        <n v="673248.48"/>
        <n v="628720.46"/>
        <n v="620885.93"/>
        <n v="639160.24"/>
        <n v="671522.87"/>
        <n v="646915.47"/>
        <n v="690675.5"/>
        <n v="724443.97"/>
        <n v="718393.61"/>
        <n v="719235.07"/>
        <n v="728525.6"/>
        <n v="1116211.39"/>
        <n v="878314.57"/>
        <n v="916446.02"/>
        <n v="997502.47"/>
        <n v="1290532.97"/>
        <n v="683665.37"/>
        <n v="636419.12"/>
        <n v="614764.31"/>
        <n v="594744.89"/>
        <n v="589554.29"/>
        <n v="642776.4"/>
        <n v="658984.38"/>
        <n v="654088.02"/>
        <n v="613501.05"/>
        <n v="643155.89"/>
        <n v="643711.53"/>
        <n v="638204.27"/>
        <n v="672831.78"/>
        <n v="684348.92"/>
        <n v="791356.9"/>
        <n v="658691.56"/>
        <n v="661566.48"/>
        <n v="655157.32"/>
        <n v="696421.72"/>
        <n v="739866.16"/>
        <n v="717207.19"/>
        <n v="783371.02"/>
        <n v="694765.95"/>
        <n v="730254.19"/>
        <n v="753860.89"/>
        <n v="721601.9"/>
        <n v="718890.81"/>
        <n v="753385.55"/>
        <n v="714093.95"/>
        <n v="685676.58"/>
        <n v="659109.53"/>
        <n v="709724.6"/>
        <n v="710496.97"/>
        <n v="728467.72"/>
        <n v="756527.64"/>
        <n v="714828.73"/>
        <n v="671482.9"/>
        <n v="657241.63"/>
        <n v="664745.2"/>
        <n v="683300.84"/>
        <n v="699536.73"/>
        <n v="697317.41"/>
        <n v="685531.85"/>
        <n v="688940.94"/>
        <n v="1034119.21"/>
        <n v="1015684.09"/>
        <n v="999348.55"/>
        <n v="855385.01"/>
        <n v="1005669.58"/>
        <n v="963382.09"/>
        <n v="903366.55"/>
        <n v="893613"/>
        <n v="1029849.2"/>
        <n v="1022293.81"/>
        <n v="905548.38"/>
        <n v="881930.87"/>
        <n v="904503.85"/>
        <n v="1074479.73"/>
        <n v="972663.59"/>
        <n v="986765.01"/>
        <n v="1069851.59"/>
        <n v="1003202.66"/>
        <n v="1073862.59"/>
        <n v="1001286.67"/>
        <n v="976242.09"/>
        <n v="1078455.48"/>
        <n v="1122356.53"/>
        <n v="1028151.72"/>
        <n v="971615.62"/>
        <n v="1005324.28"/>
        <n v="1125329.77"/>
        <n v="1011938.29"/>
        <n v="1007385.36"/>
        <n v="977322.52"/>
        <n v="1037549.71"/>
        <n v="1042226.3"/>
        <n v="923473.7"/>
        <n v="868636.3"/>
        <n v="923221.52"/>
        <n v="1001069.52"/>
        <n v="937956.89"/>
        <n v="916522.66"/>
        <n v="895069.88"/>
        <n v="970224.51"/>
        <n v="971193.01"/>
        <n v="901972.7"/>
        <n v="1286833.62"/>
        <n v="1016143.64"/>
        <n v="1149612.04"/>
        <n v="1196813.33"/>
        <n v="1573982.47"/>
        <n v="877268.29"/>
        <n v="938149.21"/>
        <n v="812323.29"/>
        <n v="809833.21"/>
        <n v="817485.14"/>
        <n v="911807.02"/>
        <n v="1010711.08"/>
        <n v="981978.02"/>
        <n v="910298.44"/>
        <n v="945643.17"/>
        <n v="946614.55"/>
        <n v="887426.12"/>
        <n v="866566.54"/>
        <n v="849231.61"/>
        <n v="985229.81"/>
        <n v="863266.12"/>
        <n v="921700.61"/>
        <n v="873450.29"/>
        <n v="1024778.23"/>
        <n v="941008.85"/>
        <n v="938334.62"/>
        <n v="996723.58"/>
        <n v="1054454.4"/>
        <n v="1094058.68"/>
        <n v="981646.46"/>
        <n v="997474.93"/>
        <n v="1070119.09"/>
        <n v="1133807.03"/>
        <n v="1021534.7"/>
        <n v="1017867.8"/>
        <n v="1005360.5"/>
        <n v="1107552.43"/>
        <n v="1087644.5"/>
        <n v="1021766.75"/>
        <n v="1064617.62"/>
        <n v="1040143.14"/>
        <n v="1069710.97"/>
        <n v="951569.84"/>
        <n v="923644.6"/>
        <n v="959339.51"/>
        <n v="1130022.99"/>
        <n v="987886.08"/>
        <n v="974907.28"/>
        <n v="972256.98"/>
        <n v="988950.75"/>
        <n v="1077640.13"/>
        <n v="946091.79"/>
        <n v="1282320.05"/>
        <n v="1012498.49"/>
        <n v="1148987.46"/>
        <n v="1204807.83"/>
        <n v="1515175.01"/>
        <n v="972834.42"/>
        <n v="971557.62"/>
        <n v="836305.65"/>
        <n v="838751.5"/>
        <n v="820059.89"/>
        <n v="939158.25"/>
        <n v="1081005.64"/>
        <n v="965788.76"/>
        <n v="917924.47"/>
        <n v="955641.74"/>
        <n v="1028569.01"/>
        <n v="919503.4"/>
        <n v="874790.68"/>
        <n v="922018.43"/>
        <n v="1116829.23"/>
        <n v="889670.29"/>
        <n v="923600.02"/>
        <n v="911969"/>
        <n v="946573.29"/>
        <n v="1062548.73"/>
        <n v="978082.84"/>
        <n v="1067310.74"/>
        <n v="1015853.03"/>
        <n v="1106176.83"/>
        <n v="1029248.22"/>
        <n v="1056282.91"/>
        <n v="1051190.44"/>
        <n v="1180470.8"/>
        <n v="1063149.78"/>
        <n v="1049625.9"/>
        <n v="1031745.14"/>
        <n v="1090915.09"/>
        <n v="1121476.51"/>
        <n v="1068292.56"/>
        <n v="1022704.2"/>
        <n v="1053495.51"/>
        <n v="1081874.03"/>
        <n v="986131.94"/>
        <n v="961084.08"/>
        <n v="964726.37"/>
        <n v="1095504.26"/>
        <n v="1044639.69"/>
        <n v="975578.02"/>
        <n v="958619.8"/>
        <n v="1874289.79"/>
        <n v="1745362.72"/>
        <n v="1945070.33"/>
        <n v="1390934.27"/>
        <n v="1313729.72"/>
        <n v="1925113.12"/>
        <n v="1700627.97"/>
        <n v="1836714.84"/>
        <n v="2053952.97"/>
        <n v="1955814.13"/>
        <n v="1857500.96"/>
        <n v="1850205.47"/>
        <n v="1805885.04"/>
        <n v="1939458.84"/>
        <n v="1842465.78"/>
        <n v="1836595.58"/>
        <n v="1962468.67"/>
        <n v="2073102.59"/>
        <n v="1873812.93"/>
        <n v="1887182.27"/>
        <n v="1962625.01"/>
        <n v="2024554.1"/>
        <n v="2119163.01"/>
        <n v="1880691.64"/>
        <n v="1808250.71"/>
        <n v="1816489.53"/>
        <n v="1908036.68"/>
        <n v="1864436.12"/>
        <n v="1936878.46"/>
        <n v="1870684.21"/>
        <n v="1908110.9"/>
        <n v="1913494.81"/>
        <n v="1629978.46"/>
        <n v="1597002.71"/>
        <n v="1543532.83"/>
        <n v="1707662.87"/>
        <n v="1728388.2"/>
        <n v="1693935.29"/>
        <n v="1688955.49"/>
        <n v="1686010.02"/>
        <n v="1828010.25"/>
        <n v="1704785.74"/>
        <n v="2627910.75"/>
        <n v="1884343.67"/>
        <n v="2139733.68"/>
        <n v="2350098.36"/>
        <n v="3078162.08"/>
        <n v="1440963"/>
        <n v="1568159.48"/>
        <n v="1532308.62"/>
        <n v="1517029.9"/>
        <n v="1421111.55"/>
        <n v="1628100.79"/>
        <n v="1636224.77"/>
        <n v="1709365.19"/>
        <n v="1688935.71"/>
        <n v="1656130.67"/>
        <n v="1613259.77"/>
        <n v="1624539.21"/>
        <n v="1554651.08"/>
        <n v="1628868.28"/>
        <n v="1689844.18"/>
        <n v="1727175.61"/>
        <n v="1921655.48"/>
        <n v="1642074.64"/>
        <n v="1757041.96"/>
        <n v="1763545.32"/>
        <n v="1725268.56"/>
        <n v="1820723.17"/>
        <n v="2053708.01"/>
        <n v="1817914.71"/>
        <n v="1814740.09"/>
        <n v="1811455.15"/>
        <n v="1949983.93"/>
        <n v="2000055.27"/>
        <n v="1762155.79"/>
        <n v="1754879.45"/>
        <n v="1744879.06"/>
        <n v="1747289.53"/>
        <n v="1758437.96"/>
        <n v="1781905.24"/>
        <n v="2034400.78"/>
        <n v="1511717.53"/>
        <n v="1911470.84"/>
        <n v="1613773.9"/>
        <n v="1606208.68"/>
        <n v="1599626.26"/>
        <n v="1672339.27"/>
        <n v="1682652.51"/>
        <n v="1689591.44"/>
        <n v="1710372.4"/>
        <n v="1621109.3"/>
        <n v="1800728.07"/>
        <n v="1723739.44"/>
        <n v="2504400.71"/>
        <n v="1806924.74"/>
        <n v="2014665.98"/>
        <n v="2205919.86"/>
        <n v="2739019.75"/>
        <n v="1650604.6"/>
        <n v="1535287.4"/>
        <n v="1492399.13"/>
        <n v="1542131.05"/>
        <n v="1263534.86"/>
        <n v="1564246.02"/>
        <n v="1651605.35"/>
        <n v="1606221.56"/>
        <n v="1648602.39"/>
        <n v="1509323.09"/>
        <n v="1607343.41"/>
        <n v="1635984.07"/>
        <n v="1620839.34"/>
        <n v="1615494.14"/>
        <n v="1899013.34"/>
        <n v="1650405.21"/>
        <n v="1639999.47"/>
        <n v="1565498.84"/>
        <n v="1669388.45"/>
        <n v="1674306.31"/>
        <n v="1707158.82"/>
        <n v="1818906.73"/>
        <n v="1900638.6"/>
        <n v="1764756.31"/>
        <n v="1773500.56"/>
        <n v="1837884.79"/>
        <n v="1842555.32"/>
        <n v="2062224.92"/>
        <n v="1755889.53"/>
        <n v="1730913.66"/>
        <n v="1625883.71"/>
        <n v="1705810.84"/>
        <n v="1720537.26"/>
        <n v="1735339.59"/>
        <n v="1780443.36"/>
        <n v="1731935.43"/>
        <n v="1840955.23"/>
        <n v="1519604.5"/>
        <n v="1557485.75"/>
        <n v="1540687.63"/>
        <n v="1591816.88"/>
        <n v="1660081.29"/>
        <n v="1620374.24"/>
        <n v="1703047.74"/>
        <n v="1672352.29"/>
        <n v="1558968.49"/>
        <n v="1491300.42"/>
        <n v="1542173.33"/>
        <n v="1608435.45"/>
        <n v="1326877.11"/>
        <n v="1279819.43"/>
        <n v="1245268.77"/>
        <n v="1441559.4"/>
        <n v="1382359.21"/>
        <n v="1268240.66"/>
        <n v="1244177.21"/>
        <n v="1186971.02"/>
        <n v="1532893.22"/>
        <n v="1245898.73"/>
        <n v="1217923.71"/>
        <n v="1176588.25"/>
        <n v="1543678.02"/>
        <n v="1348995.17"/>
        <n v="1267619.06"/>
        <n v="1231025.07"/>
        <n v="1399960.15"/>
        <n v="1340293.87"/>
        <n v="1225336.41"/>
        <n v="1205884.98"/>
        <n v="1150204.71"/>
        <n v="1523101.38"/>
        <n v="1218688.09"/>
        <n v="1195897.6"/>
        <n v="1191585.92"/>
        <n v="1523410.71"/>
        <n v="1246062.17"/>
        <n v="1159812.35"/>
        <n v="1111797.21"/>
        <n v="1203080.41"/>
        <n v="1334571.87"/>
        <n v="1158062.99"/>
        <n v="1120619.32"/>
        <n v="1231688.48"/>
        <n v="1501663.26"/>
        <n v="1266460.45"/>
        <n v="1179315.72"/>
        <n v="1937033.5"/>
        <n v="1447916.29"/>
        <n v="1466164.49"/>
        <n v="1510443.62"/>
        <n v="2026026.39"/>
        <n v="1090558.57"/>
        <n v="1402902.47"/>
        <n v="1098286.61"/>
        <n v="1079669.11"/>
        <n v="1127859.69"/>
        <n v="1564897.32"/>
        <n v="1397301.38"/>
        <n v="1514828.82"/>
        <n v="1311796.91"/>
        <n v="1723736.91"/>
        <n v="1380836.35"/>
        <n v="1286413.71"/>
        <n v="1201059.72"/>
        <n v="1336838.41"/>
        <n v="1414713.5"/>
        <n v="1240126.07"/>
        <n v="1297452"/>
        <n v="1222367.9"/>
        <n v="1515890.38"/>
        <n v="1253316.3"/>
        <n v="1151282.31"/>
        <n v="1160043.98"/>
        <n v="1403779.25"/>
        <n v="1339972.83"/>
        <n v="1268503.49"/>
        <n v="1208809.34"/>
        <n v="1319054.57"/>
        <n v="1459655.85"/>
        <n v="1197373.13"/>
        <n v="1165870.54"/>
        <n v="1114530.29"/>
        <n v="1523870.89"/>
        <n v="1218764.94"/>
        <n v="1200019.74"/>
        <n v="1166479.51"/>
        <n v="1468871.49"/>
        <n v="1310087"/>
        <n v="1159212.1"/>
        <n v="1109105.92"/>
        <n v="1120731.76"/>
        <n v="1557314.58"/>
        <n v="1220984.94"/>
        <n v="1203172.05"/>
        <n v="1242746.06"/>
        <n v="1576654.67"/>
        <n v="1402654.95"/>
        <n v="1255081.22"/>
        <n v="1929738.27"/>
        <n v="1368130.35"/>
        <n v="1467024.3"/>
        <n v="1429954.66"/>
        <n v="1796203.51"/>
        <n v="1270036.53"/>
        <n v="1466046.07"/>
        <n v="1161190.29"/>
        <n v="1129540.48"/>
        <n v="1132948.48"/>
        <n v="1531599.44"/>
        <n v="1572966.15"/>
        <n v="1501503.68"/>
        <n v="1323487.91"/>
        <n v="1451740.57"/>
        <n v="1680764.06"/>
        <n v="1337875.49"/>
        <n v="1216059.41"/>
        <n v="1209524.11"/>
        <n v="1559592.79"/>
        <n v="1290684.95"/>
        <n v="1180797.2"/>
        <n v="1170456.16"/>
        <n v="1450628.85"/>
        <n v="1264575.18"/>
        <n v="1213310.45"/>
        <n v="1151214.41"/>
        <n v="1245480.95"/>
        <n v="1440687.69"/>
        <n v="1229760.97"/>
        <n v="1180671.55"/>
        <n v="1129031.98"/>
        <n v="1500863.54"/>
        <n v="1179915.04"/>
        <n v="1149427.48"/>
        <n v="1135035.09"/>
        <n v="1376520.1"/>
        <n v="1269113.41"/>
        <n v="1184198.41"/>
        <n v="1199309.59"/>
        <n v="1227118.75"/>
        <n v="1469693.99"/>
        <n v="1124660.77"/>
        <n v="1135340.19"/>
        <n v="1129508.61"/>
        <n v="1462941.03"/>
        <n v="1205536.71"/>
        <n v="1143724.48"/>
        <n v="1213860.61"/>
        <n v="538634.46"/>
        <n v="529672.95"/>
        <n v="542399.07"/>
        <n v="488417.61"/>
        <n v="535087.91"/>
        <n v="519042.49"/>
        <n v="496851.6"/>
        <n v="552985.34"/>
        <n v="599629.25"/>
        <n v="569937.23"/>
        <n v="509100.84"/>
        <n v="505329.66"/>
        <n v="501013.47"/>
        <n v="568497.35"/>
        <n v="518940.88"/>
        <n v="502021.82"/>
        <n v="577627.66"/>
        <n v="588017.66"/>
        <n v="540716.58"/>
        <n v="558731.74"/>
        <n v="585548.79"/>
        <n v="581473.55"/>
        <n v="563449.43"/>
        <n v="512292.01"/>
        <n v="506502.09"/>
        <n v="509872.77"/>
        <n v="519787.93"/>
        <n v="495269"/>
        <n v="531640.19"/>
        <n v="545766.13"/>
        <n v="579272.38"/>
        <n v="491290.37"/>
        <n v="463752.89"/>
        <n v="465338.41"/>
        <n v="474698.01"/>
        <n v="530059.06"/>
        <n v="483011.69"/>
        <n v="505221.17"/>
        <n v="527058.59"/>
        <n v="521002.97"/>
        <n v="524450.7"/>
        <n v="508174.55"/>
        <n v="975268.91"/>
        <n v="642678.53"/>
        <n v="713834.74"/>
        <n v="850538.25"/>
        <n v="1130926.79"/>
        <n v="465992.02"/>
        <n v="455952.18"/>
        <n v="426905.26"/>
        <n v="445134.15"/>
        <n v="410426.97"/>
        <n v="504126.89"/>
        <n v="550387.78"/>
        <n v="542529.21"/>
        <n v="483660.15"/>
        <n v="536031.67"/>
        <n v="493430.45"/>
        <n v="493653.43"/>
        <n v="478773.05"/>
        <n v="475615.26"/>
        <n v="505304.33"/>
        <n v="518245.97"/>
        <n v="589252.69"/>
        <n v="493078.64"/>
        <n v="534372.53"/>
        <n v="549551.02"/>
        <n v="492932.51"/>
        <n v="550735.64"/>
        <n v="598251.57"/>
        <n v="558431.44"/>
        <n v="536914.17"/>
        <n v="545368.17"/>
        <n v="567114.6"/>
        <n v="547586.07"/>
        <n v="505246.15"/>
        <n v="507335.75"/>
        <n v="474653.06"/>
        <n v="503486.37"/>
        <n v="471311.5"/>
        <n v="498056"/>
        <n v="608294.98"/>
        <n v="497085.91"/>
        <n v="505406.72"/>
        <n v="474129.35"/>
        <n v="475696.37"/>
        <n v="446516.26"/>
        <n v="514993"/>
        <n v="475776.45"/>
        <n v="505068.22"/>
        <n v="515119.64"/>
        <n v="620735.72"/>
        <n v="531600.62"/>
        <n v="504601.29"/>
        <n v="913165.19"/>
        <n v="579874.22"/>
        <n v="633240.53"/>
        <n v="736805.66"/>
        <n v="1016637.39"/>
        <n v="551743.05"/>
        <n v="469773.85"/>
        <n v="444756.37"/>
        <n v="446863.31"/>
        <n v="395987.24"/>
        <n v="493159.35"/>
        <n v="545840.05"/>
        <n v="559606.91"/>
        <n v="488782.63"/>
        <n v="500801.72"/>
        <n v="504750.35"/>
        <n v="489293.72"/>
        <n v="517408.48"/>
        <n v="504566.28"/>
        <n v="633826.55"/>
        <n v="520493.83"/>
        <n v="525200.59"/>
        <n v="497250.22"/>
        <n v="504963.84"/>
        <n v="529707.87"/>
        <n v="543706.04"/>
        <n v="549665.67"/>
        <n v="576252.35"/>
        <n v="554093.15"/>
        <n v="552338.76"/>
        <n v="581854.5"/>
        <n v="555954.13"/>
        <n v="578832.41"/>
        <n v="514709.76"/>
        <n v="506705.36"/>
        <n v="475158.24"/>
        <n v="504754.74"/>
        <n v="518628.42"/>
        <n v="416881.66"/>
        <n v="615026.15"/>
        <n v="545844.91"/>
        <n v="540811.85"/>
        <n v="475127.18"/>
        <n v="489079.23"/>
        <n v="489674.23"/>
        <n v="520632.8"/>
        <n v="513737"/>
        <n v="516909.24"/>
        <n v="534970.68"/>
        <n v="465108.52"/>
        <n v="497374.57"/>
        <n v="463513.26"/>
        <n v="472330.71"/>
        <n v="472591.07"/>
        <n v="468189.93"/>
        <n v="445736.36"/>
        <n v="442457.35"/>
        <n v="457884.06"/>
        <n v="454800.96"/>
        <n v="471054.16"/>
        <n v="462454.39"/>
        <n v="456140.34"/>
        <n v="457883.94"/>
        <n v="461868.09"/>
        <n v="455751.84"/>
        <n v="462474.16"/>
        <n v="458343.7"/>
        <n v="445530.16"/>
        <n v="447727.52"/>
        <n v="453210.24"/>
        <n v="450337.47"/>
        <n v="436293.4"/>
        <n v="438068.71"/>
        <n v="440491.33"/>
        <n v="437893.76"/>
        <n v="441407.06"/>
        <n v="444160.07"/>
        <n v="447139.8"/>
        <n v="443810.78"/>
        <n v="461548.98"/>
        <n v="455162.92"/>
        <n v="462058.19"/>
        <n v="448392.17"/>
        <n v="445475.3"/>
        <n v="462080.47"/>
        <n v="453943.89"/>
        <n v="459631.74"/>
        <n v="438334.39"/>
        <n v="484661.87"/>
        <n v="431266.64"/>
        <n v="423707.69"/>
        <n v="462732.36"/>
        <n v="407112.22"/>
        <n v="428631.91"/>
        <n v="445332.28"/>
        <n v="519354.88"/>
        <n v="397631.02"/>
        <n v="451077.21"/>
        <n v="465408.72"/>
        <n v="439132.62"/>
        <n v="425989.04"/>
        <n v="490970.95"/>
        <n v="470921.24"/>
        <n v="417070.51"/>
        <n v="432687.97"/>
        <n v="443334.71"/>
        <n v="438529.81"/>
        <n v="425470.84"/>
        <n v="431754.01"/>
        <n v="437926.79"/>
        <n v="443889.5"/>
        <n v="426666.92"/>
        <n v="445358.73"/>
        <n v="423687.2"/>
        <n v="438789.52"/>
        <n v="424614.59"/>
        <n v="435102.2"/>
        <n v="429305.82"/>
        <n v="432808.48"/>
        <n v="424697.05"/>
        <n v="435481.03"/>
        <n v="422715.74"/>
        <n v="428782.38"/>
        <n v="419764.37"/>
        <n v="420515.63"/>
        <n v="423441.76"/>
        <n v="414245.96"/>
        <n v="431798.64"/>
        <n v="412224.67"/>
        <n v="414450.61"/>
        <n v="387944.83"/>
        <n v="369722.32"/>
        <n v="370897.82"/>
        <n v="382914.66"/>
        <n v="391837.56"/>
        <n v="387001.13"/>
        <n v="417528.26"/>
        <n v="410711.99"/>
        <n v="428958.53"/>
        <n v="426151.88"/>
        <n v="432359.04"/>
        <n v="409686.63"/>
        <n v="436462.63"/>
        <n v="452163.93"/>
        <n v="412385.75"/>
        <n v="436741.02"/>
        <n v="441265.08"/>
        <n v="492022.68"/>
        <n v="376777.45"/>
        <n v="457030.86"/>
        <n v="447023.91"/>
        <n v="438760.62"/>
        <n v="433037.66"/>
        <n v="434080.74"/>
        <n v="451365.99"/>
        <n v="435109.11"/>
        <n v="425215.71"/>
        <n v="438640.61"/>
        <n v="446617.89"/>
        <n v="413617.45"/>
        <n v="430222.97"/>
        <n v="449603.91"/>
        <n v="461511.92"/>
        <n v="428784.7"/>
        <n v="462909.41"/>
        <n v="433744.83"/>
        <n v="454477.54"/>
        <n v="436070.45"/>
        <n v="460945.14"/>
        <n v="449355.91"/>
        <n v="427021.18"/>
        <n v="437222.94"/>
        <n v="438523.24"/>
        <n v="428554.63"/>
        <n v="423192.4"/>
        <n v="440553.42"/>
        <n v="417640.34"/>
        <n v="427491.04"/>
        <n v="424581.17"/>
        <n v="425136.55"/>
        <n v="430878.28"/>
        <n v="423351.15"/>
        <n v="425296.65"/>
        <n v="439132.5"/>
        <n v="433565.77"/>
        <n v="437773.31"/>
        <n v="443891.64"/>
        <n v="425410.04"/>
        <n v="446751.45"/>
        <n v="434593.26"/>
        <n v="437537.29"/>
        <n v="439424.5"/>
        <n v="1469252.05"/>
        <n v="1543947.23"/>
        <n v="1473386.75"/>
        <n v="1344354.41"/>
        <n v="1384870.51"/>
        <n v="1366193.35"/>
        <n v="1332261.01"/>
        <n v="1229635.7"/>
        <n v="1357600.68"/>
        <n v="1395710.09"/>
        <n v="1367448.28"/>
        <n v="1280465.8"/>
        <n v="1243200.24"/>
        <n v="1381796.8"/>
        <n v="1287288.59"/>
        <n v="1337405.6"/>
        <n v="1309437.17"/>
        <n v="1427624.5"/>
        <n v="1377092.33"/>
        <n v="1368090.08"/>
        <n v="1303523.73"/>
        <n v="1311704.92"/>
        <n v="1315118.4"/>
        <n v="1335433.72"/>
        <n v="1276031.84"/>
        <n v="1231993.14"/>
        <n v="1352401.08"/>
        <n v="1327719.34"/>
        <n v="1376571.21"/>
        <n v="1326621.98"/>
        <n v="1302047.48"/>
        <n v="1308179.02"/>
        <n v="1294105.01"/>
        <n v="1230250.25"/>
        <n v="1213981.64"/>
        <n v="1300131.68"/>
        <n v="1265852.43"/>
        <n v="1262289.29"/>
        <n v="1257921.28"/>
        <n v="1324455.72"/>
        <n v="1352780.76"/>
        <n v="1359158.57"/>
        <n v="1858856.06"/>
        <n v="1338716.37"/>
        <n v="1475685.1"/>
        <n v="1714667"/>
        <n v="2068942.97"/>
        <n v="1198071.6"/>
        <n v="1311986.87"/>
        <n v="1350730.31"/>
        <n v="1344167.13"/>
        <n v="1254955.68"/>
        <n v="1443206.46"/>
        <n v="1539230.32"/>
        <n v="1539063.91"/>
        <n v="1365678.22"/>
        <n v="1412721.18"/>
        <n v="1405572.93"/>
        <n v="1425559.02"/>
        <n v="1357036.1"/>
        <n v="1344890.73"/>
        <n v="1416790.17"/>
        <n v="1408464.08"/>
        <n v="1461393.91"/>
        <n v="1331137.96"/>
        <n v="1388755.61"/>
        <n v="1408118.22"/>
        <n v="1387365.19"/>
        <n v="1342273.64"/>
        <n v="1430348.1"/>
        <n v="1425299.37"/>
        <n v="1491039.14"/>
        <n v="1375962.46"/>
        <n v="1371889.27"/>
        <n v="1423144.47"/>
        <n v="1415473.91"/>
        <n v="1401944.8"/>
        <n v="1308122.15"/>
        <n v="1428993.33"/>
        <n v="1443311.49"/>
        <n v="1487542.53"/>
        <n v="1417267.07"/>
        <n v="1385769.03"/>
        <n v="1376670.27"/>
        <n v="1363460.86"/>
        <n v="1347607.74"/>
        <n v="1285534.74"/>
        <n v="1427383.24"/>
        <n v="1378340.18"/>
        <n v="1409310.4"/>
        <n v="1346862.72"/>
        <n v="1426405.46"/>
        <n v="1444783.64"/>
        <n v="1445174.79"/>
        <n v="1934099.65"/>
        <n v="1388809.43"/>
        <n v="1556798.94"/>
        <n v="1611196.61"/>
        <n v="2026176.14"/>
        <n v="1355405.95"/>
        <n v="1401232.52"/>
        <n v="1377485.12"/>
        <n v="1372504.9"/>
        <n v="1259941.48"/>
        <n v="1391479.91"/>
        <n v="1527688.58"/>
        <n v="1570813.52"/>
        <n v="1392543.37"/>
        <n v="1427881.22"/>
        <n v="1439034.86"/>
        <n v="1481728.13"/>
        <n v="1365824.97"/>
        <n v="1318854.22"/>
        <n v="1496169.81"/>
        <n v="1407842.91"/>
        <n v="1407036.59"/>
        <n v="1311352.25"/>
        <n v="1391257.28"/>
        <n v="1392938.06"/>
        <n v="1441473.82"/>
        <n v="1397094.26"/>
        <n v="1404516.29"/>
        <n v="1443285.79"/>
        <n v="1431003.43"/>
        <n v="1394065.76"/>
        <n v="1349202.25"/>
        <n v="1458059.42"/>
        <n v="1374301.34"/>
        <n v="1392395.2"/>
        <n v="1303732.36"/>
        <n v="1390174.63"/>
        <n v="1386472.59"/>
        <n v="1410181.7"/>
        <n v="1379783.21"/>
        <n v="1373651.49"/>
        <n v="1358111.62"/>
        <n v="1327705.44"/>
        <n v="1373064.87"/>
        <n v="1279080.58"/>
        <n v="1363365.05"/>
        <n v="1401113.42"/>
        <n v="1378730.45"/>
        <n v="1340232.55"/>
        <n v="1087616.19"/>
        <n v="1123566.12"/>
        <n v="1082559.06"/>
        <n v="1053247.1"/>
        <n v="1066566.74"/>
        <n v="1093319.37"/>
        <n v="1059781.78"/>
        <n v="1076021.58"/>
        <n v="1131732.94"/>
        <n v="1095889.22"/>
        <n v="1082763.27"/>
        <n v="1072474.8"/>
        <n v="1066792.63"/>
        <n v="1133657.58"/>
        <n v="1079314.52"/>
        <n v="1143819.35"/>
        <n v="1205662.85"/>
        <n v="1149234.96"/>
        <n v="1192074.09"/>
        <n v="1150191.72"/>
        <n v="1124763.74"/>
        <n v="1187988.64"/>
        <n v="1077253.67"/>
        <n v="1120172.24"/>
        <n v="1109574.11"/>
        <n v="1065350.56"/>
        <n v="1144552.09"/>
        <n v="1157975.68"/>
        <n v="1189887.86"/>
        <n v="1140501.03"/>
        <n v="1095932.51"/>
        <n v="1028635.39"/>
        <n v="1043962.36"/>
        <n v="1067432.1"/>
        <n v="1061089.56"/>
        <n v="1085483.44"/>
        <n v="1096692.88"/>
        <n v="1102185"/>
        <n v="1115138.51"/>
        <n v="1063056.21"/>
        <n v="1141019.11"/>
        <n v="1150729.89"/>
        <n v="1634635.86"/>
        <n v="1200892.56"/>
        <n v="1377322.73"/>
        <n v="1557776.1"/>
        <n v="1949183.14"/>
        <n v="955463.84"/>
        <n v="1046416.17"/>
        <n v="1028206.51"/>
        <n v="1078348.91"/>
        <n v="1006814.85"/>
        <n v="1070457.8"/>
        <n v="1124357.2"/>
        <n v="1183528.58"/>
        <n v="1054754.67"/>
        <n v="1106847.62"/>
        <n v="1101458.21"/>
        <n v="1100765.5"/>
        <n v="1068719.22"/>
        <n v="1051121.02"/>
        <n v="1102975.59"/>
        <n v="1120508.14"/>
        <n v="1210602.91"/>
        <n v="1107494.55"/>
        <n v="1181793.55"/>
        <n v="1138162.76"/>
        <n v="1145084.76"/>
        <n v="1175447.49"/>
        <n v="1167757"/>
        <n v="1239741.34"/>
        <n v="1192031.38"/>
        <n v="1163869.52"/>
        <n v="1199845.29"/>
        <n v="1110244.52"/>
        <n v="1144254.26"/>
        <n v="1185674.48"/>
        <n v="1169988.62"/>
        <n v="1201694.14"/>
        <n v="1206795.74"/>
        <n v="1221318.17"/>
        <n v="1183740.91"/>
        <n v="1152117.5"/>
        <n v="1128237.3"/>
        <n v="1142499.25"/>
        <n v="1116140.29"/>
        <n v="1088943.98"/>
        <n v="1149448.02"/>
        <n v="1175420.26"/>
        <n v="1151258.74"/>
        <n v="1185391.96"/>
        <n v="1204628.28"/>
        <n v="1182733"/>
        <n v="1181651.55"/>
        <n v="1684468.66"/>
        <n v="1179773.88"/>
        <n v="1415746.91"/>
        <n v="1556017.91"/>
        <n v="1959526.96"/>
        <n v="1102367.65"/>
        <n v="1099937.25"/>
        <n v="1071598.36"/>
        <n v="1080012.04"/>
        <n v="1051864.6"/>
        <n v="1156826.31"/>
        <n v="1129422.86"/>
        <n v="1243812.59"/>
        <n v="1091822.72"/>
        <n v="1153332.89"/>
        <n v="1124537.97"/>
        <n v="1138101.18"/>
        <n v="1146632.46"/>
        <n v="1108686.87"/>
        <n v="1270577.01"/>
        <n v="1171834.47"/>
        <n v="1121405.91"/>
        <n v="1126962.44"/>
        <n v="1187384.53"/>
        <n v="1187051.07"/>
        <n v="1177539.71"/>
        <n v="1232784.22"/>
        <n v="1157557.79"/>
        <n v="1246322.44"/>
        <n v="1234759.54"/>
        <n v="1196880.11"/>
        <n v="1178211.81"/>
        <n v="1214183.97"/>
        <n v="1141184.66"/>
        <n v="1167829.33"/>
        <n v="1144901.52"/>
        <n v="1183571.35"/>
        <n v="1227469.2"/>
        <n v="1261306.37"/>
        <n v="1272809.11"/>
        <n v="1183979.27"/>
        <n v="1126685.95"/>
        <n v="1156377.47"/>
        <n v="1159119.6"/>
        <n v="1157111.15"/>
        <n v="1202775.24"/>
        <n v="1176681.31"/>
        <n v="1199292.06"/>
        <n v="1219979.29"/>
        <n v="274593.43"/>
        <n v="294882.83"/>
        <n v="296850.83"/>
        <n v="284052.77"/>
        <n v="291484.89"/>
        <n v="312161"/>
        <n v="282235.73"/>
        <n v="262893.76"/>
        <n v="274634.52"/>
        <n v="325201.05"/>
        <n v="307779.64"/>
        <n v="263263.02"/>
        <n v="275883.23"/>
        <n v="326870.13"/>
        <n v="331173.51"/>
        <n v="294264.2"/>
        <n v="279246.33"/>
        <n v="285100"/>
        <n v="310800.79"/>
        <n v="272399.08"/>
        <n v="259419.91"/>
        <n v="267495.76"/>
        <n v="302423.93"/>
        <n v="280937.84"/>
        <n v="252734.31"/>
        <n v="242047.03"/>
        <n v="262789.95"/>
        <n v="265367.51"/>
        <n v="230519.49"/>
        <n v="224031.19"/>
        <n v="237405.82"/>
        <n v="272834.88"/>
        <n v="246277.18"/>
        <n v="231976.84"/>
        <n v="224294.39"/>
        <n v="266484.19"/>
        <n v="251732.92"/>
        <n v="234175.92"/>
        <n v="213538.32"/>
        <n v="246124.61"/>
        <n v="272803.94"/>
        <n v="224639.76"/>
        <n v="240044.57"/>
        <n v="209986.25"/>
        <n v="253050.1"/>
        <n v="238875.26"/>
        <n v="249246.8"/>
        <n v="219804.85"/>
        <n v="243948.82"/>
        <n v="259527.75"/>
        <n v="244856.44"/>
        <n v="231155.9"/>
        <n v="234218.03"/>
        <n v="276198.74"/>
        <n v="252349.6"/>
        <n v="242901.21"/>
        <n v="245435.8"/>
        <n v="270921.44"/>
        <n v="247234.47"/>
        <n v="238084.08"/>
        <n v="232769.09"/>
        <n v="271924.73"/>
        <n v="275749.56"/>
        <n v="248603.3"/>
        <n v="248561.86"/>
        <n v="257031.19"/>
        <n v="279466.87"/>
        <n v="239206.26"/>
        <n v="239431.85"/>
        <n v="243477.03"/>
        <n v="258427.39"/>
        <n v="238172.66"/>
        <n v="238433.53"/>
        <n v="226702.36"/>
        <n v="262717.71"/>
        <n v="265003.47"/>
        <n v="238915.05"/>
        <n v="224806.96"/>
        <n v="242456.39"/>
        <n v="274721.85"/>
        <n v="242771.37"/>
        <n v="237095.82"/>
        <n v="239198.36"/>
        <n v="281842.28"/>
        <n v="262407.57"/>
        <n v="234793.12"/>
        <n v="229731.98"/>
        <n v="262159.13"/>
        <n v="272487.33"/>
        <n v="233543.08"/>
        <n v="231319.96"/>
        <n v="236157.12"/>
        <n v="271961.04"/>
        <n v="251294.5"/>
        <n v="255996.47"/>
        <n v="220060.35"/>
        <n v="270373.05"/>
        <n v="259638.35"/>
        <n v="256235.19"/>
        <n v="215359.21"/>
        <n v="267058.08"/>
        <n v="279447.22"/>
        <n v="244899.2"/>
        <n v="236920.49"/>
        <n v="256091.32"/>
        <n v="282552.58"/>
        <n v="266300.98"/>
        <n v="242526.7"/>
        <n v="248051.53"/>
        <n v="287346.29"/>
        <n v="278067.73"/>
        <n v="246970.97"/>
        <n v="251327.67"/>
        <n v="275911.97"/>
        <n v="312698.67"/>
        <n v="261837.2"/>
        <n v="249798.75"/>
        <n v="270497.51"/>
        <n v="295841.84"/>
        <n v="276899.95"/>
        <n v="261851.74"/>
        <n v="261131.09"/>
        <n v="286082.76"/>
        <n v="290444.31"/>
        <n v="261666.29"/>
        <n v="244338.31"/>
        <n v="273690.37"/>
        <n v="287033.64"/>
        <n v="253205.89"/>
        <n v="249134.32"/>
        <n v="258533.12"/>
        <n v="297753.49"/>
        <n v="270097.76"/>
        <n v="247672.56"/>
        <n v="237129.81"/>
        <n v="286428.78"/>
        <n v="277417.53"/>
        <n v="252709.58"/>
        <n v="242813.51"/>
        <n v="265444.9"/>
        <n v="291781.15"/>
        <n v="254412.34"/>
        <n v="253731.13"/>
        <n v="956228.96"/>
        <n v="994610.99"/>
        <n v="983963.07"/>
        <n v="905756.13"/>
        <n v="918295.79"/>
        <n v="921247.88"/>
        <n v="892070.82"/>
        <n v="880742.35"/>
        <n v="979428.66"/>
        <n v="950684.2"/>
        <n v="923344.54"/>
        <n v="910240.68"/>
        <n v="859922.19"/>
        <n v="953495.48"/>
        <n v="933924.44"/>
        <n v="913616.32"/>
        <n v="942868.38"/>
        <n v="966187.51"/>
        <n v="954681.56"/>
        <n v="941612.04"/>
        <n v="895800.07"/>
        <n v="919229.36"/>
        <n v="911210.81"/>
        <n v="930269.79"/>
        <n v="902050.95"/>
        <n v="875976.83"/>
        <n v="987435.35"/>
        <n v="951208.65"/>
        <n v="985152.94"/>
        <n v="855421.39"/>
        <n v="964356.74"/>
        <n v="932240.96"/>
        <n v="885445.47"/>
        <n v="867539.07"/>
        <n v="865709.11"/>
        <n v="931710.67"/>
        <n v="888703.62"/>
        <n v="936293.6"/>
        <n v="926294.02"/>
        <n v="972292.31"/>
        <n v="979730.78"/>
        <n v="955766.33"/>
        <n v="1309476.68"/>
        <n v="1001512.21"/>
        <n v="1086661.02"/>
        <n v="1227148.13"/>
        <n v="1620748.25"/>
        <n v="902109.69"/>
        <n v="900646.94"/>
        <n v="898610.33"/>
        <n v="891025.39"/>
        <n v="836717.75"/>
        <n v="971932.87"/>
        <n v="1015654.6"/>
        <n v="1062629.3"/>
        <n v="953331.45"/>
        <n v="963910.81"/>
        <n v="943951.67"/>
        <n v="1014218.8"/>
        <n v="922898.38"/>
        <n v="884233.67"/>
        <n v="975479.83"/>
        <n v="941829"/>
        <n v="1051518.45"/>
        <n v="895973.02"/>
        <n v="965853.58"/>
        <n v="966232.69"/>
        <n v="945018.83"/>
        <n v="941311.83"/>
        <n v="947229.24"/>
        <n v="943912.77"/>
        <n v="968258.09"/>
        <n v="923795.04"/>
        <n v="911106.22"/>
        <n v="926934.57"/>
        <n v="903882.96"/>
        <n v="913236.62"/>
        <n v="851461.9"/>
        <n v="942236.45"/>
        <n v="956251.18"/>
        <n v="960418.54"/>
        <n v="871404.6"/>
        <n v="926455.64"/>
        <n v="930506.14"/>
        <n v="927249.61"/>
        <n v="902852.73"/>
        <n v="871847.85"/>
        <n v="954069.45"/>
        <n v="911788.79"/>
        <n v="953693.23"/>
        <n v="958063.87"/>
        <n v="992621.93"/>
        <n v="991570.02"/>
        <n v="947552.44"/>
        <n v="1345595.82"/>
        <n v="988742.08"/>
        <n v="1084243.91"/>
        <n v="1151052.86"/>
        <n v="1593655.96"/>
        <n v="965512.36"/>
        <n v="953844.85"/>
        <n v="913755.12"/>
        <n v="910899.05"/>
        <n v="872450.37"/>
        <n v="939367.14"/>
        <n v="1047658.09"/>
        <n v="1123446.51"/>
        <n v="950154.24"/>
        <n v="990263.7"/>
        <n v="976393.43"/>
        <n v="999298.43"/>
        <n v="945143.33"/>
        <n v="938861.77"/>
        <n v="1091020.37"/>
        <n v="987353.65"/>
        <n v="977628.78"/>
        <n v="940299.87"/>
        <n v="991104.4"/>
        <n v="949625.52"/>
        <n v="998672.85"/>
        <n v="1015737.61"/>
        <n v="977062.44"/>
        <n v="999511.29"/>
        <n v="982345.51"/>
        <n v="1000285.1"/>
        <n v="942970.63"/>
        <n v="1007867.68"/>
        <n v="954677.75"/>
        <n v="950929.59"/>
        <n v="917883.79"/>
        <n v="973250.41"/>
        <n v="1004523.59"/>
        <n v="1013820.86"/>
        <n v="926250.21"/>
        <n v="933487.71"/>
        <n v="976415.56"/>
        <n v="955211.7"/>
        <n v="943047.78"/>
        <n v="928629.31"/>
        <n v="968896.68"/>
        <n v="948613.39"/>
        <n v="963516.28"/>
        <n v="956987.81"/>
        <n v="1230613.5"/>
        <n v="1168815.31"/>
        <n v="1270658.64"/>
        <n v="1020651.74"/>
        <n v="1162610.27"/>
        <n v="1150344.39"/>
        <n v="1117536.09"/>
        <n v="1078900.44"/>
        <n v="1189556.47"/>
        <n v="1198014.97"/>
        <n v="1084487.55"/>
        <n v="1110827.48"/>
        <n v="1096930.65"/>
        <n v="1182099.88"/>
        <n v="1104277.57"/>
        <n v="1078182.18"/>
        <n v="1223777.48"/>
        <n v="1282378.71"/>
        <n v="1160412.71"/>
        <n v="1198025.76"/>
        <n v="1230245.74"/>
        <n v="1245827.08"/>
        <n v="1268766.76"/>
        <n v="1124414.87"/>
        <n v="1121756.43"/>
        <n v="1139131.78"/>
        <n v="1180183.39"/>
        <n v="1090587.5"/>
        <n v="1033719.5"/>
        <n v="917693.06"/>
        <n v="948660.79"/>
        <n v="961685.98"/>
        <n v="831443.61"/>
        <n v="758069.78"/>
        <n v="771065.21"/>
        <n v="874615.32"/>
        <n v="798376.99"/>
        <n v="827705.82"/>
        <n v="857797.33"/>
        <n v="843755.12"/>
        <n v="870914.69"/>
        <n v="846850.35"/>
        <n v="1781866.98"/>
        <n v="982598.88"/>
        <n v="1108580.19"/>
        <n v="1314987.4"/>
        <n v="1779236.54"/>
        <n v="576332.05"/>
        <n v="649289.75"/>
        <n v="687670.78"/>
        <n v="659902.07"/>
        <n v="633289.78"/>
        <n v="747577.05"/>
        <n v="859258.17"/>
        <n v="865305.88"/>
        <n v="841129.26"/>
        <n v="850448.54"/>
        <n v="830601.39"/>
        <n v="800662.82"/>
        <n v="762184.1"/>
        <n v="762620.94"/>
        <n v="813352.41"/>
        <n v="795157.2"/>
        <n v="841778.34"/>
        <n v="811824.06"/>
        <n v="835181.18"/>
        <n v="826155.95"/>
        <n v="776838.56"/>
        <n v="850708.6"/>
        <n v="955466.84"/>
        <n v="855130.21"/>
        <n v="828594.86"/>
        <n v="849397.57"/>
        <n v="874453.88"/>
        <n v="827717.85"/>
        <n v="813845.5"/>
        <n v="820188.42"/>
        <n v="770820.27"/>
        <n v="826820.71"/>
        <n v="819911.89"/>
        <n v="820288.35"/>
        <n v="897037.25"/>
        <n v="813486.55"/>
        <n v="922440.64"/>
        <n v="738792.11"/>
        <n v="705802.45"/>
        <n v="749676.95"/>
        <n v="791637.53"/>
        <n v="772859.25"/>
        <n v="811328.4"/>
        <n v="808821.5"/>
        <n v="653468.75"/>
        <n v="880576.33"/>
        <n v="820964.1"/>
        <n v="1733822.4"/>
        <n v="903606.03"/>
        <n v="948964.99"/>
        <n v="1115255.65"/>
        <n v="1550214.02"/>
        <n v="904650.55"/>
        <n v="671708.09"/>
        <n v="625135.11"/>
        <n v="669850.04"/>
        <n v="588722.99"/>
        <n v="746901.03"/>
        <n v="849779.14"/>
        <n v="824568.39"/>
        <n v="805028.74"/>
        <n v="766571.1"/>
        <n v="796351.35"/>
        <n v="793045.82"/>
        <n v="760671.1"/>
        <n v="744525.69"/>
        <n v="860293.46"/>
        <n v="788633.42"/>
        <n v="794660.24"/>
        <n v="721212.45"/>
        <n v="772036.6"/>
        <n v="802383.63"/>
        <n v="819196.68"/>
        <n v="822167.17"/>
        <n v="932195.52"/>
        <n v="873415.01"/>
        <n v="848289.41"/>
        <n v="911696"/>
        <n v="892133.41"/>
        <n v="985479.64"/>
        <n v="825763.48"/>
        <n v="841224.74"/>
        <n v="808030.15"/>
        <n v="866216.36"/>
        <n v="888368.8"/>
        <n v="887979.47"/>
        <n v="895274.72"/>
        <n v="931278.97"/>
        <n v="984833.35"/>
        <n v="821568.64"/>
        <n v="772302.94"/>
        <n v="814099.86"/>
        <n v="866064.4"/>
        <n v="873643.14"/>
        <n v="829284.67"/>
        <n v="865137.6"/>
        <n v="467546.74"/>
        <n v="469563.7"/>
        <n v="470281.03"/>
        <n v="447519.44"/>
        <n v="480203.43"/>
        <n v="441434.2"/>
        <n v="428851.99"/>
        <n v="404438.51"/>
        <n v="435972.82"/>
        <n v="453016.91"/>
        <n v="483699.56"/>
        <n v="434116.8"/>
        <n v="457899.64"/>
        <n v="489372.02"/>
        <n v="476733.74"/>
        <n v="474917.98"/>
        <n v="447050.42"/>
        <n v="471088.88"/>
        <n v="467711.18"/>
        <n v="485694.72"/>
        <n v="434879.87"/>
        <n v="434252.15"/>
        <n v="471713.59"/>
        <n v="466962.04"/>
        <n v="452021.2"/>
        <n v="432451.91"/>
        <n v="467442.94"/>
        <n v="470436.8"/>
        <n v="437949.9"/>
        <n v="412050.73"/>
        <n v="431294.45"/>
        <n v="434471.38"/>
        <n v="454694.21"/>
        <n v="419348.59"/>
        <n v="422169.47"/>
        <n v="444351.61"/>
        <n v="453308.15"/>
        <n v="424956.3"/>
        <n v="392654.26"/>
        <n v="405860.37"/>
        <n v="425804.8"/>
        <n v="411615.71"/>
        <n v="408891.49"/>
        <n v="360266.09"/>
        <n v="404545.03"/>
        <n v="410214.7"/>
        <n v="422093.59"/>
        <n v="359310.65"/>
        <n v="384659.85"/>
        <n v="410497.73"/>
        <n v="399191.05"/>
        <n v="372174.12"/>
        <n v="417521.7"/>
        <n v="401501.2"/>
        <n v="427175.03"/>
        <n v="380279.44"/>
        <n v="402579.84"/>
        <n v="407506.78"/>
        <n v="431412.22"/>
        <n v="390732.02"/>
        <n v="385672.11"/>
        <n v="428727.61"/>
        <n v="414986.54"/>
        <n v="374574.72"/>
        <n v="340708.78"/>
        <n v="393401.4"/>
        <n v="395316.65"/>
        <n v="376183.44"/>
        <n v="348655.2"/>
        <n v="373703.95"/>
        <n v="374182.04"/>
        <n v="394645.25"/>
        <n v="360009.94"/>
        <n v="354270.77"/>
        <n v="377464.62"/>
        <n v="385631.48"/>
        <n v="361311.41"/>
        <n v="354361.08"/>
        <n v="381017.75"/>
        <n v="380188.69"/>
        <n v="373267.58"/>
        <n v="344964.2"/>
        <n v="350276.29"/>
        <n v="352960.64"/>
        <n v="343108.12"/>
        <n v="322405.13"/>
        <n v="314910.37"/>
        <n v="346137.87"/>
        <n v="342076.99"/>
        <n v="328633.34"/>
        <n v="306193.81"/>
        <n v="313387.11"/>
        <n v="328498.92"/>
        <n v="332901.94"/>
        <n v="332811.55"/>
        <n v="293350.51"/>
        <n v="312298.37"/>
        <n v="341503.92"/>
        <n v="325262.46"/>
        <n v="287425.22"/>
        <n v="329467.82"/>
        <n v="325976.34"/>
        <n v="330927.21"/>
        <n v="301444.94"/>
        <n v="310982.87"/>
        <n v="335741.9"/>
        <n v="326316.73"/>
        <n v="313270.45"/>
        <n v="315396.72"/>
        <n v="318674.93"/>
        <n v="335345.82"/>
        <n v="317872.51"/>
        <n v="304144.9"/>
        <n v="331026.11"/>
        <n v="339407.94"/>
        <n v="323915.32"/>
        <n v="308389.82"/>
        <n v="312467.52"/>
        <n v="330518.34"/>
        <n v="324801.13"/>
        <n v="306098.17"/>
        <n v="306005.53"/>
        <n v="338273.38"/>
        <n v="333146.88"/>
        <n v="306411.01"/>
        <n v="291530.43"/>
        <n v="306578.89"/>
        <n v="298337.41"/>
        <n v="303289.55"/>
        <n v="279643.43"/>
        <n v="304989.97"/>
        <n v="298947.51"/>
        <n v="314607.22"/>
        <n v="282545.55"/>
        <n v="282647.48"/>
        <n v="293728.57"/>
        <n v="301893.63"/>
        <n v="293804.45"/>
        <n v="270677.98"/>
        <n v="277137.86"/>
        <n v="300236.85"/>
        <n v="287360.05"/>
        <n v="272489.41"/>
        <n v="536006.73"/>
        <n v="529852.7"/>
        <n v="510382.5"/>
        <n v="513615.82"/>
        <n v="519255.68"/>
        <n v="513015.35"/>
        <n v="460020.74"/>
        <n v="515777.97"/>
        <n v="540189.7"/>
        <n v="513327.55"/>
        <n v="524544.83"/>
        <n v="527019.78"/>
        <n v="517850.83"/>
        <n v="543234.77"/>
        <n v="505196.08"/>
        <n v="510494.7"/>
        <n v="532241.22"/>
        <n v="479195.02"/>
        <n v="481915.11"/>
        <n v="505761.62"/>
        <n v="485419.39"/>
        <n v="498292.53"/>
        <n v="502456.04"/>
        <n v="485150.01"/>
        <n v="491998.12"/>
        <n v="487912.95"/>
        <n v="508576.62"/>
        <n v="491815.83"/>
        <n v="486930.72"/>
        <n v="512157.25"/>
        <n v="510427.53"/>
        <n v="510296.07"/>
        <n v="501251.4"/>
        <n v="494265.48"/>
        <n v="529877.93"/>
        <n v="524483.65"/>
        <n v="498925.86"/>
        <n v="510425.4"/>
        <n v="514485.9"/>
        <n v="539683.42"/>
        <n v="517546.69"/>
        <n v="518124.16"/>
        <n v="518220.72"/>
        <n v="508213.14"/>
        <n v="511207.52"/>
        <n v="534285.21"/>
        <n v="576809.92"/>
        <n v="460331.7"/>
        <n v="542464.02"/>
        <n v="525616.9"/>
        <n v="526486.82"/>
        <n v="513672.36"/>
        <n v="583835.18"/>
        <n v="522514.32"/>
        <n v="536840.69"/>
        <n v="514758.19"/>
        <n v="527572.25"/>
        <n v="505610.4"/>
        <n v="478503.06"/>
        <n v="522105.93"/>
        <n v="534578.78"/>
        <n v="543703.16"/>
        <n v="543775.87"/>
        <n v="526434.37"/>
        <n v="502918.18"/>
        <n v="547513.3"/>
        <n v="511871.63"/>
        <n v="533564.42"/>
        <n v="507086.75"/>
        <n v="500381.23"/>
        <n v="509647.25"/>
        <n v="525132.36"/>
        <n v="509276.22"/>
        <n v="517021.3"/>
        <n v="489059.93"/>
        <n v="498749.62"/>
        <n v="505543.53"/>
        <n v="504974.95"/>
        <n v="510787.46"/>
        <n v="502504.39"/>
        <n v="506897.98"/>
        <n v="527947.21"/>
        <n v="530367.83"/>
        <n v="506273.74"/>
        <n v="513341.94"/>
        <n v="516556.94"/>
        <n v="516402.1"/>
        <n v="522816.85"/>
        <n v="513636.01"/>
        <n v="522784.33"/>
        <n v="517355.44"/>
        <n v="555925.6"/>
        <n v="501268.78"/>
        <n v="527495.09"/>
        <n v="522554.04"/>
        <n v="527117.81"/>
        <n v="537224.52"/>
        <n v="533905.67"/>
        <n v="605791.46"/>
        <n v="451327.61"/>
        <n v="558343.57"/>
        <n v="546221.4"/>
        <n v="543894.07"/>
        <n v="514116.58"/>
        <n v="555424.24"/>
        <n v="527041.46"/>
        <n v="541071.29"/>
        <n v="518696.89"/>
        <n v="525559.17"/>
        <n v="535937.25"/>
        <n v="484588.34"/>
        <n v="520887.23"/>
        <n v="533734.94"/>
        <n v="564848.78"/>
        <n v="506973.17"/>
        <n v="523483.19"/>
        <n v="528807.45"/>
        <n v="535311.64"/>
        <n v="527983.04"/>
        <n v="534847.96"/>
        <n v="540625.79"/>
        <n v="531811.85"/>
        <n v="528940.78"/>
        <n v="508573.16"/>
        <n v="484032.75"/>
        <n v="508309.81"/>
        <n v="519498.32"/>
        <n v="506005.47"/>
        <n v="503744.56"/>
        <n v="514489.17"/>
        <n v="521959.28"/>
        <n v="500964.59"/>
        <n v="509633.71"/>
        <n v="522665.04"/>
        <n v="538344.1"/>
        <n v="526838.14"/>
        <n v="514651.74"/>
        <n v="521320.98"/>
        <n v="527953.14"/>
        <n v="546122.37"/>
        <n v="521810.75"/>
        <n v="551969.1"/>
        <n v="534738.43"/>
        <n v="358496.14"/>
        <n v="342214.9"/>
        <n v="327237.92"/>
        <n v="334222.73"/>
        <n v="372239.89"/>
        <n v="342023.92"/>
        <n v="333025.47"/>
        <n v="335858.11"/>
        <n v="368929.55"/>
        <n v="341630.46"/>
        <n v="337723.49"/>
        <n v="335121.82"/>
        <n v="337979.65"/>
        <n v="383657.44"/>
        <n v="346174.3"/>
        <n v="340497.08"/>
        <n v="326469.43"/>
        <n v="376184.88"/>
        <n v="354828.65"/>
        <n v="335691.85"/>
        <n v="322046.76"/>
        <n v="361181.48"/>
        <n v="343850.34"/>
        <n v="338277.71"/>
        <n v="328336.85"/>
        <n v="336378.38"/>
        <n v="378574.44"/>
        <n v="341400.72"/>
        <n v="329139.73"/>
        <n v="322868.56"/>
        <n v="377096.55"/>
        <n v="336227.69"/>
        <n v="336253.19"/>
        <n v="330604.9"/>
        <n v="360256.58"/>
        <n v="351271.36"/>
        <n v="337743.26"/>
        <n v="339042.18"/>
        <n v="341219.63"/>
        <n v="380870.09"/>
        <n v="340147.2"/>
        <n v="348593.99"/>
        <n v="360857.98"/>
        <n v="351925.36"/>
        <n v="355965.23"/>
        <n v="334441.15"/>
        <n v="369106.72"/>
        <n v="303908.81"/>
        <n v="386344.54"/>
        <n v="356138.79"/>
        <n v="341098.08"/>
        <n v="357557.16"/>
        <n v="402341.76"/>
        <n v="377672.46"/>
        <n v="364606.7"/>
        <n v="354232.34"/>
        <n v="405429.43"/>
        <n v="357897.18"/>
        <n v="349459.95"/>
        <n v="351541.62"/>
        <n v="382098.13"/>
        <n v="392152.3"/>
        <n v="362758.94"/>
        <n v="362952.34"/>
        <n v="344225.99"/>
        <n v="422186.65"/>
        <n v="366977.79"/>
        <n v="365730.76"/>
        <n v="356886.1"/>
        <n v="396826.06"/>
        <n v="381763.02"/>
        <n v="356797"/>
        <n v="354078.95"/>
        <n v="387334.04"/>
        <n v="399699.17"/>
        <n v="367181.71"/>
        <n v="365562.67"/>
        <n v="355131.33"/>
        <n v="437631.44"/>
        <n v="387844.05"/>
        <n v="362224.7"/>
        <n v="365672.55"/>
        <n v="416953.51"/>
        <n v="397771.68"/>
        <n v="408188.88"/>
        <n v="394665.28"/>
        <n v="366819.84"/>
        <n v="449516.29"/>
        <n v="400430.78"/>
        <n v="402709.17"/>
        <n v="378539.17"/>
        <n v="436970.1"/>
        <n v="411116.95"/>
        <n v="392003.13"/>
        <n v="393715.71"/>
        <n v="411252.02"/>
        <n v="435401.64"/>
        <n v="404283.84"/>
        <n v="419717.41"/>
        <n v="342667.35"/>
        <n v="478483.2"/>
        <n v="423260.82"/>
        <n v="405215.91"/>
        <n v="412882.31"/>
        <n v="457711.68"/>
        <n v="469787.38"/>
        <n v="415513.97"/>
        <n v="409411.61"/>
        <n v="471115.38"/>
        <n v="452792.53"/>
        <n v="428465.11"/>
        <n v="412456.48"/>
        <n v="408679.36"/>
        <n v="499267.66"/>
        <n v="435790.74"/>
        <n v="401615.8"/>
        <n v="419964.77"/>
        <n v="491755.69"/>
        <n v="429914.6"/>
        <n v="412314.71"/>
        <n v="422810.12"/>
        <n v="435579.7"/>
        <n v="448110.25"/>
        <n v="430222.07"/>
        <n v="405938.35"/>
        <n v="404634.36"/>
        <n v="471086.22"/>
        <n v="416036.75"/>
        <n v="441683.74"/>
        <n v="407186.47"/>
        <n v="469311.17"/>
        <n v="436690.13"/>
        <n v="411866.46"/>
        <n v="397428.22"/>
        <n v="424904.95"/>
        <n v="490274.82"/>
        <n v="430944.39"/>
        <n v="409600.98"/>
        <n v="398468.08"/>
        <n v="458479.01"/>
        <n v="437320.66"/>
        <n v="428806.46"/>
        <n v="417290.38"/>
        <n v="1230596.8"/>
        <n v="1266229.07"/>
        <n v="1230591.97"/>
        <n v="1168582.02"/>
        <n v="1266254.21"/>
        <n v="1244391.83"/>
        <n v="1301590.13"/>
        <n v="1235094.66"/>
        <n v="1463942.62"/>
        <n v="1327035.27"/>
        <n v="1242874.98"/>
        <n v="1280231.85"/>
        <n v="1263836.59"/>
        <n v="1355704.21"/>
        <n v="1226997.7"/>
        <n v="1350673.98"/>
        <n v="1365541.59"/>
        <n v="1512207.95"/>
        <n v="1371405.33"/>
        <n v="1368312.45"/>
        <n v="1280414.8"/>
        <n v="1352547.7"/>
        <n v="1330473.47"/>
        <n v="1339811.68"/>
        <n v="1314651.83"/>
        <n v="1308222.24"/>
        <n v="1409989.67"/>
        <n v="1371465.66"/>
        <n v="1471816.52"/>
        <n v="1417515.93"/>
        <n v="1345167.61"/>
        <n v="1279666.47"/>
        <n v="1252915.43"/>
        <n v="1199449.54"/>
        <n v="1219583.91"/>
        <n v="1286598.59"/>
        <n v="1238742"/>
        <n v="1261109.01"/>
        <n v="1294769.08"/>
        <n v="1293707.19"/>
        <n v="1291398.71"/>
        <n v="1370659.54"/>
        <n v="2149355.2"/>
        <n v="1431910.98"/>
        <n v="1630564.48"/>
        <n v="1842172.46"/>
        <n v="2495489.25"/>
        <n v="1230012.16"/>
        <n v="1224475.12"/>
        <n v="1193199.39"/>
        <n v="1243370.74"/>
        <n v="1158698.44"/>
        <n v="1343773.94"/>
        <n v="1227893.89"/>
        <n v="1335233.74"/>
        <n v="1240921.19"/>
        <n v="1316385.43"/>
        <n v="1283716.81"/>
        <n v="1348410.05"/>
        <n v="1284334.79"/>
        <n v="1316849.36"/>
        <n v="1350646.16"/>
        <n v="1348031.55"/>
        <n v="1563140.85"/>
        <n v="1379651.87"/>
        <n v="1370920.87"/>
        <n v="1325022.77"/>
        <n v="1373907.21"/>
        <n v="1406124.14"/>
        <n v="1541745.59"/>
        <n v="1442092.08"/>
        <n v="1451392.67"/>
        <n v="1363167.95"/>
        <n v="1429829.36"/>
        <n v="1414564.53"/>
        <n v="1380257.12"/>
        <n v="1416005.59"/>
        <n v="1426418.53"/>
        <n v="1518790.89"/>
        <n v="1514055.97"/>
        <n v="1629066.9"/>
        <n v="1573898.63"/>
        <n v="1465089.85"/>
        <n v="1429345.86"/>
        <n v="1372500.63"/>
        <n v="1338657.95"/>
        <n v="1311775.83"/>
        <n v="1443884.39"/>
        <n v="1384721.84"/>
        <n v="1465283.29"/>
        <n v="1472663.1"/>
        <n v="1553629.59"/>
        <n v="1456957.38"/>
        <n v="1510397.27"/>
        <n v="2338832.4"/>
        <n v="1632894.58"/>
        <n v="1781528.77"/>
        <n v="1991824.05"/>
        <n v="2554482.84"/>
        <n v="1537139.56"/>
        <n v="1478537.93"/>
        <n v="1369125.37"/>
        <n v="1394841.03"/>
        <n v="1320301.61"/>
        <n v="1396150.15"/>
        <n v="1442988.44"/>
        <n v="1511041.69"/>
        <n v="1412065.04"/>
        <n v="1453047.02"/>
        <n v="1470764.35"/>
        <n v="1522421.07"/>
        <n v="1469593.37"/>
        <n v="1499727.02"/>
        <n v="1764847.94"/>
        <n v="1580732.73"/>
        <n v="1433391.04"/>
        <n v="1456997.2"/>
        <n v="1512227.34"/>
        <n v="1470792.41"/>
        <n v="1522978.54"/>
        <n v="1596036.66"/>
        <n v="1640476.77"/>
        <n v="1623442.24"/>
        <n v="1587499.82"/>
        <n v="1532316.79"/>
        <n v="1492388.98"/>
        <n v="1659221.99"/>
        <n v="1471261.76"/>
        <n v="1582168.27"/>
        <n v="1487797.54"/>
        <n v="1608277.74"/>
        <n v="1641867.92"/>
        <n v="1720221.91"/>
        <n v="1724669.75"/>
        <n v="1710923.94"/>
        <n v="1609811.75"/>
        <n v="1447614.08"/>
        <n v="1555672.51"/>
        <n v="1495607.07"/>
        <n v="1574408.67"/>
        <n v="1494417.07"/>
        <n v="1577486.33"/>
        <n v="1569502"/>
        <n v="1001943.8"/>
        <n v="955338.29"/>
        <n v="916289.2"/>
        <n v="863917.41"/>
        <n v="990152.28"/>
        <n v="899352.4"/>
        <n v="894865.3"/>
        <n v="873354.58"/>
        <n v="1041202.13"/>
        <n v="919839.19"/>
        <n v="882636.96"/>
        <n v="844958.49"/>
        <n v="816838.31"/>
        <n v="1009797.06"/>
        <n v="907262.47"/>
        <n v="885613.91"/>
        <n v="1008483.07"/>
        <n v="1052429.03"/>
        <n v="1007574.67"/>
        <n v="973105.3"/>
        <n v="940405.03"/>
        <n v="1087578.78"/>
        <n v="1058250.91"/>
        <n v="959229.09"/>
        <n v="922341.82"/>
        <n v="953393.02"/>
        <n v="1057295.87"/>
        <n v="924011.76"/>
        <n v="932397"/>
        <n v="922328.02"/>
        <n v="976453.34"/>
        <n v="967310.82"/>
        <n v="855046.95"/>
        <n v="844373.31"/>
        <n v="891152.33"/>
        <n v="972405.38"/>
        <n v="917883.17"/>
        <n v="882180.91"/>
        <n v="875038.84"/>
        <n v="968270.66"/>
        <n v="935481.32"/>
        <n v="852452.93"/>
        <n v="1166142.85"/>
        <n v="1000582.06"/>
        <n v="1111215.72"/>
        <n v="1179036.3"/>
        <n v="1648829.18"/>
        <n v="811318.3"/>
        <n v="894280.19"/>
        <n v="771315.62"/>
        <n v="764014.75"/>
        <n v="775910.43"/>
        <n v="904261.65"/>
        <n v="931939.52"/>
        <n v="968694.45"/>
        <n v="888869.27"/>
        <n v="977070.62"/>
        <n v="860255.58"/>
        <n v="871024.26"/>
        <n v="834621.39"/>
        <n v="841889.08"/>
        <n v="947753.32"/>
        <n v="874446.32"/>
        <n v="965056.4"/>
        <n v="847246.5"/>
        <n v="1016752.55"/>
        <n v="903864.02"/>
        <n v="907110.83"/>
        <n v="972373.81"/>
        <n v="1075687.74"/>
        <n v="984336.04"/>
        <n v="971422.67"/>
        <n v="977103.64"/>
        <n v="1048866.3"/>
        <n v="1107366.06"/>
        <n v="953252.14"/>
        <n v="980642.1"/>
        <n v="929096.9"/>
        <n v="1063818.2"/>
        <n v="955506.95"/>
        <n v="943237.12"/>
        <n v="969611.3"/>
        <n v="957298.26"/>
        <n v="1021391.99"/>
        <n v="890661.79"/>
        <n v="876583.98"/>
        <n v="912857.1"/>
        <n v="1070389.98"/>
        <n v="936751.68"/>
        <n v="942319.65"/>
        <n v="941675.95"/>
        <n v="1011321.18"/>
        <n v="1037687.07"/>
        <n v="905399.99"/>
        <n v="1230011.95"/>
        <n v="1059676.62"/>
        <n v="1158708.98"/>
        <n v="1198670.19"/>
        <n v="1601585.7"/>
        <n v="908853.15"/>
        <n v="954576.86"/>
        <n v="780607.52"/>
        <n v="811365.42"/>
        <n v="770157.29"/>
        <n v="979552.34"/>
        <n v="999785.48"/>
        <n v="975500.87"/>
        <n v="919301.81"/>
        <n v="927732.02"/>
        <n v="954233.87"/>
        <n v="891154.18"/>
        <n v="844490.86"/>
        <n v="871945.64"/>
        <n v="1132064.23"/>
        <n v="857811.17"/>
        <n v="896979.93"/>
        <n v="875372.91"/>
        <n v="993311.59"/>
        <n v="967729.35"/>
        <n v="896295.41"/>
        <n v="991054.49"/>
        <n v="1037464.27"/>
        <n v="1079386.88"/>
        <n v="977950.28"/>
        <n v="1033552.18"/>
        <n v="988764.84"/>
        <n v="1182901.56"/>
        <n v="979848.71"/>
        <n v="968502.38"/>
        <n v="954396.85"/>
        <n v="1068346.76"/>
        <n v="1007906.43"/>
        <n v="969387.48"/>
        <n v="945318.47"/>
        <n v="987264.67"/>
        <n v="1088248.4"/>
        <n v="901709.82"/>
        <n v="899768.4"/>
        <n v="919595.44"/>
        <n v="1069112"/>
        <n v="982523.26"/>
        <n v="918170.5"/>
        <n v="921264.52"/>
        <n v="1086533.18"/>
        <n v="1075656.34"/>
        <n v="1052034.74"/>
        <n v="991941.73"/>
        <n v="1063557.49"/>
        <n v="1023997.71"/>
        <n v="1006597.69"/>
        <n v="1015196.46"/>
        <n v="1168826.39"/>
        <n v="1082158.21"/>
        <n v="1043388.79"/>
        <n v="1067340.74"/>
        <n v="1063960.11"/>
        <n v="1175738.22"/>
        <n v="1116439.02"/>
        <n v="1163234.33"/>
        <n v="1246654.24"/>
        <n v="1305068.1"/>
        <n v="1217199.39"/>
        <n v="1202963.06"/>
        <n v="1174209.52"/>
        <n v="1273279.79"/>
        <n v="1176079.59"/>
        <n v="1179788.38"/>
        <n v="1192213.87"/>
        <n v="1211136.63"/>
        <n v="1338132.72"/>
        <n v="1285976.53"/>
        <n v="1353838.39"/>
        <n v="1173131.63"/>
        <n v="1223355.5"/>
        <n v="1172672.27"/>
        <n v="1111170.91"/>
        <n v="1110941.78"/>
        <n v="1109216.35"/>
        <n v="1162042.24"/>
        <n v="1133913.33"/>
        <n v="1156003.7"/>
        <n v="1144854.56"/>
        <n v="1163878.49"/>
        <n v="1175326.23"/>
        <n v="1172155.28"/>
        <n v="1866681.57"/>
        <n v="1220115.75"/>
        <n v="1434908.13"/>
        <n v="1627904.68"/>
        <n v="2225016.73"/>
        <n v="1001790.16"/>
        <n v="1153596.53"/>
        <n v="1052609.16"/>
        <n v="1088025.8"/>
        <n v="1026439.93"/>
        <n v="1179420.5"/>
        <n v="1150003.36"/>
        <n v="1203399.64"/>
        <n v="1099714.93"/>
        <n v="1229257.7"/>
        <n v="1159089.6"/>
        <n v="1115504.26"/>
        <n v="1140578.16"/>
        <n v="1179125.48"/>
        <n v="1206252.12"/>
        <n v="1192982.07"/>
        <n v="1304481.75"/>
        <n v="1178841.05"/>
        <n v="1244956.91"/>
        <n v="1270025.74"/>
        <n v="1244542.33"/>
        <n v="1278304.33"/>
        <n v="1297584.95"/>
        <n v="1311690.11"/>
        <n v="1289151.84"/>
        <n v="1244381.98"/>
        <n v="1333347.78"/>
        <n v="1338862.58"/>
        <n v="1245772.7"/>
        <n v="1292830.93"/>
        <n v="1248330.1"/>
        <n v="1402233.69"/>
        <n v="1356689.88"/>
        <n v="1412959.97"/>
        <n v="1328740.71"/>
        <n v="1283849.38"/>
        <n v="1280958.97"/>
        <n v="1197019.39"/>
        <n v="1173059.79"/>
        <n v="1160619.61"/>
        <n v="1277882.77"/>
        <n v="1247130.22"/>
        <n v="1214944.29"/>
        <n v="1274463.02"/>
        <n v="1315684.86"/>
        <n v="1302499.23"/>
        <n v="1230118.02"/>
        <n v="1906713.35"/>
        <n v="1292436.23"/>
        <n v="1548661.45"/>
        <n v="1682368.32"/>
        <n v="2263722.68"/>
        <n v="1264014.16"/>
        <n v="1208191.61"/>
        <n v="1134767.28"/>
        <n v="1116295.24"/>
        <n v="1079398.81"/>
        <n v="1208825.6"/>
        <n v="1238844.56"/>
        <n v="1330451.46"/>
        <n v="1224915.66"/>
        <n v="1239813.26"/>
        <n v="1243814.77"/>
        <n v="1201511.62"/>
        <n v="1215354.38"/>
        <n v="1239423.19"/>
        <n v="1460234.31"/>
        <n v="1323004.73"/>
        <n v="1220815.33"/>
        <n v="1248950.65"/>
        <n v="1359770.73"/>
        <n v="1353285.1"/>
        <n v="1331514.44"/>
        <n v="1424500.47"/>
        <n v="1374891.36"/>
        <n v="1436383.84"/>
        <n v="1384584.59"/>
        <n v="1386407.17"/>
        <n v="1355600.01"/>
        <n v="1456300.89"/>
        <n v="1332594.07"/>
        <n v="1347175.93"/>
        <n v="1344723.97"/>
        <n v="1439607.35"/>
        <n v="1504545.94"/>
        <n v="1560590.05"/>
        <n v="1464462.85"/>
        <n v="1360517.52"/>
        <n v="1392143.82"/>
        <n v="1306644.25"/>
        <n v="1276609.36"/>
        <n v="1307928.01"/>
        <n v="1400160.95"/>
        <n v="1409544.97"/>
        <n v="1326197.24"/>
        <n v="1316542.59"/>
        <n v="543384.01"/>
        <n v="575709.96"/>
        <n v="508794.87"/>
        <n v="491510.58"/>
        <n v="554972.42"/>
        <n v="588363.62"/>
        <n v="519914.1"/>
        <n v="478021.68"/>
        <n v="505907.41"/>
        <n v="582552.26"/>
        <n v="549528.16"/>
        <n v="492364.77"/>
        <n v="477615.87"/>
        <n v="582846.22"/>
        <n v="564345.55"/>
        <n v="504403.16"/>
        <n v="484097.03"/>
        <n v="556046.12"/>
        <n v="607218.6"/>
        <n v="529418.64"/>
        <n v="484327.56"/>
        <n v="507168.8"/>
        <n v="570069.48"/>
        <n v="558837.27"/>
        <n v="491115.86"/>
        <n v="469598.57"/>
        <n v="579544.21"/>
        <n v="583079.97"/>
        <n v="500945.63"/>
        <n v="465993.51"/>
        <n v="524658.06"/>
        <n v="589091.04"/>
        <n v="536871.58"/>
        <n v="492262.96"/>
        <n v="481523.93"/>
        <n v="599759.45"/>
        <n v="559285.35"/>
        <n v="522467.51"/>
        <n v="476967.65"/>
        <n v="565390.4"/>
        <n v="588592.61"/>
        <n v="524316.21"/>
        <n v="522296.71"/>
        <n v="500250.8"/>
        <n v="585175.24"/>
        <n v="537455.65"/>
        <n v="555075.27"/>
        <n v="428953.6"/>
        <n v="592947.75"/>
        <n v="613899.15"/>
        <n v="533414.62"/>
        <n v="499081.79"/>
        <n v="586886.16"/>
        <n v="628063.88"/>
        <n v="556485.1"/>
        <n v="526904.08"/>
        <n v="570879.04"/>
        <n v="607294.56"/>
        <n v="558239.32"/>
        <n v="522673.62"/>
        <n v="508432.17"/>
        <n v="620087.35"/>
        <n v="597644.02"/>
        <n v="534597.69"/>
        <n v="496010.17"/>
        <n v="612337.35"/>
        <n v="603024.75"/>
        <n v="524559.95"/>
        <n v="503295.29"/>
        <n v="545109.3"/>
        <n v="616701.99"/>
        <n v="546675.65"/>
        <n v="501780.66"/>
        <n v="506343.83"/>
        <n v="593234.27"/>
        <n v="591703.82"/>
        <n v="511316.29"/>
        <n v="479256.8"/>
        <n v="572603.33"/>
        <n v="603147.26"/>
        <n v="526641.23"/>
        <n v="503720.98"/>
        <n v="537124.76"/>
        <n v="608390.94"/>
        <n v="576837.09"/>
        <n v="528486.45"/>
        <n v="510243.79"/>
        <n v="649111.23"/>
        <n v="613531.11"/>
        <n v="537276.41"/>
        <n v="515599.7"/>
        <n v="597667.21"/>
        <n v="643125.29"/>
        <n v="567673.87"/>
        <n v="577698.37"/>
        <n v="511883.36"/>
        <n v="619133.48"/>
        <n v="598437.98"/>
        <n v="575676.13"/>
        <n v="454412.28"/>
        <n v="636372.37"/>
        <n v="664348.2"/>
        <n v="579499.93"/>
        <n v="538978.67"/>
        <n v="588448.21"/>
        <n v="674919.45"/>
        <n v="606671.5"/>
        <n v="564304.15"/>
        <n v="585895.34"/>
        <n v="659816.15"/>
        <n v="618767.26"/>
        <n v="561226.38"/>
        <n v="544408.14"/>
        <n v="652312.11"/>
        <n v="639123.45"/>
        <n v="552529.23"/>
        <n v="526625.49"/>
        <n v="609274.89"/>
        <n v="643603.69"/>
        <n v="590636.38"/>
        <n v="535764.58"/>
        <n v="521953.78"/>
        <n v="642671.48"/>
        <n v="606309.13"/>
        <n v="540031.29"/>
        <n v="507403.77"/>
        <n v="618702.09"/>
        <n v="628099.08"/>
        <n v="530318.39"/>
        <n v="516352.21"/>
        <n v="573084.71"/>
        <n v="576620.31"/>
        <n v="575997.78"/>
        <n v="535537.03"/>
        <n v="504760.57"/>
        <n v="617405.35"/>
        <n v="586737.66"/>
        <n v="527165.7"/>
        <n v="505978.46"/>
        <n v="593162.53"/>
        <n v="612379.9"/>
        <n v="541406.98"/>
        <n v="514756.08"/>
        <n v="647029.28"/>
        <n v="682918.99"/>
        <n v="658997.55"/>
        <n v="618702.79"/>
        <n v="658600.05"/>
        <n v="645386.94"/>
        <n v="668098.49"/>
        <n v="623097.93"/>
        <n v="650102.8"/>
        <n v="693058.34"/>
        <n v="675282.2"/>
        <n v="638957.35"/>
        <n v="630740.11"/>
        <n v="691498.6"/>
        <n v="690851.59"/>
        <n v="672062.08"/>
        <n v="630315.76"/>
        <n v="682012.53"/>
        <n v="684023.95"/>
        <n v="700009.77"/>
        <n v="625196.14"/>
        <n v="667353.79"/>
        <n v="718748.33"/>
        <n v="696844.36"/>
        <n v="649035.55"/>
        <n v="622112.23"/>
        <n v="698536.06"/>
        <n v="713479.91"/>
        <n v="712869.09"/>
        <n v="655284.69"/>
        <n v="689326.91"/>
        <n v="722120.04"/>
        <n v="725043.04"/>
        <n v="650263.95"/>
        <n v="657108.77"/>
        <n v="713332.54"/>
        <n v="699852.68"/>
        <n v="680943.03"/>
        <n v="610076.32"/>
        <n v="605960.2"/>
        <n v="595421.23"/>
        <n v="589467.35"/>
        <n v="633520.34"/>
        <n v="557543.62"/>
        <n v="598679.02"/>
        <n v="615761.77"/>
        <n v="656637.63"/>
        <n v="534740.3"/>
        <n v="611796.61"/>
        <n v="614940.07"/>
        <n v="601004.79"/>
        <n v="562558.27"/>
        <n v="651521.77"/>
        <n v="635650.98"/>
        <n v="626627.77"/>
        <n v="592340.01"/>
        <n v="616345.25"/>
        <n v="629026.75"/>
        <n v="635171.05"/>
        <n v="585989.1"/>
        <n v="611585.54"/>
        <n v="650418.75"/>
        <n v="635758.03"/>
        <n v="638280.67"/>
        <n v="611464.21"/>
        <n v="649148.74"/>
        <n v="684655.91"/>
        <n v="648330.18"/>
        <n v="578209.63"/>
        <n v="630972.15"/>
        <n v="643041.71"/>
        <n v="665781.74"/>
        <n v="604925.08"/>
        <n v="586781.78"/>
        <n v="651147.83"/>
        <n v="631827.38"/>
        <n v="597354.39"/>
        <n v="533917.52"/>
        <n v="605956.59"/>
        <n v="595626.56"/>
        <n v="663396.32"/>
        <n v="561573.08"/>
        <n v="594224.9"/>
        <n v="649128.23"/>
        <n v="618877.13"/>
        <n v="586108.13"/>
        <n v="555183.72"/>
        <n v="642828.62"/>
        <n v="590984.56"/>
        <n v="594625.96"/>
        <n v="572516.57"/>
        <n v="641905.37"/>
        <n v="615975.5"/>
        <n v="628115.61"/>
        <n v="669965.22"/>
        <n v="585028.26"/>
        <n v="617898.07"/>
        <n v="665007.08"/>
        <n v="676290.46"/>
        <n v="505405.85"/>
        <n v="670993.01"/>
        <n v="663529.64"/>
        <n v="619225.65"/>
        <n v="587685.38"/>
        <n v="629176.71"/>
        <n v="662198.65"/>
        <n v="660632.05"/>
        <n v="613042.97"/>
        <n v="693249.98"/>
        <n v="636677.67"/>
        <n v="661707.02"/>
        <n v="610940.94"/>
        <n v="623258.4"/>
        <n v="658468.27"/>
        <n v="665687.92"/>
        <n v="638144.98"/>
        <n v="593138.59"/>
        <n v="637964.2"/>
        <n v="640159.04"/>
        <n v="648541.81"/>
        <n v="597406.39"/>
        <n v="605078.62"/>
        <n v="643032.51"/>
        <n v="634815.1"/>
        <n v="613270.79"/>
        <n v="593128.13"/>
        <n v="645618.59"/>
        <n v="627634.04"/>
        <n v="596554.05"/>
        <n v="572447.52"/>
        <n v="614378.94"/>
        <n v="643558.78"/>
        <n v="640210.85"/>
        <n v="598234.64"/>
        <n v="593141.29"/>
        <n v="663814.18"/>
        <n v="625196.94"/>
        <n v="601990.02"/>
        <n v="577792.32"/>
        <n v="642614.89"/>
        <n v="619369.72"/>
        <n v="623919.23"/>
        <n v="587603.55"/>
        <n v="281090.95"/>
        <n v="286857.13"/>
        <n v="267956.3"/>
        <n v="273079.07"/>
        <n v="284617.27"/>
        <n v="272190.83"/>
        <n v="269624.2"/>
        <n v="276279.49"/>
        <n v="286197.5"/>
        <n v="257361.3"/>
        <n v="280048.74"/>
        <n v="278287.04"/>
        <n v="272997.65"/>
        <n v="285379.86"/>
        <n v="286515.92"/>
        <n v="267065.35"/>
        <n v="291891.01"/>
        <n v="282351.82"/>
        <n v="296818.2"/>
        <n v="293481.36"/>
        <n v="288247.24"/>
        <n v="300628.19"/>
        <n v="280472.78"/>
        <n v="297099.95"/>
        <n v="292680.16"/>
        <n v="275020.96"/>
        <n v="296804.49"/>
        <n v="291028.09"/>
        <n v="284740.5"/>
        <n v="293155.08"/>
        <n v="295880.12"/>
        <n v="283455.13"/>
        <n v="279364.13"/>
        <n v="281313.78"/>
        <n v="300152.45"/>
        <n v="279524.44"/>
        <n v="268708.43"/>
        <n v="270110.3"/>
        <n v="286497.49"/>
        <n v="270516.84"/>
        <n v="281909.79"/>
        <n v="284322.52"/>
        <n v="307646.5"/>
        <n v="264214.12"/>
        <n v="278253.28"/>
        <n v="278646.35"/>
        <n v="365098.24"/>
        <n v="241937.11"/>
        <n v="288320.38"/>
        <n v="292859.36"/>
        <n v="276157.8"/>
        <n v="276011.4"/>
        <n v="293953.08"/>
        <n v="307486.73"/>
        <n v="280785.76"/>
        <n v="279427.93"/>
        <n v="293984.54"/>
        <n v="284496.14"/>
        <n v="281699.68"/>
        <n v="285031.81"/>
        <n v="281514.26"/>
        <n v="292498.61"/>
        <n v="289667.55"/>
        <n v="280357.3"/>
        <n v="281247.97"/>
        <n v="299354.67"/>
        <n v="307095.31"/>
        <n v="303559.23"/>
        <n v="308442.49"/>
        <n v="308950.04"/>
        <n v="308770.42"/>
        <n v="300255.87"/>
        <n v="296765.59"/>
        <n v="315273.08"/>
        <n v="295339.01"/>
        <n v="289201.21"/>
        <n v="303108.81"/>
        <n v="279677"/>
        <n v="298080.45"/>
        <n v="290399.66"/>
        <n v="290909.69"/>
        <n v="324174.79"/>
        <n v="309543.52"/>
        <n v="295811.25"/>
        <n v="303974.28"/>
        <n v="307409.13"/>
        <n v="299757.75"/>
        <n v="312577.36"/>
        <n v="293031.78"/>
        <n v="305969.81"/>
        <n v="306336.07"/>
        <n v="307126.34"/>
        <n v="312233.56"/>
        <n v="310531.04"/>
        <n v="309129.01"/>
        <n v="284309.34"/>
        <n v="304300.91"/>
        <n v="311144.16"/>
        <n v="376233.89"/>
        <n v="263917.85"/>
        <n v="325327.93"/>
        <n v="312361.88"/>
        <n v="316948.39"/>
        <n v="308295.38"/>
        <n v="325986.05"/>
        <n v="325377.97"/>
        <n v="320691.21"/>
        <n v="315641.8"/>
        <n v="316687.22"/>
        <n v="303438.24"/>
        <n v="331965.95"/>
        <n v="296947.06"/>
        <n v="310027.29"/>
        <n v="320021.1"/>
        <n v="311390.22"/>
        <n v="323233.8"/>
        <n v="330338.36"/>
        <n v="326053.28"/>
        <n v="341381.08"/>
        <n v="334042.43"/>
        <n v="343268.29"/>
        <n v="323410.94"/>
        <n v="340238.38"/>
        <n v="338400.82"/>
        <n v="336241"/>
        <n v="338386.08"/>
        <n v="358461.58"/>
        <n v="336479.49"/>
        <n v="337819.16"/>
        <n v="319855.26"/>
        <n v="342385.38"/>
        <n v="333594.81"/>
        <n v="327389.51"/>
        <n v="337985.74"/>
        <n v="339490.69"/>
        <n v="338737.33"/>
        <n v="347726.67"/>
        <n v="336017.6"/>
        <n v="355307.94"/>
        <n v="337390.44"/>
        <n v="337796.13"/>
        <n v="323766.77"/>
        <n v="361067.07"/>
        <n v="890689.51"/>
        <n v="656988.64"/>
        <n v="841264.04"/>
        <n v="741891.65"/>
        <n v="777951.22"/>
        <n v="765687.42"/>
        <n v="773819.49"/>
        <n v="782563.38"/>
        <n v="877235.96"/>
        <n v="833782.7"/>
        <n v="782221.96"/>
        <n v="749779.1"/>
        <n v="737265.57"/>
        <n v="812190.76"/>
        <n v="758182.2"/>
        <n v="747888.25"/>
        <n v="801098.43"/>
        <n v="837548.62"/>
        <n v="794698.77"/>
        <n v="815130.5"/>
        <n v="792299.15"/>
        <n v="800147.84"/>
        <n v="787062"/>
        <n v="723708.99"/>
        <n v="714601.11"/>
        <n v="716859.27"/>
        <n v="746517.32"/>
        <n v="722262.21"/>
        <n v="708568.29"/>
        <n v="721744.33"/>
        <n v="790144.7"/>
        <n v="721460.22"/>
        <n v="716987.58"/>
        <n v="678228.58"/>
        <n v="690007.76"/>
        <n v="745782.1"/>
        <n v="715263.3"/>
        <n v="730899.37"/>
        <n v="732859.76"/>
        <n v="764014.06"/>
        <n v="765648.93"/>
        <n v="723987.85"/>
        <n v="1182500.16"/>
        <n v="879244.9"/>
        <n v="1002364.34"/>
        <n v="1123282.85"/>
        <n v="1682862.03"/>
        <n v="679156.2"/>
        <n v="680254.35"/>
        <n v="654018.95"/>
        <n v="644285.33"/>
        <n v="617207.58"/>
        <n v="759442.33"/>
        <n v="766456"/>
        <n v="802253.41"/>
        <n v="733716.78"/>
        <n v="761880.36"/>
        <n v="714014.73"/>
        <n v="733564.77"/>
        <n v="719737.25"/>
        <n v="712425.76"/>
        <n v="750182.71"/>
        <n v="765270.02"/>
        <n v="813630.44"/>
        <n v="786561.61"/>
        <n v="810150.64"/>
        <n v="793889.1"/>
        <n v="727163.67"/>
        <n v="817653.25"/>
        <n v="877423.45"/>
        <n v="814395.17"/>
        <n v="811153.67"/>
        <n v="762861.78"/>
        <n v="791495.25"/>
        <n v="768718.11"/>
        <n v="748435.2"/>
        <n v="741625.25"/>
        <n v="704680.97"/>
        <n v="765996.92"/>
        <n v="724180.89"/>
        <n v="712362.72"/>
        <n v="833979.01"/>
        <n v="726482.39"/>
        <n v="746129.56"/>
        <n v="711367.56"/>
        <n v="714106.42"/>
        <n v="698986.34"/>
        <n v="753447.05"/>
        <n v="720946.99"/>
        <n v="771686.4"/>
        <n v="781694.57"/>
        <n v="833429.22"/>
        <n v="808624.82"/>
        <n v="773603.77"/>
        <n v="1170672.94"/>
        <n v="875699.81"/>
        <n v="957155.31"/>
        <n v="1078905.68"/>
        <n v="1521957.99"/>
        <n v="869403.63"/>
        <n v="714081.05"/>
        <n v="676615.53"/>
        <n v="700392.21"/>
        <n v="624081.64"/>
        <n v="757330.95"/>
        <n v="803657.12"/>
        <n v="858853.75"/>
        <n v="753060.78"/>
        <n v="782796.01"/>
        <n v="776968.87"/>
        <n v="788340.23"/>
        <n v="791835.37"/>
        <n v="777254.06"/>
        <n v="899479.43"/>
        <n v="781970.6"/>
        <n v="776661.74"/>
        <n v="711571.88"/>
        <n v="782300.68"/>
        <n v="770487.37"/>
        <n v="800842.28"/>
        <n v="817741.17"/>
        <n v="837144.63"/>
        <n v="795133"/>
        <n v="821498.18"/>
        <n v="822569.16"/>
        <n v="773367.71"/>
        <n v="843361.1"/>
        <n v="749817.08"/>
        <n v="737613.65"/>
        <n v="711671.58"/>
        <n v="725729.51"/>
        <n v="733037.32"/>
        <n v="722496.93"/>
        <n v="718232.26"/>
        <n v="734297.87"/>
        <n v="766512.66"/>
        <n v="702238.27"/>
        <n v="723086.2"/>
        <n v="713173.95"/>
        <n v="733455.07"/>
        <n v="734464.36"/>
        <n v="718125.53"/>
        <n v="760281.43"/>
      </sharedItems>
    </cacheField>
    <cacheField name="Sales level" numFmtId="0">
      <sharedItems count="2">
        <s v="High"/>
        <s v="Low"/>
      </sharedItems>
    </cacheField>
    <cacheField name="Holiday_Flag" numFmtId="0">
      <sharedItems containsSemiMixedTypes="0" containsString="0" containsNumber="1" containsInteger="1" minValue="0" maxValue="1" count="2">
        <n v="0"/>
        <n v="1"/>
      </sharedItems>
    </cacheField>
    <cacheField name="Temperature" numFmtId="182">
      <sharedItems containsSemiMixedTypes="0" containsString="0" containsNumber="1" minValue="-2.06" maxValue="100.14" count="3528">
        <n v="42.31"/>
        <n v="38.51"/>
        <n v="39.93"/>
        <n v="46.63"/>
        <n v="46.5"/>
        <n v="57.79"/>
        <n v="54.58"/>
        <n v="51.45"/>
        <n v="62.27"/>
        <n v="65.86"/>
        <n v="66.32"/>
        <n v="64.84"/>
        <n v="67.41"/>
        <n v="72.55"/>
        <n v="74.78"/>
        <n v="76.44"/>
        <n v="80.44"/>
        <n v="80.69"/>
        <n v="80.43"/>
        <n v="84.11"/>
        <n v="84.34"/>
        <n v="80.91"/>
        <n v="80.48"/>
        <n v="83.15"/>
        <n v="83.36"/>
        <n v="81.84"/>
        <n v="87.16"/>
        <n v="87"/>
        <n v="86.65"/>
        <n v="85.22"/>
        <n v="81.21"/>
        <n v="78.69"/>
        <n v="82.11"/>
        <n v="80.94"/>
        <n v="71.89"/>
        <n v="63.93"/>
        <n v="67.18"/>
        <n v="69.86"/>
        <n v="69.64"/>
        <n v="58.74"/>
        <n v="59.61"/>
        <n v="51.41"/>
        <n v="64.52"/>
        <n v="49.27"/>
        <n v="46.33"/>
        <n v="49.84"/>
        <n v="52.33"/>
        <n v="48.43"/>
        <n v="48.27"/>
        <n v="35.4"/>
        <n v="44.04"/>
        <n v="43.83"/>
        <n v="42.27"/>
        <n v="36.39"/>
        <n v="57.36"/>
        <n v="62.9"/>
        <n v="59.58"/>
        <n v="53.56"/>
        <n v="62.76"/>
        <n v="69.97"/>
        <n v="59.17"/>
        <n v="67.84"/>
        <n v="71.27"/>
        <n v="72.99"/>
        <n v="72.03"/>
        <n v="64.61"/>
        <n v="75.64"/>
        <n v="67.63"/>
        <n v="77.72"/>
        <n v="83"/>
        <n v="83.13"/>
        <n v="86.41"/>
        <n v="83.58"/>
        <n v="85.55"/>
        <n v="85.83"/>
        <n v="88.54"/>
        <n v="85.77"/>
        <n v="86.83"/>
        <n v="91.65"/>
        <n v="90.76"/>
        <n v="89.94"/>
        <n v="87.96"/>
        <n v="87.83"/>
        <n v="76"/>
        <n v="79.94"/>
        <n v="75.8"/>
        <n v="79.69"/>
        <n v="69.31"/>
        <n v="71.74"/>
        <n v="63.71"/>
        <n v="66.57"/>
        <n v="54.98"/>
        <n v="59.11"/>
        <n v="62.25"/>
        <n v="60.14"/>
        <n v="48.91"/>
        <n v="43.93"/>
        <n v="51.63"/>
        <n v="47.96"/>
        <n v="44.55"/>
        <n v="49.01"/>
        <n v="48.53"/>
        <n v="54.11"/>
        <n v="54.26"/>
        <n v="56.55"/>
        <n v="48.02"/>
        <n v="45.32"/>
        <n v="57.25"/>
        <n v="60.96"/>
        <n v="58.76"/>
        <n v="64.74"/>
        <n v="65.93"/>
        <n v="67.61"/>
        <n v="70.43"/>
        <n v="69.07"/>
        <n v="66.76"/>
        <n v="67.23"/>
        <n v="75.55"/>
        <n v="73.77"/>
        <n v="70.33"/>
        <n v="77.22"/>
        <n v="77.95"/>
        <n v="78.3"/>
        <n v="79.35"/>
        <n v="78.39"/>
        <n v="84.88"/>
        <n v="81.57"/>
        <n v="77.12"/>
        <n v="80.42"/>
        <n v="82.66"/>
        <n v="86.11"/>
        <n v="85.05"/>
        <n v="84.85"/>
        <n v="77.66"/>
        <n v="80.49"/>
        <n v="83.96"/>
        <n v="74.97"/>
        <n v="69.87"/>
        <n v="76.08"/>
        <n v="68.55"/>
        <n v="62.99"/>
        <n v="67.97"/>
        <n v="69.16"/>
        <n v="40.19"/>
        <n v="38.49"/>
        <n v="39.69"/>
        <n v="46.1"/>
        <n v="47.17"/>
        <n v="57.56"/>
        <n v="54.52"/>
        <n v="51.26"/>
        <n v="63.27"/>
        <n v="65.41"/>
        <n v="68.07"/>
        <n v="65.11"/>
        <n v="66.98"/>
        <n v="71.28"/>
        <n v="73.31"/>
        <n v="74.83"/>
        <n v="81.13"/>
        <n v="81.81"/>
        <n v="83.4"/>
        <n v="85.81"/>
        <n v="86.26"/>
        <n v="82.74"/>
        <n v="82.59"/>
        <n v="85.32"/>
        <n v="87.66"/>
        <n v="83.49"/>
        <n v="89.53"/>
        <n v="89.05"/>
        <n v="88.7"/>
        <n v="87.12"/>
        <n v="81.83"/>
        <n v="79.09"/>
        <n v="82.05"/>
        <n v="81.79"/>
        <n v="69.24"/>
        <n v="63.19"/>
        <n v="65.8"/>
        <n v="68.5"/>
        <n v="66.24"/>
        <n v="57.85"/>
        <n v="59.69"/>
        <n v="50.81"/>
        <n v="62.98"/>
        <n v="49.33"/>
        <n v="45.5"/>
        <n v="47.55"/>
        <n v="49.97"/>
        <n v="47.3"/>
        <n v="44.69"/>
        <n v="33.02"/>
        <n v="41.4"/>
        <n v="42.83"/>
        <n v="38.25"/>
        <n v="33.19"/>
        <n v="57.83"/>
        <n v="60.8"/>
        <n v="57.77"/>
        <n v="52.7"/>
        <n v="62.32"/>
        <n v="69.42"/>
        <n v="55.43"/>
        <n v="67"/>
        <n v="69.48"/>
        <n v="69.39"/>
        <n v="69.21"/>
        <n v="61.48"/>
        <n v="74.61"/>
        <n v="67.14"/>
        <n v="76.42"/>
        <n v="83.07"/>
        <n v="86.53"/>
        <n v="85.17"/>
        <n v="85.69"/>
        <n v="87.7"/>
        <n v="89.83"/>
        <n v="89.34"/>
        <n v="90.07"/>
        <n v="93.34"/>
        <n v="91.58"/>
        <n v="89.86"/>
        <n v="90.45"/>
        <n v="89.64"/>
        <n v="77.97"/>
        <n v="78.85"/>
        <n v="75.58"/>
        <n v="78.14"/>
        <n v="69.92"/>
        <n v="71.67"/>
        <n v="64.53"/>
        <n v="65.87"/>
        <n v="55.53"/>
        <n v="59.33"/>
        <n v="62.01"/>
        <n v="56.36"/>
        <n v="48.74"/>
        <n v="41.76"/>
        <n v="50.13"/>
        <n v="46.66"/>
        <n v="44.57"/>
        <n v="46.75"/>
        <n v="45.99"/>
        <n v="51.7"/>
        <n v="50.5"/>
        <n v="55.21"/>
        <n v="46.98"/>
        <n v="43.82"/>
        <n v="54.63"/>
        <n v="58.79"/>
        <n v="57.11"/>
        <n v="63.68"/>
        <n v="64.01"/>
        <n v="66.83"/>
        <n v="68.43"/>
        <n v="68.08"/>
        <n v="65.69"/>
        <n v="67.2"/>
        <n v="76.73"/>
        <n v="73.87"/>
        <n v="78.19"/>
        <n v="78.38"/>
        <n v="80.56"/>
        <n v="81.04"/>
        <n v="86.32"/>
        <n v="84.2"/>
        <n v="80.17"/>
        <n v="83.23"/>
        <n v="86.37"/>
        <n v="90.22"/>
        <n v="88.55"/>
        <n v="84.79"/>
        <n v="76.91"/>
        <n v="82.64"/>
        <n v="87.65"/>
        <n v="75.88"/>
        <n v="71.09"/>
        <n v="79.45"/>
        <n v="70.27"/>
        <n v="60.97"/>
        <n v="69.79"/>
        <n v="45.71"/>
        <n v="47.93"/>
        <n v="47.07"/>
        <n v="52.05"/>
        <n v="53.04"/>
        <n v="63.08"/>
        <n v="60.42"/>
        <n v="57.06"/>
        <n v="65.56"/>
        <n v="68"/>
        <n v="67.87"/>
        <n v="70.24"/>
        <n v="73.47"/>
        <n v="77.18"/>
        <n v="75.81"/>
        <n v="78.6"/>
        <n v="78.53"/>
        <n v="82.1"/>
        <n v="83.52"/>
        <n v="83.79"/>
        <n v="82.2"/>
        <n v="81.75"/>
        <n v="84.32"/>
        <n v="83.32"/>
        <n v="82.04"/>
        <n v="85.13"/>
        <n v="86.74"/>
        <n v="88.02"/>
        <n v="86.15"/>
        <n v="84.16"/>
        <n v="80.84"/>
        <n v="82.36"/>
        <n v="76.9"/>
        <n v="73.6"/>
        <n v="66.99"/>
        <n v="69.71"/>
        <n v="71.64"/>
        <n v="72.04"/>
        <n v="62.94"/>
        <n v="62.79"/>
        <n v="57.72"/>
        <n v="68.71"/>
        <n v="53.76"/>
        <n v="51.13"/>
        <n v="52.2"/>
        <n v="57.16"/>
        <n v="53.2"/>
        <n v="53.35"/>
        <n v="44.76"/>
        <n v="50.74"/>
        <n v="48.71"/>
        <n v="45.95"/>
        <n v="43.57"/>
        <n v="61.58"/>
        <n v="67.4"/>
        <n v="61.29"/>
        <n v="69.47"/>
        <n v="72.94"/>
        <n v="68.76"/>
        <n v="69.45"/>
        <n v="79.87"/>
        <n v="75.79"/>
        <n v="84.41"/>
        <n v="84.29"/>
        <n v="84.84"/>
        <n v="86.96"/>
        <n v="84.94"/>
        <n v="85.1"/>
        <n v="85.38"/>
        <n v="87.14"/>
        <n v="86.19"/>
        <n v="88.07"/>
        <n v="88.45"/>
        <n v="88.88"/>
        <n v="88.44"/>
        <n v="87.67"/>
        <n v="89.12"/>
        <n v="81.72"/>
        <n v="83.63"/>
        <n v="80.19"/>
        <n v="82.58"/>
        <n v="75.54"/>
        <n v="73.75"/>
        <n v="69.03"/>
        <n v="71.04"/>
        <n v="59.31"/>
        <n v="61.7"/>
        <n v="63.91"/>
        <n v="54.97"/>
        <n v="49.26"/>
        <n v="57.95"/>
        <n v="53.41"/>
        <n v="48.29"/>
        <n v="52.42"/>
        <n v="51.86"/>
        <n v="56.2"/>
        <n v="58.06"/>
        <n v="51.65"/>
        <n v="52.39"/>
        <n v="60.12"/>
        <n v="61.65"/>
        <n v="60.71"/>
        <n v="64"/>
        <n v="66.53"/>
        <n v="69.36"/>
        <n v="73.01"/>
        <n v="72.83"/>
        <n v="72.05"/>
        <n v="73.39"/>
        <n v="79.51"/>
        <n v="75.19"/>
        <n v="72.38"/>
        <n v="78.58"/>
        <n v="81.55"/>
        <n v="81.65"/>
        <n v="84.66"/>
        <n v="82.7"/>
        <n v="86.42"/>
        <n v="83.14"/>
        <n v="82.28"/>
        <n v="81.38"/>
        <n v="86.55"/>
        <n v="85.85"/>
        <n v="87.36"/>
        <n v="83.01"/>
        <n v="85.18"/>
        <n v="84.99"/>
        <n v="78.36"/>
        <n v="72.78"/>
        <n v="77.46"/>
        <n v="72.74"/>
        <n v="70.31"/>
        <n v="73.44"/>
        <n v="74.66"/>
        <n v="43.76"/>
        <n v="28.84"/>
        <n v="36.45"/>
        <n v="41.36"/>
        <n v="43.49"/>
        <n v="49.63"/>
        <n v="55.19"/>
        <n v="39.91"/>
        <n v="48.77"/>
        <n v="54.16"/>
        <n v="56.23"/>
        <n v="56.87"/>
        <n v="56.77"/>
        <n v="62.35"/>
        <n v="67.73"/>
        <n v="70.83"/>
        <n v="78.45"/>
        <n v="81.53"/>
        <n v="81.1"/>
        <n v="73.66"/>
        <n v="80.35"/>
        <n v="79.78"/>
        <n v="80.7"/>
        <n v="76.53"/>
        <n v="78.08"/>
        <n v="78.83"/>
        <n v="74.44"/>
        <n v="76.8"/>
        <n v="73.54"/>
        <n v="64.91"/>
        <n v="63.96"/>
        <n v="62.03"/>
        <n v="64.17"/>
        <n v="56.94"/>
        <n v="51.6"/>
        <n v="52.65"/>
        <n v="48.05"/>
        <n v="48.08"/>
        <n v="46.4"/>
        <n v="42.4"/>
        <n v="46.57"/>
        <n v="43.21"/>
        <n v="38.09"/>
        <n v="39.34"/>
        <n v="31.6"/>
        <n v="38.34"/>
        <n v="40.6"/>
        <n v="34.61"/>
        <n v="33.29"/>
        <n v="48.17"/>
        <n v="49"/>
        <n v="46.56"/>
        <n v="50.93"/>
        <n v="59.1"/>
        <n v="56.99"/>
        <n v="62.61"/>
        <n v="62.34"/>
        <n v="68.8"/>
        <n v="64.22"/>
        <n v="63.41"/>
        <n v="70.65"/>
        <n v="70.49"/>
        <n v="73.65"/>
        <n v="78.26"/>
        <n v="80.05"/>
        <n v="83.51"/>
        <n v="81.85"/>
        <n v="84.54"/>
        <n v="84.59"/>
        <n v="83.27"/>
        <n v="82.84"/>
        <n v="84.36"/>
        <n v="86.09"/>
        <n v="82.98"/>
        <n v="82.77"/>
        <n v="81.47"/>
        <n v="77.99"/>
        <n v="73.34"/>
        <n v="72.76"/>
        <n v="69.23"/>
        <n v="72.15"/>
        <n v="65.79"/>
        <n v="63.75"/>
        <n v="64.79"/>
        <n v="55.31"/>
        <n v="49.86"/>
        <n v="47.12"/>
        <n v="50.44"/>
        <n v="38.71"/>
        <n v="31.64"/>
        <n v="36.44"/>
        <n v="35.92"/>
        <n v="36.89"/>
        <n v="38.64"/>
        <n v="34.41"/>
        <n v="42.09"/>
        <n v="40.31"/>
        <n v="41.81"/>
        <n v="33"/>
        <n v="34.19"/>
        <n v="41.31"/>
        <n v="50.38"/>
        <n v="53.63"/>
        <n v="59.81"/>
        <n v="59.07"/>
        <n v="72.63"/>
        <n v="67.69"/>
        <n v="68.69"/>
        <n v="68.6"/>
        <n v="76.47"/>
        <n v="80.14"/>
        <n v="67.64"/>
        <n v="77.47"/>
        <n v="77.41"/>
        <n v="78.11"/>
        <n v="81.63"/>
        <n v="84.23"/>
        <n v="80.37"/>
        <n v="76.86"/>
        <n v="79.14"/>
        <n v="81.06"/>
        <n v="83.86"/>
        <n v="83.21"/>
        <n v="81.41"/>
        <n v="75.76"/>
        <n v="82.09"/>
        <n v="68.2"/>
        <n v="68.97"/>
        <n v="63.07"/>
        <n v="64.46"/>
        <n v="63.64"/>
        <n v="39.7"/>
        <n v="39.81"/>
        <n v="41.14"/>
        <n v="46.7"/>
        <n v="48.89"/>
        <n v="58.5"/>
        <n v="55.46"/>
        <n v="52.47"/>
        <n v="63.18"/>
        <n v="65.19"/>
        <n v="65.3"/>
        <n v="65.13"/>
        <n v="67.53"/>
        <n v="71.53"/>
        <n v="74.79"/>
        <n v="75.2"/>
        <n v="79.81"/>
        <n v="79.54"/>
        <n v="83.91"/>
        <n v="83.72"/>
        <n v="81.25"/>
        <n v="81.14"/>
        <n v="83.98"/>
        <n v="83.66"/>
        <n v="82.46"/>
        <n v="86.1"/>
        <n v="87.41"/>
        <n v="87.71"/>
        <n v="87.05"/>
        <n v="84.06"/>
        <n v="79.86"/>
        <n v="71.1"/>
        <n v="64.99"/>
        <n v="68.11"/>
        <n v="70.96"/>
        <n v="70.58"/>
        <n v="58.88"/>
        <n v="62.37"/>
        <n v="52.52"/>
        <n v="66.15"/>
        <n v="51.31"/>
        <n v="51.61"/>
        <n v="55.01"/>
        <n v="49.79"/>
        <n v="48.3"/>
        <n v="37.74"/>
        <n v="45.41"/>
        <n v="44.5"/>
        <n v="41.67"/>
        <n v="58.83"/>
        <n v="63.35"/>
        <n v="60.35"/>
        <n v="55.74"/>
        <n v="64.31"/>
        <n v="70.71"/>
        <n v="61.5"/>
        <n v="72.02"/>
        <n v="74.34"/>
        <n v="74.75"/>
        <n v="66.27"/>
        <n v="77.38"/>
        <n v="71.37"/>
        <n v="83.81"/>
        <n v="83.61"/>
        <n v="86.84"/>
        <n v="84.76"/>
        <n v="86.64"/>
        <n v="88.64"/>
        <n v="86.97"/>
        <n v="89.42"/>
        <n v="91.07"/>
        <n v="90.16"/>
        <n v="89.35"/>
        <n v="89.18"/>
        <n v="90.38"/>
        <n v="79.04"/>
        <n v="83.55"/>
        <n v="78.01"/>
        <n v="81.16"/>
        <n v="72.36"/>
        <n v="66.9"/>
        <n v="69.27"/>
        <n v="56.71"/>
        <n v="64.33"/>
        <n v="61.93"/>
        <n v="51.14"/>
        <n v="44.12"/>
        <n v="54.42"/>
        <n v="50.33"/>
        <n v="45.62"/>
        <n v="50.21"/>
        <n v="48.86"/>
        <n v="54.65"/>
        <n v="57.35"/>
        <n v="48.57"/>
        <n v="48.25"/>
        <n v="57.75"/>
        <n v="60.66"/>
        <n v="57.69"/>
        <n v="63.55"/>
        <n v="64.44"/>
        <n v="67.76"/>
        <n v="70.4"/>
        <n v="70.56"/>
        <n v="67.33"/>
        <n v="68.96"/>
        <n v="77.1"/>
        <n v="73.45"/>
        <n v="70.45"/>
        <n v="78.23"/>
        <n v="79.72"/>
        <n v="81.02"/>
        <n v="81.64"/>
        <n v="80.57"/>
        <n v="87.08"/>
        <n v="82.35"/>
        <n v="80.78"/>
        <n v="81.05"/>
        <n v="85.06"/>
        <n v="86.91"/>
        <n v="87.52"/>
        <n v="84.25"/>
        <n v="86.3"/>
        <n v="76.65"/>
        <n v="78.33"/>
        <n v="71.17"/>
        <n v="69.17"/>
        <n v="71.7"/>
        <n v="40.43"/>
        <n v="40.57"/>
        <n v="43.58"/>
        <n v="47.1"/>
        <n v="58.82"/>
        <n v="53.74"/>
        <n v="64.94"/>
        <n v="65.68"/>
        <n v="64.11"/>
        <n v="68.91"/>
        <n v="73.68"/>
        <n v="74.95"/>
        <n v="74.8"/>
        <n v="78.89"/>
        <n v="79.44"/>
        <n v="83.89"/>
        <n v="80.34"/>
        <n v="80.93"/>
        <n v="83.75"/>
        <n v="83.9"/>
        <n v="81.37"/>
        <n v="86.61"/>
        <n v="85.71"/>
        <n v="82.15"/>
        <n v="78.78"/>
        <n v="81.78"/>
        <n v="76.49"/>
        <n v="70.69"/>
        <n v="65.21"/>
        <n v="68.93"/>
        <n v="70.97"/>
        <n v="70.39"/>
        <n v="59.9"/>
        <n v="62.11"/>
        <n v="52.99"/>
        <n v="52.3"/>
        <n v="48.46"/>
        <n v="52.24"/>
        <n v="55.07"/>
        <n v="49.14"/>
        <n v="47.78"/>
        <n v="38.37"/>
        <n v="46.2"/>
        <n v="44.98"/>
        <n v="40.59"/>
        <n v="39.38"/>
        <n v="62.86"/>
        <n v="60.45"/>
        <n v="57.71"/>
        <n v="65.07"/>
        <n v="70.35"/>
        <n v="73.17"/>
        <n v="74.24"/>
        <n v="75.27"/>
        <n v="65.42"/>
        <n v="76.95"/>
        <n v="72.01"/>
        <n v="80.83"/>
        <n v="84.01"/>
        <n v="84.49"/>
        <n v="85.51"/>
        <n v="88.36"/>
        <n v="88.93"/>
        <n v="88.06"/>
        <n v="91.46"/>
        <n v="90.49"/>
        <n v="89.26"/>
        <n v="91.22"/>
        <n v="80.21"/>
        <n v="78.49"/>
        <n v="82.51"/>
        <n v="74.1"/>
        <n v="71.24"/>
        <n v="68.53"/>
        <n v="69.51"/>
        <n v="58.54"/>
        <n v="61.33"/>
        <n v="63.89"/>
        <n v="62.78"/>
        <n v="51.18"/>
        <n v="43.64"/>
        <n v="53.27"/>
        <n v="49.45"/>
        <n v="46.8"/>
        <n v="50.82"/>
        <n v="48.33"/>
        <n v="55.37"/>
        <n v="53.95"/>
        <n v="57.45"/>
        <n v="48.58"/>
        <n v="49.03"/>
        <n v="60.32"/>
        <n v="57.89"/>
        <n v="62.8"/>
        <n v="67.91"/>
        <n v="71.6"/>
        <n v="71.29"/>
        <n v="68.64"/>
        <n v="71.5"/>
        <n v="72.66"/>
        <n v="70.5"/>
        <n v="78.47"/>
        <n v="80.39"/>
        <n v="80.5"/>
        <n v="81.2"/>
        <n v="87.35"/>
        <n v="82.95"/>
        <n v="80.27"/>
        <n v="85.78"/>
        <n v="87.55"/>
        <n v="87.04"/>
        <n v="87.53"/>
        <n v="79.03"/>
        <n v="86.33"/>
        <n v="76.41"/>
        <n v="70.81"/>
        <n v="77.82"/>
        <n v="70.84"/>
        <n v="65.43"/>
        <n v="69.68"/>
        <n v="72.34"/>
        <n v="10.53"/>
        <n v="25.9"/>
        <n v="27.28"/>
        <n v="24.91"/>
        <n v="35.86"/>
        <n v="27.25"/>
        <n v="29.04"/>
        <n v="23.33"/>
        <n v="38.26"/>
        <n v="33.79"/>
        <n v="41.89"/>
        <n v="43.07"/>
        <n v="38.99"/>
        <n v="40.07"/>
        <n v="41.41"/>
        <n v="46.6"/>
        <n v="54.24"/>
        <n v="63.59"/>
        <n v="59.94"/>
        <n v="61.31"/>
        <n v="58"/>
        <n v="62.19"/>
        <n v="64.64"/>
        <n v="66.07"/>
        <n v="60.13"/>
        <n v="59.59"/>
        <n v="57.57"/>
        <n v="48.5"/>
        <n v="48.56"/>
        <n v="49.99"/>
        <n v="44.13"/>
        <n v="36.84"/>
        <n v="34.78"/>
        <n v="49.44"/>
        <n v="22.12"/>
        <n v="25.56"/>
        <n v="17.95"/>
        <n v="21.88"/>
        <n v="24.24"/>
        <n v="20.74"/>
        <n v="26.04"/>
        <n v="13.76"/>
        <n v="10.09"/>
        <n v="11.32"/>
        <n v="25.4"/>
        <n v="10.11"/>
        <n v="-2.06"/>
        <n v="10.24"/>
        <n v="17.3"/>
        <n v="17.46"/>
        <n v="21.84"/>
        <n v="20.7"/>
        <n v="27.69"/>
        <n v="25.69"/>
        <n v="24.83"/>
        <n v="30.64"/>
        <n v="27.79"/>
        <n v="31.84"/>
        <n v="26.79"/>
        <n v="26.54"/>
        <n v="36.61"/>
        <n v="36.16"/>
        <n v="37.51"/>
        <n v="45.77"/>
        <n v="53.3"/>
        <n v="48.79"/>
        <n v="46.85"/>
        <n v="59.08"/>
        <n v="54.37"/>
        <n v="56.22"/>
        <n v="56.66"/>
        <n v="55.91"/>
        <n v="54.56"/>
        <n v="56.06"/>
        <n v="57.6"/>
        <n v="53.4"/>
        <n v="45.61"/>
        <n v="43.67"/>
        <n v="47.34"/>
        <n v="40.65"/>
        <n v="32.65"/>
        <n v="37.49"/>
        <n v="28.82"/>
        <n v="23.41"/>
        <n v="19.53"/>
        <n v="29.53"/>
        <n v="27.6"/>
        <n v="20.38"/>
        <n v="11.17"/>
        <n v="15.2"/>
        <n v="12.19"/>
        <n v="15.56"/>
        <n v="18.67"/>
        <n v="7.46"/>
        <n v="27.41"/>
        <n v="26.9"/>
        <n v="22.2"/>
        <n v="18.79"/>
        <n v="27.03"/>
        <n v="24.41"/>
        <n v="21.64"/>
        <n v="30.1"/>
        <n v="37.29"/>
        <n v="35.06"/>
        <n v="44.99"/>
        <n v="44.29"/>
        <n v="41.43"/>
        <n v="39.3"/>
        <n v="51.49"/>
        <n v="45.38"/>
        <n v="48.54"/>
        <n v="49.41"/>
        <n v="50.6"/>
        <n v="55.06"/>
        <n v="63.69"/>
        <n v="68.84"/>
        <n v="64.67"/>
        <n v="64.21"/>
        <n v="62.87"/>
        <n v="64.6"/>
        <n v="61.83"/>
        <n v="59.66"/>
        <n v="59.27"/>
        <n v="60.46"/>
        <n v="57.84"/>
        <n v="53.66"/>
        <n v="51.77"/>
        <n v="50.64"/>
        <n v="43.01"/>
        <n v="42.53"/>
        <n v="34.14"/>
        <n v="33.34"/>
        <n v="39.1"/>
        <n v="37.91"/>
        <n v="45.64"/>
        <n v="49.76"/>
        <n v="47.26"/>
        <n v="46.51"/>
        <n v="60.18"/>
        <n v="59.25"/>
        <n v="62.66"/>
        <n v="56.1"/>
        <n v="61.01"/>
        <n v="62.68"/>
        <n v="61.35"/>
        <n v="66.03"/>
        <n v="74.71"/>
        <n v="75.71"/>
        <n v="82.21"/>
        <n v="78.79"/>
        <n v="72.49"/>
        <n v="77.49"/>
        <n v="78.29"/>
        <n v="76.02"/>
        <n v="80.11"/>
        <n v="79.36"/>
        <n v="74.92"/>
        <n v="76.14"/>
        <n v="75.32"/>
        <n v="72.21"/>
        <n v="68.7"/>
        <n v="62.59"/>
        <n v="57.93"/>
        <n v="55.76"/>
        <n v="54.89"/>
        <n v="43.86"/>
        <n v="51.07"/>
        <n v="42.85"/>
        <n v="42.47"/>
        <n v="45.03"/>
        <n v="45.67"/>
        <n v="41.47"/>
        <n v="35.77"/>
        <n v="31.62"/>
        <n v="42.06"/>
        <n v="39.26"/>
        <n v="24.48"/>
        <n v="28.26"/>
        <n v="51.29"/>
        <n v="53.18"/>
        <n v="56.68"/>
        <n v="59.74"/>
        <n v="65.62"/>
        <n v="62.29"/>
        <n v="58.92"/>
        <n v="72.96"/>
        <n v="65.54"/>
        <n v="73.14"/>
        <n v="84.73"/>
        <n v="83.94"/>
        <n v="87.26"/>
        <n v="83.57"/>
        <n v="84.26"/>
        <n v="85.46"/>
        <n v="86.46"/>
        <n v="85.15"/>
        <n v="86.05"/>
        <n v="82.92"/>
        <n v="84.69"/>
        <n v="84.77"/>
        <n v="69.01"/>
        <n v="69.09"/>
        <n v="68.72"/>
        <n v="72.2"/>
        <n v="61.74"/>
        <n v="59.97"/>
        <n v="56.86"/>
        <n v="49.68"/>
        <n v="50.56"/>
        <n v="51.72"/>
        <n v="49.61"/>
        <n v="40.82"/>
        <n v="30.51"/>
        <n v="39.79"/>
        <n v="38.16"/>
        <n v="36.33"/>
        <n v="43.47"/>
        <n v="36.46"/>
        <n v="46.81"/>
        <n v="45.52"/>
        <n v="45.56"/>
        <n v="35.71"/>
        <n v="50.95"/>
        <n v="49.59"/>
        <n v="56.63"/>
        <n v="52.9"/>
        <n v="66.69"/>
        <n v="62.18"/>
        <n v="70.34"/>
        <n v="73.96"/>
        <n v="64.96"/>
        <n v="64.16"/>
        <n v="76.11"/>
        <n v="78.31"/>
        <n v="74.28"/>
        <n v="77.14"/>
        <n v="84.47"/>
        <n v="81.24"/>
        <n v="78.46"/>
        <n v="81.71"/>
        <n v="83.74"/>
        <n v="75.33"/>
        <n v="80.87"/>
        <n v="67.21"/>
        <n v="66.96"/>
        <n v="61.41"/>
        <n v="55.03"/>
        <n v="38.01"/>
        <n v="37.08"/>
        <n v="43.06"/>
        <n v="53.15"/>
        <n v="51.8"/>
        <n v="64.95"/>
        <n v="66.09"/>
        <n v="61.26"/>
        <n v="68.58"/>
        <n v="70.53"/>
        <n v="79.65"/>
        <n v="82.99"/>
        <n v="85.02"/>
        <n v="78.55"/>
        <n v="78.51"/>
        <n v="82.93"/>
        <n v="79.83"/>
        <n v="87.09"/>
        <n v="86.85"/>
        <n v="82.47"/>
        <n v="77.7"/>
        <n v="81.19"/>
        <n v="77.15"/>
        <n v="69.08"/>
        <n v="65.35"/>
        <n v="67.36"/>
        <n v="69.99"/>
        <n v="64.43"/>
        <n v="58.69"/>
        <n v="61.59"/>
        <n v="49.96"/>
        <n v="49.89"/>
        <n v="49.7"/>
        <n v="45.92"/>
        <n v="41.82"/>
        <n v="36.43"/>
        <n v="44.72"/>
        <n v="43.9"/>
        <n v="31.82"/>
        <n v="34.13"/>
        <n v="59.01"/>
        <n v="60.67"/>
        <n v="54.75"/>
        <n v="63.82"/>
        <n v="68.79"/>
        <n v="56.12"/>
        <n v="71.4"/>
        <n v="71.9"/>
        <n v="72.35"/>
        <n v="70.85"/>
        <n v="62.2"/>
        <n v="85.8"/>
        <n v="89.15"/>
        <n v="89.14"/>
        <n v="89.04"/>
        <n v="89.08"/>
        <n v="91.1"/>
        <n v="91.52"/>
        <n v="91.63"/>
        <n v="88.95"/>
        <n v="89.33"/>
        <n v="75.65"/>
        <n v="74.42"/>
        <n v="72.62"/>
        <n v="67.27"/>
        <n v="65.46"/>
        <n v="54.46"/>
        <n v="58.28"/>
        <n v="58.8"/>
        <n v="54.32"/>
        <n v="46.84"/>
        <n v="37.65"/>
        <n v="47.31"/>
        <n v="44.43"/>
        <n v="43.41"/>
        <n v="47.54"/>
        <n v="42.44"/>
        <n v="51.56"/>
        <n v="49.38"/>
        <n v="54.43"/>
        <n v="44.03"/>
        <n v="43.81"/>
        <n v="53.67"/>
        <n v="57.2"/>
        <n v="54.03"/>
        <n v="68.83"/>
        <n v="69.19"/>
        <n v="68.04"/>
        <n v="73.07"/>
        <n v="78.98"/>
        <n v="70.94"/>
        <n v="69.52"/>
        <n v="80.26"/>
        <n v="78.91"/>
        <n v="87.18"/>
        <n v="84.15"/>
        <n v="82.39"/>
        <n v="83.39"/>
        <n v="90.23"/>
        <n v="88.66"/>
        <n v="77.9"/>
        <n v="80.71"/>
        <n v="87.93"/>
        <n v="73.55"/>
        <n v="66.61"/>
        <n v="60.09"/>
        <n v="68.01"/>
        <n v="54.34"/>
        <n v="58.22"/>
        <n v="52.77"/>
        <n v="55.92"/>
        <n v="61.46"/>
        <n v="60.05"/>
        <n v="63.66"/>
        <n v="65.29"/>
        <n v="69.74"/>
        <n v="66.42"/>
        <n v="69.76"/>
        <n v="71.06"/>
        <n v="73.88"/>
        <n v="78.32"/>
        <n v="76.67"/>
        <n v="82.82"/>
        <n v="89.67"/>
        <n v="90.32"/>
        <n v="92.89"/>
        <n v="91.03"/>
        <n v="91.8"/>
        <n v="85.03"/>
        <n v="86.13"/>
        <n v="88.37"/>
        <n v="89.88"/>
        <n v="83.8"/>
        <n v="84.04"/>
        <n v="85.52"/>
        <n v="85.75"/>
        <n v="86.01"/>
        <n v="77.04"/>
        <n v="75.48"/>
        <n v="68.12"/>
        <n v="61.24"/>
        <n v="55.33"/>
        <n v="51.17"/>
        <n v="60.51"/>
        <n v="59.15"/>
        <n v="49.67"/>
        <n v="43.43"/>
        <n v="49.98"/>
        <n v="56.75"/>
        <n v="53.03"/>
        <n v="44.88"/>
        <n v="51.51"/>
        <n v="61.77"/>
        <n v="53.59"/>
        <n v="56.96"/>
        <n v="70.12"/>
        <n v="62.53"/>
        <n v="73.03"/>
        <n v="61.05"/>
        <n v="75.93"/>
        <n v="73.38"/>
        <n v="73.56"/>
        <n v="74.04"/>
        <n v="78.62"/>
        <n v="81.87"/>
        <n v="84.57"/>
        <n v="90.69"/>
        <n v="95.36"/>
        <n v="88.57"/>
        <n v="88.59"/>
        <n v="86.75"/>
        <n v="89.8"/>
        <n v="85.61"/>
        <n v="87.4"/>
        <n v="91.59"/>
        <n v="91.61"/>
        <n v="89.06"/>
        <n v="82.27"/>
        <n v="75.01"/>
        <n v="77.91"/>
        <n v="72.79"/>
        <n v="68.57"/>
        <n v="55.28"/>
        <n v="58.97"/>
        <n v="60.68"/>
        <n v="57.29"/>
        <n v="42.58"/>
        <n v="50.53"/>
        <n v="48.36"/>
        <n v="48.92"/>
        <n v="59.85"/>
        <n v="51"/>
        <n v="54.51"/>
        <n v="56.85"/>
        <n v="55.73"/>
        <n v="54.12"/>
        <n v="56.02"/>
        <n v="57.62"/>
        <n v="57.65"/>
        <n v="56.54"/>
        <n v="67.92"/>
        <n v="65.99"/>
        <n v="70.28"/>
        <n v="67.75"/>
        <n v="77.02"/>
        <n v="76.03"/>
        <n v="85.19"/>
        <n v="86.03"/>
        <n v="80.06"/>
        <n v="86.87"/>
        <n v="88.58"/>
        <n v="89.92"/>
        <n v="91.36"/>
        <n v="84.45"/>
        <n v="90.78"/>
        <n v="88.83"/>
        <n v="82.5"/>
        <n v="81.93"/>
        <n v="82.52"/>
        <n v="80.88"/>
        <n v="72.71"/>
        <n v="46.04"/>
        <n v="48.01"/>
        <n v="52.79"/>
        <n v="53.96"/>
        <n v="64.1"/>
        <n v="61.51"/>
        <n v="58.09"/>
        <n v="66.16"/>
        <n v="69.57"/>
        <n v="67.81"/>
        <n v="68.37"/>
        <n v="71.13"/>
        <n v="75.57"/>
        <n v="77.64"/>
        <n v="76.97"/>
        <n v="79.66"/>
        <n v="82.81"/>
        <n v="84.13"/>
        <n v="84.5"/>
        <n v="83.09"/>
        <n v="84.9"/>
        <n v="83.26"/>
        <n v="86.54"/>
        <n v="87.73"/>
        <n v="83.04"/>
        <n v="77.36"/>
        <n v="75.11"/>
        <n v="71.46"/>
        <n v="72.6"/>
        <n v="74.21"/>
        <n v="64.41"/>
        <n v="63.74"/>
        <n v="58.63"/>
        <n v="69.9"/>
        <n v="55.9"/>
        <n v="53.33"/>
        <n v="45.34"/>
        <n v="51.04"/>
        <n v="44.61"/>
        <n v="68.74"/>
        <n v="66.5"/>
        <n v="63.29"/>
        <n v="70.17"/>
        <n v="73.74"/>
        <n v="69.1"/>
        <n v="73.57"/>
        <n v="76.64"/>
        <n v="79.97"/>
        <n v="71.39"/>
        <n v="86.14"/>
        <n v="85.79"/>
        <n v="87.9"/>
        <n v="86.43"/>
        <n v="87.17"/>
        <n v="88.3"/>
        <n v="87.8"/>
        <n v="89.46"/>
        <n v="90.04"/>
        <n v="90.3"/>
        <n v="89.51"/>
        <n v="89.09"/>
        <n v="91.44"/>
        <n v="84.91"/>
        <n v="85.11"/>
        <n v="82.14"/>
        <n v="84.4"/>
        <n v="75.56"/>
        <n v="70.91"/>
        <n v="61.13"/>
        <n v="64.2"/>
        <n v="66.17"/>
        <n v="70.03"/>
        <n v="56.89"/>
        <n v="50.63"/>
        <n v="54.29"/>
        <n v="54.44"/>
        <n v="53.1"/>
        <n v="56.43"/>
        <n v="58.36"/>
        <n v="60.24"/>
        <n v="52.23"/>
        <n v="61.11"/>
        <n v="61.44"/>
        <n v="67.16"/>
        <n v="70.23"/>
        <n v="74.19"/>
        <n v="71.97"/>
        <n v="73.4"/>
        <n v="79.07"/>
        <n v="75.13"/>
        <n v="72.53"/>
        <n v="78.44"/>
        <n v="81.67"/>
        <n v="84.97"/>
        <n v="87.86"/>
        <n v="83.44"/>
        <n v="82.41"/>
        <n v="85.43"/>
        <n v="86.94"/>
        <n v="86.21"/>
        <n v="83.17"/>
        <n v="86.49"/>
        <n v="79.61"/>
        <n v="73.64"/>
        <n v="77.67"/>
        <n v="73.37"/>
        <n v="69.94"/>
        <n v="74.26"/>
        <n v="49.47"/>
        <n v="47.87"/>
        <n v="54.83"/>
        <n v="50.23"/>
        <n v="53.77"/>
        <n v="50.11"/>
        <n v="59.57"/>
        <n v="60.06"/>
        <n v="59.84"/>
        <n v="64.55"/>
        <n v="67.38"/>
        <n v="70.15"/>
        <n v="68.44"/>
        <n v="76.2"/>
        <n v="81.39"/>
        <n v="90.84"/>
        <n v="87.27"/>
        <n v="91.98"/>
        <n v="90.37"/>
        <n v="97.18"/>
        <n v="99.22"/>
        <n v="96.31"/>
        <n v="92.95"/>
        <n v="87.01"/>
        <n v="92.81"/>
        <n v="93.19"/>
        <n v="83.12"/>
        <n v="82.45"/>
        <n v="81.77"/>
        <n v="85.2"/>
        <n v="71.82"/>
        <n v="75"/>
        <n v="68.85"/>
        <n v="61.09"/>
        <n v="65.49"/>
        <n v="58.18"/>
        <n v="47.66"/>
        <n v="43.33"/>
        <n v="50.01"/>
        <n v="52.02"/>
        <n v="37.64"/>
        <n v="43.15"/>
        <n v="53.53"/>
        <n v="45.14"/>
        <n v="51.3"/>
        <n v="48.45"/>
        <n v="54.4"/>
        <n v="63.63"/>
        <n v="64.47"/>
        <n v="57.63"/>
        <n v="72.12"/>
        <n v="68.27"/>
        <n v="68.4"/>
        <n v="70.93"/>
        <n v="66.59"/>
        <n v="71.81"/>
        <n v="78.72"/>
        <n v="89.85"/>
        <n v="89.9"/>
        <n v="88.1"/>
        <n v="91.17"/>
        <n v="93.29"/>
        <n v="90.61"/>
        <n v="91.04"/>
        <n v="91.74"/>
        <n v="94.61"/>
        <n v="93.66"/>
        <n v="88"/>
        <n v="76.36"/>
        <n v="70.44"/>
        <n v="67.31"/>
        <n v="73.05"/>
        <n v="59.77"/>
        <n v="48.76"/>
        <n v="54.2"/>
        <n v="53.25"/>
        <n v="52.5"/>
        <n v="42.17"/>
        <n v="43.29"/>
        <n v="45.4"/>
        <n v="44.64"/>
        <n v="50.43"/>
        <n v="48.07"/>
        <n v="50.58"/>
        <n v="52.27"/>
        <n v="53.13"/>
        <n v="54.54"/>
        <n v="56.26"/>
        <n v="64.36"/>
        <n v="64.05"/>
        <n v="64.28"/>
        <n v="66.73"/>
        <n v="77.27"/>
        <n v="84.51"/>
        <n v="83.84"/>
        <n v="84.83"/>
        <n v="85.94"/>
        <n v="90.47"/>
        <n v="89.13"/>
        <n v="95.61"/>
        <n v="85.53"/>
        <n v="93.47"/>
        <n v="88.16"/>
        <n v="95.91"/>
        <n v="94.87"/>
        <n v="89.78"/>
        <n v="88.52"/>
        <n v="83.64"/>
        <n v="82.97"/>
        <n v="81.22"/>
        <n v="81.61"/>
        <n v="68.66"/>
        <n v="65.95"/>
        <n v="31.53"/>
        <n v="33.16"/>
        <n v="35.7"/>
        <n v="29.98"/>
        <n v="37.62"/>
        <n v="42.49"/>
        <n v="41.48"/>
        <n v="42.15"/>
        <n v="38.97"/>
        <n v="50.39"/>
        <n v="55.66"/>
        <n v="44.42"/>
        <n v="50.15"/>
        <n v="53.11"/>
        <n v="65.24"/>
        <n v="58.41"/>
        <n v="71.83"/>
        <n v="78.82"/>
        <n v="71.33"/>
        <n v="77.79"/>
        <n v="78.94"/>
        <n v="74.93"/>
        <n v="76.34"/>
        <n v="75.31"/>
        <n v="65.71"/>
        <n v="65.74"/>
        <n v="66.84"/>
        <n v="68.22"/>
        <n v="63.03"/>
        <n v="45.12"/>
        <n v="42.55"/>
        <n v="42"/>
        <n v="28.22"/>
        <n v="25.8"/>
        <n v="36.78"/>
        <n v="35.21"/>
        <n v="34.9"/>
        <n v="16.94"/>
        <n v="20.6"/>
        <n v="34.8"/>
        <n v="23.35"/>
        <n v="30.83"/>
        <n v="40.85"/>
        <n v="33.17"/>
        <n v="34.23"/>
        <n v="41.28"/>
        <n v="42.38"/>
        <n v="42.75"/>
        <n v="41.72"/>
        <n v="43.85"/>
        <n v="47.75"/>
        <n v="52.4"/>
        <n v="52.12"/>
        <n v="54.62"/>
        <n v="52.76"/>
        <n v="61.39"/>
        <n v="66.38"/>
        <n v="74.29"/>
        <n v="77.3"/>
        <n v="75.59"/>
        <n v="78.5"/>
        <n v="77.62"/>
        <n v="75.95"/>
        <n v="76.68"/>
        <n v="77"/>
        <n v="70.19"/>
        <n v="67.54"/>
        <n v="63.6"/>
        <n v="68.28"/>
        <n v="60.62"/>
        <n v="51.74"/>
        <n v="54.66"/>
        <n v="47.41"/>
        <n v="43.51"/>
        <n v="33.8"/>
        <n v="38.89"/>
        <n v="33.94"/>
        <n v="24.82"/>
        <n v="27.85"/>
        <n v="24.76"/>
        <n v="25.61"/>
        <n v="32.71"/>
        <n v="34.32"/>
        <n v="31.39"/>
        <n v="33.73"/>
        <n v="36.57"/>
        <n v="35.38"/>
        <n v="32.36"/>
        <n v="38.24"/>
        <n v="47.83"/>
        <n v="48.85"/>
        <n v="50.24"/>
        <n v="64.8"/>
        <n v="54.41"/>
        <n v="56.47"/>
        <n v="65.17"/>
        <n v="62.39"/>
        <n v="65.97"/>
        <n v="72.89"/>
        <n v="82"/>
        <n v="79.23"/>
        <n v="83.68"/>
        <n v="75.69"/>
        <n v="81.99"/>
        <n v="81.69"/>
        <n v="79.4"/>
        <n v="77.37"/>
        <n v="79.18"/>
        <n v="67.96"/>
        <n v="61.79"/>
        <n v="55.1"/>
        <n v="52.06"/>
        <n v="46.97"/>
        <n v="27.31"/>
        <n v="27.73"/>
        <n v="31.27"/>
        <n v="34.89"/>
        <n v="37.13"/>
        <n v="45.8"/>
        <n v="54.36"/>
        <n v="47.74"/>
        <n v="65.45"/>
        <n v="54.28"/>
        <n v="53.47"/>
        <n v="70.75"/>
        <n v="62.62"/>
        <n v="79.32"/>
        <n v="76.61"/>
        <n v="77.84"/>
        <n v="81.46"/>
        <n v="77.17"/>
        <n v="76.01"/>
        <n v="71.36"/>
        <n v="78.37"/>
        <n v="70.87"/>
        <n v="66.55"/>
        <n v="68.59"/>
        <n v="56.49"/>
        <n v="58.61"/>
        <n v="61.3"/>
        <n v="45.65"/>
        <n v="46.14"/>
        <n v="50.02"/>
        <n v="46.15"/>
        <n v="40.93"/>
        <n v="30.54"/>
        <n v="30.59"/>
        <n v="29.67"/>
        <n v="24.78"/>
        <n v="30.55"/>
        <n v="24.05"/>
        <n v="28.73"/>
        <n v="30.3"/>
        <n v="40.7"/>
        <n v="35.78"/>
        <n v="38.65"/>
        <n v="45.01"/>
        <n v="37.27"/>
        <n v="53.69"/>
        <n v="66.18"/>
        <n v="58.21"/>
        <n v="60.38"/>
        <n v="62.28"/>
        <n v="69.7"/>
        <n v="76.38"/>
        <n v="69.32"/>
        <n v="74.85"/>
        <n v="82.33"/>
        <n v="81.31"/>
        <n v="78.22"/>
        <n v="72.98"/>
        <n v="70.63"/>
        <n v="71.48"/>
        <n v="70.66"/>
        <n v="55.82"/>
        <n v="59.6"/>
        <n v="51.78"/>
        <n v="43.92"/>
        <n v="47.65"/>
        <n v="51.34"/>
        <n v="50.19"/>
        <n v="37.79"/>
        <n v="35.88"/>
        <n v="41.18"/>
        <n v="31.85"/>
        <n v="37.93"/>
        <n v="42.96"/>
        <n v="37"/>
        <n v="36.85"/>
        <n v="42.86"/>
        <n v="41.55"/>
        <n v="59.45"/>
        <n v="50.04"/>
        <n v="49.73"/>
        <n v="51.83"/>
        <n v="63.13"/>
        <n v="66.3"/>
        <n v="74.48"/>
        <n v="64.3"/>
        <n v="71.93"/>
        <n v="74.22"/>
        <n v="75.22"/>
        <n v="77.2"/>
        <n v="76.58"/>
        <n v="78.65"/>
        <n v="75.09"/>
        <n v="75.7"/>
        <n v="65.32"/>
        <n v="64.88"/>
        <n v="64.89"/>
        <n v="54.47"/>
        <n v="58.85"/>
        <n v="19.83"/>
        <n v="22"/>
        <n v="27.54"/>
        <n v="29.87"/>
        <n v="31.79"/>
        <n v="41.39"/>
        <n v="39.53"/>
        <n v="45.27"/>
        <n v="46.54"/>
        <n v="49.09"/>
        <n v="63.16"/>
        <n v="47.13"/>
        <n v="59.09"/>
        <n v="70.61"/>
        <n v="61.04"/>
        <n v="65.83"/>
        <n v="66.13"/>
        <n v="77.33"/>
        <n v="73.2"/>
        <n v="72.7"/>
        <n v="72.17"/>
        <n v="62.36"/>
        <n v="57.94"/>
        <n v="52.19"/>
        <n v="55.09"/>
        <n v="40.29"/>
        <n v="39.63"/>
        <n v="44.1"/>
        <n v="40.71"/>
        <n v="36"/>
        <n v="23.97"/>
        <n v="25.3"/>
        <n v="25.07"/>
        <n v="30.53"/>
        <n v="19.61"/>
        <n v="20.69"/>
        <n v="33.06"/>
        <n v="20.87"/>
        <n v="28.16"/>
        <n v="34.27"/>
        <n v="40.23"/>
        <n v="32.63"/>
        <n v="30.34"/>
        <n v="40.94"/>
        <n v="48.63"/>
        <n v="41.37"/>
        <n v="49.87"/>
        <n v="57.07"/>
        <n v="57.19"/>
        <n v="69.8"/>
        <n v="63.9"/>
        <n v="69.96"/>
        <n v="67.43"/>
        <n v="74.67"/>
        <n v="73.63"/>
        <n v="70.41"/>
        <n v="67.59"/>
        <n v="62.1"/>
        <n v="59"/>
        <n v="64.87"/>
        <n v="51.24"/>
        <n v="51.67"/>
        <n v="45.54"/>
        <n v="43.39"/>
        <n v="46.53"/>
        <n v="41.1"/>
        <n v="38.53"/>
        <n v="35.49"/>
        <n v="34.93"/>
        <n v="31.44"/>
        <n v="30.24"/>
        <n v="36.26"/>
        <n v="21.39"/>
        <n v="30.87"/>
        <n v="35.3"/>
        <n v="31.91"/>
        <n v="30.26"/>
        <n v="33.18"/>
        <n v="33.24"/>
        <n v="36.97"/>
        <n v="47.42"/>
        <n v="42.65"/>
        <n v="40.01"/>
        <n v="43.52"/>
        <n v="41.57"/>
        <n v="54.23"/>
        <n v="58.84"/>
        <n v="59.35"/>
        <n v="67.7"/>
        <n v="74.64"/>
        <n v="73.9"/>
        <n v="73.13"/>
        <n v="73.99"/>
        <n v="70.29"/>
        <n v="71.42"/>
        <n v="71.61"/>
        <n v="65.44"/>
        <n v="60.34"/>
        <n v="57.13"/>
        <n v="49.12"/>
        <n v="52.89"/>
        <n v="55.75"/>
        <n v="19.79"/>
        <n v="21.13"/>
        <n v="18.12"/>
        <n v="27.92"/>
        <n v="28.64"/>
        <n v="33.45"/>
        <n v="29.88"/>
        <n v="36.19"/>
        <n v="34.21"/>
        <n v="45.69"/>
        <n v="44.9"/>
        <n v="37.75"/>
        <n v="37.43"/>
        <n v="41.26"/>
        <n v="52.08"/>
        <n v="62.63"/>
        <n v="67.68"/>
        <n v="70.67"/>
        <n v="67.42"/>
        <n v="65.66"/>
        <n v="58.02"/>
        <n v="57.24"/>
        <n v="58.19"/>
        <n v="59.39"/>
        <n v="45"/>
        <n v="45.85"/>
        <n v="35.76"/>
        <n v="39.94"/>
        <n v="34.04"/>
        <n v="27.26"/>
        <n v="23.46"/>
        <n v="23.68"/>
        <n v="32.02"/>
        <n v="26.01"/>
        <n v="32.46"/>
        <n v="19.66"/>
        <n v="12.39"/>
        <n v="28.6"/>
        <n v="20.8"/>
        <n v="13.64"/>
        <n v="15.02"/>
        <n v="27.18"/>
        <n v="26.15"/>
        <n v="31.77"/>
        <n v="29.36"/>
        <n v="36.5"/>
        <n v="32.61"/>
        <n v="35.75"/>
        <n v="38.04"/>
        <n v="34.59"/>
        <n v="40.74"/>
        <n v="37.77"/>
        <n v="43.95"/>
        <n v="45.17"/>
        <n v="54.08"/>
        <n v="55.78"/>
        <n v="58.34"/>
        <n v="65"/>
        <n v="65.16"/>
        <n v="65.36"/>
        <n v="67.09"/>
        <n v="67.51"/>
        <n v="63.44"/>
        <n v="53.68"/>
        <n v="57.61"/>
        <n v="39.97"/>
        <n v="46.99"/>
        <n v="41.97"/>
        <n v="33.43"/>
        <n v="29.56"/>
        <n v="31.73"/>
        <n v="27.83"/>
        <n v="14.44"/>
        <n v="22.5"/>
        <n v="20.79"/>
        <n v="23.91"/>
        <n v="26.49"/>
        <n v="19.55"/>
        <n v="29.3"/>
        <n v="28.17"/>
        <n v="25.53"/>
        <n v="23.69"/>
        <n v="31.19"/>
        <n v="26.21"/>
        <n v="23.4"/>
        <n v="38.02"/>
        <n v="38.7"/>
        <n v="48.93"/>
        <n v="45.83"/>
        <n v="43.61"/>
        <n v="53.57"/>
        <n v="56.74"/>
        <n v="77.31"/>
        <n v="69"/>
        <n v="62.07"/>
        <n v="64.19"/>
        <n v="56.69"/>
        <n v="56.48"/>
        <n v="51.4"/>
        <n v="50.46"/>
        <n v="43.26"/>
        <n v="40.99"/>
        <n v="23.11"/>
        <n v="18.36"/>
        <n v="25.06"/>
        <n v="15.64"/>
        <n v="31.58"/>
        <n v="29.71"/>
        <n v="33.96"/>
        <n v="35.59"/>
        <n v="36.94"/>
        <n v="34.05"/>
        <n v="45.22"/>
        <n v="52.25"/>
        <n v="40.26"/>
        <n v="47.28"/>
        <n v="53.94"/>
        <n v="48.19"/>
        <n v="53.79"/>
        <n v="57.14"/>
        <n v="54.94"/>
        <n v="62.64"/>
        <n v="68.98"/>
        <n v="62.41"/>
        <n v="69.66"/>
        <n v="67.04"/>
        <n v="65.03"/>
        <n v="57.86"/>
        <n v="56.28"/>
        <n v="58.53"/>
        <n v="58.39"/>
        <n v="60.07"/>
        <n v="47.35"/>
        <n v="47.95"/>
        <n v="39.87"/>
        <n v="42.54"/>
        <n v="36.32"/>
        <n v="36.31"/>
        <n v="19.03"/>
        <n v="22.47"/>
        <n v="25.13"/>
        <n v="26.58"/>
        <n v="6.23"/>
        <n v="16.57"/>
        <n v="26.62"/>
        <n v="22.16"/>
        <n v="11.29"/>
        <n v="14.19"/>
        <n v="26.86"/>
        <n v="24.36"/>
        <n v="24.21"/>
        <n v="32.42"/>
        <n v="34.48"/>
        <n v="36.71"/>
        <n v="39.16"/>
        <n v="39.98"/>
        <n v="42.24"/>
        <n v="40.14"/>
        <n v="45.66"/>
        <n v="51.93"/>
        <n v="54.57"/>
        <n v="56.61"/>
        <n v="60.99"/>
        <n v="67.39"/>
        <n v="70.6"/>
        <n v="67.93"/>
        <n v="69.82"/>
        <n v="61.94"/>
        <n v="61.4"/>
        <n v="47.69"/>
        <n v="47.27"/>
        <n v="37.52"/>
        <n v="27.61"/>
        <n v="32.93"/>
        <n v="32.81"/>
        <n v="26.47"/>
        <n v="17.56"/>
        <n v="21.07"/>
        <n v="18.76"/>
        <n v="26.73"/>
        <n v="27.64"/>
        <n v="20.28"/>
        <n v="29.99"/>
        <n v="26.26"/>
        <n v="23.63"/>
        <n v="30.76"/>
        <n v="30.01"/>
        <n v="26.28"/>
        <n v="43.69"/>
        <n v="40.69"/>
        <n v="45.29"/>
        <n v="46.94"/>
        <n v="59.67"/>
        <n v="55.69"/>
        <n v="54.13"/>
        <n v="56.67"/>
        <n v="71.14"/>
        <n v="70.59"/>
        <n v="74.2"/>
        <n v="73.29"/>
        <n v="70.98"/>
        <n v="68.89"/>
        <n v="61.99"/>
        <n v="59.64"/>
        <n v="58.43"/>
        <n v="52.81"/>
        <n v="44.82"/>
        <n v="48.16"/>
        <n v="21.33"/>
        <n v="26.41"/>
        <n v="30.91"/>
        <n v="35.42"/>
        <n v="37.17"/>
        <n v="42.39"/>
        <n v="45.42"/>
        <n v="45.63"/>
        <n v="59.91"/>
        <n v="50.26"/>
        <n v="50.3"/>
        <n v="51.12"/>
        <n v="65.64"/>
        <n v="49.9"/>
        <n v="60.27"/>
        <n v="69.12"/>
        <n v="64.08"/>
        <n v="65.96"/>
        <n v="71.22"/>
        <n v="79.75"/>
        <n v="73.67"/>
        <n v="71.76"/>
        <n v="67.05"/>
        <n v="75.42"/>
        <n v="60.94"/>
        <n v="64.82"/>
        <n v="54.73"/>
        <n v="55.85"/>
        <n v="42.05"/>
        <n v="43.17"/>
        <n v="45.26"/>
        <n v="40.81"/>
        <n v="37.09"/>
        <n v="25.64"/>
        <n v="27.4"/>
        <n v="26.1"/>
        <n v="22.69"/>
        <n v="22.55"/>
        <n v="14.84"/>
        <n v="24.3"/>
        <n v="31.59"/>
        <n v="28.49"/>
        <n v="38.4"/>
        <n v="41.12"/>
        <n v="36.65"/>
        <n v="43.32"/>
        <n v="49.91"/>
        <n v="54.17"/>
        <n v="58.48"/>
        <n v="57.55"/>
        <n v="70.9"/>
        <n v="69.49"/>
        <n v="63.23"/>
        <n v="69.75"/>
        <n v="73.12"/>
        <n v="74.36"/>
        <n v="78.68"/>
        <n v="73.85"/>
        <n v="74.58"/>
        <n v="70.32"/>
        <n v="68.23"/>
        <n v="66.23"/>
        <n v="60.44"/>
        <n v="60.26"/>
        <n v="55.83"/>
        <n v="38.29"/>
        <n v="47.88"/>
        <n v="46.25"/>
        <n v="42.36"/>
        <n v="35.52"/>
        <n v="35.25"/>
        <n v="24.2"/>
        <n v="30.44"/>
        <n v="32.83"/>
        <n v="32.87"/>
        <n v="36.34"/>
        <n v="33.59"/>
        <n v="38.1"/>
        <n v="45.84"/>
        <n v="45.35"/>
        <n v="43.8"/>
        <n v="60.88"/>
        <n v="49.66"/>
        <n v="57.44"/>
        <n v="62.31"/>
        <n v="65.48"/>
        <n v="66.58"/>
        <n v="70.92"/>
        <n v="77.43"/>
        <n v="72.97"/>
        <n v="72.67"/>
        <n v="73.25"/>
        <n v="68.52"/>
        <n v="70.09"/>
        <n v="71.85"/>
        <n v="64.45"/>
        <n v="60.23"/>
        <n v="58.24"/>
        <n v="59.68"/>
        <n v="50.97"/>
        <n v="51.96"/>
        <n v="56.09"/>
        <n v="20.96"/>
        <n v="23.22"/>
        <n v="28.57"/>
        <n v="30.33"/>
        <n v="32.92"/>
        <n v="39.06"/>
        <n v="43.74"/>
        <n v="39.07"/>
        <n v="46.87"/>
        <n v="62.54"/>
        <n v="57.53"/>
        <n v="68.88"/>
        <n v="61.64"/>
        <n v="66.25"/>
        <n v="72.3"/>
        <n v="74.6"/>
        <n v="74.68"/>
        <n v="72.22"/>
        <n v="66.4"/>
        <n v="74.69"/>
        <n v="63.36"/>
        <n v="58.68"/>
        <n v="63.43"/>
        <n v="51.32"/>
        <n v="56.11"/>
        <n v="41.78"/>
        <n v="40.3"/>
        <n v="44.22"/>
        <n v="42.62"/>
        <n v="36.64"/>
        <n v="25.12"/>
        <n v="26.83"/>
        <n v="26.05"/>
        <n v="28.65"/>
        <n v="31.34"/>
        <n v="21.68"/>
        <n v="22.8"/>
        <n v="20.66"/>
        <n v="21.02"/>
        <n v="21.79"/>
        <n v="34.74"/>
        <n v="23.24"/>
        <n v="29.28"/>
        <n v="40.32"/>
        <n v="33.26"/>
        <n v="30.68"/>
        <n v="48.67"/>
        <n v="41.66"/>
        <n v="52.8"/>
        <n v="63.2"/>
        <n v="66.01"/>
        <n v="68.26"/>
        <n v="64.02"/>
        <n v="73.7"/>
        <n v="79.37"/>
        <n v="74.86"/>
        <n v="73.84"/>
        <n v="69.34"/>
        <n v="61.32"/>
        <n v="61.86"/>
        <n v="46.49"/>
        <n v="44.97"/>
        <n v="48.22"/>
        <n v="48.21"/>
        <n v="40.18"/>
        <n v="37.07"/>
        <n v="36.09"/>
        <n v="31.65"/>
        <n v="23.44"/>
        <n v="32.41"/>
        <n v="36.22"/>
        <n v="30.95"/>
        <n v="33.91"/>
        <n v="34.83"/>
        <n v="38.15"/>
        <n v="48.2"/>
        <n v="56.72"/>
        <n v="55.2"/>
        <n v="42.45"/>
        <n v="50.76"/>
        <n v="58.81"/>
        <n v="67.79"/>
        <n v="68.18"/>
        <n v="60.19"/>
        <n v="68.19"/>
        <n v="75.83"/>
        <n v="76.07"/>
        <n v="76.17"/>
        <n v="74.43"/>
        <n v="73.41"/>
        <n v="74.45"/>
        <n v="69.83"/>
        <n v="66.66"/>
        <n v="65.08"/>
        <n v="56.81"/>
        <n v="59.86"/>
        <n v="53.44"/>
        <n v="25.92"/>
        <n v="25.43"/>
        <n v="32.32"/>
        <n v="31.75"/>
        <n v="47.32"/>
        <n v="50.49"/>
        <n v="65.1"/>
        <n v="50.65"/>
        <n v="66.74"/>
        <n v="72.52"/>
        <n v="67.32"/>
        <n v="75.17"/>
        <n v="70.1"/>
        <n v="78.09"/>
        <n v="75.14"/>
        <n v="77.75"/>
        <n v="74.57"/>
        <n v="75.98"/>
        <n v="75.34"/>
        <n v="70.51"/>
        <n v="75.5"/>
        <n v="65.02"/>
        <n v="65.28"/>
        <n v="69.37"/>
        <n v="61.08"/>
        <n v="51.5"/>
        <n v="50.52"/>
        <n v="42.78"/>
        <n v="45.88"/>
        <n v="35.47"/>
        <n v="24.27"/>
        <n v="24.07"/>
        <n v="25.17"/>
        <n v="28.85"/>
        <n v="31.43"/>
        <n v="20.39"/>
        <n v="27.43"/>
        <n v="23.21"/>
        <n v="28.58"/>
        <n v="25.38"/>
        <n v="42.95"/>
        <n v="33.2"/>
        <n v="37.33"/>
        <n v="44.8"/>
        <n v="44.83"/>
        <n v="32.43"/>
        <n v="47.09"/>
        <n v="55"/>
        <n v="52.56"/>
        <n v="62.97"/>
        <n v="62.26"/>
        <n v="73.51"/>
        <n v="66.41"/>
        <n v="72.4"/>
        <n v="74.88"/>
        <n v="77.8"/>
        <n v="73.52"/>
        <n v="71.25"/>
        <n v="70.82"/>
        <n v="62.15"/>
        <n v="49.36"/>
        <n v="43.88"/>
        <n v="49.3"/>
        <n v="46.38"/>
        <n v="46.32"/>
        <n v="41.64"/>
        <n v="37.16"/>
        <n v="36.35"/>
        <n v="33.42"/>
        <n v="27.65"/>
        <n v="37.19"/>
        <n v="33.47"/>
        <n v="31.11"/>
        <n v="53.73"/>
        <n v="66.11"/>
        <n v="51.52"/>
        <n v="50.06"/>
        <n v="45.68"/>
        <n v="60.11"/>
        <n v="47.64"/>
        <n v="62.74"/>
        <n v="70.04"/>
        <n v="71.51"/>
        <n v="76.51"/>
        <n v="74.15"/>
        <n v="79.2"/>
        <n v="78.27"/>
        <n v="76.04"/>
        <n v="74.73"/>
        <n v="75.4"/>
        <n v="58.65"/>
        <n v="60.77"/>
        <n v="47.2"/>
        <n v="60.04"/>
        <n v="39.05"/>
        <n v="39.75"/>
        <n v="45.31"/>
        <n v="48.61"/>
        <n v="57.1"/>
        <n v="54.68"/>
        <n v="51.66"/>
        <n v="64.12"/>
        <n v="66.93"/>
        <n v="73.08"/>
        <n v="82.68"/>
        <n v="86.18"/>
        <n v="82.29"/>
        <n v="83.59"/>
        <n v="89.65"/>
        <n v="89.58"/>
        <n v="86.2"/>
        <n v="82.57"/>
        <n v="79.3"/>
        <n v="83.03"/>
        <n v="80.79"/>
        <n v="65.76"/>
        <n v="68.61"/>
        <n v="70.72"/>
        <n v="58.71"/>
        <n v="60.95"/>
        <n v="51.71"/>
        <n v="62.96"/>
        <n v="46.35"/>
        <n v="47.19"/>
        <n v="44.24"/>
        <n v="42.72"/>
        <n v="59.87"/>
        <n v="61.27"/>
        <n v="59.52"/>
        <n v="54.69"/>
        <n v="63.26"/>
        <n v="68.62"/>
        <n v="71.01"/>
        <n v="70.79"/>
        <n v="61.87"/>
        <n v="75.04"/>
        <n v="68.36"/>
        <n v="83.82"/>
        <n v="84.71"/>
        <n v="87.54"/>
        <n v="85.72"/>
        <n v="87.57"/>
        <n v="89.16"/>
        <n v="91.05"/>
        <n v="90.27"/>
        <n v="91.56"/>
        <n v="94.22"/>
        <n v="92.32"/>
        <n v="90.11"/>
        <n v="92.07"/>
        <n v="91.94"/>
        <n v="78.87"/>
        <n v="80.62"/>
        <n v="75.68"/>
        <n v="56.01"/>
        <n v="59.8"/>
        <n v="61.9"/>
        <n v="48.72"/>
        <n v="41.44"/>
        <n v="45.16"/>
        <n v="48.1"/>
        <n v="52.21"/>
        <n v="50.79"/>
        <n v="46.52"/>
        <n v="54.81"/>
        <n v="59.3"/>
        <n v="63.39"/>
        <n v="69.02"/>
        <n v="66.97"/>
        <n v="77.53"/>
        <n v="74.14"/>
        <n v="72.42"/>
        <n v="79.49"/>
        <n v="79.24"/>
        <n v="79.47"/>
        <n v="81.51"/>
        <n v="88.05"/>
        <n v="85.26"/>
        <n v="88.09"/>
        <n v="91.57"/>
        <n v="89.57"/>
        <n v="88.4"/>
        <n v="76.1"/>
        <n v="71.54"/>
        <n v="80.38"/>
        <n v="61.53"/>
        <n v="28.14"/>
        <n v="31.96"/>
        <n v="35.98"/>
        <n v="36.82"/>
        <n v="46.03"/>
        <n v="44.96"/>
        <n v="50.96"/>
        <n v="63.81"/>
        <n v="50.99"/>
        <n v="59.99"/>
        <n v="65.01"/>
        <n v="67.13"/>
        <n v="74.37"/>
        <n v="72.88"/>
        <n v="79.22"/>
        <n v="76.3"/>
        <n v="76.35"/>
        <n v="73.21"/>
        <n v="68.99"/>
        <n v="75.85"/>
        <n v="62.49"/>
        <n v="65.14"/>
        <n v="56.32"/>
        <n v="55.23"/>
        <n v="57.73"/>
        <n v="44.34"/>
        <n v="48.62"/>
        <n v="39.42"/>
        <n v="28.43"/>
        <n v="30.46"/>
        <n v="29.76"/>
        <n v="32.56"/>
        <n v="26.8"/>
        <n v="20.61"/>
        <n v="26.39"/>
        <n v="28.89"/>
        <n v="35.34"/>
        <n v="30.23"/>
        <n v="33.52"/>
        <n v="41.42"/>
        <n v="43.38"/>
        <n v="38.77"/>
        <n v="36.04"/>
        <n v="48.88"/>
        <n v="47.76"/>
        <n v="58.56"/>
        <n v="69.53"/>
        <n v="63.97"/>
        <n v="70.8"/>
        <n v="71.3"/>
        <n v="69.14"/>
        <n v="69.78"/>
        <n v="56.44"/>
        <n v="49.31"/>
        <n v="42.81"/>
        <n v="47.8"/>
        <n v="50.62"/>
        <n v="46.28"/>
        <n v="49.11"/>
        <n v="39.11"/>
        <n v="39.83"/>
        <n v="36.28"/>
        <n v="39"/>
        <n v="29.16"/>
        <n v="35.68"/>
        <n v="40.58"/>
        <n v="36.25"/>
        <n v="37.47"/>
        <n v="46.06"/>
        <n v="51.42"/>
        <n v="50.75"/>
        <n v="70.01"/>
        <n v="61.71"/>
        <n v="66.56"/>
        <n v="70.99"/>
        <n v="76.57"/>
        <n v="76.74"/>
        <n v="70.42"/>
        <n v="73.3"/>
        <n v="63.38"/>
        <n v="62.17"/>
        <n v="62.09"/>
        <n v="54.18"/>
        <n v="57.58"/>
        <n v="15.25"/>
        <n v="18.75"/>
        <n v="26.7"/>
        <n v="32.68"/>
        <n v="33.15"/>
        <n v="36.07"/>
        <n v="38.59"/>
        <n v="40.5"/>
        <n v="56.82"/>
        <n v="44.25"/>
        <n v="45.47"/>
        <n v="45.33"/>
        <n v="69.26"/>
        <n v="58.35"/>
        <n v="60.29"/>
        <n v="64.76"/>
        <n v="77.16"/>
        <n v="73.94"/>
        <n v="70.2"/>
        <n v="68.65"/>
        <n v="63.25"/>
        <n v="72.91"/>
        <n v="63.21"/>
        <n v="55.3"/>
        <n v="45.55"/>
        <n v="43.19"/>
        <n v="48.68"/>
        <n v="36.6"/>
        <n v="34.95"/>
        <n v="34.3"/>
        <n v="20.12"/>
        <n v="23.05"/>
        <n v="22.96"/>
        <n v="19.05"/>
        <n v="27.81"/>
        <n v="18.2"/>
        <n v="15.58"/>
        <n v="10.91"/>
        <n v="14.5"/>
        <n v="21.52"/>
        <n v="26.6"/>
        <n v="17"/>
        <n v="20.67"/>
        <n v="37.28"/>
        <n v="29.11"/>
        <n v="29.44"/>
        <n v="36.74"/>
        <n v="45.51"/>
        <n v="39.62"/>
        <n v="50.07"/>
        <n v="55.12"/>
        <n v="65.23"/>
        <n v="61.06"/>
        <n v="63.8"/>
        <n v="65.65"/>
        <n v="69.55"/>
        <n v="65.33"/>
        <n v="66.04"/>
        <n v="60.52"/>
        <n v="56.79"/>
        <n v="42.57"/>
        <n v="39.18"/>
        <n v="45.48"/>
        <n v="35.23"/>
        <n v="43.6"/>
        <n v="36.4"/>
        <n v="32.99"/>
        <n v="27.8"/>
        <n v="22.3"/>
        <n v="24.29"/>
        <n v="15.33"/>
        <n v="25.71"/>
        <n v="27.01"/>
        <n v="31.12"/>
        <n v="25.91"/>
        <n v="33.11"/>
        <n v="41.19"/>
        <n v="57.82"/>
        <n v="44.62"/>
        <n v="58.42"/>
        <n v="66.43"/>
        <n v="66.22"/>
        <n v="64.73"/>
        <n v="64.23"/>
        <n v="70.86"/>
        <n v="71.12"/>
        <n v="64.63"/>
        <n v="68.34"/>
        <n v="61.37"/>
        <n v="56.8"/>
        <n v="53.71"/>
        <n v="56.65"/>
        <n v="47.89"/>
        <n v="22.43"/>
        <n v="25.94"/>
        <n v="31.05"/>
        <n v="33.98"/>
        <n v="36.73"/>
        <n v="46.09"/>
        <n v="48.87"/>
        <n v="62.06"/>
        <n v="51.08"/>
        <n v="51.48"/>
        <n v="66.65"/>
        <n v="69.59"/>
        <n v="71.99"/>
        <n v="67.17"/>
        <n v="74.9"/>
        <n v="79.05"/>
        <n v="76.56"/>
        <n v="75.91"/>
        <n v="74.54"/>
        <n v="74.17"/>
        <n v="67.11"/>
        <n v="60.31"/>
        <n v="66.88"/>
        <n v="54.82"/>
        <n v="52.83"/>
        <n v="48.69"/>
        <n v="42.2"/>
        <n v="41.92"/>
        <n v="27.11"/>
        <n v="27.99"/>
        <n v="27.74"/>
        <n v="30.72"/>
        <n v="22.41"/>
        <n v="17.91"/>
        <n v="23.83"/>
        <n v="26.51"/>
        <n v="26.09"/>
        <n v="31.36"/>
        <n v="39.51"/>
        <n v="36.88"/>
        <n v="35.73"/>
        <n v="44.7"/>
        <n v="52.36"/>
        <n v="46"/>
        <n v="60.48"/>
        <n v="58.49"/>
        <n v="70.02"/>
        <n v="64.34"/>
        <n v="72.56"/>
        <n v="79.29"/>
        <n v="74.84"/>
        <n v="69.93"/>
        <n v="68.14"/>
        <n v="68.32"/>
        <n v="60.61"/>
        <n v="53.87"/>
        <n v="60.21"/>
        <n v="56.6"/>
        <n v="48"/>
        <n v="46.78"/>
        <n v="41.83"/>
        <n v="47.21"/>
        <n v="42.3"/>
        <n v="36.93"/>
        <n v="32.86"/>
        <n v="25.73"/>
        <n v="31.92"/>
        <n v="38.61"/>
        <n v="33.82"/>
        <n v="33.92"/>
        <n v="37.35"/>
        <n v="35.36"/>
        <n v="41.5"/>
        <n v="59.51"/>
        <n v="45.25"/>
        <n v="48.65"/>
        <n v="52.14"/>
        <n v="58.7"/>
        <n v="63.1"/>
        <n v="71.79"/>
        <n v="59.93"/>
        <n v="72.29"/>
        <n v="75.36"/>
        <n v="73.62"/>
        <n v="73.26"/>
        <n v="75.53"/>
        <n v="72.87"/>
        <n v="68.13"/>
        <n v="71.18"/>
        <n v="72.81"/>
        <n v="61.25"/>
        <n v="58.86"/>
        <n v="51.64"/>
        <n v="52.59"/>
        <n v="55.16"/>
        <n v="21.1"/>
        <n v="19.64"/>
        <n v="24.16"/>
        <n v="29.45"/>
        <n v="40.05"/>
        <n v="61.36"/>
        <n v="52.16"/>
        <n v="46.12"/>
        <n v="63.67"/>
        <n v="50.27"/>
        <n v="57.17"/>
        <n v="69.22"/>
        <n v="69.56"/>
        <n v="75.24"/>
        <n v="73.43"/>
        <n v="75.37"/>
        <n v="72.73"/>
        <n v="67.15"/>
        <n v="61.14"/>
        <n v="65.06"/>
        <n v="54.09"/>
        <n v="46.73"/>
        <n v="55.72"/>
        <n v="38.8"/>
        <n v="40.68"/>
        <n v="22.65"/>
        <n v="21.6"/>
        <n v="22.94"/>
        <n v="25.89"/>
        <n v="29"/>
        <n v="18.3"/>
        <n v="18.92"/>
        <n v="23.94"/>
        <n v="21.18"/>
        <n v="38.42"/>
        <n v="28.36"/>
        <n v="28.5"/>
        <n v="42.11"/>
        <n v="51.43"/>
        <n v="45.87"/>
        <n v="49.5"/>
        <n v="60.1"/>
        <n v="56.56"/>
        <n v="71.45"/>
        <n v="63.58"/>
        <n v="78.1"/>
        <n v="74.72"/>
        <n v="74"/>
        <n v="68.09"/>
        <n v="66.8"/>
        <n v="62.05"/>
        <n v="60.28"/>
        <n v="60.7"/>
        <n v="58.95"/>
        <n v="50.22"/>
        <n v="40.88"/>
        <n v="44.81"/>
        <n v="46.41"/>
        <n v="38.69"/>
        <n v="33.09"/>
        <n v="36.56"/>
        <n v="34.6"/>
        <n v="23.87"/>
        <n v="32.24"/>
        <n v="34.98"/>
        <n v="32.47"/>
        <n v="32.23"/>
        <n v="35.51"/>
        <n v="36.01"/>
        <n v="37.44"/>
        <n v="62.7"/>
        <n v="47.92"/>
        <n v="44.73"/>
        <n v="42.46"/>
        <n v="44.2"/>
        <n v="59.21"/>
        <n v="69.54"/>
        <n v="69.84"/>
        <n v="75.52"/>
        <n v="74.32"/>
        <n v="72.08"/>
        <n v="60.9"/>
        <n v="9.55"/>
        <n v="18.14"/>
        <n v="22.62"/>
        <n v="27.32"/>
        <n v="31.1"/>
        <n v="35.26"/>
        <n v="36.53"/>
        <n v="39.68"/>
        <n v="40.56"/>
        <n v="54.72"/>
        <n v="39.08"/>
        <n v="58.46"/>
        <n v="51.62"/>
        <n v="53.62"/>
        <n v="63.78"/>
        <n v="58.9"/>
        <n v="71.08"/>
        <n v="67.66"/>
        <n v="65.4"/>
        <n v="63.79"/>
        <n v="62.93"/>
        <n v="57.23"/>
        <n v="50.08"/>
        <n v="57.8"/>
        <n v="36.13"/>
        <n v="28.11"/>
        <n v="16.6"/>
        <n v="21.81"/>
        <n v="18.73"/>
        <n v="16.7"/>
        <n v="12.98"/>
        <n v="5.54"/>
        <n v="15.12"/>
        <n v="19.63"/>
        <n v="16.3"/>
        <n v="14.31"/>
        <n v="28.13"/>
        <n v="31.76"/>
        <n v="22.99"/>
        <n v="29.09"/>
        <n v="39.46"/>
        <n v="33.81"/>
        <n v="60.49"/>
        <n v="54.5"/>
        <n v="59.89"/>
        <n v="63.34"/>
        <n v="63.32"/>
        <n v="60.58"/>
        <n v="61.1"/>
        <n v="60.98"/>
        <n v="50.72"/>
        <n v="59.42"/>
        <n v="53.91"/>
        <n v="45.23"/>
        <n v="31.7"/>
        <n v="40.08"/>
        <n v="37.78"/>
        <n v="31.07"/>
        <n v="34.24"/>
        <n v="28.24"/>
        <n v="22.53"/>
        <n v="18.8"/>
        <n v="25.55"/>
        <n v="15.22"/>
        <n v="25.24"/>
        <n v="23.89"/>
        <n v="23.9"/>
        <n v="28.06"/>
        <n v="22.49"/>
        <n v="29.03"/>
        <n v="33.33"/>
        <n v="33.35"/>
        <n v="36.9"/>
        <n v="47.11"/>
        <n v="52.55"/>
        <n v="58.2"/>
        <n v="58.51"/>
        <n v="49.43"/>
        <n v="63.04"/>
        <n v="66.75"/>
        <n v="65.6"/>
        <n v="67.01"/>
        <n v="62.08"/>
        <n v="52.68"/>
        <n v="50.66"/>
        <n v="54.07"/>
        <n v="45.19"/>
        <n v="46.95"/>
        <n v="27.19"/>
        <n v="29.81"/>
        <n v="32.44"/>
        <n v="38.07"/>
        <n v="45.98"/>
        <n v="49.04"/>
        <n v="52.34"/>
        <n v="46.9"/>
        <n v="54.95"/>
        <n v="53.55"/>
        <n v="53.82"/>
        <n v="63.31"/>
        <n v="67.88"/>
        <n v="68.9"/>
        <n v="70"/>
        <n v="78.02"/>
        <n v="76.25"/>
        <n v="82.69"/>
        <n v="81.56"/>
        <n v="77.45"/>
        <n v="75.16"/>
        <n v="78.52"/>
        <n v="70.38"/>
        <n v="64.5"/>
        <n v="67.08"/>
        <n v="57.78"/>
        <n v="58.38"/>
        <n v="52.82"/>
        <n v="61.02"/>
        <n v="45.91"/>
        <n v="45.9"/>
        <n v="46.67"/>
        <n v="29.59"/>
        <n v="34.42"/>
        <n v="25.7"/>
        <n v="30.13"/>
        <n v="23.64"/>
        <n v="28.7"/>
        <n v="30.45"/>
        <n v="39.32"/>
        <n v="33.05"/>
        <n v="36.99"/>
        <n v="46.65"/>
        <n v="40.11"/>
        <n v="60.22"/>
        <n v="67.03"/>
        <n v="73.76"/>
        <n v="76.87"/>
        <n v="77.83"/>
        <n v="79.41"/>
        <n v="71.44"/>
        <n v="69.65"/>
        <n v="63.61"/>
        <n v="56.91"/>
        <n v="64.78"/>
        <n v="59.62"/>
        <n v="51.81"/>
        <n v="44.46"/>
        <n v="49.69"/>
        <n v="50.55"/>
        <n v="41.59"/>
        <n v="37.85"/>
        <n v="35.8"/>
        <n v="41.3"/>
        <n v="30.35"/>
        <n v="36.96"/>
        <n v="42.52"/>
        <n v="37.86"/>
        <n v="37.24"/>
        <n v="41.74"/>
        <n v="44.32"/>
        <n v="49.6"/>
        <n v="57.3"/>
        <n v="49.4"/>
        <n v="48.73"/>
        <n v="52.22"/>
        <n v="65.15"/>
        <n v="64.77"/>
        <n v="73.23"/>
        <n v="82.08"/>
        <n v="78.95"/>
        <n v="78.64"/>
        <n v="72.93"/>
        <n v="66.1"/>
        <n v="64.92"/>
        <n v="55.4"/>
        <n v="56.53"/>
        <n v="58.99"/>
        <n v="34.43"/>
        <n v="28.09"/>
        <n v="26.64"/>
        <n v="37.72"/>
        <n v="39.88"/>
        <n v="42.43"/>
        <n v="36.59"/>
        <n v="48.28"/>
        <n v="53.49"/>
        <n v="47.51"/>
        <n v="48.94"/>
        <n v="46.42"/>
        <n v="55.89"/>
        <n v="64.69"/>
        <n v="74.74"/>
        <n v="67.55"/>
        <n v="75.62"/>
        <n v="72.95"/>
        <n v="66.14"/>
        <n v="61.81"/>
        <n v="52.96"/>
        <n v="45.45"/>
        <n v="49.2"/>
        <n v="36.24"/>
        <n v="29.97"/>
        <n v="35.18"/>
        <n v="36.62"/>
        <n v="27.7"/>
        <n v="23.78"/>
        <n v="21.69"/>
        <n v="34.54"/>
        <n v="34.86"/>
        <n v="15.47"/>
        <n v="18.51"/>
        <n v="39.17"/>
        <n v="36.51"/>
        <n v="48.81"/>
        <n v="45.97"/>
        <n v="44.86"/>
        <n v="55.13"/>
        <n v="72.86"/>
        <n v="70.55"/>
        <n v="73.72"/>
        <n v="58.66"/>
        <n v="65.04"/>
        <n v="42.76"/>
        <n v="37.95"/>
        <n v="42.61"/>
        <n v="40.22"/>
        <n v="17.94"/>
        <n v="26.23"/>
        <n v="25.97"/>
        <n v="36.75"/>
        <n v="28.99"/>
        <n v="36.86"/>
        <n v="36.67"/>
        <n v="35.89"/>
        <n v="23.34"/>
        <n v="24.26"/>
        <n v="33.41"/>
        <n v="33.4"/>
        <n v="39.9"/>
        <n v="52.1"/>
        <n v="49.15"/>
        <n v="61.76"/>
        <n v="58.29"/>
        <n v="57.46"/>
        <n v="62.84"/>
        <n v="81.95"/>
        <n v="71.57"/>
        <n v="77.76"/>
        <n v="77.56"/>
        <n v="76.12"/>
        <n v="63.49"/>
        <n v="55.34"/>
        <n v="47.22"/>
        <n v="58.4"/>
        <n v="55.47"/>
        <n v="62.16"/>
        <n v="56.5"/>
        <n v="55.61"/>
        <n v="64.09"/>
        <n v="66.79"/>
        <n v="72.44"/>
        <n v="71.59"/>
        <n v="82.8"/>
        <n v="86.06"/>
        <n v="93.52"/>
        <n v="87.69"/>
        <n v="97.66"/>
        <n v="95.88"/>
        <n v="100.14"/>
        <n v="97.04"/>
        <n v="92.71"/>
        <n v="92.51"/>
        <n v="95.57"/>
        <n v="96.46"/>
        <n v="94"/>
        <n v="90.82"/>
        <n v="91.77"/>
        <n v="89.43"/>
        <n v="91.18"/>
        <n v="91.45"/>
        <n v="79.02"/>
        <n v="71.34"/>
        <n v="74.23"/>
        <n v="61.95"/>
        <n v="60.72"/>
        <n v="61.12"/>
        <n v="60.43"/>
        <n v="52.91"/>
        <n v="59.46"/>
        <n v="56.62"/>
        <n v="66.51"/>
        <n v="72.72"/>
        <n v="71.41"/>
        <n v="79.46"/>
        <n v="77.44"/>
        <n v="77.92"/>
        <n v="78.24"/>
        <n v="82.32"/>
        <n v="87.02"/>
        <n v="91.11"/>
        <n v="94.11"/>
        <n v="98.43"/>
        <n v="96.44"/>
        <n v="92.83"/>
        <n v="97.17"/>
        <n v="95.28"/>
        <n v="96.93"/>
        <n v="96"/>
        <n v="95.89"/>
        <n v="99.66"/>
        <n v="99.2"/>
        <n v="96.22"/>
        <n v="89.1"/>
        <n v="81.74"/>
        <n v="71.91"/>
        <n v="58.75"/>
        <n v="59.12"/>
        <n v="47.7"/>
        <n v="53.39"/>
        <n v="60.92"/>
        <n v="54.61"/>
        <n v="55.99"/>
        <n v="56.33"/>
        <n v="59.53"/>
        <n v="59.41"/>
        <n v="60.91"/>
        <n v="60.82"/>
        <n v="82.43"/>
        <n v="89.81"/>
        <n v="88.89"/>
        <n v="90.94"/>
        <n v="92.44"/>
        <n v="95.75"/>
        <n v="98.15"/>
        <n v="93.21"/>
        <n v="97.6"/>
        <n v="91.49"/>
        <n v="93.95"/>
        <n v="92.13"/>
        <n v="100.07"/>
        <n v="96.79"/>
        <n v="89.62"/>
        <n v="94.55"/>
        <n v="92.02"/>
        <n v="79.64"/>
        <n v="35.44"/>
        <n v="38.36"/>
        <n v="42.26"/>
        <n v="45.86"/>
        <n v="42.91"/>
        <n v="59.18"/>
        <n v="55.04"/>
        <n v="56.58"/>
        <n v="57.39"/>
        <n v="60.74"/>
        <n v="63.99"/>
        <n v="68.68"/>
        <n v="73.48"/>
        <n v="79.58"/>
        <n v="72.26"/>
        <n v="73.8"/>
        <n v="76.72"/>
        <n v="76.45"/>
        <n v="72.59"/>
        <n v="72.61"/>
        <n v="70.13"/>
        <n v="58.11"/>
        <n v="50.78"/>
        <n v="52.43"/>
        <n v="41.13"/>
        <n v="34.7"/>
        <n v="41.93"/>
        <n v="42.64"/>
        <n v="42.74"/>
        <n v="34.11"/>
        <n v="24.5"/>
        <n v="30.75"/>
        <n v="39.57"/>
        <n v="34.68"/>
        <n v="23.82"/>
        <n v="28.66"/>
        <n v="46.21"/>
        <n v="55.58"/>
        <n v="58.59"/>
        <n v="63.83"/>
        <n v="63.05"/>
        <n v="61.47"/>
        <n v="81.96"/>
        <n v="80.75"/>
        <n v="78.04"/>
        <n v="76.71"/>
        <n v="80.23"/>
        <n v="77.08"/>
        <n v="70.05"/>
        <n v="69.44"/>
        <n v="58.93"/>
        <n v="48.04"/>
        <n v="41.04"/>
        <n v="24.69"/>
        <n v="32.31"/>
        <n v="32.45"/>
        <n v="33.99"/>
        <n v="39.28"/>
        <n v="36.7"/>
        <n v="37.25"/>
        <n v="39.89"/>
        <n v="42.7"/>
        <n v="48.09"/>
        <n v="59.29"/>
        <n v="66.49"/>
        <n v="61.92"/>
        <n v="64.97"/>
        <n v="75.35"/>
        <n v="76.48"/>
        <n v="81.91"/>
        <n v="74.02"/>
        <n v="78.93"/>
        <n v="77.78"/>
        <n v="75.89"/>
        <n v="66.08"/>
        <n v="67.06"/>
        <n v="58.47"/>
        <n v="46.11"/>
        <n v="50.87"/>
        <n v="51.33"/>
        <n v="61.96"/>
        <n v="59.56"/>
        <n v="68.54"/>
        <n v="68.03"/>
        <n v="77.34"/>
        <n v="79.93"/>
        <n v="82.3"/>
        <n v="84.37"/>
        <n v="84.14"/>
        <n v="84.43"/>
        <n v="82.6"/>
        <n v="81.88"/>
        <n v="85.49"/>
        <n v="85.54"/>
        <n v="84.62"/>
        <n v="80.58"/>
        <n v="79.17"/>
        <n v="66.34"/>
        <n v="72.24"/>
        <n v="76.22"/>
        <n v="62.72"/>
        <n v="61.97"/>
        <n v="56.73"/>
        <n v="52.88"/>
        <n v="42.87"/>
        <n v="46.68"/>
        <n v="41.16"/>
        <n v="57.48"/>
        <n v="64.9"/>
        <n v="71.07"/>
        <n v="73.02"/>
        <n v="81.28"/>
        <n v="82.96"/>
        <n v="83.95"/>
        <n v="85.33"/>
        <n v="85.63"/>
        <n v="83.31"/>
        <n v="86.71"/>
        <n v="87.64"/>
        <n v="87.24"/>
        <n v="86.02"/>
        <n v="87.5"/>
        <n v="77.94"/>
        <n v="82.06"/>
        <n v="78.35"/>
        <n v="81.52"/>
        <n v="71.2"/>
        <n v="74.16"/>
        <n v="67.89"/>
        <n v="71.31"/>
        <n v="63.5"/>
        <n v="66.28"/>
        <n v="58.31"/>
        <n v="55.41"/>
        <n v="48.26"/>
        <n v="57.18"/>
        <n v="62.73"/>
        <n v="54.49"/>
        <n v="54.38"/>
        <n v="62.21"/>
        <n v="64.54"/>
        <n v="67.48"/>
        <n v="69.18"/>
        <n v="70.48"/>
        <n v="73.95"/>
        <n v="72.54"/>
        <n v="70.06"/>
        <n v="76.55"/>
        <n v="80.74"/>
        <n v="81.5"/>
        <n v="80.4"/>
        <n v="86.68"/>
        <n v="78.15"/>
        <n v="81.76"/>
        <n v="84"/>
        <n v="85.56"/>
        <n v="85.89"/>
        <n v="81.26"/>
        <n v="84.19"/>
        <n v="78.16"/>
        <n v="74.06"/>
        <n v="74.39"/>
        <n v="44.3"/>
        <n v="44.58"/>
        <n v="43.96"/>
        <n v="61.88"/>
        <n v="58.62"/>
        <n v="68.15"/>
        <n v="66.33"/>
        <n v="80.22"/>
        <n v="83.24"/>
        <n v="81.35"/>
        <n v="80.99"/>
        <n v="84.92"/>
        <n v="85.66"/>
        <n v="85.73"/>
        <n v="84.31"/>
        <n v="82.13"/>
        <n v="71.73"/>
        <n v="61.62"/>
        <n v="55.5"/>
        <n v="52.45"/>
        <n v="52.74"/>
        <n v="50.25"/>
        <n v="47.94"/>
        <n v="45.96"/>
        <n v="40.34"/>
        <n v="67.77"/>
        <n v="63.56"/>
        <n v="73.19"/>
        <n v="74.98"/>
        <n v="68.75"/>
        <n v="77.39"/>
        <n v="82.75"/>
        <n v="85.21"/>
        <n v="84.93"/>
        <n v="84.33"/>
        <n v="85.96"/>
        <n v="84.6"/>
        <n v="86.24"/>
        <n v="88.27"/>
        <n v="88.65"/>
        <n v="79.15"/>
        <n v="83.11"/>
        <n v="78.75"/>
        <n v="71.68"/>
        <n v="73.79"/>
        <n v="67.65"/>
        <n v="71.05"/>
        <n v="58.04"/>
        <n v="63.11"/>
        <n v="66.36"/>
        <n v="53.14"/>
        <n v="58.58"/>
        <n v="47.6"/>
        <n v="60.65"/>
        <n v="60.69"/>
        <n v="52.75"/>
        <n v="65.81"/>
        <n v="69.11"/>
        <n v="73.49"/>
        <n v="80.33"/>
        <n v="81.12"/>
        <n v="81.33"/>
        <n v="79.84"/>
        <n v="80.32"/>
        <n v="82.89"/>
        <n v="84.05"/>
        <n v="83.47"/>
        <n v="84.72"/>
        <n v="83.71"/>
        <n v="73.58"/>
        <n v="69.88"/>
        <n v="72.9"/>
        <n v="14.48"/>
        <n v="20.84"/>
        <n v="27.84"/>
        <n v="33.32"/>
        <n v="35.1"/>
        <n v="40.54"/>
        <n v="54.31"/>
        <n v="43.3"/>
        <n v="65.7"/>
        <n v="69.72"/>
        <n v="65.47"/>
        <n v="74.25"/>
        <n v="71.35"/>
        <n v="67.47"/>
        <n v="62.57"/>
        <n v="62.75"/>
        <n v="55.63"/>
        <n v="44.56"/>
        <n v="41.25"/>
        <n v="38.5"/>
        <n v="40.52"/>
        <n v="32.94"/>
        <n v="33.6"/>
        <n v="23.01"/>
        <n v="24.18"/>
        <n v="19.29"/>
        <n v="18.55"/>
        <n v="14.64"/>
        <n v="9.51"/>
        <n v="13.29"/>
        <n v="16.87"/>
        <n v="21.82"/>
        <n v="16.5"/>
        <n v="18.49"/>
        <n v="34.77"/>
        <n v="56.38"/>
        <n v="59.16"/>
        <n v="65.25"/>
        <n v="67.86"/>
        <n v="67.45"/>
        <n v="68.1"/>
        <n v="68.3"/>
        <n v="64.83"/>
        <n v="63.45"/>
        <n v="53.9"/>
        <n v="40.75"/>
        <n v="41.85"/>
        <n v="32.76"/>
        <n v="24.46"/>
        <n v="23.29"/>
        <n v="14.02"/>
        <n v="22.91"/>
        <n v="27.86"/>
        <n v="23.92"/>
        <n v="23.79"/>
        <n v="30.58"/>
        <n v="36.54"/>
        <n v="44.47"/>
        <n v="57.59"/>
        <n v="64.75"/>
        <n v="64.42"/>
        <n v="69.41"/>
        <n v="59.38"/>
        <n v="50.98"/>
        <n v="57.21"/>
        <n v="49.65"/>
        <n v="30.27"/>
        <n v="23.04"/>
        <n v="24.13"/>
        <n v="32.49"/>
        <n v="32.3"/>
        <n v="37.3"/>
        <n v="46.79"/>
        <n v="40.2"/>
        <n v="50.59"/>
        <n v="56.97"/>
        <n v="54.9"/>
        <n v="66"/>
        <n v="60.93"/>
        <n v="69.06"/>
        <n v="70.77"/>
        <n v="70.07"/>
        <n v="66.19"/>
        <n v="64.13"/>
        <n v="63.3"/>
        <n v="62.4"/>
        <n v="62.67"/>
        <n v="42.16"/>
        <n v="46.74"/>
        <n v="33.9"/>
        <n v="31.51"/>
        <n v="25.19"/>
        <n v="23.76"/>
        <n v="22.44"/>
        <n v="32.7"/>
        <n v="14.56"/>
        <n v="16.81"/>
        <n v="39.39"/>
        <n v="34.99"/>
        <n v="41.11"/>
        <n v="41.2"/>
        <n v="50.29"/>
        <n v="62.3"/>
        <n v="59.54"/>
        <n v="68.49"/>
        <n v="74.11"/>
        <n v="72.19"/>
        <n v="70.37"/>
        <n v="47.43"/>
        <n v="37.02"/>
        <n v="35.04"/>
        <n v="36.37"/>
        <n v="34.53"/>
        <n v="17.05"/>
        <n v="25.01"/>
        <n v="25.59"/>
        <n v="34.12"/>
        <n v="37.21"/>
        <n v="27.49"/>
        <n v="31.56"/>
        <n v="22.52"/>
        <n v="27.89"/>
        <n v="27.39"/>
        <n v="48.48"/>
        <n v="57.66"/>
        <n v="52.86"/>
        <n v="55.24"/>
        <n v="76.54"/>
        <n v="74.47"/>
        <n v="67.24"/>
        <n v="73.16"/>
        <n v="65.77"/>
        <n v="71.56"/>
        <n v="56.08"/>
        <n v="50.14"/>
        <n v="49.56"/>
        <n v="41.8"/>
        <n v="47.99"/>
        <n v="56"/>
        <n v="54.53"/>
        <n v="64.37"/>
        <n v="69.46"/>
        <n v="62.71"/>
        <n v="66.91"/>
        <n v="72.14"/>
        <n v="78.59"/>
        <n v="82.76"/>
        <n v="88.12"/>
        <n v="88.48"/>
        <n v="84.17"/>
        <n v="86.6"/>
        <n v="79.79"/>
        <n v="86.31"/>
        <n v="81.32"/>
        <n v="78.86"/>
        <n v="77.42"/>
        <n v="77.93"/>
        <n v="68.78"/>
        <n v="65.88"/>
        <n v="62.52"/>
        <n v="59.98"/>
        <n v="54.96"/>
        <n v="54.76"/>
        <n v="56.51"/>
        <n v="57.15"/>
        <n v="40.47"/>
        <n v="43.45"/>
        <n v="53.05"/>
        <n v="33.21"/>
        <n v="58.37"/>
        <n v="65.53"/>
        <n v="74.49"/>
        <n v="66.77"/>
        <n v="80.89"/>
        <n v="88.49"/>
        <n v="84.67"/>
        <n v="83.43"/>
        <n v="87.47"/>
        <n v="87.43"/>
        <n v="87.84"/>
        <n v="78.97"/>
        <n v="70.3"/>
        <n v="66.82"/>
        <n v="55.7"/>
        <n v="47.49"/>
        <n v="43.78"/>
        <n v="42.63"/>
        <n v="47.59"/>
        <n v="43.68"/>
        <n v="52.72"/>
        <n v="51.92"/>
        <n v="57.88"/>
        <n v="64.7"/>
        <n v="70.18"/>
        <n v="67.28"/>
        <n v="72.06"/>
        <n v="87.75"/>
        <n v="87.51"/>
        <n v="83.83"/>
        <n v="82.01"/>
        <n v="86.36"/>
        <n v="75.87"/>
        <n v="77.55"/>
        <n v="74.09"/>
      </sharedItems>
    </cacheField>
    <cacheField name="Fuel_Price" numFmtId="177">
      <sharedItems containsSemiMixedTypes="0" containsString="0" containsNumber="1" minValue="2.472" maxValue="4.468" count="892">
        <n v="2.572"/>
        <n v="2.548"/>
        <n v="2.514"/>
        <n v="2.561"/>
        <n v="2.625"/>
        <n v="2.667"/>
        <n v="2.72"/>
        <n v="2.732"/>
        <n v="2.719"/>
        <n v="2.77"/>
        <n v="2.808"/>
        <n v="2.795"/>
        <n v="2.78"/>
        <n v="2.835"/>
        <n v="2.854"/>
        <n v="2.826"/>
        <n v="2.759"/>
        <n v="2.705"/>
        <n v="2.668"/>
        <n v="2.637"/>
        <n v="2.653"/>
        <n v="2.669"/>
        <n v="2.642"/>
        <n v="2.623"/>
        <n v="2.608"/>
        <n v="2.64"/>
        <n v="2.627"/>
        <n v="2.692"/>
        <n v="2.664"/>
        <n v="2.619"/>
        <n v="2.577"/>
        <n v="2.565"/>
        <n v="2.582"/>
        <n v="2.624"/>
        <n v="2.603"/>
        <n v="2.633"/>
        <n v="2.725"/>
        <n v="2.716"/>
        <n v="2.689"/>
        <n v="2.728"/>
        <n v="2.771"/>
        <n v="2.735"/>
        <n v="2.708"/>
        <n v="2.843"/>
        <n v="2.869"/>
        <n v="2.886"/>
        <n v="2.943"/>
        <n v="2.976"/>
        <n v="2.983"/>
        <n v="3.016"/>
        <n v="3.01"/>
        <n v="2.989"/>
        <n v="3.022"/>
        <n v="3.045"/>
        <n v="3.065"/>
        <n v="3.288"/>
        <n v="3.459"/>
        <n v="3.488"/>
        <n v="3.473"/>
        <n v="3.524"/>
        <n v="3.622"/>
        <n v="3.743"/>
        <n v="3.807"/>
        <n v="3.81"/>
        <n v="3.906"/>
        <n v="3.899"/>
        <n v="3.907"/>
        <n v="3.786"/>
        <n v="3.699"/>
        <n v="3.648"/>
        <n v="3.637"/>
        <n v="3.594"/>
        <n v="3.48"/>
        <n v="3.575"/>
        <n v="3.651"/>
        <n v="3.682"/>
        <n v="3.684"/>
        <n v="3.638"/>
        <n v="3.554"/>
        <n v="3.523"/>
        <n v="3.533"/>
        <n v="3.546"/>
        <n v="3.526"/>
        <n v="3.467"/>
        <n v="3.355"/>
        <n v="3.285"/>
        <n v="3.274"/>
        <n v="3.353"/>
        <n v="3.372"/>
        <n v="3.332"/>
        <n v="3.297"/>
        <n v="3.308"/>
        <n v="3.236"/>
        <n v="3.172"/>
        <n v="3.158"/>
        <n v="3.159"/>
        <n v="3.112"/>
        <n v="3.129"/>
        <n v="3.157"/>
        <n v="3.261"/>
        <n v="3.268"/>
        <n v="3.29"/>
        <n v="3.36"/>
        <n v="3.409"/>
        <n v="3.51"/>
        <n v="3.555"/>
        <n v="3.63"/>
        <n v="3.669"/>
        <n v="3.734"/>
        <n v="3.787"/>
        <n v="3.845"/>
        <n v="3.891"/>
        <n v="3.877"/>
        <n v="3.814"/>
        <n v="3.749"/>
        <n v="3.688"/>
        <n v="3.561"/>
        <n v="3.501"/>
        <n v="3.452"/>
        <n v="3.393"/>
        <n v="3.346"/>
        <n v="3.286"/>
        <n v="3.227"/>
        <n v="3.256"/>
        <n v="3.311"/>
        <n v="3.407"/>
        <n v="3.417"/>
        <n v="3.494"/>
        <n v="3.571"/>
        <n v="3.62"/>
        <n v="3.73"/>
        <n v="3.717"/>
        <n v="3.721"/>
        <n v="3.666"/>
        <n v="3.617"/>
        <n v="3.601"/>
        <n v="3.506"/>
        <n v="2.598"/>
        <n v="2.573"/>
        <n v="2.54"/>
        <n v="2.59"/>
        <n v="2.654"/>
        <n v="2.704"/>
        <n v="2.743"/>
        <n v="2.752"/>
        <n v="2.74"/>
        <n v="2.773"/>
        <n v="2.81"/>
        <n v="2.805"/>
        <n v="2.787"/>
        <n v="2.836"/>
        <n v="2.845"/>
        <n v="2.82"/>
        <n v="2.756"/>
        <n v="2.701"/>
        <n v="2.635"/>
        <n v="2.621"/>
        <n v="2.612"/>
        <n v="2.65"/>
        <n v="2.698"/>
        <n v="2.671"/>
        <n v="2.584"/>
        <n v="2.574"/>
        <n v="2.594"/>
        <n v="2.645"/>
        <n v="2.736"/>
        <n v="2.718"/>
        <n v="2.699"/>
        <n v="2.741"/>
        <n v="2.727"/>
        <n v="2.86"/>
        <n v="2.884"/>
        <n v="2.887"/>
        <n v="2.955"/>
        <n v="2.98"/>
        <n v="2.992"/>
        <n v="3.017"/>
        <n v="2.996"/>
        <n v="3.033"/>
        <n v="3.058"/>
        <n v="3.087"/>
        <n v="3.305"/>
        <n v="3.461"/>
        <n v="3.495"/>
        <n v="3.521"/>
        <n v="3.605"/>
        <n v="3.724"/>
        <n v="3.781"/>
        <n v="3.866"/>
        <n v="3.872"/>
        <n v="3.881"/>
        <n v="3.771"/>
        <n v="3.683"/>
        <n v="3.64"/>
        <n v="3.618"/>
        <n v="3.57"/>
        <n v="3.504"/>
        <n v="3.469"/>
        <n v="3.563"/>
        <n v="3.627"/>
        <n v="3.659"/>
        <n v="3.662"/>
        <n v="3.55"/>
        <n v="3.532"/>
        <n v="3.371"/>
        <n v="3.299"/>
        <n v="3.283"/>
        <n v="3.361"/>
        <n v="3.362"/>
        <n v="3.322"/>
        <n v="3.294"/>
        <n v="3.225"/>
        <n v="3.176"/>
        <n v="3.153"/>
        <n v="3.149"/>
        <n v="3.103"/>
        <n v="3.119"/>
        <n v="3.263"/>
        <n v="3.273"/>
        <n v="3.354"/>
        <n v="3.411"/>
        <n v="3.493"/>
        <n v="3.541"/>
        <n v="3.619"/>
        <n v="3.667"/>
        <n v="3.707"/>
        <n v="3.759"/>
        <n v="3.82"/>
        <n v="3.864"/>
        <n v="3.747"/>
        <n v="3.685"/>
        <n v="3.551"/>
        <n v="3.483"/>
        <n v="3.433"/>
        <n v="3.329"/>
        <n v="3.257"/>
        <n v="3.187"/>
        <n v="3.224"/>
        <n v="3.356"/>
        <n v="3.374"/>
        <n v="3.476"/>
        <n v="3.552"/>
        <n v="3.61"/>
        <n v="3.646"/>
        <n v="3.709"/>
        <n v="3.706"/>
        <n v="3.603"/>
        <n v="3.514"/>
        <n v="2.58"/>
        <n v="2.55"/>
        <n v="2.586"/>
        <n v="2.62"/>
        <n v="2.684"/>
        <n v="2.717"/>
        <n v="2.75"/>
        <n v="2.765"/>
        <n v="2.776"/>
        <n v="2.766"/>
        <n v="2.788"/>
        <n v="2.737"/>
        <n v="2.7"/>
        <n v="2.674"/>
        <n v="2.715"/>
        <n v="2.711"/>
        <n v="2.691"/>
        <n v="2.69"/>
        <n v="2.723"/>
        <n v="2.731"/>
        <n v="2.8"/>
        <n v="2.793"/>
        <n v="2.745"/>
        <n v="2.762"/>
        <n v="2.748"/>
        <n v="2.729"/>
        <n v="2.758"/>
        <n v="2.742"/>
        <n v="2.712"/>
        <n v="2.778"/>
        <n v="2.781"/>
        <n v="2.829"/>
        <n v="2.882"/>
        <n v="2.911"/>
        <n v="2.973"/>
        <n v="3.008"/>
        <n v="3.011"/>
        <n v="3.037"/>
        <n v="3.051"/>
        <n v="3.101"/>
        <n v="3.232"/>
        <n v="3.406"/>
        <n v="3.414"/>
        <n v="3.611"/>
        <n v="3.636"/>
        <n v="3.663"/>
        <n v="3.735"/>
        <n v="3.767"/>
        <n v="3.828"/>
        <n v="3.795"/>
        <n v="3.763"/>
        <n v="3.697"/>
        <n v="3.661"/>
        <n v="3.597"/>
        <n v="3.54"/>
        <n v="3.545"/>
        <n v="3.547"/>
        <n v="3.542"/>
        <n v="3.499"/>
        <n v="3.485"/>
        <n v="3.511"/>
        <n v="3.566"/>
        <n v="3.596"/>
        <n v="3.581"/>
        <n v="3.538"/>
        <n v="3.498"/>
        <n v="3.491"/>
        <n v="3.548"/>
        <n v="3.527"/>
        <n v="3.505"/>
        <n v="3.479"/>
        <n v="3.424"/>
        <n v="3.378"/>
        <n v="3.331"/>
        <n v="3.266"/>
        <n v="3.173"/>
        <n v="3.095"/>
        <n v="3.077"/>
        <n v="3.055"/>
        <n v="3.038"/>
        <n v="3.031"/>
        <n v="3.113"/>
        <n v="3.191"/>
        <n v="3.486"/>
        <n v="3.664"/>
        <n v="3.75"/>
        <n v="3.854"/>
        <n v="3.901"/>
        <n v="3.936"/>
        <n v="3.927"/>
        <n v="3.903"/>
        <n v="3.87"/>
        <n v="3.837"/>
        <n v="3.804"/>
        <n v="3.764"/>
        <n v="3.741"/>
        <n v="3.723"/>
        <n v="3.693"/>
        <n v="3.613"/>
        <n v="3.585"/>
        <n v="3.528"/>
        <n v="3.509"/>
        <n v="3.558"/>
        <n v="3.556"/>
        <n v="3.765"/>
        <n v="3.789"/>
        <n v="3.779"/>
        <n v="3.76"/>
        <n v="3.686"/>
        <n v="2.962"/>
        <n v="2.828"/>
        <n v="2.915"/>
        <n v="2.825"/>
        <n v="2.877"/>
        <n v="3.034"/>
        <n v="3.054"/>
        <n v="3.086"/>
        <n v="3.004"/>
        <n v="3.109"/>
        <n v="3.05"/>
        <n v="3.105"/>
        <n v="3.127"/>
        <n v="3.145"/>
        <n v="3.12"/>
        <n v="2.941"/>
        <n v="3.057"/>
        <n v="2.935"/>
        <n v="3.084"/>
        <n v="2.978"/>
        <n v="3.1"/>
        <n v="2.971"/>
        <n v="3.123"/>
        <n v="3.049"/>
        <n v="3.041"/>
        <n v="2.961"/>
        <n v="3.028"/>
        <n v="2.939"/>
        <n v="3.001"/>
        <n v="2.924"/>
        <n v="3.08"/>
        <n v="3.014"/>
        <n v="3.13"/>
        <n v="3.009"/>
        <n v="3.047"/>
        <n v="3.162"/>
        <n v="3.091"/>
        <n v="3.125"/>
        <n v="3.148"/>
        <n v="3.287"/>
        <n v="3.312"/>
        <n v="3.336"/>
        <n v="3.231"/>
        <n v="3.348"/>
        <n v="3.381"/>
        <n v="3.43"/>
        <n v="3.398"/>
        <n v="3.674"/>
        <n v="3.892"/>
        <n v="3.716"/>
        <n v="3.772"/>
        <n v="3.818"/>
        <n v="4.089"/>
        <n v="3.917"/>
        <n v="4.151"/>
        <n v="4.193"/>
        <n v="4.202"/>
        <n v="3.99"/>
        <n v="3.933"/>
        <n v="3.893"/>
        <n v="3.981"/>
        <n v="3.935"/>
        <n v="3.842"/>
        <n v="3.793"/>
        <n v="3.694"/>
        <n v="3.803"/>
        <n v="3.794"/>
        <n v="3.798"/>
        <n v="3.784"/>
        <n v="3.827"/>
        <n v="3.698"/>
        <n v="3.843"/>
        <n v="3.677"/>
        <n v="3.701"/>
        <n v="3.644"/>
        <n v="3.489"/>
        <n v="3.428"/>
        <n v="3.443"/>
        <n v="3.477"/>
        <n v="3.66"/>
        <n v="3.675"/>
        <n v="3.543"/>
        <n v="3.722"/>
        <n v="3.95"/>
        <n v="3.882"/>
        <n v="3.963"/>
        <n v="4.273"/>
        <n v="4.288"/>
        <n v="4.294"/>
        <n v="4.282"/>
        <n v="4.254"/>
        <n v="4.111"/>
        <n v="4.088"/>
        <n v="4.058"/>
        <n v="4.186"/>
        <n v="4.308"/>
        <n v="4.127"/>
        <n v="4.277"/>
        <n v="4.103"/>
        <n v="4.144"/>
        <n v="4.014"/>
        <n v="3.875"/>
        <n v="3.589"/>
        <n v="3.769"/>
        <n v="3.595"/>
        <n v="3.811"/>
        <n v="4.002"/>
        <n v="4.055"/>
        <n v="3.886"/>
        <n v="4.124"/>
        <n v="3.966"/>
        <n v="4.125"/>
        <n v="4.132"/>
        <n v="4.468"/>
        <n v="4.449"/>
        <n v="4.301"/>
        <n v="2.946"/>
        <n v="2.987"/>
        <n v="2.925"/>
        <n v="3.083"/>
        <n v="3.09"/>
        <n v="2.949"/>
        <n v="3.043"/>
        <n v="3.094"/>
        <n v="3.044"/>
        <n v="3.013"/>
        <n v="3.161"/>
        <n v="3.203"/>
        <n v="3.223"/>
        <n v="3.342"/>
        <n v="3.53"/>
        <n v="3.692"/>
        <n v="3.909"/>
        <n v="4.003"/>
        <n v="3.868"/>
        <n v="4.134"/>
        <n v="4.169"/>
        <n v="4.087"/>
        <n v="4.031"/>
        <n v="3.898"/>
        <n v="3.705"/>
        <n v="3.805"/>
        <n v="3.74"/>
        <n v="3.913"/>
        <n v="3.918"/>
        <n v="3.727"/>
        <n v="3.824"/>
        <n v="3.813"/>
        <n v="3.6"/>
        <n v="3.599"/>
        <n v="3.657"/>
        <n v="3.702"/>
        <n v="4.178"/>
        <n v="4.25"/>
        <n v="4.038"/>
        <n v="4.121"/>
        <n v="4.222"/>
        <n v="4.171"/>
        <n v="4.11"/>
        <n v="4.293"/>
        <n v="3.726"/>
        <n v="4.093"/>
        <n v="4.133"/>
        <n v="2.666"/>
        <n v="2.681"/>
        <n v="2.733"/>
        <n v="2.782"/>
        <n v="2.819"/>
        <n v="2.842"/>
        <n v="2.936"/>
        <n v="2.948"/>
        <n v="2.95"/>
        <n v="2.908"/>
        <n v="2.871"/>
        <n v="2.841"/>
        <n v="2.814"/>
        <n v="2.802"/>
        <n v="2.791"/>
        <n v="2.797"/>
        <n v="2.837"/>
        <n v="2.85"/>
        <n v="2.868"/>
        <n v="2.87"/>
        <n v="2.875"/>
        <n v="2.872"/>
        <n v="2.853"/>
        <n v="2.849"/>
        <n v="2.831"/>
        <n v="2.83"/>
        <n v="2.812"/>
        <n v="2.817"/>
        <n v="2.846"/>
        <n v="2.891"/>
        <n v="2.903"/>
        <n v="2.934"/>
        <n v="2.96"/>
        <n v="2.974"/>
        <n v="3.062"/>
        <n v="3.23"/>
        <n v="3.435"/>
        <n v="3.487"/>
        <n v="3.616"/>
        <n v="3.655"/>
        <n v="3.744"/>
        <n v="3.77"/>
        <n v="3.802"/>
        <n v="3.778"/>
        <n v="3.752"/>
        <n v="3.732"/>
        <n v="3.704"/>
        <n v="3.668"/>
        <n v="3.553"/>
        <n v="3.574"/>
        <n v="3.606"/>
        <n v="3.578"/>
        <n v="3.58"/>
        <n v="3.641"/>
        <n v="3.623"/>
        <n v="3.592"/>
        <n v="3.567"/>
        <n v="3.579"/>
        <n v="3.513"/>
        <n v="3.445"/>
        <n v="3.389"/>
        <n v="3.341"/>
        <n v="3.282"/>
        <n v="3.186"/>
        <n v="3.056"/>
        <n v="3.116"/>
        <n v="3.242"/>
        <n v="3.38"/>
        <n v="3.529"/>
        <n v="3.671"/>
        <n v="3.833"/>
        <n v="3.831"/>
        <n v="3.809"/>
        <n v="3.808"/>
        <n v="3.801"/>
        <n v="3.788"/>
        <n v="3.776"/>
        <n v="3.756"/>
        <n v="3.737"/>
        <n v="3.681"/>
        <n v="3.537"/>
        <n v="3.512"/>
        <n v="3.582"/>
        <n v="3.624"/>
        <n v="3.689"/>
        <n v="3.821"/>
        <n v="3.815"/>
        <n v="3.797"/>
        <n v="3.755"/>
        <n v="2.784"/>
        <n v="2.754"/>
        <n v="2.777"/>
        <n v="2.818"/>
        <n v="2.844"/>
        <n v="2.899"/>
        <n v="2.902"/>
        <n v="2.921"/>
        <n v="2.966"/>
        <n v="2.982"/>
        <n v="2.958"/>
        <n v="2.847"/>
        <n v="2.809"/>
        <n v="2.815"/>
        <n v="2.783"/>
        <n v="2.779"/>
        <n v="2.755"/>
        <n v="2.706"/>
        <n v="2.713"/>
        <n v="2.707"/>
        <n v="2.764"/>
        <n v="2.917"/>
        <n v="2.931"/>
        <n v="3"/>
        <n v="3.039"/>
        <n v="3.046"/>
        <n v="3.14"/>
        <n v="3.141"/>
        <n v="3.179"/>
        <n v="3.193"/>
        <n v="3.205"/>
        <n v="3.229"/>
        <n v="3.237"/>
        <n v="3.239"/>
        <n v="3.245"/>
        <n v="3.631"/>
        <n v="3.625"/>
        <n v="3.72"/>
        <n v="3.962"/>
        <n v="4.046"/>
        <n v="4.066"/>
        <n v="4.062"/>
        <n v="3.985"/>
        <n v="3.922"/>
        <n v="3.748"/>
        <n v="3.711"/>
        <n v="3.829"/>
        <n v="3.812"/>
        <n v="3.703"/>
        <n v="3.738"/>
        <n v="3.742"/>
        <n v="3.645"/>
        <n v="3.583"/>
        <n v="3.569"/>
        <n v="3.492"/>
        <n v="3.415"/>
        <n v="3.413"/>
        <n v="3.422"/>
        <n v="3.695"/>
        <n v="3.739"/>
        <n v="3.816"/>
        <n v="3.848"/>
        <n v="3.862"/>
        <n v="3.9"/>
        <n v="3.953"/>
        <n v="3.996"/>
        <n v="4.044"/>
        <n v="4.027"/>
        <n v="4.004"/>
        <n v="3.951"/>
        <n v="3.889"/>
        <n v="3.564"/>
        <n v="3.475"/>
        <n v="3.647"/>
        <n v="3.654"/>
        <n v="3.834"/>
        <n v="3.867"/>
        <n v="3.911"/>
        <n v="3.948"/>
        <n v="3.997"/>
        <n v="4"/>
        <n v="3.969"/>
        <n v="2.954"/>
        <n v="2.94"/>
        <n v="2.909"/>
        <n v="2.91"/>
        <n v="2.919"/>
        <n v="2.938"/>
        <n v="2.963"/>
        <n v="2.957"/>
        <n v="3.021"/>
        <n v="3.042"/>
        <n v="3.096"/>
        <n v="3.006"/>
        <n v="2.972"/>
        <n v="2.942"/>
        <n v="2.933"/>
        <n v="2.932"/>
        <n v="2.923"/>
        <n v="2.913"/>
        <n v="2.885"/>
        <n v="2.84"/>
        <n v="2.999"/>
        <n v="3.138"/>
        <n v="3.2"/>
        <n v="3.255"/>
        <n v="3.301"/>
        <n v="3.309"/>
        <n v="3.351"/>
        <n v="3.367"/>
        <n v="3.391"/>
        <n v="3.402"/>
        <n v="3.4"/>
        <n v="3.416"/>
        <n v="3.42"/>
        <n v="3.796"/>
        <n v="3.895"/>
        <n v="4.061"/>
        <n v="4.117"/>
        <n v="4.192"/>
        <n v="4.211"/>
        <n v="4.069"/>
        <n v="4.025"/>
        <n v="3.989"/>
        <n v="3.964"/>
        <n v="3.916"/>
        <n v="3.915"/>
        <n v="3.972"/>
        <n v="4.02"/>
        <n v="3.995"/>
        <n v="3.942"/>
        <n v="3.879"/>
        <n v="3.93"/>
        <n v="3.937"/>
        <n v="3.858"/>
        <n v="3.775"/>
        <n v="3.757"/>
        <n v="3.719"/>
        <n v="3.587"/>
        <n v="3.826"/>
        <n v="3.874"/>
        <n v="3.983"/>
        <n v="4.021"/>
        <n v="4.054"/>
        <n v="4.098"/>
        <n v="4.143"/>
        <n v="4.187"/>
        <n v="4.17"/>
        <n v="4.163"/>
        <n v="4.029"/>
        <n v="3.979"/>
        <n v="3.871"/>
        <n v="3.819"/>
        <n v="3.863"/>
        <n v="4.026"/>
        <n v="4.076"/>
        <n v="4.203"/>
        <n v="4.158"/>
        <n v="4.153"/>
        <n v="4.071"/>
        <n v="2.747"/>
        <n v="2.753"/>
        <n v="2.834"/>
        <n v="2.895"/>
        <n v="2.981"/>
        <n v="2.906"/>
        <n v="2.857"/>
        <n v="2.806"/>
        <n v="2.796"/>
        <n v="2.792"/>
        <n v="2.878"/>
        <n v="3.03"/>
        <n v="3.07"/>
        <n v="3.132"/>
        <n v="3.139"/>
        <n v="3.15"/>
        <n v="3.177"/>
        <n v="3.215"/>
        <n v="3.243"/>
        <n v="3.24"/>
        <n v="3.281"/>
        <n v="3.437"/>
        <n v="3.634"/>
        <n v="3.823"/>
        <n v="3.919"/>
        <n v="3.988"/>
        <n v="4.078"/>
        <n v="4.095"/>
        <n v="4.101"/>
        <n v="4.034"/>
        <n v="3.973"/>
        <n v="3.924"/>
        <n v="3.873"/>
        <n v="3.851"/>
        <n v="3.88"/>
        <n v="3.758"/>
        <n v="3.633"/>
        <n v="3.604"/>
        <n v="3.586"/>
        <n v="3.536"/>
        <n v="3.47"/>
        <n v="3.439"/>
        <n v="3.568"/>
        <n v="3.751"/>
        <n v="3.876"/>
        <n v="3.921"/>
        <n v="3.957"/>
        <n v="4.023"/>
        <n v="3.991"/>
        <n v="3.947"/>
        <n v="3.85"/>
        <n v="3.746"/>
        <n v="3.629"/>
        <n v="3.577"/>
        <n v="3.84"/>
        <n v="3.884"/>
        <n v="4.056"/>
        <n v="4.018"/>
        <n v="2.545"/>
        <n v="2.539"/>
        <n v="2.472"/>
        <n v="2.52"/>
        <n v="2.769"/>
        <n v="2.786"/>
        <n v="2.767"/>
        <n v="2.615"/>
        <n v="2.601"/>
        <n v="2.606"/>
        <n v="2.596"/>
        <n v="2.542"/>
        <n v="2.602"/>
        <n v="2.644"/>
        <n v="2.604"/>
        <n v="2.562"/>
        <n v="2.533"/>
        <n v="2.513"/>
        <n v="2.578"/>
        <n v="2.567"/>
        <n v="2.595"/>
        <n v="2.68"/>
        <n v="2.655"/>
        <n v="2.694"/>
        <n v="2.813"/>
        <n v="2.852"/>
        <n v="2.863"/>
        <n v="2.995"/>
        <n v="3.053"/>
        <n v="3.448"/>
        <n v="3.92"/>
        <n v="3.925"/>
        <n v="3.69"/>
        <n v="3.502"/>
        <n v="3.44"/>
        <n v="3.652"/>
        <n v="3.608"/>
        <n v="3.534"/>
        <n v="3.481"/>
        <n v="3.441"/>
        <n v="3.328"/>
        <n v="3.262"/>
        <n v="3.234"/>
        <n v="3.306"/>
        <n v="3.254"/>
        <n v="3.26"/>
        <n v="3.181"/>
        <n v="3.164"/>
        <n v="3.147"/>
        <n v="3.133"/>
        <n v="3.098"/>
        <n v="3.275"/>
        <n v="3.313"/>
        <n v="3.421"/>
        <n v="3.462"/>
        <n v="3.503"/>
        <n v="3.934"/>
        <n v="3.888"/>
        <n v="3.835"/>
        <n v="3.713"/>
        <n v="3.358"/>
        <n v="3.392"/>
        <n v="3.404"/>
        <n v="3.49"/>
        <n v="3.576"/>
      </sharedItems>
    </cacheField>
    <cacheField name="CPI" numFmtId="183">
      <sharedItems containsSemiMixedTypes="0" containsString="0" containsNumber="1" minValue="126.064" maxValue="227.2328068" count="2145">
        <n v="211.0963582"/>
        <n v="211.2421698"/>
        <n v="211.2891429"/>
        <n v="211.3196429"/>
        <n v="211.3501429"/>
        <n v="211.3806429"/>
        <n v="211.215635"/>
        <n v="211.0180424"/>
        <n v="210.8204499"/>
        <n v="210.6228574"/>
        <n v="210.4887"/>
        <n v="210.4391228"/>
        <n v="210.3895456"/>
        <n v="210.3399684"/>
        <n v="210.3374261"/>
        <n v="210.6170934"/>
        <n v="210.8967606"/>
        <n v="211.1764278"/>
        <n v="211.4560951"/>
        <n v="211.4537719"/>
        <n v="211.3386526"/>
        <n v="211.2235333"/>
        <n v="211.108414"/>
        <n v="211.1003854"/>
        <n v="211.2351443"/>
        <n v="211.3699032"/>
        <n v="211.5046621"/>
        <n v="211.6394211"/>
        <n v="211.6033633"/>
        <n v="211.5673056"/>
        <n v="211.5312479"/>
        <n v="211.4951902"/>
        <n v="211.5224596"/>
        <n v="211.5972246"/>
        <n v="211.6719895"/>
        <n v="211.7467544"/>
        <n v="211.8137436"/>
        <n v="211.8612937"/>
        <n v="211.9088438"/>
        <n v="211.9563939"/>
        <n v="212.003944"/>
        <n v="211.8896737"/>
        <n v="211.7484333"/>
        <n v="211.607193"/>
        <n v="211.4659526"/>
        <n v="211.4053124"/>
        <n v="211.4051222"/>
        <n v="211.4049321"/>
        <n v="211.4047419"/>
        <n v="211.4574109"/>
        <n v="211.8272343"/>
        <n v="212.1970577"/>
        <n v="212.5668812"/>
        <n v="212.9367046"/>
        <n v="213.2478853"/>
        <n v="213.535609"/>
        <n v="213.8233327"/>
        <n v="214.1110564"/>
        <n v="214.3627114"/>
        <n v="214.5999389"/>
        <n v="214.8371664"/>
        <n v="215.0743939"/>
        <n v="215.2918561"/>
        <n v="215.4599053"/>
        <n v="215.6279544"/>
        <n v="215.7960035"/>
        <n v="215.9640526"/>
        <n v="215.7339202"/>
        <n v="215.5037878"/>
        <n v="215.2736553"/>
        <n v="215.0435229"/>
        <n v="214.9980596"/>
        <n v="215.0910982"/>
        <n v="215.1841368"/>
        <n v="215.2771754"/>
        <n v="215.3611087"/>
        <n v="215.4222784"/>
        <n v="215.4834482"/>
        <n v="215.544618"/>
        <n v="215.6057878"/>
        <n v="215.6693107"/>
        <n v="215.7332258"/>
        <n v="215.7971409"/>
        <n v="215.861056"/>
        <n v="216.0410526"/>
        <n v="216.3758246"/>
        <n v="216.7105965"/>
        <n v="217.0453684"/>
        <n v="217.3552733"/>
        <n v="217.5159762"/>
        <n v="217.6766791"/>
        <n v="217.837382"/>
        <n v="217.9980849"/>
        <n v="218.2205088"/>
        <n v="218.4676211"/>
        <n v="218.7147333"/>
        <n v="218.9618456"/>
        <n v="219.1794533"/>
        <n v="219.3577216"/>
        <n v="219.5359898"/>
        <n v="219.7142581"/>
        <n v="219.8925263"/>
        <n v="219.9856893"/>
        <n v="220.0788523"/>
        <n v="220.1720153"/>
        <n v="220.2651783"/>
        <n v="220.4257586"/>
        <n v="220.636902"/>
        <n v="220.8480454"/>
        <n v="221.0591887"/>
        <n v="221.2118132"/>
        <n v="221.2864126"/>
        <n v="221.3610119"/>
        <n v="221.4356112"/>
        <n v="221.5102105"/>
        <n v="221.5640737"/>
        <n v="221.6179368"/>
        <n v="221.6718"/>
        <n v="221.7256632"/>
        <n v="221.742674"/>
        <n v="221.744944"/>
        <n v="221.7472139"/>
        <n v="221.7494839"/>
        <n v="221.7626421"/>
        <n v="221.8030211"/>
        <n v="221.8434"/>
        <n v="221.8837789"/>
        <n v="221.9241579"/>
        <n v="221.9327267"/>
        <n v="221.9412954"/>
        <n v="221.9498642"/>
        <n v="221.9584329"/>
        <n v="222.0384109"/>
        <n v="222.1719457"/>
        <n v="222.3054805"/>
        <n v="222.4390153"/>
        <n v="222.5820193"/>
        <n v="222.7818386"/>
        <n v="222.9816579"/>
        <n v="223.1814772"/>
        <n v="223.3812965"/>
        <n v="223.4257233"/>
        <n v="223.4442513"/>
        <n v="210.7526053"/>
        <n v="210.8979935"/>
        <n v="210.9451605"/>
        <n v="210.9759573"/>
        <n v="211.0067542"/>
        <n v="211.037551"/>
        <n v="210.8733316"/>
        <n v="210.6766095"/>
        <n v="210.4798874"/>
        <n v="210.2831653"/>
        <n v="210.1495463"/>
        <n v="210.1000648"/>
        <n v="210.0505833"/>
        <n v="210.0011018"/>
        <n v="209.9984585"/>
        <n v="210.2768443"/>
        <n v="210.5552301"/>
        <n v="210.833616"/>
        <n v="211.1120018"/>
        <n v="211.1096543"/>
        <n v="210.9950134"/>
        <n v="210.8803726"/>
        <n v="210.7657317"/>
        <n v="210.7577954"/>
        <n v="210.8921319"/>
        <n v="211.0264684"/>
        <n v="211.1608049"/>
        <n v="211.2951413"/>
        <n v="211.2596586"/>
        <n v="211.2241759"/>
        <n v="211.1886931"/>
        <n v="211.1532104"/>
        <n v="211.1806415"/>
        <n v="211.2552578"/>
        <n v="211.3298742"/>
        <n v="211.4044906"/>
        <n v="211.4713286"/>
        <n v="211.5187208"/>
        <n v="211.5661131"/>
        <n v="211.6135053"/>
        <n v="211.6608975"/>
        <n v="211.5470304"/>
        <n v="211.4062867"/>
        <n v="211.265543"/>
        <n v="211.1247993"/>
        <n v="211.0645458"/>
        <n v="211.0646599"/>
        <n v="211.064774"/>
        <n v="211.0648881"/>
        <n v="211.1176713"/>
        <n v="211.4864691"/>
        <n v="211.8552668"/>
        <n v="212.2240646"/>
        <n v="212.5928624"/>
        <n v="212.9033115"/>
        <n v="213.190421"/>
        <n v="213.4775305"/>
        <n v="213.7646401"/>
        <n v="214.0156238"/>
        <n v="214.2521573"/>
        <n v="214.4886908"/>
        <n v="214.7252242"/>
        <n v="214.9420631"/>
        <n v="215.1096657"/>
        <n v="215.2772683"/>
        <n v="215.4448709"/>
        <n v="215.6124735"/>
        <n v="215.3834778"/>
        <n v="215.1544822"/>
        <n v="214.9254865"/>
        <n v="214.6964908"/>
        <n v="214.6513538"/>
        <n v="214.7441108"/>
        <n v="214.8368678"/>
        <n v="214.9296249"/>
        <n v="215.0134426"/>
        <n v="215.0749122"/>
        <n v="215.1363819"/>
        <n v="215.1978515"/>
        <n v="215.2593211"/>
        <n v="215.3229307"/>
        <n v="215.386897"/>
        <n v="215.4508632"/>
        <n v="215.5148295"/>
        <n v="215.6944378"/>
        <n v="216.0282356"/>
        <n v="216.3620333"/>
        <n v="216.6958311"/>
        <n v="217.0048261"/>
        <n v="217.1650042"/>
        <n v="217.3251824"/>
        <n v="217.4853605"/>
        <n v="217.6455387"/>
        <n v="217.8670218"/>
        <n v="218.1130269"/>
        <n v="218.3590319"/>
        <n v="218.605037"/>
        <n v="218.8217928"/>
        <n v="218.9995495"/>
        <n v="219.1773063"/>
        <n v="219.355063"/>
        <n v="219.5328198"/>
        <n v="219.6258417"/>
        <n v="219.7188636"/>
        <n v="219.8118854"/>
        <n v="219.9049073"/>
        <n v="220.0651993"/>
        <n v="220.275944"/>
        <n v="220.4866886"/>
        <n v="220.6974332"/>
        <n v="220.8498468"/>
        <n v="220.9244858"/>
        <n v="220.9991248"/>
        <n v="221.0737638"/>
        <n v="221.1484028"/>
        <n v="221.2021074"/>
        <n v="221.255812"/>
        <n v="221.3095166"/>
        <n v="221.3632212"/>
        <n v="221.380331"/>
        <n v="221.3828029"/>
        <n v="221.3852748"/>
        <n v="221.3877467"/>
        <n v="221.4009901"/>
        <n v="221.4411622"/>
        <n v="221.4813343"/>
        <n v="221.5215064"/>
        <n v="221.5616784"/>
        <n v="221.5701123"/>
        <n v="221.5785461"/>
        <n v="221.5869799"/>
        <n v="221.5954138"/>
        <n v="221.6751459"/>
        <n v="221.8083518"/>
        <n v="221.9415576"/>
        <n v="222.0747635"/>
        <n v="222.2174395"/>
        <n v="222.4169362"/>
        <n v="222.6164329"/>
        <n v="222.8159296"/>
        <n v="223.0154263"/>
        <n v="223.0598077"/>
        <n v="223.0783366"/>
        <n v="214.4248812"/>
        <n v="214.5747916"/>
        <n v="214.6198868"/>
        <n v="214.6475127"/>
        <n v="214.6751386"/>
        <n v="214.7027646"/>
        <n v="214.5301219"/>
        <n v="214.3241011"/>
        <n v="214.1180803"/>
        <n v="213.9120595"/>
        <n v="213.7726889"/>
        <n v="213.7221852"/>
        <n v="213.6716815"/>
        <n v="213.6211778"/>
        <n v="213.6196139"/>
        <n v="213.9116886"/>
        <n v="214.2037634"/>
        <n v="214.4958382"/>
        <n v="214.787913"/>
        <n v="214.7858259"/>
        <n v="214.6660741"/>
        <n v="214.5463222"/>
        <n v="214.4265704"/>
        <n v="214.4176476"/>
        <n v="214.5564968"/>
        <n v="214.695346"/>
        <n v="214.8341952"/>
        <n v="214.9730444"/>
        <n v="214.9314191"/>
        <n v="214.8897938"/>
        <n v="214.8481685"/>
        <n v="214.8065431"/>
        <n v="214.8322484"/>
        <n v="214.9084516"/>
        <n v="214.9846548"/>
        <n v="215.060858"/>
        <n v="215.1293114"/>
        <n v="215.17839"/>
        <n v="215.2274686"/>
        <n v="215.2765472"/>
        <n v="215.3256258"/>
        <n v="215.2074519"/>
        <n v="215.0614025"/>
        <n v="214.9153531"/>
        <n v="214.7693037"/>
        <n v="214.704919"/>
        <n v="214.7017828"/>
        <n v="214.6986466"/>
        <n v="214.6955104"/>
        <n v="214.7470729"/>
        <n v="215.1268275"/>
        <n v="215.5065821"/>
        <n v="215.8863367"/>
        <n v="216.2660913"/>
        <n v="216.5843571"/>
        <n v="216.8780275"/>
        <n v="217.1716979"/>
        <n v="217.4653683"/>
        <n v="217.7235226"/>
        <n v="217.9674705"/>
        <n v="218.2114184"/>
        <n v="218.4553663"/>
        <n v="218.6788642"/>
        <n v="218.851237"/>
        <n v="219.0236099"/>
        <n v="219.1959827"/>
        <n v="219.3683556"/>
        <n v="219.127216"/>
        <n v="218.8860765"/>
        <n v="218.6449369"/>
        <n v="218.4037974"/>
        <n v="218.3551748"/>
        <n v="218.45094"/>
        <n v="218.5467052"/>
        <n v="218.6424704"/>
        <n v="218.7275216"/>
        <n v="218.7857881"/>
        <n v="218.8440545"/>
        <n v="218.9023209"/>
        <n v="218.9605873"/>
        <n v="219.023271"/>
        <n v="219.0866908"/>
        <n v="219.1501106"/>
        <n v="219.2135305"/>
        <n v="219.3972867"/>
        <n v="219.7414914"/>
        <n v="220.085696"/>
        <n v="220.4299007"/>
        <n v="220.7486167"/>
        <n v="220.9144005"/>
        <n v="221.0801842"/>
        <n v="221.245968"/>
        <n v="221.4117517"/>
        <n v="221.6432852"/>
        <n v="221.9011185"/>
        <n v="222.1589519"/>
        <n v="222.4167852"/>
        <n v="222.6426418"/>
        <n v="222.8258628"/>
        <n v="223.0090839"/>
        <n v="223.1923049"/>
        <n v="223.3755259"/>
        <n v="223.4700552"/>
        <n v="223.5645845"/>
        <n v="223.6591137"/>
        <n v="223.753643"/>
        <n v="223.9170153"/>
        <n v="224.1320199"/>
        <n v="224.3470245"/>
        <n v="224.5620291"/>
        <n v="224.7166953"/>
        <n v="224.7909104"/>
        <n v="224.8651254"/>
        <n v="224.9393405"/>
        <n v="225.0135556"/>
        <n v="225.0689541"/>
        <n v="225.1243526"/>
        <n v="225.1797511"/>
        <n v="225.2351496"/>
        <n v="225.2512024"/>
        <n v="225.2515168"/>
        <n v="225.2518313"/>
        <n v="225.2521458"/>
        <n v="225.2644795"/>
        <n v="225.3068615"/>
        <n v="225.3492435"/>
        <n v="225.3916254"/>
        <n v="225.4340074"/>
        <n v="225.4438827"/>
        <n v="225.4537579"/>
        <n v="225.4636332"/>
        <n v="225.4735085"/>
        <n v="225.5558664"/>
        <n v="225.6925864"/>
        <n v="225.8293063"/>
        <n v="225.9660263"/>
        <n v="226.1122067"/>
        <n v="226.3151496"/>
        <n v="226.5180926"/>
        <n v="226.7210356"/>
        <n v="226.9239785"/>
        <n v="226.9688442"/>
        <n v="226.9873637"/>
        <n v="126.4420645"/>
        <n v="126.4962581"/>
        <n v="126.5262857"/>
        <n v="126.5522857"/>
        <n v="126.5782857"/>
        <n v="126.6042857"/>
        <n v="126.6066452"/>
        <n v="126.6050645"/>
        <n v="126.6034839"/>
        <n v="126.6019032"/>
        <n v="126.5621"/>
        <n v="126.4713333"/>
        <n v="126.3805667"/>
        <n v="126.2898"/>
        <n v="126.2085484"/>
        <n v="126.1843871"/>
        <n v="126.1602258"/>
        <n v="126.1360645"/>
        <n v="126.1119032"/>
        <n v="126.114"/>
        <n v="126.1266"/>
        <n v="126.1392"/>
        <n v="126.1518"/>
        <n v="126.1498065"/>
        <n v="126.1283548"/>
        <n v="126.1069032"/>
        <n v="126.0854516"/>
        <n v="126.064"/>
        <n v="126.0766452"/>
        <n v="126.0892903"/>
        <n v="126.1019355"/>
        <n v="126.1145806"/>
        <n v="126.1454667"/>
        <n v="126.1900333"/>
        <n v="126.2346"/>
        <n v="126.2791667"/>
        <n v="126.3266774"/>
        <n v="126.3815484"/>
        <n v="126.4364194"/>
        <n v="126.4912903"/>
        <n v="126.5461613"/>
        <n v="126.6072"/>
        <n v="126.6692667"/>
        <n v="126.7313333"/>
        <n v="126.7934"/>
        <n v="126.8794839"/>
        <n v="126.9835806"/>
        <n v="127.0876774"/>
        <n v="127.1917742"/>
        <n v="127.3009355"/>
        <n v="127.4404839"/>
        <n v="127.5800323"/>
        <n v="127.7195806"/>
        <n v="127.859129"/>
        <n v="127.99525"/>
        <n v="128.13"/>
        <n v="128.26475"/>
        <n v="128.3995"/>
        <n v="128.5121935"/>
        <n v="128.6160645"/>
        <n v="128.7199355"/>
        <n v="128.8238065"/>
        <n v="128.9107333"/>
        <n v="128.9553"/>
        <n v="128.9998667"/>
        <n v="129.0444333"/>
        <n v="129.089"/>
        <n v="129.0756774"/>
        <n v="129.0623548"/>
        <n v="129.0490323"/>
        <n v="129.0357097"/>
        <n v="129.0432"/>
        <n v="129.0663"/>
        <n v="129.0894"/>
        <n v="129.1125"/>
        <n v="129.1338387"/>
        <n v="129.1507742"/>
        <n v="129.1677097"/>
        <n v="129.1846452"/>
        <n v="129.2015806"/>
        <n v="129.2405806"/>
        <n v="129.2832581"/>
        <n v="129.3259355"/>
        <n v="129.3686129"/>
        <n v="129.4306"/>
        <n v="129.5183333"/>
        <n v="129.6060667"/>
        <n v="129.6938"/>
        <n v="129.7706452"/>
        <n v="129.7821613"/>
        <n v="129.7936774"/>
        <n v="129.8051935"/>
        <n v="129.8167097"/>
        <n v="129.8268333"/>
        <n v="129.8364"/>
        <n v="129.8459667"/>
        <n v="129.8555333"/>
        <n v="129.8980645"/>
        <n v="129.9845484"/>
        <n v="130.0710323"/>
        <n v="130.1575161"/>
        <n v="130.244"/>
        <n v="130.2792258"/>
        <n v="130.3144516"/>
        <n v="130.3496774"/>
        <n v="130.3849032"/>
        <n v="130.4546207"/>
        <n v="130.5502069"/>
        <n v="130.6457931"/>
        <n v="130.7413793"/>
        <n v="130.8261935"/>
        <n v="130.8966452"/>
        <n v="130.9670968"/>
        <n v="131.0375484"/>
        <n v="131.108"/>
        <n v="131.1173333"/>
        <n v="131.1266667"/>
        <n v="131.136"/>
        <n v="131.1453333"/>
        <n v="131.0983226"/>
        <n v="131.0287742"/>
        <n v="130.9592258"/>
        <n v="130.8896774"/>
        <n v="130.8295333"/>
        <n v="130.7929"/>
        <n v="130.7562667"/>
        <n v="130.7196333"/>
        <n v="130.683"/>
        <n v="130.7012903"/>
        <n v="130.7195806"/>
        <n v="130.737871"/>
        <n v="130.7561613"/>
        <n v="130.7909677"/>
        <n v="130.8381613"/>
        <n v="130.8853548"/>
        <n v="130.9325484"/>
        <n v="130.9776667"/>
        <n v="131.0103333"/>
        <n v="131.043"/>
        <n v="131.0756667"/>
        <n v="131.1083333"/>
        <n v="131.1499677"/>
        <n v="131.1930968"/>
        <n v="211.6539716"/>
        <n v="211.8004698"/>
        <n v="211.8471283"/>
        <n v="211.8771468"/>
        <n v="211.9071653"/>
        <n v="211.9371839"/>
        <n v="211.770897"/>
        <n v="211.5718925"/>
        <n v="211.372888"/>
        <n v="211.1738835"/>
        <n v="211.0388528"/>
        <n v="210.9891204"/>
        <n v="210.939388"/>
        <n v="210.8896556"/>
        <n v="210.8872772"/>
        <n v="211.169023"/>
        <n v="211.4507688"/>
        <n v="211.7325146"/>
        <n v="212.0142605"/>
        <n v="212.0119769"/>
        <n v="211.8960815"/>
        <n v="211.7801861"/>
        <n v="211.6642907"/>
        <n v="211.6561123"/>
        <n v="211.7915565"/>
        <n v="211.9270006"/>
        <n v="212.0624447"/>
        <n v="212.1978889"/>
        <n v="212.1608984"/>
        <n v="212.123908"/>
        <n v="212.0869176"/>
        <n v="212.0499271"/>
        <n v="212.0769346"/>
        <n v="212.1519404"/>
        <n v="212.2269463"/>
        <n v="212.3019522"/>
        <n v="212.3691867"/>
        <n v="212.4169928"/>
        <n v="212.464799"/>
        <n v="212.5126051"/>
        <n v="212.5604113"/>
        <n v="212.445487"/>
        <n v="212.303441"/>
        <n v="212.1613951"/>
        <n v="212.0193491"/>
        <n v="211.9580815"/>
        <n v="211.9573978"/>
        <n v="211.9567142"/>
        <n v="211.9560305"/>
        <n v="212.008514"/>
        <n v="212.3800012"/>
        <n v="212.7514884"/>
        <n v="213.1229755"/>
        <n v="213.4944627"/>
        <n v="213.8068304"/>
        <n v="214.0955503"/>
        <n v="214.3842702"/>
        <n v="214.6729901"/>
        <n v="214.9257339"/>
        <n v="215.1640872"/>
        <n v="215.4024406"/>
        <n v="215.6407939"/>
        <n v="215.8592673"/>
        <n v="216.0280407"/>
        <n v="216.1968142"/>
        <n v="216.3655877"/>
        <n v="216.5343611"/>
        <n v="216.3023847"/>
        <n v="216.0704083"/>
        <n v="215.8384319"/>
        <n v="215.6064555"/>
        <n v="215.560463"/>
        <n v="215.6539583"/>
        <n v="215.7474537"/>
        <n v="215.8409491"/>
        <n v="215.9250696"/>
        <n v="215.985753"/>
        <n v="216.0464364"/>
        <n v="216.1071198"/>
        <n v="216.1678032"/>
        <n v="216.2311855"/>
        <n v="216.2950176"/>
        <n v="216.3588498"/>
        <n v="216.4226819"/>
        <n v="216.6033083"/>
        <n v="216.9396605"/>
        <n v="217.2760127"/>
        <n v="217.6123648"/>
        <n v="217.9237458"/>
        <n v="218.0852999"/>
        <n v="218.2468539"/>
        <n v="218.408408"/>
        <n v="218.5699621"/>
        <n v="218.793912"/>
        <n v="219.0428204"/>
        <n v="219.2917287"/>
        <n v="219.540637"/>
        <n v="219.7596266"/>
        <n v="219.9387246"/>
        <n v="220.1178226"/>
        <n v="220.2969205"/>
        <n v="220.4760185"/>
        <n v="220.5694104"/>
        <n v="220.6628023"/>
        <n v="220.7561941"/>
        <n v="220.849586"/>
        <n v="221.0106341"/>
        <n v="221.2224243"/>
        <n v="221.4342146"/>
        <n v="221.6460048"/>
        <n v="221.7989713"/>
        <n v="221.8735063"/>
        <n v="221.9480412"/>
        <n v="222.0225762"/>
        <n v="222.0971111"/>
        <n v="222.1512315"/>
        <n v="222.2053519"/>
        <n v="222.2594722"/>
        <n v="222.3135926"/>
        <n v="222.330443"/>
        <n v="222.3323853"/>
        <n v="222.3343277"/>
        <n v="222.33627"/>
        <n v="222.3492901"/>
        <n v="222.3900046"/>
        <n v="222.4307191"/>
        <n v="222.4714336"/>
        <n v="222.5121481"/>
        <n v="222.5209358"/>
        <n v="222.5297234"/>
        <n v="222.5385111"/>
        <n v="222.5472987"/>
        <n v="222.6276753"/>
        <n v="222.7617437"/>
        <n v="222.8958121"/>
        <n v="223.0298805"/>
        <n v="223.1734167"/>
        <n v="223.3737593"/>
        <n v="223.5741019"/>
        <n v="223.7744444"/>
        <n v="223.974787"/>
        <n v="224.0192873"/>
        <n v="224.0378139"/>
        <n v="212.6223518"/>
        <n v="212.7700425"/>
        <n v="212.8161546"/>
        <n v="212.845337"/>
        <n v="212.8745193"/>
        <n v="212.9037017"/>
        <n v="212.7351935"/>
        <n v="212.533737"/>
        <n v="212.3322805"/>
        <n v="212.1308239"/>
        <n v="211.9942765"/>
        <n v="211.9442745"/>
        <n v="211.8942725"/>
        <n v="211.8442706"/>
        <n v="211.8421769"/>
        <n v="212.1275324"/>
        <n v="212.412888"/>
        <n v="212.6982436"/>
        <n v="212.9835992"/>
        <n v="212.9813843"/>
        <n v="212.8641412"/>
        <n v="212.746898"/>
        <n v="212.6296549"/>
        <n v="212.6212163"/>
        <n v="212.7578505"/>
        <n v="212.8944846"/>
        <n v="213.0311188"/>
        <n v="213.1677529"/>
        <n v="213.1291427"/>
        <n v="213.0905324"/>
        <n v="213.0519222"/>
        <n v="213.013312"/>
        <n v="213.0398643"/>
        <n v="213.1152886"/>
        <n v="213.1907129"/>
        <n v="213.2661373"/>
        <n v="213.3337977"/>
        <n v="213.3820486"/>
        <n v="213.4302994"/>
        <n v="213.4785503"/>
        <n v="213.5268011"/>
        <n v="213.4107412"/>
        <n v="213.2672961"/>
        <n v="213.123851"/>
        <n v="212.9804059"/>
        <n v="212.918049"/>
        <n v="212.9165082"/>
        <n v="212.9149674"/>
        <n v="212.9134266"/>
        <n v="212.9655882"/>
        <n v="213.3399647"/>
        <n v="213.7143412"/>
        <n v="214.0887176"/>
        <n v="214.4630941"/>
        <n v="214.7775231"/>
        <n v="215.0679731"/>
        <n v="215.3584231"/>
        <n v="215.6488731"/>
        <n v="215.9035078"/>
        <n v="216.1438163"/>
        <n v="216.3841249"/>
        <n v="216.6244334"/>
        <n v="216.8446627"/>
        <n v="217.0146941"/>
        <n v="217.1847255"/>
        <n v="217.3547569"/>
        <n v="217.5247882"/>
        <n v="217.2896095"/>
        <n v="217.0544307"/>
        <n v="216.819252"/>
        <n v="216.5840732"/>
        <n v="216.5371616"/>
        <n v="216.6314502"/>
        <n v="216.7257388"/>
        <n v="216.8200275"/>
        <n v="216.9044732"/>
        <n v="216.964312"/>
        <n v="217.0241507"/>
        <n v="217.0839894"/>
        <n v="217.1438281"/>
        <n v="217.2069662"/>
        <n v="217.2706543"/>
        <n v="217.3343423"/>
        <n v="217.3980304"/>
        <n v="217.5797506"/>
        <n v="217.9188471"/>
        <n v="218.2579435"/>
        <n v="218.59704"/>
        <n v="218.9109844"/>
        <n v="219.0740167"/>
        <n v="219.237049"/>
        <n v="219.4000812"/>
        <n v="219.5631135"/>
        <n v="219.7897137"/>
        <n v="220.0417412"/>
        <n v="220.2937686"/>
        <n v="220.5457961"/>
        <n v="220.7671856"/>
        <n v="220.9477245"/>
        <n v="221.1282634"/>
        <n v="221.3088023"/>
        <n v="221.4893412"/>
        <n v="221.5831306"/>
        <n v="221.6769199"/>
        <n v="221.7707093"/>
        <n v="221.8644987"/>
        <n v="222.026359"/>
        <n v="222.2392726"/>
        <n v="222.4521862"/>
        <n v="222.6650998"/>
        <n v="222.8186603"/>
        <n v="222.8930835"/>
        <n v="222.9675066"/>
        <n v="223.0419298"/>
        <n v="223.1163529"/>
        <n v="223.17092"/>
        <n v="223.2254871"/>
        <n v="223.2800541"/>
        <n v="223.3346212"/>
        <n v="223.3511928"/>
        <n v="223.3525662"/>
        <n v="223.3539397"/>
        <n v="223.3553131"/>
        <n v="223.3680933"/>
        <n v="223.4093906"/>
        <n v="223.4506878"/>
        <n v="223.4919851"/>
        <n v="223.5332824"/>
        <n v="223.5424501"/>
        <n v="223.5516178"/>
        <n v="223.5607856"/>
        <n v="223.5699533"/>
        <n v="223.6510224"/>
        <n v="223.7860175"/>
        <n v="223.9210125"/>
        <n v="224.0560076"/>
        <n v="224.2004678"/>
        <n v="224.4017192"/>
        <n v="224.6029706"/>
        <n v="224.804222"/>
        <n v="225.0054733"/>
        <n v="225.0501013"/>
        <n v="225.0686254"/>
        <n v="189.3816974"/>
        <n v="189.4642725"/>
        <n v="189.5340998"/>
        <n v="189.6018023"/>
        <n v="189.6695049"/>
        <n v="189.7372075"/>
        <n v="189.734262"/>
        <n v="189.7195417"/>
        <n v="189.7048215"/>
        <n v="189.6901012"/>
        <n v="189.6628845"/>
        <n v="189.6190057"/>
        <n v="189.575127"/>
        <n v="189.5312483"/>
        <n v="189.4904116"/>
        <n v="189.467827"/>
        <n v="189.4452425"/>
        <n v="189.422658"/>
        <n v="189.4000734"/>
        <n v="189.4185259"/>
        <n v="189.4533931"/>
        <n v="189.4882603"/>
        <n v="189.5231276"/>
        <n v="189.6125456"/>
        <n v="189.774698"/>
        <n v="189.9368504"/>
        <n v="190.0990028"/>
        <n v="190.2611552"/>
        <n v="190.2948237"/>
        <n v="190.3284922"/>
        <n v="190.3621607"/>
        <n v="190.3958293"/>
        <n v="190.4688287"/>
        <n v="190.5713264"/>
        <n v="190.6738241"/>
        <n v="190.7763218"/>
        <n v="190.8623087"/>
        <n v="190.9070184"/>
        <n v="190.951728"/>
        <n v="190.9964377"/>
        <n v="191.0411474"/>
        <n v="191.0312172"/>
        <n v="191.0121805"/>
        <n v="190.9931437"/>
        <n v="190.9741069"/>
        <n v="191.0303376"/>
        <n v="191.1430189"/>
        <n v="191.2557002"/>
        <n v="191.3683815"/>
        <n v="191.4784939"/>
        <n v="191.5731924"/>
        <n v="191.667891"/>
        <n v="191.7625895"/>
        <n v="191.8572881"/>
        <n v="191.9178331"/>
        <n v="191.9647167"/>
        <n v="192.0116004"/>
        <n v="192.058484"/>
        <n v="192.1237981"/>
        <n v="192.1964844"/>
        <n v="192.2691707"/>
        <n v="192.3418571"/>
        <n v="192.4225954"/>
        <n v="192.5234638"/>
        <n v="192.6243322"/>
        <n v="192.7252006"/>
        <n v="192.826069"/>
        <n v="192.831317"/>
        <n v="192.8365651"/>
        <n v="192.8418131"/>
        <n v="192.8470612"/>
        <n v="192.9034759"/>
        <n v="192.9982655"/>
        <n v="193.0930552"/>
        <n v="193.1878448"/>
        <n v="193.3125484"/>
        <n v="193.5120367"/>
        <n v="193.711525"/>
        <n v="193.9110133"/>
        <n v="194.1105017"/>
        <n v="194.2500634"/>
        <n v="194.3796374"/>
        <n v="194.5092113"/>
        <n v="194.6387853"/>
        <n v="194.7419707"/>
        <n v="194.8099713"/>
        <n v="194.8779718"/>
        <n v="194.9459724"/>
        <n v="195.0261012"/>
        <n v="195.1789994"/>
        <n v="195.3318977"/>
        <n v="195.4847959"/>
        <n v="195.6376941"/>
        <n v="195.7184713"/>
        <n v="195.7704"/>
        <n v="195.8223287"/>
        <n v="195.8742575"/>
        <n v="195.9841685"/>
        <n v="196.1713893"/>
        <n v="196.3586101"/>
        <n v="196.5458309"/>
        <n v="196.7330517"/>
        <n v="196.7796652"/>
        <n v="196.8262786"/>
        <n v="196.8728921"/>
        <n v="196.9195056"/>
        <n v="196.9432711"/>
        <n v="196.9499007"/>
        <n v="196.9565303"/>
        <n v="196.9631599"/>
        <n v="197.0457208"/>
        <n v="197.2295234"/>
        <n v="197.4133259"/>
        <n v="197.5971285"/>
        <n v="197.780931"/>
        <n v="197.7227385"/>
        <n v="197.664546"/>
        <n v="197.6063534"/>
        <n v="197.5481609"/>
        <n v="197.5553137"/>
        <n v="197.5886046"/>
        <n v="197.6218954"/>
        <n v="197.6551863"/>
        <n v="197.692292"/>
        <n v="197.7389345"/>
        <n v="197.785577"/>
        <n v="197.8322195"/>
        <n v="197.8788621"/>
        <n v="197.9290378"/>
        <n v="197.9792136"/>
        <n v="198.0293893"/>
        <n v="198.0795651"/>
        <n v="198.1001057"/>
        <n v="198.0984199"/>
        <n v="198.0967341"/>
        <n v="198.0950484"/>
        <n v="198.1267184"/>
        <n v="198.358523"/>
        <n v="198.5903276"/>
        <n v="198.8221322"/>
        <n v="199.0539368"/>
        <n v="199.1481963"/>
        <n v="199.2195317"/>
        <n v="214.4714512"/>
        <n v="214.6214189"/>
        <n v="214.6664878"/>
        <n v="214.6940735"/>
        <n v="214.7216592"/>
        <n v="214.7492449"/>
        <n v="214.5764954"/>
        <n v="214.3703567"/>
        <n v="214.164218"/>
        <n v="213.9580793"/>
        <n v="213.8186357"/>
        <n v="213.768119"/>
        <n v="213.7176024"/>
        <n v="213.6670857"/>
        <n v="213.6655355"/>
        <n v="213.9577839"/>
        <n v="214.2500323"/>
        <n v="214.5422806"/>
        <n v="214.834529"/>
        <n v="214.8324452"/>
        <n v="214.7126286"/>
        <n v="214.5928119"/>
        <n v="214.4729952"/>
        <n v="214.4640599"/>
        <n v="214.6029664"/>
        <n v="214.7418728"/>
        <n v="214.8807793"/>
        <n v="215.0196857"/>
        <n v="214.9779825"/>
        <n v="214.9362793"/>
        <n v="214.894576"/>
        <n v="214.8528728"/>
        <n v="214.8785562"/>
        <n v="214.9547795"/>
        <n v="215.0310029"/>
        <n v="215.1072262"/>
        <n v="215.1757"/>
        <n v="215.2248"/>
        <n v="215.2739"/>
        <n v="215.323"/>
        <n v="215.3721"/>
        <n v="215.2538714"/>
        <n v="215.1077548"/>
        <n v="214.9616381"/>
        <n v="214.8155214"/>
        <n v="214.7510843"/>
        <n v="214.7479069"/>
        <n v="214.7447295"/>
        <n v="214.7415521"/>
        <n v="214.7930991"/>
        <n v="215.1729926"/>
        <n v="215.5528862"/>
        <n v="215.9327797"/>
        <n v="216.3126733"/>
        <n v="216.6310383"/>
        <n v="216.9247918"/>
        <n v="217.2185454"/>
        <n v="217.512299"/>
        <n v="217.7705442"/>
        <n v="218.0145862"/>
        <n v="218.2586281"/>
        <n v="218.50267"/>
        <n v="218.7262524"/>
        <n v="218.8986857"/>
        <n v="219.071119"/>
        <n v="219.2435524"/>
        <n v="219.4159857"/>
        <n v="219.1746922"/>
        <n v="218.9333986"/>
        <n v="218.6921051"/>
        <n v="218.4508115"/>
        <n v="218.4021448"/>
        <n v="218.4979481"/>
        <n v="218.5937514"/>
        <n v="218.6895548"/>
        <n v="218.7746217"/>
        <n v="218.8328475"/>
        <n v="218.8910733"/>
        <n v="218.9492991"/>
        <n v="219.0075249"/>
        <n v="219.0701968"/>
        <n v="219.1336097"/>
        <n v="219.1970226"/>
        <n v="219.2604355"/>
        <n v="219.4442443"/>
        <n v="219.788581"/>
        <n v="220.1329176"/>
        <n v="220.4772543"/>
        <n v="220.7960935"/>
        <n v="220.9619484"/>
        <n v="221.1278032"/>
        <n v="221.2936581"/>
        <n v="221.4595129"/>
        <n v="221.6911738"/>
        <n v="221.9491571"/>
        <n v="222.2071405"/>
        <n v="222.4651238"/>
        <n v="222.6910959"/>
        <n v="222.8743862"/>
        <n v="223.0576765"/>
        <n v="223.2409668"/>
        <n v="223.4242571"/>
        <n v="223.5188055"/>
        <n v="223.6133539"/>
        <n v="223.7079023"/>
        <n v="223.8024507"/>
        <n v="223.9658621"/>
        <n v="224.1809207"/>
        <n v="224.3959793"/>
        <n v="224.6110379"/>
        <n v="224.7657327"/>
        <n v="224.8399424"/>
        <n v="224.9141521"/>
        <n v="224.9883618"/>
        <n v="225.0625714"/>
        <n v="225.1179914"/>
        <n v="225.1734114"/>
        <n v="225.2288314"/>
        <n v="225.2842514"/>
        <n v="225.3002908"/>
        <n v="225.3005779"/>
        <n v="225.300865"/>
        <n v="225.3011521"/>
        <n v="225.3134743"/>
        <n v="225.3558843"/>
        <n v="225.3982943"/>
        <n v="225.4407043"/>
        <n v="225.4831143"/>
        <n v="225.4930078"/>
        <n v="225.5029014"/>
        <n v="225.5127949"/>
        <n v="225.5226885"/>
        <n v="225.6050797"/>
        <n v="225.7418442"/>
        <n v="225.8786088"/>
        <n v="226.0153733"/>
        <n v="226.1615981"/>
        <n v="226.3645848"/>
        <n v="226.5675714"/>
        <n v="226.7705581"/>
        <n v="226.9735448"/>
        <n v="227.0184166"/>
        <n v="227.0369359"/>
        <n v="214.6554591"/>
        <n v="214.8056534"/>
        <n v="214.8506185"/>
        <n v="214.8780453"/>
        <n v="214.9054721"/>
        <n v="214.932899"/>
        <n v="214.7597274"/>
        <n v="214.5531227"/>
        <n v="214.3465181"/>
        <n v="214.1399135"/>
        <n v="214.0001817"/>
        <n v="213.9496138"/>
        <n v="213.8990459"/>
        <n v="213.848478"/>
        <n v="213.8469819"/>
        <n v="214.1399162"/>
        <n v="214.4328505"/>
        <n v="214.7257848"/>
        <n v="215.0187191"/>
        <n v="215.0166484"/>
        <n v="214.8965756"/>
        <n v="214.7765028"/>
        <n v="214.6564301"/>
        <n v="214.6474453"/>
        <n v="214.7865779"/>
        <n v="214.9257105"/>
        <n v="215.064843"/>
        <n v="215.2039756"/>
        <n v="215.1619646"/>
        <n v="215.1199536"/>
        <n v="215.0779426"/>
        <n v="215.0359315"/>
        <n v="215.0615285"/>
        <n v="215.1378313"/>
        <n v="215.2141341"/>
        <n v="215.290437"/>
        <n v="215.3589917"/>
        <n v="215.4081762"/>
        <n v="215.4573607"/>
        <n v="215.5065452"/>
        <n v="215.5557297"/>
        <n v="215.4372854"/>
        <n v="215.2909028"/>
        <n v="215.1445203"/>
        <n v="214.9981378"/>
        <n v="214.9334937"/>
        <n v="214.9301534"/>
        <n v="214.9268131"/>
        <n v="214.9234729"/>
        <n v="214.9749587"/>
        <n v="215.3554013"/>
        <n v="215.7358438"/>
        <n v="216.1162864"/>
        <n v="216.496729"/>
        <n v="216.8154856"/>
        <n v="217.1095679"/>
        <n v="217.4036503"/>
        <n v="217.6977326"/>
        <n v="217.9563371"/>
        <n v="218.2007506"/>
        <n v="218.445164"/>
        <n v="218.6895775"/>
        <n v="218.9134935"/>
        <n v="219.0861659"/>
        <n v="219.2588382"/>
        <n v="219.4315106"/>
        <n v="219.6041829"/>
        <n v="219.3622809"/>
        <n v="219.1203788"/>
        <n v="218.8784768"/>
        <n v="218.6365747"/>
        <n v="218.5877333"/>
        <n v="218.6836874"/>
        <n v="218.7796415"/>
        <n v="218.8755955"/>
        <n v="218.9607242"/>
        <n v="219.0187895"/>
        <n v="219.0768548"/>
        <n v="219.1349201"/>
        <n v="219.1929854"/>
        <n v="219.2556109"/>
        <n v="219.3189965"/>
        <n v="219.382382"/>
        <n v="219.4457675"/>
        <n v="219.6297841"/>
        <n v="219.9746423"/>
        <n v="220.3195004"/>
        <n v="220.6643585"/>
        <n v="220.9836849"/>
        <n v="221.1498206"/>
        <n v="221.3159563"/>
        <n v="221.4820921"/>
        <n v="221.6482278"/>
        <n v="221.8803923"/>
        <n v="222.1389683"/>
        <n v="222.3975443"/>
        <n v="222.6561203"/>
        <n v="222.8825484"/>
        <n v="223.0661125"/>
        <n v="223.2496766"/>
        <n v="223.4332408"/>
        <n v="223.6168049"/>
        <n v="223.7114288"/>
        <n v="223.8060527"/>
        <n v="223.9006766"/>
        <n v="223.9953006"/>
        <n v="224.1588663"/>
        <n v="224.3741384"/>
        <n v="224.5894104"/>
        <n v="224.8046825"/>
        <n v="224.9594902"/>
        <n v="225.0336786"/>
        <n v="225.107867"/>
        <n v="225.1820555"/>
        <n v="225.2562439"/>
        <n v="225.3117488"/>
        <n v="225.3672537"/>
        <n v="225.4227585"/>
        <n v="225.4782634"/>
        <n v="225.4942498"/>
        <n v="225.4944288"/>
        <n v="225.4946078"/>
        <n v="225.4947868"/>
        <n v="225.5070634"/>
        <n v="225.5495841"/>
        <n v="225.5921049"/>
        <n v="225.6346256"/>
        <n v="225.6771463"/>
        <n v="225.6871121"/>
        <n v="225.6970779"/>
        <n v="225.7070437"/>
        <n v="225.7170094"/>
        <n v="225.7995323"/>
        <n v="225.9364729"/>
        <n v="226.0734135"/>
        <n v="226.2103541"/>
        <n v="226.3567545"/>
        <n v="226.5599138"/>
        <n v="226.7630732"/>
        <n v="226.9662325"/>
        <n v="227.1693919"/>
        <n v="227.214288"/>
        <n v="227.2328068"/>
        <n v="181.8711898"/>
        <n v="181.982317"/>
        <n v="182.0347816"/>
        <n v="182.0774691"/>
        <n v="182.1201566"/>
        <n v="182.1628441"/>
        <n v="182.0779857"/>
        <n v="181.9718697"/>
        <n v="181.8657537"/>
        <n v="181.7596377"/>
        <n v="181.6924769"/>
        <n v="181.6772564"/>
        <n v="181.6620359"/>
        <n v="181.6468154"/>
        <n v="181.6612792"/>
        <n v="181.8538486"/>
        <n v="182.0464181"/>
        <n v="182.2389876"/>
        <n v="182.4315571"/>
        <n v="182.4424199"/>
        <n v="182.3806"/>
        <n v="182.3187801"/>
        <n v="182.2569603"/>
        <n v="182.2604411"/>
        <n v="182.3509895"/>
        <n v="182.4415378"/>
        <n v="182.5320862"/>
        <n v="182.6226346"/>
        <n v="182.6165205"/>
        <n v="182.6104063"/>
        <n v="182.6042922"/>
        <n v="182.598178"/>
        <n v="182.622509"/>
        <n v="182.6696737"/>
        <n v="182.7168385"/>
        <n v="182.7640032"/>
        <n v="182.8106203"/>
        <n v="182.8558685"/>
        <n v="182.9011166"/>
        <n v="182.9463648"/>
        <n v="182.9916129"/>
        <n v="182.8989385"/>
        <n v="182.7832769"/>
        <n v="182.6676154"/>
        <n v="182.5519538"/>
        <n v="182.517732"/>
        <n v="182.54459"/>
        <n v="182.5714479"/>
        <n v="182.5983058"/>
        <n v="182.6585782"/>
        <n v="182.9193368"/>
        <n v="183.1800955"/>
        <n v="183.4408542"/>
        <n v="183.7016129"/>
        <n v="183.9371353"/>
        <n v="184.1625632"/>
        <n v="184.3879911"/>
        <n v="184.613419"/>
        <n v="184.809719"/>
        <n v="184.9943679"/>
        <n v="185.1790167"/>
        <n v="185.3636656"/>
        <n v="185.5339821"/>
        <n v="185.6684673"/>
        <n v="185.8029526"/>
        <n v="185.9374378"/>
        <n v="186.0719231"/>
        <n v="185.9661154"/>
        <n v="185.8603077"/>
        <n v="185.7545"/>
        <n v="185.6486923"/>
        <n v="185.6719333"/>
        <n v="185.7919609"/>
        <n v="185.9119885"/>
        <n v="186.032016"/>
        <n v="186.1399808"/>
        <n v="186.2177885"/>
        <n v="186.2955962"/>
        <n v="186.3734038"/>
        <n v="186.4512115"/>
        <n v="186.5093071"/>
        <n v="186.5641172"/>
        <n v="186.6189274"/>
        <n v="186.6737376"/>
        <n v="186.8024"/>
        <n v="187.0295321"/>
        <n v="187.2566641"/>
        <n v="187.4837962"/>
        <n v="187.6917481"/>
        <n v="187.7846197"/>
        <n v="187.8774913"/>
        <n v="187.9703629"/>
        <n v="188.0632345"/>
        <n v="188.1983654"/>
        <n v="188.3504"/>
        <n v="188.5024346"/>
        <n v="188.6544692"/>
        <n v="188.7979349"/>
        <n v="188.9299752"/>
        <n v="189.0620155"/>
        <n v="189.1940558"/>
        <n v="189.3260962"/>
        <n v="189.4214733"/>
        <n v="189.5168505"/>
        <n v="189.6122277"/>
        <n v="189.7076048"/>
        <n v="189.8424834"/>
        <n v="190.0069881"/>
        <n v="190.1714927"/>
        <n v="190.3359973"/>
        <n v="190.4618964"/>
        <n v="190.5363213"/>
        <n v="190.6107463"/>
        <n v="190.6851712"/>
        <n v="190.7595962"/>
        <n v="190.8138013"/>
        <n v="190.8680064"/>
        <n v="190.9222115"/>
        <n v="190.9764167"/>
        <n v="190.9964479"/>
        <n v="191.0028096"/>
        <n v="191.0091712"/>
        <n v="191.0155329"/>
        <n v="191.0299731"/>
        <n v="191.0646096"/>
        <n v="191.0992462"/>
        <n v="191.1338827"/>
        <n v="191.1685192"/>
        <n v="191.1670428"/>
        <n v="191.1655664"/>
        <n v="191.16409"/>
        <n v="191.1626135"/>
        <n v="191.2284919"/>
        <n v="191.3448865"/>
        <n v="191.461281"/>
        <n v="191.5776756"/>
        <n v="191.69985"/>
        <n v="191.8567038"/>
        <n v="192.0135577"/>
        <n v="192.1704115"/>
        <n v="192.3272654"/>
        <n v="192.3308542"/>
        <n v="192.3088989"/>
        <n v="131.5279032"/>
        <n v="131.5866129"/>
        <n v="131.637"/>
        <n v="131.686"/>
        <n v="131.735"/>
        <n v="131.784"/>
        <n v="131.8242903"/>
        <n v="131.863129"/>
        <n v="131.9019677"/>
        <n v="131.9408065"/>
        <n v="131.9809"/>
        <n v="132.0226667"/>
        <n v="132.0644333"/>
        <n v="132.1062"/>
        <n v="132.152129"/>
        <n v="132.2230323"/>
        <n v="132.2939355"/>
        <n v="132.3648387"/>
        <n v="132.4357419"/>
        <n v="132.4733333"/>
        <n v="132.4976"/>
        <n v="132.5218667"/>
        <n v="132.5461333"/>
        <n v="132.5667742"/>
        <n v="132.5825806"/>
        <n v="132.5983871"/>
        <n v="132.6141935"/>
        <n v="132.63"/>
        <n v="132.6616129"/>
        <n v="132.6932258"/>
        <n v="132.7248387"/>
        <n v="132.7564516"/>
        <n v="132.7670667"/>
        <n v="132.7619333"/>
        <n v="132.7568"/>
        <n v="132.7516667"/>
        <n v="132.7633548"/>
        <n v="132.8170968"/>
        <n v="132.8708387"/>
        <n v="132.9245806"/>
        <n v="132.9783226"/>
        <n v="132.9172"/>
        <n v="132.8369333"/>
        <n v="132.7566667"/>
        <n v="132.6764"/>
        <n v="132.6804516"/>
        <n v="132.7477419"/>
        <n v="132.8150323"/>
        <n v="132.8823226"/>
        <n v="132.9510645"/>
        <n v="133.0285161"/>
        <n v="133.1059677"/>
        <n v="133.1834194"/>
        <n v="133.260871"/>
        <n v="133.3701429"/>
        <n v="133.4921429"/>
        <n v="133.6141429"/>
        <n v="133.7361429"/>
        <n v="133.8492258"/>
        <n v="133.9587419"/>
        <n v="134.0682581"/>
        <n v="134.1777742"/>
        <n v="134.2784667"/>
        <n v="134.3571"/>
        <n v="134.4357333"/>
        <n v="134.5143667"/>
        <n v="134.593"/>
        <n v="134.6803871"/>
        <n v="134.7677742"/>
        <n v="134.8551613"/>
        <n v="134.9425484"/>
        <n v="135.0837333"/>
        <n v="135.2652667"/>
        <n v="135.4468"/>
        <n v="135.6283333"/>
        <n v="135.7837419"/>
        <n v="135.8738387"/>
        <n v="135.9639355"/>
        <n v="136.0540323"/>
        <n v="136.144129"/>
        <n v="136.183129"/>
        <n v="136.2136129"/>
        <n v="136.2440968"/>
        <n v="136.2745806"/>
        <n v="136.3145"/>
        <n v="136.367"/>
        <n v="136.4195"/>
        <n v="136.472"/>
        <n v="136.5150968"/>
        <n v="136.5017742"/>
        <n v="136.4884516"/>
        <n v="136.475129"/>
        <n v="136.4618065"/>
        <n v="136.4666667"/>
        <n v="136.4788"/>
        <n v="136.4909333"/>
        <n v="136.5030667"/>
        <n v="136.5335161"/>
        <n v="136.5883871"/>
        <n v="136.6432581"/>
        <n v="136.698129"/>
        <n v="136.753"/>
        <n v="136.8564194"/>
        <n v="136.9598387"/>
        <n v="137.0632581"/>
        <n v="137.1666774"/>
        <n v="137.2583103"/>
        <n v="137.3411034"/>
        <n v="137.4238966"/>
        <n v="137.5066897"/>
        <n v="137.5843871"/>
        <n v="137.6552903"/>
        <n v="137.7261935"/>
        <n v="137.7970968"/>
        <n v="137.868"/>
        <n v="137.9230667"/>
        <n v="137.9781333"/>
        <n v="138.0332"/>
        <n v="138.0882667"/>
        <n v="138.1065806"/>
        <n v="138.1101935"/>
        <n v="138.1138065"/>
        <n v="138.1174194"/>
        <n v="138.1295333"/>
        <n v="138.1629"/>
        <n v="138.1962667"/>
        <n v="138.2296333"/>
        <n v="138.263"/>
        <n v="138.2331935"/>
        <n v="138.2033871"/>
        <n v="138.1735806"/>
        <n v="138.1437742"/>
        <n v="138.1857097"/>
        <n v="138.2814516"/>
        <n v="138.3771935"/>
        <n v="138.4729355"/>
        <n v="138.5673"/>
        <n v="138.6534"/>
        <n v="138.7395"/>
        <n v="138.8256"/>
        <n v="138.9117"/>
        <n v="138.8336129"/>
        <n v="138.7281613"/>
        <n v="204.2471935"/>
        <n v="204.3857472"/>
        <n v="204.4321004"/>
        <n v="204.4630869"/>
        <n v="204.4940734"/>
        <n v="204.5250598"/>
        <n v="204.3782258"/>
        <n v="204.201755"/>
        <n v="204.0252842"/>
        <n v="203.8488134"/>
        <n v="203.7307486"/>
        <n v="203.6905586"/>
        <n v="203.6503685"/>
        <n v="203.6101784"/>
        <n v="203.6133915"/>
        <n v="203.8770235"/>
        <n v="204.1406556"/>
        <n v="204.4042877"/>
        <n v="204.6679198"/>
        <n v="204.670036"/>
        <n v="204.5675459"/>
        <n v="204.4650559"/>
        <n v="204.3625658"/>
        <n v="204.3571656"/>
        <n v="204.4812188"/>
        <n v="204.605272"/>
        <n v="204.7293252"/>
        <n v="204.8533784"/>
        <n v="204.8217044"/>
        <n v="204.7900305"/>
        <n v="204.7583566"/>
        <n v="204.7266827"/>
        <n v="204.7513279"/>
        <n v="204.8182126"/>
        <n v="204.8850973"/>
        <n v="204.951982"/>
        <n v="205.0137637"/>
        <n v="205.0627881"/>
        <n v="205.1118126"/>
        <n v="205.160837"/>
        <n v="205.2098614"/>
        <n v="205.0992811"/>
        <n v="204.9621"/>
        <n v="204.8249189"/>
        <n v="204.6877378"/>
        <n v="204.6321194"/>
        <n v="204.6376731"/>
        <n v="204.6432267"/>
        <n v="204.6487803"/>
        <n v="204.7026042"/>
        <n v="205.0460497"/>
        <n v="205.3894952"/>
        <n v="205.7329407"/>
        <n v="206.0763862"/>
        <n v="206.3694701"/>
        <n v="206.6424093"/>
        <n v="206.9153485"/>
        <n v="207.1882876"/>
        <n v="207.4283845"/>
        <n v="207.6553444"/>
        <n v="207.8823043"/>
        <n v="208.1092642"/>
        <n v="208.3172811"/>
        <n v="208.4779405"/>
        <n v="208.6386"/>
        <n v="208.7992595"/>
        <n v="208.9599189"/>
        <n v="208.7583165"/>
        <n v="208.556714"/>
        <n v="208.3551116"/>
        <n v="208.1535092"/>
        <n v="208.1265604"/>
        <n v="208.2306018"/>
        <n v="208.3346432"/>
        <n v="208.4386847"/>
        <n v="208.5309337"/>
        <n v="208.5937018"/>
        <n v="208.6564699"/>
        <n v="208.719238"/>
        <n v="208.7820061"/>
        <n v="208.8424359"/>
        <n v="208.902476"/>
        <n v="208.9625161"/>
        <n v="209.0225562"/>
        <n v="209.1893892"/>
        <n v="209.4986126"/>
        <n v="209.807836"/>
        <n v="210.1170595"/>
        <n v="210.4027602"/>
        <n v="210.5473252"/>
        <n v="210.6918901"/>
        <n v="210.8364551"/>
        <n v="210.9810201"/>
        <n v="211.1847207"/>
        <n v="211.4120757"/>
        <n v="211.6394306"/>
        <n v="211.8667856"/>
        <n v="212.0685039"/>
        <n v="212.2360401"/>
        <n v="212.4035763"/>
        <n v="212.5711125"/>
        <n v="212.7386486"/>
        <n v="212.8336399"/>
        <n v="212.9286312"/>
        <n v="213.0236225"/>
        <n v="213.1186138"/>
        <n v="213.2732106"/>
        <n v="213.4725116"/>
        <n v="213.6718127"/>
        <n v="213.8711137"/>
        <n v="214.0167132"/>
        <n v="214.0907105"/>
        <n v="214.1647079"/>
        <n v="214.2387053"/>
        <n v="214.3127027"/>
        <n v="214.3675045"/>
        <n v="214.4223063"/>
        <n v="214.4771081"/>
        <n v="214.5319099"/>
        <n v="214.5485571"/>
        <n v="214.5499425"/>
        <n v="214.5513278"/>
        <n v="214.5527132"/>
        <n v="214.5653243"/>
        <n v="214.606"/>
        <n v="214.6466757"/>
        <n v="214.6873514"/>
        <n v="214.728027"/>
        <n v="214.7331351"/>
        <n v="214.7382432"/>
        <n v="214.7433514"/>
        <n v="214.7484595"/>
        <n v="214.825578"/>
        <n v="214.9567044"/>
        <n v="215.0878309"/>
        <n v="215.2189573"/>
        <n v="215.3583757"/>
        <n v="215.5475459"/>
        <n v="215.7367162"/>
        <n v="215.9258865"/>
        <n v="216.1150568"/>
        <n v="216.1464699"/>
        <n v="216.1515902"/>
        <n v="135.3524608"/>
        <n v="135.4113076"/>
        <n v="135.4657781"/>
        <n v="135.5195191"/>
        <n v="135.5732602"/>
        <n v="135.6270013"/>
        <n v="135.6682247"/>
        <n v="135.7073618"/>
        <n v="135.7464988"/>
        <n v="135.7856359"/>
        <n v="135.82725"/>
        <n v="135.8721667"/>
        <n v="135.9170833"/>
        <n v="135.962"/>
        <n v="136.010394"/>
        <n v="136.0796521"/>
        <n v="136.1489101"/>
        <n v="136.2181682"/>
        <n v="136.2874263"/>
        <n v="136.3243393"/>
        <n v="136.3483143"/>
        <n v="136.3722893"/>
        <n v="136.3962643"/>
        <n v="136.4179827"/>
        <n v="136.4366924"/>
        <n v="136.4554021"/>
        <n v="136.4741118"/>
        <n v="136.4928214"/>
        <n v="136.5249182"/>
        <n v="136.557015"/>
        <n v="136.5891118"/>
        <n v="136.6212085"/>
        <n v="136.6338071"/>
        <n v="136.6317821"/>
        <n v="136.6297571"/>
        <n v="136.6277321"/>
        <n v="136.6401935"/>
        <n v="136.688871"/>
        <n v="136.7375484"/>
        <n v="136.7862258"/>
        <n v="136.8349032"/>
        <n v="136.7715714"/>
        <n v="136.6895714"/>
        <n v="136.6075714"/>
        <n v="136.5255714"/>
        <n v="136.5292811"/>
        <n v="136.597273"/>
        <n v="136.665265"/>
        <n v="136.7332569"/>
        <n v="136.803477"/>
        <n v="136.8870657"/>
        <n v="136.9706544"/>
        <n v="137.0542431"/>
        <n v="137.1378318"/>
        <n v="137.2511849"/>
        <n v="137.3764439"/>
        <n v="137.5017028"/>
        <n v="137.6269617"/>
        <n v="137.7398929"/>
        <n v="137.8478929"/>
        <n v="137.9558929"/>
        <n v="138.0638929"/>
        <n v="138.1646952"/>
        <n v="138.2475036"/>
        <n v="138.3303119"/>
        <n v="138.4131202"/>
        <n v="138.4959286"/>
        <n v="138.587106"/>
        <n v="138.6782834"/>
        <n v="138.7694608"/>
        <n v="138.8606382"/>
        <n v="139.0028333"/>
        <n v="139.1832917"/>
        <n v="139.36375"/>
        <n v="139.5442083"/>
        <n v="139.7006325"/>
        <n v="139.7969712"/>
        <n v="139.8933099"/>
        <n v="139.9896486"/>
        <n v="140.0859873"/>
        <n v="140.1289205"/>
        <n v="140.1629528"/>
        <n v="140.196985"/>
        <n v="140.2310173"/>
        <n v="140.2735"/>
        <n v="140.32725"/>
        <n v="140.381"/>
        <n v="140.43475"/>
        <n v="140.4784194"/>
        <n v="140.4616048"/>
        <n v="140.4447903"/>
        <n v="140.4279758"/>
        <n v="140.4111613"/>
        <n v="140.4127857"/>
        <n v="140.4217857"/>
        <n v="140.4307857"/>
        <n v="140.4397857"/>
        <n v="140.4700795"/>
        <n v="140.528765"/>
        <n v="140.5874505"/>
        <n v="140.6461359"/>
        <n v="140.7048214"/>
        <n v="140.8086118"/>
        <n v="140.9124021"/>
        <n v="141.0161924"/>
        <n v="141.1199827"/>
        <n v="141.2140357"/>
        <n v="141.3007857"/>
        <n v="141.3875357"/>
        <n v="141.4742857"/>
        <n v="141.55478"/>
        <n v="141.6269332"/>
        <n v="141.6990864"/>
        <n v="141.7712396"/>
        <n v="141.8433929"/>
        <n v="141.9015262"/>
        <n v="141.9596595"/>
        <n v="142.0177929"/>
        <n v="142.0759262"/>
        <n v="142.0970115"/>
        <n v="142.1032776"/>
        <n v="142.1095438"/>
        <n v="142.1158099"/>
        <n v="142.1292548"/>
        <n v="142.1606464"/>
        <n v="142.1920381"/>
        <n v="142.2234298"/>
        <n v="142.2548214"/>
        <n v="142.2337569"/>
        <n v="142.2126924"/>
        <n v="142.1916279"/>
        <n v="142.1705634"/>
        <n v="142.2157385"/>
        <n v="142.3105933"/>
        <n v="142.4054482"/>
        <n v="142.500303"/>
        <n v="142.5938833"/>
        <n v="142.6798167"/>
        <n v="142.76575"/>
        <n v="142.8516833"/>
        <n v="142.9376167"/>
        <n v="142.8633629"/>
        <n v="142.7624113"/>
        <n v="209.8529663"/>
        <n v="209.9970208"/>
        <n v="210.0451024"/>
        <n v="210.0771885"/>
        <n v="210.1092746"/>
        <n v="210.1413607"/>
        <n v="209.9803208"/>
        <n v="209.7870932"/>
        <n v="209.5938656"/>
        <n v="209.400638"/>
        <n v="209.2691428"/>
        <n v="209.2199574"/>
        <n v="209.170772"/>
        <n v="209.1215867"/>
        <n v="209.118536"/>
        <n v="209.3922937"/>
        <n v="209.6660514"/>
        <n v="209.9398091"/>
        <n v="210.2135668"/>
        <n v="210.2108417"/>
        <n v="210.0975233"/>
        <n v="209.984205"/>
        <n v="209.8708867"/>
        <n v="209.8630532"/>
        <n v="209.9958663"/>
        <n v="210.1286794"/>
        <n v="210.2614925"/>
        <n v="210.3943056"/>
        <n v="210.3617581"/>
        <n v="210.3292106"/>
        <n v="210.2966631"/>
        <n v="210.2641156"/>
        <n v="210.2924504"/>
        <n v="210.3664469"/>
        <n v="210.4404433"/>
        <n v="210.5144398"/>
        <n v="210.5805944"/>
        <n v="210.6271444"/>
        <n v="210.6736944"/>
        <n v="210.7202444"/>
        <n v="210.7667944"/>
        <n v="210.65429"/>
        <n v="210.5152765"/>
        <n v="210.376263"/>
        <n v="210.2372494"/>
        <n v="210.1787224"/>
        <n v="210.1805602"/>
        <n v="210.182398"/>
        <n v="210.1842358"/>
        <n v="210.2379731"/>
        <n v="210.6031072"/>
        <n v="210.9682412"/>
        <n v="211.3333753"/>
        <n v="211.6985093"/>
        <n v="212.0063522"/>
        <n v="212.2912786"/>
        <n v="212.576205"/>
        <n v="212.8611313"/>
        <n v="213.1096787"/>
        <n v="213.3436744"/>
        <n v="213.5776701"/>
        <n v="213.8116658"/>
        <n v="214.026217"/>
        <n v="214.1921572"/>
        <n v="214.3580974"/>
        <n v="214.5240376"/>
        <n v="214.6899778"/>
        <n v="214.465412"/>
        <n v="214.2408462"/>
        <n v="214.0162805"/>
        <n v="213.7917147"/>
        <n v="213.7481256"/>
        <n v="213.8402689"/>
        <n v="213.9324122"/>
        <n v="214.0245556"/>
        <n v="214.1083654"/>
        <n v="214.1713416"/>
        <n v="214.2343177"/>
        <n v="214.2972939"/>
        <n v="214.3602701"/>
        <n v="214.4239935"/>
        <n v="214.4878416"/>
        <n v="214.5516896"/>
        <n v="214.6155376"/>
        <n v="214.7934111"/>
        <n v="215.1233185"/>
        <n v="215.4532259"/>
        <n v="215.7831333"/>
        <n v="216.0885258"/>
        <n v="216.2468287"/>
        <n v="216.4051315"/>
        <n v="216.5634344"/>
        <n v="216.7217373"/>
        <n v="216.9395861"/>
        <n v="217.1812533"/>
        <n v="217.4229206"/>
        <n v="217.6645878"/>
        <n v="217.8781339"/>
        <n v="218.0541851"/>
        <n v="218.2302364"/>
        <n v="218.4062876"/>
        <n v="218.5823389"/>
        <n v="218.6755292"/>
        <n v="218.7687195"/>
        <n v="218.8619099"/>
        <n v="218.9551002"/>
        <n v="219.1148297"/>
        <n v="219.3244636"/>
        <n v="219.5340975"/>
        <n v="219.7437314"/>
        <n v="219.8956335"/>
        <n v="219.9705599"/>
        <n v="220.0454862"/>
        <n v="220.1204125"/>
        <n v="220.1953389"/>
        <n v="220.2483937"/>
        <n v="220.3014485"/>
        <n v="220.3545033"/>
        <n v="220.4075581"/>
        <n v="220.4252149"/>
        <n v="220.4287124"/>
        <n v="220.4322099"/>
        <n v="220.4357073"/>
        <n v="220.4494148"/>
        <n v="220.4886472"/>
        <n v="220.5278796"/>
        <n v="220.567112"/>
        <n v="220.6063444"/>
        <n v="220.6148749"/>
        <n v="220.6234054"/>
        <n v="220.6319358"/>
        <n v="220.6404663"/>
        <n v="220.7199609"/>
        <n v="220.8526787"/>
        <n v="220.9853964"/>
        <n v="221.1181142"/>
        <n v="221.2601207"/>
        <n v="221.4578604"/>
        <n v="221.6556"/>
        <n v="221.8533396"/>
        <n v="222.0510793"/>
        <n v="222.0951719"/>
        <n v="222.1136566"/>
        <n v="203.0642742"/>
        <n v="203.2010968"/>
        <n v="203.2479796"/>
        <n v="203.2798724"/>
        <n v="203.3117653"/>
        <n v="203.3436582"/>
        <n v="203.195159"/>
        <n v="203.0165945"/>
        <n v="202.83803"/>
        <n v="202.6594654"/>
        <n v="202.5351571"/>
        <n v="202.4831905"/>
        <n v="202.4312238"/>
        <n v="202.3792571"/>
        <n v="202.3705092"/>
        <n v="202.6210737"/>
        <n v="202.8716382"/>
        <n v="203.1222028"/>
        <n v="203.3727673"/>
        <n v="203.370619"/>
        <n v="203.2673857"/>
        <n v="203.1641524"/>
        <n v="203.060919"/>
        <n v="203.0538548"/>
        <n v="203.1750161"/>
        <n v="203.2961774"/>
        <n v="203.4173387"/>
        <n v="203.5385"/>
        <n v="203.5092419"/>
        <n v="203.4799839"/>
        <n v="203.4507258"/>
        <n v="203.4214677"/>
        <n v="203.4499286"/>
        <n v="203.5216786"/>
        <n v="203.5934286"/>
        <n v="203.6651786"/>
        <n v="203.7299032"/>
        <n v="203.7770645"/>
        <n v="203.8242258"/>
        <n v="203.8713871"/>
        <n v="203.9185484"/>
        <n v="203.8191286"/>
        <n v="203.6952786"/>
        <n v="203.5714286"/>
        <n v="203.4475786"/>
        <n v="203.3996521"/>
        <n v="203.4086682"/>
        <n v="203.4176843"/>
        <n v="203.4267005"/>
        <n v="203.4840645"/>
        <n v="203.8315161"/>
        <n v="204.1789677"/>
        <n v="204.5264194"/>
        <n v="204.873871"/>
        <n v="205.1683214"/>
        <n v="205.4415714"/>
        <n v="205.7148214"/>
        <n v="205.9880714"/>
        <n v="206.225924"/>
        <n v="206.4496175"/>
        <n v="206.6733111"/>
        <n v="206.8970046"/>
        <n v="207.1015429"/>
        <n v="207.2581929"/>
        <n v="207.4148429"/>
        <n v="207.5714929"/>
        <n v="207.7281429"/>
        <n v="207.5200622"/>
        <n v="207.3119816"/>
        <n v="207.1039009"/>
        <n v="206.8958203"/>
        <n v="206.8560238"/>
        <n v="206.9424405"/>
        <n v="207.0288571"/>
        <n v="207.1152738"/>
        <n v="207.1940691"/>
        <n v="207.2538111"/>
        <n v="207.313553"/>
        <n v="207.3732949"/>
        <n v="207.4330369"/>
        <n v="207.4953088"/>
        <n v="207.5580023"/>
        <n v="207.6206959"/>
        <n v="207.6833894"/>
        <n v="207.8527143"/>
        <n v="208.1642143"/>
        <n v="208.4757143"/>
        <n v="208.7872143"/>
        <n v="209.0752166"/>
        <n v="209.2222327"/>
        <n v="209.3692488"/>
        <n v="209.516265"/>
        <n v="209.6632811"/>
        <n v="209.8651071"/>
        <n v="210.0888571"/>
        <n v="210.3126071"/>
        <n v="210.5363571"/>
        <n v="210.7365392"/>
        <n v="210.9052972"/>
        <n v="211.0740553"/>
        <n v="211.2428134"/>
        <n v="211.4115714"/>
        <n v="211.4997811"/>
        <n v="211.5879908"/>
        <n v="211.6762005"/>
        <n v="211.7644101"/>
        <n v="211.916835"/>
        <n v="212.1174212"/>
        <n v="212.3180074"/>
        <n v="212.5185936"/>
        <n v="212.6651567"/>
        <n v="212.7396889"/>
        <n v="212.8142212"/>
        <n v="212.8887535"/>
        <n v="212.9632857"/>
        <n v="213.0130524"/>
        <n v="213.062819"/>
        <n v="213.1125857"/>
        <n v="213.1623524"/>
        <n v="213.1753618"/>
        <n v="213.1736682"/>
        <n v="213.1719747"/>
        <n v="213.1702811"/>
        <n v="213.1786952"/>
        <n v="213.2123786"/>
        <n v="213.2460619"/>
        <n v="213.2797452"/>
        <n v="213.3134286"/>
        <n v="213.3219124"/>
        <n v="213.3303963"/>
        <n v="213.3388802"/>
        <n v="213.3473641"/>
        <n v="213.4226959"/>
        <n v="213.5481636"/>
        <n v="213.6736313"/>
        <n v="213.7990991"/>
        <n v="213.9332167"/>
        <n v="214.1192333"/>
        <n v="214.30525"/>
        <n v="214.4912667"/>
        <n v="214.6772833"/>
        <n v="214.7212488"/>
        <n v="214.7415392"/>
      </sharedItems>
    </cacheField>
    <cacheField name="Unemployment" numFmtId="177">
      <sharedItems containsSemiMixedTypes="0" containsString="0" containsNumber="1" minValue="3.879" maxValue="14.313" count="349">
        <n v="8.106"/>
        <n v="7.808"/>
        <n v="7.787"/>
        <n v="7.838"/>
        <n v="7.742"/>
        <n v="7.682"/>
        <n v="7.962"/>
        <n v="7.866"/>
        <n v="7.348"/>
        <n v="7.143"/>
        <n v="6.908"/>
        <n v="6.573"/>
        <n v="8.324"/>
        <n v="8.2"/>
        <n v="8.099"/>
        <n v="8.163"/>
        <n v="8.028"/>
        <n v="7.931"/>
        <n v="7.852"/>
        <n v="7.441"/>
        <n v="7.057"/>
        <n v="6.891"/>
        <n v="6.565"/>
        <n v="6.17"/>
        <n v="7.368"/>
        <n v="7.343"/>
        <n v="7.346"/>
        <n v="7.564"/>
        <n v="7.551"/>
        <n v="7.574"/>
        <n v="7.567"/>
        <n v="7.197"/>
        <n v="6.833"/>
        <n v="6.664"/>
        <n v="6.334"/>
        <n v="6.034"/>
        <n v="8.623"/>
        <n v="7.896"/>
        <n v="7.372"/>
        <n v="7.127"/>
        <n v="6.51"/>
        <n v="5.946"/>
        <n v="5.644"/>
        <n v="5.143"/>
        <n v="4.607"/>
        <n v="4.308"/>
        <n v="4.077"/>
        <n v="3.879"/>
        <n v="6.566"/>
        <n v="6.465"/>
        <n v="6.496"/>
        <n v="6.768"/>
        <n v="6.634"/>
        <n v="6.489"/>
        <n v="6.529"/>
        <n v="6.3"/>
        <n v="5.943"/>
        <n v="5.801"/>
        <n v="5.603"/>
        <n v="5.422"/>
        <n v="7.259"/>
        <n v="7.092"/>
        <n v="6.973"/>
        <n v="7.007"/>
        <n v="6.858"/>
        <n v="6.855"/>
        <n v="6.925"/>
        <n v="6.551"/>
        <n v="6.132"/>
        <n v="5.964"/>
        <n v="5.668"/>
        <n v="5.329"/>
        <n v="9.014"/>
        <n v="8.963"/>
        <n v="9.017"/>
        <n v="9.137"/>
        <n v="8.818"/>
        <n v="8.595"/>
        <n v="8.622"/>
        <n v="8.513"/>
        <n v="8.256"/>
        <n v="8.09"/>
        <n v="7.872"/>
        <n v="7.557"/>
        <n v="6.299"/>
        <n v="6.29"/>
        <n v="6.315"/>
        <n v="6.433"/>
        <n v="6.262"/>
        <n v="6.297"/>
        <n v="6.425"/>
        <n v="6.123"/>
        <n v="5.825"/>
        <n v="5.679"/>
        <n v="5.401"/>
        <n v="5.124"/>
        <n v="6.415"/>
        <n v="6.384"/>
        <n v="6.442"/>
        <n v="6.56"/>
        <n v="6.416"/>
        <n v="6.38"/>
        <n v="6.404"/>
        <n v="6.054"/>
        <n v="5.667"/>
        <n v="5.539"/>
        <n v="5.277"/>
        <n v="4.954"/>
        <n v="9.765"/>
        <n v="9.524"/>
        <n v="9.199"/>
        <n v="9.003"/>
        <n v="8.744"/>
        <n v="8.494"/>
        <n v="8.257"/>
        <n v="7.874"/>
        <n v="7.545"/>
        <n v="7.382"/>
        <n v="7.17"/>
        <n v="6.943"/>
        <n v="13.975"/>
        <n v="14.099"/>
        <n v="14.18"/>
        <n v="14.313"/>
        <n v="14.021"/>
        <n v="13.736"/>
        <n v="13.503"/>
        <n v="12.89"/>
        <n v="12.187"/>
        <n v="11.627"/>
        <n v="10.926"/>
        <n v="10.199"/>
        <n v="8.316"/>
        <n v="8.107"/>
        <n v="7.951"/>
        <n v="7.795"/>
        <n v="7.47"/>
        <n v="7.193"/>
        <n v="6.877"/>
        <n v="6.392"/>
        <n v="6.104"/>
        <n v="5.965"/>
        <n v="5.765"/>
        <n v="5.621"/>
        <n v="8.992"/>
        <n v="8.899"/>
        <n v="8.743"/>
        <n v="8.724"/>
        <n v="8.549"/>
        <n v="8.521"/>
        <n v="8.625"/>
        <n v="8.523"/>
        <n v="8.424"/>
        <n v="8.567"/>
        <n v="8.684"/>
        <n v="8.667"/>
        <n v="8.35"/>
        <n v="8.185"/>
        <n v="8.067"/>
        <n v="7.771"/>
        <n v="7.658"/>
        <n v="7.806"/>
        <n v="7.943"/>
        <n v="8.15"/>
        <n v="8.193"/>
        <n v="7.992"/>
        <n v="7.039"/>
        <n v="6.842"/>
        <n v="6.868"/>
        <n v="6.986"/>
        <n v="6.614"/>
        <n v="6.339"/>
        <n v="6.338"/>
        <n v="6.232"/>
        <n v="6.162"/>
        <n v="6.169"/>
        <n v="6.061"/>
        <n v="5.847"/>
        <n v="6.548"/>
        <n v="6.635"/>
        <n v="6.697"/>
        <n v="6.885"/>
        <n v="6.866"/>
        <n v="6.774"/>
        <n v="6.745"/>
        <n v="6.617"/>
        <n v="6.403"/>
        <n v="6.235"/>
        <n v="5.936"/>
        <n v="5.527"/>
        <n v="9.202"/>
        <n v="9.269"/>
        <n v="9.342"/>
        <n v="9.331"/>
        <n v="9.131"/>
        <n v="8.975"/>
        <n v="8.89"/>
        <n v="8.471"/>
        <n v="8.075"/>
        <n v="8.304"/>
        <n v="8.535"/>
        <n v="8.243"/>
        <n v="8.187"/>
        <n v="7.856"/>
        <n v="7.527"/>
        <n v="7.484"/>
        <n v="7.287"/>
        <n v="7.274"/>
        <n v="7.082"/>
        <n v="6.961"/>
        <n v="7.139"/>
        <n v="7.28"/>
        <n v="7.293"/>
        <n v="8.283"/>
        <n v="8.348"/>
        <n v="8.433"/>
        <n v="8.572"/>
        <n v="8.458"/>
        <n v="8.252"/>
        <n v="8.023"/>
        <n v="7.706"/>
        <n v="7.503"/>
        <n v="7.671"/>
        <n v="7.753"/>
        <n v="7.543"/>
        <n v="5.892"/>
        <n v="5.435"/>
        <n v="5.326"/>
        <n v="5.287"/>
        <n v="5.114"/>
        <n v="4.781"/>
        <n v="4.584"/>
        <n v="4.42"/>
        <n v="4.261"/>
        <n v="4.125"/>
        <n v="4.156"/>
        <n v="4.145"/>
        <n v="8.326"/>
        <n v="8.211"/>
        <n v="8.117"/>
        <n v="8.275"/>
        <n v="8.212"/>
        <n v="8.358"/>
        <n v="8.454"/>
        <n v="8.659"/>
        <n v="8.983"/>
        <n v="8.953"/>
        <n v="8.693"/>
        <n v="8.488"/>
        <n v="8.512"/>
        <n v="8.445"/>
        <n v="8.149"/>
        <n v="7.907"/>
        <n v="7.818"/>
        <n v="7.767"/>
        <n v="7.598"/>
        <n v="7.467"/>
        <n v="7.489"/>
        <n v="7.405"/>
        <n v="7.138"/>
        <n v="8.237"/>
        <n v="8.058"/>
        <n v="7.982"/>
        <n v="8.021"/>
        <n v="7.827"/>
        <n v="7.725"/>
        <n v="7.85"/>
        <n v="7.906"/>
        <n v="8.009"/>
        <n v="8.253"/>
        <n v="8.239"/>
        <n v="8"/>
        <n v="10.064"/>
        <n v="10.16"/>
        <n v="10.409"/>
        <n v="10.524"/>
        <n v="10.256"/>
        <n v="9.966"/>
        <n v="9.863"/>
        <n v="9.357"/>
        <n v="8.988"/>
        <n v="9.14"/>
        <n v="9.419"/>
        <n v="9.151"/>
        <n v="10.115"/>
        <n v="9.849"/>
        <n v="9.495"/>
        <n v="9.265"/>
        <n v="8.951"/>
        <n v="8.687"/>
        <n v="8.442"/>
        <n v="8.01"/>
        <n v="7.603"/>
        <n v="7.396"/>
        <n v="7.147"/>
        <n v="6.895"/>
        <n v="9.521"/>
        <n v="9.593"/>
        <n v="9.816"/>
        <n v="10.21"/>
        <n v="10.398"/>
        <n v="10.581"/>
        <n v="10.641"/>
        <n v="10.148"/>
        <n v="9.653"/>
        <n v="9.575"/>
        <n v="9.285"/>
        <n v="8.839"/>
        <n v="9.262"/>
        <n v="9.051"/>
        <n v="8.861"/>
        <n v="8.763"/>
        <n v="8.745"/>
        <n v="8.876"/>
        <n v="8.665"/>
        <n v="8.554"/>
        <n v="8.464"/>
        <n v="8.36"/>
        <n v="8.476"/>
        <n v="8.395"/>
        <n v="8.3"/>
        <n v="8.177"/>
        <n v="7.716"/>
        <n v="7.244"/>
        <n v="6.989"/>
        <n v="6.623"/>
        <n v="6.228"/>
        <n v="7.541"/>
        <n v="7.363"/>
        <n v="7.335"/>
        <n v="7.508"/>
        <n v="7.241"/>
        <n v="6.934"/>
        <n v="6.901"/>
        <n v="6.759"/>
        <n v="6.589"/>
        <n v="6.547"/>
        <n v="6.432"/>
        <n v="6.195"/>
        <n v="8.119"/>
        <n v="7.972"/>
        <n v="7.804"/>
        <n v="7.61"/>
        <n v="7.224"/>
        <n v="6.906"/>
        <n v="6.078"/>
        <n v="5.774"/>
        <n v="5.407"/>
        <n v="5.217"/>
      </sharedItems>
    </cacheField>
  </cacheFields>
</pivotCacheDefinition>
</file>

<file path=xl/pivotCache/pivotCacheRecords1.xml><?xml version="1.0" encoding="utf-8"?>
<pivotCacheRecords xmlns="http://schemas.openxmlformats.org/spreadsheetml/2006/main" xmlns:r="http://schemas.openxmlformats.org/officeDocument/2006/relationships" count="6435">
  <r>
    <x v="0"/>
    <x v="0"/>
    <x v="0"/>
    <x v="0"/>
    <x v="0"/>
    <x v="0"/>
    <x v="0"/>
    <x v="0"/>
    <x v="0"/>
  </r>
  <r>
    <x v="0"/>
    <x v="1"/>
    <x v="1"/>
    <x v="0"/>
    <x v="1"/>
    <x v="1"/>
    <x v="1"/>
    <x v="1"/>
    <x v="0"/>
  </r>
  <r>
    <x v="0"/>
    <x v="2"/>
    <x v="2"/>
    <x v="0"/>
    <x v="0"/>
    <x v="2"/>
    <x v="2"/>
    <x v="2"/>
    <x v="0"/>
  </r>
  <r>
    <x v="0"/>
    <x v="3"/>
    <x v="3"/>
    <x v="0"/>
    <x v="0"/>
    <x v="3"/>
    <x v="3"/>
    <x v="3"/>
    <x v="0"/>
  </r>
  <r>
    <x v="0"/>
    <x v="4"/>
    <x v="4"/>
    <x v="0"/>
    <x v="0"/>
    <x v="4"/>
    <x v="4"/>
    <x v="4"/>
    <x v="0"/>
  </r>
  <r>
    <x v="0"/>
    <x v="5"/>
    <x v="5"/>
    <x v="0"/>
    <x v="0"/>
    <x v="5"/>
    <x v="5"/>
    <x v="5"/>
    <x v="0"/>
  </r>
  <r>
    <x v="0"/>
    <x v="6"/>
    <x v="6"/>
    <x v="0"/>
    <x v="0"/>
    <x v="6"/>
    <x v="6"/>
    <x v="6"/>
    <x v="0"/>
  </r>
  <r>
    <x v="0"/>
    <x v="7"/>
    <x v="7"/>
    <x v="0"/>
    <x v="0"/>
    <x v="7"/>
    <x v="7"/>
    <x v="7"/>
    <x v="0"/>
  </r>
  <r>
    <x v="0"/>
    <x v="8"/>
    <x v="8"/>
    <x v="0"/>
    <x v="0"/>
    <x v="8"/>
    <x v="8"/>
    <x v="8"/>
    <x v="1"/>
  </r>
  <r>
    <x v="0"/>
    <x v="9"/>
    <x v="9"/>
    <x v="0"/>
    <x v="0"/>
    <x v="9"/>
    <x v="9"/>
    <x v="9"/>
    <x v="1"/>
  </r>
  <r>
    <x v="0"/>
    <x v="10"/>
    <x v="10"/>
    <x v="0"/>
    <x v="0"/>
    <x v="10"/>
    <x v="10"/>
    <x v="10"/>
    <x v="1"/>
  </r>
  <r>
    <x v="0"/>
    <x v="11"/>
    <x v="11"/>
    <x v="0"/>
    <x v="0"/>
    <x v="11"/>
    <x v="11"/>
    <x v="11"/>
    <x v="1"/>
  </r>
  <r>
    <x v="0"/>
    <x v="12"/>
    <x v="12"/>
    <x v="0"/>
    <x v="0"/>
    <x v="12"/>
    <x v="12"/>
    <x v="12"/>
    <x v="1"/>
  </r>
  <r>
    <x v="0"/>
    <x v="13"/>
    <x v="13"/>
    <x v="0"/>
    <x v="0"/>
    <x v="13"/>
    <x v="13"/>
    <x v="13"/>
    <x v="1"/>
  </r>
  <r>
    <x v="0"/>
    <x v="14"/>
    <x v="14"/>
    <x v="0"/>
    <x v="0"/>
    <x v="14"/>
    <x v="14"/>
    <x v="14"/>
    <x v="1"/>
  </r>
  <r>
    <x v="0"/>
    <x v="15"/>
    <x v="15"/>
    <x v="0"/>
    <x v="0"/>
    <x v="15"/>
    <x v="15"/>
    <x v="15"/>
    <x v="1"/>
  </r>
  <r>
    <x v="0"/>
    <x v="16"/>
    <x v="16"/>
    <x v="0"/>
    <x v="0"/>
    <x v="16"/>
    <x v="16"/>
    <x v="16"/>
    <x v="1"/>
  </r>
  <r>
    <x v="0"/>
    <x v="17"/>
    <x v="17"/>
    <x v="0"/>
    <x v="0"/>
    <x v="17"/>
    <x v="17"/>
    <x v="17"/>
    <x v="1"/>
  </r>
  <r>
    <x v="0"/>
    <x v="18"/>
    <x v="18"/>
    <x v="0"/>
    <x v="0"/>
    <x v="18"/>
    <x v="18"/>
    <x v="18"/>
    <x v="1"/>
  </r>
  <r>
    <x v="0"/>
    <x v="19"/>
    <x v="19"/>
    <x v="0"/>
    <x v="0"/>
    <x v="19"/>
    <x v="19"/>
    <x v="19"/>
    <x v="1"/>
  </r>
  <r>
    <x v="0"/>
    <x v="20"/>
    <x v="20"/>
    <x v="0"/>
    <x v="0"/>
    <x v="20"/>
    <x v="20"/>
    <x v="20"/>
    <x v="1"/>
  </r>
  <r>
    <x v="0"/>
    <x v="21"/>
    <x v="21"/>
    <x v="0"/>
    <x v="0"/>
    <x v="21"/>
    <x v="21"/>
    <x v="21"/>
    <x v="2"/>
  </r>
  <r>
    <x v="0"/>
    <x v="22"/>
    <x v="22"/>
    <x v="0"/>
    <x v="0"/>
    <x v="22"/>
    <x v="22"/>
    <x v="22"/>
    <x v="2"/>
  </r>
  <r>
    <x v="0"/>
    <x v="23"/>
    <x v="23"/>
    <x v="0"/>
    <x v="0"/>
    <x v="23"/>
    <x v="23"/>
    <x v="23"/>
    <x v="2"/>
  </r>
  <r>
    <x v="0"/>
    <x v="24"/>
    <x v="24"/>
    <x v="0"/>
    <x v="0"/>
    <x v="24"/>
    <x v="24"/>
    <x v="24"/>
    <x v="2"/>
  </r>
  <r>
    <x v="0"/>
    <x v="25"/>
    <x v="25"/>
    <x v="0"/>
    <x v="0"/>
    <x v="25"/>
    <x v="25"/>
    <x v="25"/>
    <x v="2"/>
  </r>
  <r>
    <x v="0"/>
    <x v="26"/>
    <x v="26"/>
    <x v="0"/>
    <x v="0"/>
    <x v="26"/>
    <x v="26"/>
    <x v="26"/>
    <x v="2"/>
  </r>
  <r>
    <x v="0"/>
    <x v="27"/>
    <x v="27"/>
    <x v="0"/>
    <x v="0"/>
    <x v="27"/>
    <x v="27"/>
    <x v="27"/>
    <x v="2"/>
  </r>
  <r>
    <x v="0"/>
    <x v="28"/>
    <x v="28"/>
    <x v="0"/>
    <x v="0"/>
    <x v="28"/>
    <x v="28"/>
    <x v="28"/>
    <x v="2"/>
  </r>
  <r>
    <x v="0"/>
    <x v="29"/>
    <x v="29"/>
    <x v="0"/>
    <x v="0"/>
    <x v="29"/>
    <x v="29"/>
    <x v="29"/>
    <x v="2"/>
  </r>
  <r>
    <x v="0"/>
    <x v="30"/>
    <x v="30"/>
    <x v="0"/>
    <x v="0"/>
    <x v="30"/>
    <x v="30"/>
    <x v="30"/>
    <x v="2"/>
  </r>
  <r>
    <x v="0"/>
    <x v="31"/>
    <x v="31"/>
    <x v="0"/>
    <x v="1"/>
    <x v="31"/>
    <x v="31"/>
    <x v="31"/>
    <x v="2"/>
  </r>
  <r>
    <x v="0"/>
    <x v="32"/>
    <x v="32"/>
    <x v="0"/>
    <x v="0"/>
    <x v="32"/>
    <x v="32"/>
    <x v="32"/>
    <x v="2"/>
  </r>
  <r>
    <x v="0"/>
    <x v="33"/>
    <x v="33"/>
    <x v="0"/>
    <x v="0"/>
    <x v="33"/>
    <x v="33"/>
    <x v="33"/>
    <x v="2"/>
  </r>
  <r>
    <x v="0"/>
    <x v="34"/>
    <x v="34"/>
    <x v="0"/>
    <x v="0"/>
    <x v="34"/>
    <x v="34"/>
    <x v="34"/>
    <x v="3"/>
  </r>
  <r>
    <x v="0"/>
    <x v="35"/>
    <x v="35"/>
    <x v="0"/>
    <x v="0"/>
    <x v="35"/>
    <x v="35"/>
    <x v="35"/>
    <x v="3"/>
  </r>
  <r>
    <x v="0"/>
    <x v="36"/>
    <x v="36"/>
    <x v="0"/>
    <x v="0"/>
    <x v="36"/>
    <x v="6"/>
    <x v="36"/>
    <x v="3"/>
  </r>
  <r>
    <x v="0"/>
    <x v="37"/>
    <x v="37"/>
    <x v="0"/>
    <x v="0"/>
    <x v="37"/>
    <x v="36"/>
    <x v="37"/>
    <x v="3"/>
  </r>
  <r>
    <x v="0"/>
    <x v="38"/>
    <x v="38"/>
    <x v="0"/>
    <x v="0"/>
    <x v="38"/>
    <x v="37"/>
    <x v="38"/>
    <x v="3"/>
  </r>
  <r>
    <x v="0"/>
    <x v="39"/>
    <x v="39"/>
    <x v="0"/>
    <x v="0"/>
    <x v="39"/>
    <x v="38"/>
    <x v="39"/>
    <x v="3"/>
  </r>
  <r>
    <x v="0"/>
    <x v="40"/>
    <x v="40"/>
    <x v="0"/>
    <x v="0"/>
    <x v="40"/>
    <x v="39"/>
    <x v="40"/>
    <x v="3"/>
  </r>
  <r>
    <x v="0"/>
    <x v="41"/>
    <x v="41"/>
    <x v="0"/>
    <x v="0"/>
    <x v="41"/>
    <x v="40"/>
    <x v="41"/>
    <x v="3"/>
  </r>
  <r>
    <x v="0"/>
    <x v="42"/>
    <x v="42"/>
    <x v="0"/>
    <x v="1"/>
    <x v="42"/>
    <x v="41"/>
    <x v="42"/>
    <x v="3"/>
  </r>
  <r>
    <x v="0"/>
    <x v="43"/>
    <x v="43"/>
    <x v="0"/>
    <x v="0"/>
    <x v="43"/>
    <x v="42"/>
    <x v="43"/>
    <x v="3"/>
  </r>
  <r>
    <x v="0"/>
    <x v="44"/>
    <x v="44"/>
    <x v="0"/>
    <x v="0"/>
    <x v="44"/>
    <x v="43"/>
    <x v="44"/>
    <x v="3"/>
  </r>
  <r>
    <x v="0"/>
    <x v="45"/>
    <x v="45"/>
    <x v="0"/>
    <x v="0"/>
    <x v="45"/>
    <x v="44"/>
    <x v="45"/>
    <x v="3"/>
  </r>
  <r>
    <x v="0"/>
    <x v="46"/>
    <x v="46"/>
    <x v="0"/>
    <x v="0"/>
    <x v="46"/>
    <x v="45"/>
    <x v="46"/>
    <x v="3"/>
  </r>
  <r>
    <x v="0"/>
    <x v="47"/>
    <x v="47"/>
    <x v="0"/>
    <x v="1"/>
    <x v="47"/>
    <x v="46"/>
    <x v="47"/>
    <x v="3"/>
  </r>
  <r>
    <x v="0"/>
    <x v="48"/>
    <x v="48"/>
    <x v="0"/>
    <x v="0"/>
    <x v="48"/>
    <x v="47"/>
    <x v="48"/>
    <x v="4"/>
  </r>
  <r>
    <x v="0"/>
    <x v="49"/>
    <x v="49"/>
    <x v="0"/>
    <x v="0"/>
    <x v="49"/>
    <x v="48"/>
    <x v="49"/>
    <x v="4"/>
  </r>
  <r>
    <x v="0"/>
    <x v="50"/>
    <x v="50"/>
    <x v="0"/>
    <x v="0"/>
    <x v="50"/>
    <x v="49"/>
    <x v="50"/>
    <x v="4"/>
  </r>
  <r>
    <x v="0"/>
    <x v="51"/>
    <x v="51"/>
    <x v="0"/>
    <x v="0"/>
    <x v="51"/>
    <x v="50"/>
    <x v="51"/>
    <x v="4"/>
  </r>
  <r>
    <x v="0"/>
    <x v="52"/>
    <x v="52"/>
    <x v="0"/>
    <x v="0"/>
    <x v="52"/>
    <x v="51"/>
    <x v="52"/>
    <x v="4"/>
  </r>
  <r>
    <x v="0"/>
    <x v="53"/>
    <x v="53"/>
    <x v="0"/>
    <x v="1"/>
    <x v="53"/>
    <x v="52"/>
    <x v="53"/>
    <x v="4"/>
  </r>
  <r>
    <x v="0"/>
    <x v="54"/>
    <x v="54"/>
    <x v="0"/>
    <x v="0"/>
    <x v="54"/>
    <x v="53"/>
    <x v="54"/>
    <x v="4"/>
  </r>
  <r>
    <x v="0"/>
    <x v="55"/>
    <x v="55"/>
    <x v="0"/>
    <x v="0"/>
    <x v="55"/>
    <x v="54"/>
    <x v="55"/>
    <x v="4"/>
  </r>
  <r>
    <x v="0"/>
    <x v="56"/>
    <x v="56"/>
    <x v="0"/>
    <x v="0"/>
    <x v="56"/>
    <x v="55"/>
    <x v="56"/>
    <x v="4"/>
  </r>
  <r>
    <x v="0"/>
    <x v="57"/>
    <x v="57"/>
    <x v="0"/>
    <x v="0"/>
    <x v="57"/>
    <x v="56"/>
    <x v="57"/>
    <x v="4"/>
  </r>
  <r>
    <x v="0"/>
    <x v="58"/>
    <x v="58"/>
    <x v="0"/>
    <x v="0"/>
    <x v="58"/>
    <x v="57"/>
    <x v="58"/>
    <x v="4"/>
  </r>
  <r>
    <x v="0"/>
    <x v="59"/>
    <x v="59"/>
    <x v="0"/>
    <x v="0"/>
    <x v="59"/>
    <x v="58"/>
    <x v="59"/>
    <x v="4"/>
  </r>
  <r>
    <x v="0"/>
    <x v="60"/>
    <x v="60"/>
    <x v="0"/>
    <x v="0"/>
    <x v="60"/>
    <x v="59"/>
    <x v="60"/>
    <x v="5"/>
  </r>
  <r>
    <x v="0"/>
    <x v="61"/>
    <x v="61"/>
    <x v="0"/>
    <x v="0"/>
    <x v="61"/>
    <x v="60"/>
    <x v="61"/>
    <x v="5"/>
  </r>
  <r>
    <x v="0"/>
    <x v="62"/>
    <x v="62"/>
    <x v="0"/>
    <x v="0"/>
    <x v="62"/>
    <x v="61"/>
    <x v="62"/>
    <x v="5"/>
  </r>
  <r>
    <x v="0"/>
    <x v="63"/>
    <x v="63"/>
    <x v="0"/>
    <x v="0"/>
    <x v="63"/>
    <x v="62"/>
    <x v="63"/>
    <x v="5"/>
  </r>
  <r>
    <x v="0"/>
    <x v="64"/>
    <x v="64"/>
    <x v="0"/>
    <x v="0"/>
    <x v="64"/>
    <x v="63"/>
    <x v="64"/>
    <x v="5"/>
  </r>
  <r>
    <x v="0"/>
    <x v="65"/>
    <x v="65"/>
    <x v="0"/>
    <x v="0"/>
    <x v="65"/>
    <x v="64"/>
    <x v="65"/>
    <x v="5"/>
  </r>
  <r>
    <x v="0"/>
    <x v="66"/>
    <x v="66"/>
    <x v="0"/>
    <x v="0"/>
    <x v="66"/>
    <x v="65"/>
    <x v="66"/>
    <x v="5"/>
  </r>
  <r>
    <x v="0"/>
    <x v="67"/>
    <x v="67"/>
    <x v="0"/>
    <x v="0"/>
    <x v="67"/>
    <x v="66"/>
    <x v="67"/>
    <x v="5"/>
  </r>
  <r>
    <x v="0"/>
    <x v="68"/>
    <x v="68"/>
    <x v="0"/>
    <x v="0"/>
    <x v="68"/>
    <x v="67"/>
    <x v="68"/>
    <x v="5"/>
  </r>
  <r>
    <x v="0"/>
    <x v="69"/>
    <x v="69"/>
    <x v="0"/>
    <x v="0"/>
    <x v="69"/>
    <x v="68"/>
    <x v="69"/>
    <x v="5"/>
  </r>
  <r>
    <x v="0"/>
    <x v="70"/>
    <x v="70"/>
    <x v="0"/>
    <x v="0"/>
    <x v="70"/>
    <x v="69"/>
    <x v="70"/>
    <x v="5"/>
  </r>
  <r>
    <x v="0"/>
    <x v="71"/>
    <x v="71"/>
    <x v="0"/>
    <x v="0"/>
    <x v="71"/>
    <x v="70"/>
    <x v="71"/>
    <x v="5"/>
  </r>
  <r>
    <x v="0"/>
    <x v="72"/>
    <x v="72"/>
    <x v="0"/>
    <x v="0"/>
    <x v="72"/>
    <x v="71"/>
    <x v="72"/>
    <x v="5"/>
  </r>
  <r>
    <x v="0"/>
    <x v="73"/>
    <x v="73"/>
    <x v="0"/>
    <x v="0"/>
    <x v="73"/>
    <x v="59"/>
    <x v="73"/>
    <x v="6"/>
  </r>
  <r>
    <x v="0"/>
    <x v="74"/>
    <x v="74"/>
    <x v="0"/>
    <x v="0"/>
    <x v="74"/>
    <x v="72"/>
    <x v="74"/>
    <x v="6"/>
  </r>
  <r>
    <x v="0"/>
    <x v="75"/>
    <x v="75"/>
    <x v="0"/>
    <x v="0"/>
    <x v="75"/>
    <x v="73"/>
    <x v="75"/>
    <x v="6"/>
  </r>
  <r>
    <x v="0"/>
    <x v="76"/>
    <x v="76"/>
    <x v="0"/>
    <x v="0"/>
    <x v="76"/>
    <x v="74"/>
    <x v="76"/>
    <x v="6"/>
  </r>
  <r>
    <x v="0"/>
    <x v="77"/>
    <x v="77"/>
    <x v="0"/>
    <x v="0"/>
    <x v="77"/>
    <x v="75"/>
    <x v="77"/>
    <x v="6"/>
  </r>
  <r>
    <x v="0"/>
    <x v="78"/>
    <x v="78"/>
    <x v="0"/>
    <x v="0"/>
    <x v="78"/>
    <x v="76"/>
    <x v="78"/>
    <x v="6"/>
  </r>
  <r>
    <x v="0"/>
    <x v="79"/>
    <x v="79"/>
    <x v="0"/>
    <x v="0"/>
    <x v="79"/>
    <x v="77"/>
    <x v="79"/>
    <x v="6"/>
  </r>
  <r>
    <x v="0"/>
    <x v="80"/>
    <x v="80"/>
    <x v="0"/>
    <x v="0"/>
    <x v="80"/>
    <x v="78"/>
    <x v="80"/>
    <x v="6"/>
  </r>
  <r>
    <x v="0"/>
    <x v="81"/>
    <x v="81"/>
    <x v="0"/>
    <x v="0"/>
    <x v="81"/>
    <x v="79"/>
    <x v="81"/>
    <x v="6"/>
  </r>
  <r>
    <x v="0"/>
    <x v="82"/>
    <x v="82"/>
    <x v="0"/>
    <x v="0"/>
    <x v="82"/>
    <x v="80"/>
    <x v="82"/>
    <x v="6"/>
  </r>
  <r>
    <x v="0"/>
    <x v="83"/>
    <x v="83"/>
    <x v="0"/>
    <x v="1"/>
    <x v="83"/>
    <x v="81"/>
    <x v="83"/>
    <x v="6"/>
  </r>
  <r>
    <x v="0"/>
    <x v="84"/>
    <x v="84"/>
    <x v="0"/>
    <x v="0"/>
    <x v="84"/>
    <x v="82"/>
    <x v="84"/>
    <x v="6"/>
  </r>
  <r>
    <x v="0"/>
    <x v="85"/>
    <x v="85"/>
    <x v="0"/>
    <x v="0"/>
    <x v="85"/>
    <x v="83"/>
    <x v="85"/>
    <x v="6"/>
  </r>
  <r>
    <x v="0"/>
    <x v="86"/>
    <x v="86"/>
    <x v="0"/>
    <x v="0"/>
    <x v="86"/>
    <x v="84"/>
    <x v="86"/>
    <x v="6"/>
  </r>
  <r>
    <x v="0"/>
    <x v="87"/>
    <x v="87"/>
    <x v="0"/>
    <x v="0"/>
    <x v="87"/>
    <x v="85"/>
    <x v="87"/>
    <x v="7"/>
  </r>
  <r>
    <x v="0"/>
    <x v="88"/>
    <x v="88"/>
    <x v="0"/>
    <x v="0"/>
    <x v="88"/>
    <x v="86"/>
    <x v="88"/>
    <x v="7"/>
  </r>
  <r>
    <x v="0"/>
    <x v="89"/>
    <x v="89"/>
    <x v="0"/>
    <x v="0"/>
    <x v="89"/>
    <x v="87"/>
    <x v="89"/>
    <x v="7"/>
  </r>
  <r>
    <x v="0"/>
    <x v="90"/>
    <x v="90"/>
    <x v="0"/>
    <x v="0"/>
    <x v="90"/>
    <x v="88"/>
    <x v="90"/>
    <x v="7"/>
  </r>
  <r>
    <x v="0"/>
    <x v="91"/>
    <x v="91"/>
    <x v="0"/>
    <x v="0"/>
    <x v="91"/>
    <x v="89"/>
    <x v="91"/>
    <x v="7"/>
  </r>
  <r>
    <x v="0"/>
    <x v="92"/>
    <x v="92"/>
    <x v="0"/>
    <x v="0"/>
    <x v="92"/>
    <x v="90"/>
    <x v="92"/>
    <x v="7"/>
  </r>
  <r>
    <x v="0"/>
    <x v="93"/>
    <x v="93"/>
    <x v="0"/>
    <x v="0"/>
    <x v="93"/>
    <x v="91"/>
    <x v="93"/>
    <x v="7"/>
  </r>
  <r>
    <x v="0"/>
    <x v="94"/>
    <x v="94"/>
    <x v="0"/>
    <x v="1"/>
    <x v="94"/>
    <x v="92"/>
    <x v="94"/>
    <x v="7"/>
  </r>
  <r>
    <x v="0"/>
    <x v="95"/>
    <x v="95"/>
    <x v="0"/>
    <x v="0"/>
    <x v="95"/>
    <x v="93"/>
    <x v="95"/>
    <x v="7"/>
  </r>
  <r>
    <x v="0"/>
    <x v="96"/>
    <x v="96"/>
    <x v="0"/>
    <x v="0"/>
    <x v="96"/>
    <x v="94"/>
    <x v="96"/>
    <x v="7"/>
  </r>
  <r>
    <x v="0"/>
    <x v="97"/>
    <x v="97"/>
    <x v="0"/>
    <x v="0"/>
    <x v="97"/>
    <x v="95"/>
    <x v="97"/>
    <x v="7"/>
  </r>
  <r>
    <x v="0"/>
    <x v="98"/>
    <x v="98"/>
    <x v="0"/>
    <x v="0"/>
    <x v="98"/>
    <x v="96"/>
    <x v="98"/>
    <x v="7"/>
  </r>
  <r>
    <x v="0"/>
    <x v="99"/>
    <x v="99"/>
    <x v="0"/>
    <x v="1"/>
    <x v="99"/>
    <x v="97"/>
    <x v="99"/>
    <x v="7"/>
  </r>
  <r>
    <x v="0"/>
    <x v="100"/>
    <x v="100"/>
    <x v="0"/>
    <x v="0"/>
    <x v="100"/>
    <x v="98"/>
    <x v="100"/>
    <x v="8"/>
  </r>
  <r>
    <x v="0"/>
    <x v="101"/>
    <x v="101"/>
    <x v="0"/>
    <x v="0"/>
    <x v="101"/>
    <x v="99"/>
    <x v="101"/>
    <x v="8"/>
  </r>
  <r>
    <x v="0"/>
    <x v="102"/>
    <x v="102"/>
    <x v="0"/>
    <x v="0"/>
    <x v="102"/>
    <x v="100"/>
    <x v="102"/>
    <x v="8"/>
  </r>
  <r>
    <x v="0"/>
    <x v="103"/>
    <x v="103"/>
    <x v="0"/>
    <x v="0"/>
    <x v="103"/>
    <x v="101"/>
    <x v="103"/>
    <x v="8"/>
  </r>
  <r>
    <x v="0"/>
    <x v="104"/>
    <x v="104"/>
    <x v="0"/>
    <x v="0"/>
    <x v="104"/>
    <x v="102"/>
    <x v="104"/>
    <x v="8"/>
  </r>
  <r>
    <x v="0"/>
    <x v="105"/>
    <x v="105"/>
    <x v="0"/>
    <x v="1"/>
    <x v="105"/>
    <x v="103"/>
    <x v="105"/>
    <x v="8"/>
  </r>
  <r>
    <x v="0"/>
    <x v="106"/>
    <x v="106"/>
    <x v="0"/>
    <x v="0"/>
    <x v="106"/>
    <x v="104"/>
    <x v="106"/>
    <x v="8"/>
  </r>
  <r>
    <x v="0"/>
    <x v="107"/>
    <x v="107"/>
    <x v="0"/>
    <x v="0"/>
    <x v="107"/>
    <x v="105"/>
    <x v="107"/>
    <x v="8"/>
  </r>
  <r>
    <x v="0"/>
    <x v="108"/>
    <x v="108"/>
    <x v="0"/>
    <x v="0"/>
    <x v="108"/>
    <x v="106"/>
    <x v="108"/>
    <x v="8"/>
  </r>
  <r>
    <x v="0"/>
    <x v="109"/>
    <x v="109"/>
    <x v="0"/>
    <x v="0"/>
    <x v="109"/>
    <x v="107"/>
    <x v="109"/>
    <x v="8"/>
  </r>
  <r>
    <x v="0"/>
    <x v="110"/>
    <x v="110"/>
    <x v="0"/>
    <x v="0"/>
    <x v="110"/>
    <x v="108"/>
    <x v="110"/>
    <x v="8"/>
  </r>
  <r>
    <x v="0"/>
    <x v="111"/>
    <x v="111"/>
    <x v="0"/>
    <x v="0"/>
    <x v="111"/>
    <x v="109"/>
    <x v="111"/>
    <x v="8"/>
  </r>
  <r>
    <x v="0"/>
    <x v="112"/>
    <x v="112"/>
    <x v="0"/>
    <x v="0"/>
    <x v="112"/>
    <x v="110"/>
    <x v="112"/>
    <x v="8"/>
  </r>
  <r>
    <x v="0"/>
    <x v="113"/>
    <x v="113"/>
    <x v="0"/>
    <x v="0"/>
    <x v="113"/>
    <x v="111"/>
    <x v="113"/>
    <x v="9"/>
  </r>
  <r>
    <x v="0"/>
    <x v="114"/>
    <x v="114"/>
    <x v="0"/>
    <x v="0"/>
    <x v="114"/>
    <x v="111"/>
    <x v="114"/>
    <x v="9"/>
  </r>
  <r>
    <x v="0"/>
    <x v="115"/>
    <x v="115"/>
    <x v="0"/>
    <x v="0"/>
    <x v="115"/>
    <x v="112"/>
    <x v="115"/>
    <x v="9"/>
  </r>
  <r>
    <x v="0"/>
    <x v="116"/>
    <x v="116"/>
    <x v="0"/>
    <x v="0"/>
    <x v="116"/>
    <x v="113"/>
    <x v="116"/>
    <x v="9"/>
  </r>
  <r>
    <x v="0"/>
    <x v="117"/>
    <x v="117"/>
    <x v="0"/>
    <x v="0"/>
    <x v="117"/>
    <x v="114"/>
    <x v="117"/>
    <x v="9"/>
  </r>
  <r>
    <x v="0"/>
    <x v="118"/>
    <x v="118"/>
    <x v="0"/>
    <x v="0"/>
    <x v="118"/>
    <x v="115"/>
    <x v="118"/>
    <x v="9"/>
  </r>
  <r>
    <x v="0"/>
    <x v="119"/>
    <x v="119"/>
    <x v="0"/>
    <x v="0"/>
    <x v="119"/>
    <x v="106"/>
    <x v="119"/>
    <x v="9"/>
  </r>
  <r>
    <x v="0"/>
    <x v="120"/>
    <x v="120"/>
    <x v="0"/>
    <x v="0"/>
    <x v="120"/>
    <x v="116"/>
    <x v="120"/>
    <x v="9"/>
  </r>
  <r>
    <x v="0"/>
    <x v="121"/>
    <x v="121"/>
    <x v="0"/>
    <x v="0"/>
    <x v="121"/>
    <x v="117"/>
    <x v="121"/>
    <x v="9"/>
  </r>
  <r>
    <x v="0"/>
    <x v="122"/>
    <x v="122"/>
    <x v="0"/>
    <x v="0"/>
    <x v="122"/>
    <x v="118"/>
    <x v="122"/>
    <x v="9"/>
  </r>
  <r>
    <x v="0"/>
    <x v="123"/>
    <x v="123"/>
    <x v="0"/>
    <x v="0"/>
    <x v="123"/>
    <x v="119"/>
    <x v="123"/>
    <x v="9"/>
  </r>
  <r>
    <x v="0"/>
    <x v="124"/>
    <x v="124"/>
    <x v="0"/>
    <x v="0"/>
    <x v="124"/>
    <x v="120"/>
    <x v="124"/>
    <x v="9"/>
  </r>
  <r>
    <x v="0"/>
    <x v="125"/>
    <x v="125"/>
    <x v="0"/>
    <x v="0"/>
    <x v="125"/>
    <x v="121"/>
    <x v="125"/>
    <x v="9"/>
  </r>
  <r>
    <x v="0"/>
    <x v="126"/>
    <x v="126"/>
    <x v="0"/>
    <x v="0"/>
    <x v="126"/>
    <x v="122"/>
    <x v="126"/>
    <x v="10"/>
  </r>
  <r>
    <x v="0"/>
    <x v="127"/>
    <x v="127"/>
    <x v="0"/>
    <x v="0"/>
    <x v="127"/>
    <x v="123"/>
    <x v="127"/>
    <x v="10"/>
  </r>
  <r>
    <x v="0"/>
    <x v="128"/>
    <x v="128"/>
    <x v="0"/>
    <x v="0"/>
    <x v="128"/>
    <x v="124"/>
    <x v="128"/>
    <x v="10"/>
  </r>
  <r>
    <x v="0"/>
    <x v="129"/>
    <x v="129"/>
    <x v="0"/>
    <x v="0"/>
    <x v="129"/>
    <x v="125"/>
    <x v="129"/>
    <x v="10"/>
  </r>
  <r>
    <x v="0"/>
    <x v="130"/>
    <x v="130"/>
    <x v="0"/>
    <x v="0"/>
    <x v="130"/>
    <x v="126"/>
    <x v="130"/>
    <x v="10"/>
  </r>
  <r>
    <x v="0"/>
    <x v="131"/>
    <x v="131"/>
    <x v="0"/>
    <x v="0"/>
    <x v="131"/>
    <x v="127"/>
    <x v="131"/>
    <x v="10"/>
  </r>
  <r>
    <x v="0"/>
    <x v="132"/>
    <x v="132"/>
    <x v="0"/>
    <x v="0"/>
    <x v="132"/>
    <x v="128"/>
    <x v="132"/>
    <x v="10"/>
  </r>
  <r>
    <x v="0"/>
    <x v="133"/>
    <x v="133"/>
    <x v="0"/>
    <x v="0"/>
    <x v="133"/>
    <x v="129"/>
    <x v="133"/>
    <x v="10"/>
  </r>
  <r>
    <x v="0"/>
    <x v="134"/>
    <x v="134"/>
    <x v="0"/>
    <x v="0"/>
    <x v="134"/>
    <x v="77"/>
    <x v="134"/>
    <x v="10"/>
  </r>
  <r>
    <x v="0"/>
    <x v="135"/>
    <x v="135"/>
    <x v="0"/>
    <x v="1"/>
    <x v="135"/>
    <x v="130"/>
    <x v="135"/>
    <x v="10"/>
  </r>
  <r>
    <x v="0"/>
    <x v="136"/>
    <x v="136"/>
    <x v="0"/>
    <x v="0"/>
    <x v="136"/>
    <x v="131"/>
    <x v="136"/>
    <x v="10"/>
  </r>
  <r>
    <x v="0"/>
    <x v="137"/>
    <x v="137"/>
    <x v="0"/>
    <x v="0"/>
    <x v="137"/>
    <x v="132"/>
    <x v="137"/>
    <x v="10"/>
  </r>
  <r>
    <x v="0"/>
    <x v="138"/>
    <x v="138"/>
    <x v="0"/>
    <x v="0"/>
    <x v="138"/>
    <x v="133"/>
    <x v="138"/>
    <x v="10"/>
  </r>
  <r>
    <x v="0"/>
    <x v="139"/>
    <x v="139"/>
    <x v="0"/>
    <x v="0"/>
    <x v="139"/>
    <x v="134"/>
    <x v="139"/>
    <x v="11"/>
  </r>
  <r>
    <x v="0"/>
    <x v="140"/>
    <x v="140"/>
    <x v="0"/>
    <x v="0"/>
    <x v="140"/>
    <x v="135"/>
    <x v="140"/>
    <x v="11"/>
  </r>
  <r>
    <x v="0"/>
    <x v="141"/>
    <x v="141"/>
    <x v="0"/>
    <x v="0"/>
    <x v="141"/>
    <x v="71"/>
    <x v="141"/>
    <x v="11"/>
  </r>
  <r>
    <x v="0"/>
    <x v="142"/>
    <x v="142"/>
    <x v="0"/>
    <x v="0"/>
    <x v="142"/>
    <x v="136"/>
    <x v="142"/>
    <x v="11"/>
  </r>
  <r>
    <x v="1"/>
    <x v="0"/>
    <x v="143"/>
    <x v="0"/>
    <x v="0"/>
    <x v="143"/>
    <x v="0"/>
    <x v="143"/>
    <x v="12"/>
  </r>
  <r>
    <x v="1"/>
    <x v="1"/>
    <x v="144"/>
    <x v="0"/>
    <x v="1"/>
    <x v="144"/>
    <x v="1"/>
    <x v="144"/>
    <x v="12"/>
  </r>
  <r>
    <x v="1"/>
    <x v="2"/>
    <x v="145"/>
    <x v="0"/>
    <x v="0"/>
    <x v="145"/>
    <x v="2"/>
    <x v="145"/>
    <x v="12"/>
  </r>
  <r>
    <x v="1"/>
    <x v="3"/>
    <x v="146"/>
    <x v="0"/>
    <x v="0"/>
    <x v="146"/>
    <x v="3"/>
    <x v="146"/>
    <x v="12"/>
  </r>
  <r>
    <x v="1"/>
    <x v="4"/>
    <x v="147"/>
    <x v="0"/>
    <x v="0"/>
    <x v="147"/>
    <x v="4"/>
    <x v="147"/>
    <x v="12"/>
  </r>
  <r>
    <x v="1"/>
    <x v="5"/>
    <x v="148"/>
    <x v="0"/>
    <x v="0"/>
    <x v="148"/>
    <x v="5"/>
    <x v="148"/>
    <x v="12"/>
  </r>
  <r>
    <x v="1"/>
    <x v="6"/>
    <x v="149"/>
    <x v="0"/>
    <x v="0"/>
    <x v="149"/>
    <x v="6"/>
    <x v="149"/>
    <x v="12"/>
  </r>
  <r>
    <x v="1"/>
    <x v="7"/>
    <x v="150"/>
    <x v="0"/>
    <x v="0"/>
    <x v="150"/>
    <x v="7"/>
    <x v="150"/>
    <x v="12"/>
  </r>
  <r>
    <x v="1"/>
    <x v="8"/>
    <x v="151"/>
    <x v="0"/>
    <x v="0"/>
    <x v="151"/>
    <x v="8"/>
    <x v="151"/>
    <x v="13"/>
  </r>
  <r>
    <x v="1"/>
    <x v="9"/>
    <x v="152"/>
    <x v="0"/>
    <x v="0"/>
    <x v="152"/>
    <x v="9"/>
    <x v="152"/>
    <x v="13"/>
  </r>
  <r>
    <x v="1"/>
    <x v="10"/>
    <x v="153"/>
    <x v="0"/>
    <x v="0"/>
    <x v="153"/>
    <x v="10"/>
    <x v="153"/>
    <x v="13"/>
  </r>
  <r>
    <x v="1"/>
    <x v="11"/>
    <x v="154"/>
    <x v="0"/>
    <x v="0"/>
    <x v="154"/>
    <x v="11"/>
    <x v="154"/>
    <x v="13"/>
  </r>
  <r>
    <x v="1"/>
    <x v="12"/>
    <x v="155"/>
    <x v="0"/>
    <x v="0"/>
    <x v="155"/>
    <x v="12"/>
    <x v="155"/>
    <x v="13"/>
  </r>
  <r>
    <x v="1"/>
    <x v="13"/>
    <x v="156"/>
    <x v="0"/>
    <x v="0"/>
    <x v="156"/>
    <x v="13"/>
    <x v="156"/>
    <x v="13"/>
  </r>
  <r>
    <x v="1"/>
    <x v="14"/>
    <x v="157"/>
    <x v="0"/>
    <x v="0"/>
    <x v="157"/>
    <x v="14"/>
    <x v="157"/>
    <x v="13"/>
  </r>
  <r>
    <x v="1"/>
    <x v="15"/>
    <x v="158"/>
    <x v="0"/>
    <x v="0"/>
    <x v="158"/>
    <x v="15"/>
    <x v="158"/>
    <x v="13"/>
  </r>
  <r>
    <x v="1"/>
    <x v="16"/>
    <x v="159"/>
    <x v="0"/>
    <x v="0"/>
    <x v="159"/>
    <x v="16"/>
    <x v="159"/>
    <x v="13"/>
  </r>
  <r>
    <x v="1"/>
    <x v="17"/>
    <x v="160"/>
    <x v="0"/>
    <x v="0"/>
    <x v="160"/>
    <x v="17"/>
    <x v="160"/>
    <x v="13"/>
  </r>
  <r>
    <x v="1"/>
    <x v="18"/>
    <x v="161"/>
    <x v="0"/>
    <x v="0"/>
    <x v="161"/>
    <x v="18"/>
    <x v="161"/>
    <x v="13"/>
  </r>
  <r>
    <x v="1"/>
    <x v="19"/>
    <x v="162"/>
    <x v="0"/>
    <x v="0"/>
    <x v="162"/>
    <x v="19"/>
    <x v="162"/>
    <x v="13"/>
  </r>
  <r>
    <x v="1"/>
    <x v="20"/>
    <x v="163"/>
    <x v="0"/>
    <x v="0"/>
    <x v="163"/>
    <x v="20"/>
    <x v="163"/>
    <x v="13"/>
  </r>
  <r>
    <x v="1"/>
    <x v="21"/>
    <x v="164"/>
    <x v="0"/>
    <x v="0"/>
    <x v="164"/>
    <x v="21"/>
    <x v="164"/>
    <x v="14"/>
  </r>
  <r>
    <x v="1"/>
    <x v="22"/>
    <x v="165"/>
    <x v="0"/>
    <x v="0"/>
    <x v="165"/>
    <x v="22"/>
    <x v="165"/>
    <x v="14"/>
  </r>
  <r>
    <x v="1"/>
    <x v="23"/>
    <x v="166"/>
    <x v="0"/>
    <x v="0"/>
    <x v="166"/>
    <x v="23"/>
    <x v="166"/>
    <x v="14"/>
  </r>
  <r>
    <x v="1"/>
    <x v="24"/>
    <x v="167"/>
    <x v="0"/>
    <x v="0"/>
    <x v="167"/>
    <x v="24"/>
    <x v="167"/>
    <x v="14"/>
  </r>
  <r>
    <x v="1"/>
    <x v="25"/>
    <x v="168"/>
    <x v="0"/>
    <x v="0"/>
    <x v="168"/>
    <x v="25"/>
    <x v="168"/>
    <x v="14"/>
  </r>
  <r>
    <x v="1"/>
    <x v="26"/>
    <x v="169"/>
    <x v="0"/>
    <x v="0"/>
    <x v="169"/>
    <x v="26"/>
    <x v="169"/>
    <x v="14"/>
  </r>
  <r>
    <x v="1"/>
    <x v="27"/>
    <x v="170"/>
    <x v="0"/>
    <x v="0"/>
    <x v="170"/>
    <x v="27"/>
    <x v="170"/>
    <x v="14"/>
  </r>
  <r>
    <x v="1"/>
    <x v="28"/>
    <x v="171"/>
    <x v="0"/>
    <x v="0"/>
    <x v="171"/>
    <x v="28"/>
    <x v="171"/>
    <x v="14"/>
  </r>
  <r>
    <x v="1"/>
    <x v="29"/>
    <x v="172"/>
    <x v="0"/>
    <x v="0"/>
    <x v="172"/>
    <x v="29"/>
    <x v="172"/>
    <x v="14"/>
  </r>
  <r>
    <x v="1"/>
    <x v="30"/>
    <x v="173"/>
    <x v="0"/>
    <x v="0"/>
    <x v="173"/>
    <x v="30"/>
    <x v="173"/>
    <x v="14"/>
  </r>
  <r>
    <x v="1"/>
    <x v="31"/>
    <x v="174"/>
    <x v="0"/>
    <x v="1"/>
    <x v="174"/>
    <x v="31"/>
    <x v="174"/>
    <x v="14"/>
  </r>
  <r>
    <x v="1"/>
    <x v="32"/>
    <x v="175"/>
    <x v="0"/>
    <x v="0"/>
    <x v="175"/>
    <x v="32"/>
    <x v="175"/>
    <x v="14"/>
  </r>
  <r>
    <x v="1"/>
    <x v="33"/>
    <x v="176"/>
    <x v="0"/>
    <x v="0"/>
    <x v="176"/>
    <x v="33"/>
    <x v="176"/>
    <x v="14"/>
  </r>
  <r>
    <x v="1"/>
    <x v="34"/>
    <x v="177"/>
    <x v="0"/>
    <x v="0"/>
    <x v="177"/>
    <x v="34"/>
    <x v="177"/>
    <x v="15"/>
  </r>
  <r>
    <x v="1"/>
    <x v="35"/>
    <x v="178"/>
    <x v="0"/>
    <x v="0"/>
    <x v="178"/>
    <x v="35"/>
    <x v="178"/>
    <x v="15"/>
  </r>
  <r>
    <x v="1"/>
    <x v="36"/>
    <x v="179"/>
    <x v="0"/>
    <x v="0"/>
    <x v="179"/>
    <x v="6"/>
    <x v="179"/>
    <x v="15"/>
  </r>
  <r>
    <x v="1"/>
    <x v="37"/>
    <x v="180"/>
    <x v="0"/>
    <x v="0"/>
    <x v="180"/>
    <x v="36"/>
    <x v="180"/>
    <x v="15"/>
  </r>
  <r>
    <x v="1"/>
    <x v="38"/>
    <x v="181"/>
    <x v="0"/>
    <x v="0"/>
    <x v="181"/>
    <x v="37"/>
    <x v="181"/>
    <x v="15"/>
  </r>
  <r>
    <x v="1"/>
    <x v="39"/>
    <x v="182"/>
    <x v="0"/>
    <x v="0"/>
    <x v="182"/>
    <x v="38"/>
    <x v="182"/>
    <x v="15"/>
  </r>
  <r>
    <x v="1"/>
    <x v="40"/>
    <x v="183"/>
    <x v="0"/>
    <x v="0"/>
    <x v="183"/>
    <x v="39"/>
    <x v="183"/>
    <x v="15"/>
  </r>
  <r>
    <x v="1"/>
    <x v="41"/>
    <x v="184"/>
    <x v="0"/>
    <x v="0"/>
    <x v="184"/>
    <x v="40"/>
    <x v="184"/>
    <x v="15"/>
  </r>
  <r>
    <x v="1"/>
    <x v="42"/>
    <x v="185"/>
    <x v="0"/>
    <x v="1"/>
    <x v="185"/>
    <x v="41"/>
    <x v="185"/>
    <x v="15"/>
  </r>
  <r>
    <x v="1"/>
    <x v="43"/>
    <x v="186"/>
    <x v="0"/>
    <x v="0"/>
    <x v="186"/>
    <x v="42"/>
    <x v="186"/>
    <x v="15"/>
  </r>
  <r>
    <x v="1"/>
    <x v="44"/>
    <x v="187"/>
    <x v="0"/>
    <x v="0"/>
    <x v="187"/>
    <x v="43"/>
    <x v="187"/>
    <x v="15"/>
  </r>
  <r>
    <x v="1"/>
    <x v="45"/>
    <x v="188"/>
    <x v="0"/>
    <x v="0"/>
    <x v="188"/>
    <x v="44"/>
    <x v="188"/>
    <x v="15"/>
  </r>
  <r>
    <x v="1"/>
    <x v="46"/>
    <x v="189"/>
    <x v="0"/>
    <x v="0"/>
    <x v="189"/>
    <x v="45"/>
    <x v="189"/>
    <x v="15"/>
  </r>
  <r>
    <x v="1"/>
    <x v="47"/>
    <x v="190"/>
    <x v="0"/>
    <x v="1"/>
    <x v="190"/>
    <x v="46"/>
    <x v="190"/>
    <x v="15"/>
  </r>
  <r>
    <x v="1"/>
    <x v="48"/>
    <x v="191"/>
    <x v="0"/>
    <x v="0"/>
    <x v="191"/>
    <x v="47"/>
    <x v="191"/>
    <x v="16"/>
  </r>
  <r>
    <x v="1"/>
    <x v="49"/>
    <x v="192"/>
    <x v="0"/>
    <x v="0"/>
    <x v="192"/>
    <x v="48"/>
    <x v="192"/>
    <x v="16"/>
  </r>
  <r>
    <x v="1"/>
    <x v="50"/>
    <x v="193"/>
    <x v="0"/>
    <x v="0"/>
    <x v="193"/>
    <x v="49"/>
    <x v="193"/>
    <x v="16"/>
  </r>
  <r>
    <x v="1"/>
    <x v="51"/>
    <x v="194"/>
    <x v="0"/>
    <x v="0"/>
    <x v="194"/>
    <x v="50"/>
    <x v="194"/>
    <x v="16"/>
  </r>
  <r>
    <x v="1"/>
    <x v="52"/>
    <x v="195"/>
    <x v="0"/>
    <x v="0"/>
    <x v="195"/>
    <x v="51"/>
    <x v="195"/>
    <x v="16"/>
  </r>
  <r>
    <x v="1"/>
    <x v="53"/>
    <x v="196"/>
    <x v="0"/>
    <x v="1"/>
    <x v="196"/>
    <x v="52"/>
    <x v="196"/>
    <x v="16"/>
  </r>
  <r>
    <x v="1"/>
    <x v="54"/>
    <x v="197"/>
    <x v="0"/>
    <x v="0"/>
    <x v="197"/>
    <x v="53"/>
    <x v="197"/>
    <x v="16"/>
  </r>
  <r>
    <x v="1"/>
    <x v="55"/>
    <x v="198"/>
    <x v="0"/>
    <x v="0"/>
    <x v="198"/>
    <x v="54"/>
    <x v="198"/>
    <x v="16"/>
  </r>
  <r>
    <x v="1"/>
    <x v="56"/>
    <x v="199"/>
    <x v="0"/>
    <x v="0"/>
    <x v="199"/>
    <x v="55"/>
    <x v="199"/>
    <x v="16"/>
  </r>
  <r>
    <x v="1"/>
    <x v="57"/>
    <x v="200"/>
    <x v="0"/>
    <x v="0"/>
    <x v="200"/>
    <x v="56"/>
    <x v="200"/>
    <x v="16"/>
  </r>
  <r>
    <x v="1"/>
    <x v="58"/>
    <x v="201"/>
    <x v="0"/>
    <x v="0"/>
    <x v="201"/>
    <x v="57"/>
    <x v="201"/>
    <x v="16"/>
  </r>
  <r>
    <x v="1"/>
    <x v="59"/>
    <x v="202"/>
    <x v="0"/>
    <x v="0"/>
    <x v="202"/>
    <x v="58"/>
    <x v="202"/>
    <x v="16"/>
  </r>
  <r>
    <x v="1"/>
    <x v="60"/>
    <x v="203"/>
    <x v="0"/>
    <x v="0"/>
    <x v="203"/>
    <x v="59"/>
    <x v="203"/>
    <x v="17"/>
  </r>
  <r>
    <x v="1"/>
    <x v="61"/>
    <x v="204"/>
    <x v="0"/>
    <x v="0"/>
    <x v="204"/>
    <x v="60"/>
    <x v="204"/>
    <x v="17"/>
  </r>
  <r>
    <x v="1"/>
    <x v="62"/>
    <x v="205"/>
    <x v="0"/>
    <x v="0"/>
    <x v="205"/>
    <x v="61"/>
    <x v="205"/>
    <x v="17"/>
  </r>
  <r>
    <x v="1"/>
    <x v="63"/>
    <x v="206"/>
    <x v="0"/>
    <x v="0"/>
    <x v="206"/>
    <x v="62"/>
    <x v="206"/>
    <x v="17"/>
  </r>
  <r>
    <x v="1"/>
    <x v="64"/>
    <x v="207"/>
    <x v="0"/>
    <x v="0"/>
    <x v="207"/>
    <x v="63"/>
    <x v="207"/>
    <x v="17"/>
  </r>
  <r>
    <x v="1"/>
    <x v="65"/>
    <x v="208"/>
    <x v="0"/>
    <x v="0"/>
    <x v="208"/>
    <x v="64"/>
    <x v="208"/>
    <x v="17"/>
  </r>
  <r>
    <x v="1"/>
    <x v="66"/>
    <x v="209"/>
    <x v="0"/>
    <x v="0"/>
    <x v="209"/>
    <x v="65"/>
    <x v="209"/>
    <x v="17"/>
  </r>
  <r>
    <x v="1"/>
    <x v="67"/>
    <x v="210"/>
    <x v="0"/>
    <x v="0"/>
    <x v="210"/>
    <x v="66"/>
    <x v="210"/>
    <x v="17"/>
  </r>
  <r>
    <x v="1"/>
    <x v="68"/>
    <x v="211"/>
    <x v="0"/>
    <x v="0"/>
    <x v="211"/>
    <x v="67"/>
    <x v="211"/>
    <x v="17"/>
  </r>
  <r>
    <x v="1"/>
    <x v="69"/>
    <x v="212"/>
    <x v="0"/>
    <x v="0"/>
    <x v="212"/>
    <x v="68"/>
    <x v="212"/>
    <x v="17"/>
  </r>
  <r>
    <x v="1"/>
    <x v="70"/>
    <x v="213"/>
    <x v="0"/>
    <x v="0"/>
    <x v="161"/>
    <x v="69"/>
    <x v="213"/>
    <x v="17"/>
  </r>
  <r>
    <x v="1"/>
    <x v="71"/>
    <x v="214"/>
    <x v="0"/>
    <x v="0"/>
    <x v="213"/>
    <x v="70"/>
    <x v="214"/>
    <x v="17"/>
  </r>
  <r>
    <x v="1"/>
    <x v="72"/>
    <x v="215"/>
    <x v="0"/>
    <x v="0"/>
    <x v="214"/>
    <x v="71"/>
    <x v="215"/>
    <x v="17"/>
  </r>
  <r>
    <x v="1"/>
    <x v="73"/>
    <x v="216"/>
    <x v="0"/>
    <x v="0"/>
    <x v="215"/>
    <x v="59"/>
    <x v="216"/>
    <x v="18"/>
  </r>
  <r>
    <x v="1"/>
    <x v="74"/>
    <x v="217"/>
    <x v="0"/>
    <x v="0"/>
    <x v="216"/>
    <x v="72"/>
    <x v="217"/>
    <x v="18"/>
  </r>
  <r>
    <x v="1"/>
    <x v="75"/>
    <x v="218"/>
    <x v="0"/>
    <x v="0"/>
    <x v="217"/>
    <x v="73"/>
    <x v="218"/>
    <x v="18"/>
  </r>
  <r>
    <x v="1"/>
    <x v="76"/>
    <x v="219"/>
    <x v="0"/>
    <x v="0"/>
    <x v="218"/>
    <x v="74"/>
    <x v="219"/>
    <x v="18"/>
  </r>
  <r>
    <x v="1"/>
    <x v="77"/>
    <x v="220"/>
    <x v="0"/>
    <x v="0"/>
    <x v="219"/>
    <x v="75"/>
    <x v="220"/>
    <x v="18"/>
  </r>
  <r>
    <x v="1"/>
    <x v="78"/>
    <x v="221"/>
    <x v="0"/>
    <x v="0"/>
    <x v="220"/>
    <x v="76"/>
    <x v="221"/>
    <x v="18"/>
  </r>
  <r>
    <x v="1"/>
    <x v="79"/>
    <x v="222"/>
    <x v="0"/>
    <x v="0"/>
    <x v="221"/>
    <x v="77"/>
    <x v="222"/>
    <x v="18"/>
  </r>
  <r>
    <x v="1"/>
    <x v="80"/>
    <x v="223"/>
    <x v="0"/>
    <x v="0"/>
    <x v="222"/>
    <x v="78"/>
    <x v="223"/>
    <x v="18"/>
  </r>
  <r>
    <x v="1"/>
    <x v="81"/>
    <x v="224"/>
    <x v="0"/>
    <x v="0"/>
    <x v="223"/>
    <x v="79"/>
    <x v="224"/>
    <x v="18"/>
  </r>
  <r>
    <x v="1"/>
    <x v="82"/>
    <x v="225"/>
    <x v="0"/>
    <x v="0"/>
    <x v="224"/>
    <x v="80"/>
    <x v="225"/>
    <x v="18"/>
  </r>
  <r>
    <x v="1"/>
    <x v="83"/>
    <x v="226"/>
    <x v="0"/>
    <x v="1"/>
    <x v="225"/>
    <x v="81"/>
    <x v="226"/>
    <x v="18"/>
  </r>
  <r>
    <x v="1"/>
    <x v="84"/>
    <x v="227"/>
    <x v="0"/>
    <x v="0"/>
    <x v="226"/>
    <x v="82"/>
    <x v="227"/>
    <x v="18"/>
  </r>
  <r>
    <x v="1"/>
    <x v="85"/>
    <x v="228"/>
    <x v="0"/>
    <x v="0"/>
    <x v="227"/>
    <x v="83"/>
    <x v="228"/>
    <x v="18"/>
  </r>
  <r>
    <x v="1"/>
    <x v="86"/>
    <x v="229"/>
    <x v="0"/>
    <x v="0"/>
    <x v="228"/>
    <x v="84"/>
    <x v="229"/>
    <x v="18"/>
  </r>
  <r>
    <x v="1"/>
    <x v="87"/>
    <x v="230"/>
    <x v="0"/>
    <x v="0"/>
    <x v="229"/>
    <x v="85"/>
    <x v="230"/>
    <x v="19"/>
  </r>
  <r>
    <x v="1"/>
    <x v="88"/>
    <x v="231"/>
    <x v="0"/>
    <x v="0"/>
    <x v="230"/>
    <x v="86"/>
    <x v="231"/>
    <x v="19"/>
  </r>
  <r>
    <x v="1"/>
    <x v="89"/>
    <x v="232"/>
    <x v="0"/>
    <x v="0"/>
    <x v="231"/>
    <x v="87"/>
    <x v="232"/>
    <x v="19"/>
  </r>
  <r>
    <x v="1"/>
    <x v="90"/>
    <x v="233"/>
    <x v="0"/>
    <x v="0"/>
    <x v="232"/>
    <x v="88"/>
    <x v="233"/>
    <x v="19"/>
  </r>
  <r>
    <x v="1"/>
    <x v="91"/>
    <x v="234"/>
    <x v="0"/>
    <x v="0"/>
    <x v="233"/>
    <x v="89"/>
    <x v="234"/>
    <x v="19"/>
  </r>
  <r>
    <x v="1"/>
    <x v="92"/>
    <x v="235"/>
    <x v="0"/>
    <x v="0"/>
    <x v="234"/>
    <x v="90"/>
    <x v="235"/>
    <x v="19"/>
  </r>
  <r>
    <x v="1"/>
    <x v="93"/>
    <x v="236"/>
    <x v="0"/>
    <x v="0"/>
    <x v="235"/>
    <x v="91"/>
    <x v="236"/>
    <x v="19"/>
  </r>
  <r>
    <x v="1"/>
    <x v="94"/>
    <x v="237"/>
    <x v="0"/>
    <x v="1"/>
    <x v="236"/>
    <x v="92"/>
    <x v="237"/>
    <x v="19"/>
  </r>
  <r>
    <x v="1"/>
    <x v="95"/>
    <x v="238"/>
    <x v="0"/>
    <x v="0"/>
    <x v="237"/>
    <x v="93"/>
    <x v="238"/>
    <x v="19"/>
  </r>
  <r>
    <x v="1"/>
    <x v="96"/>
    <x v="239"/>
    <x v="0"/>
    <x v="0"/>
    <x v="238"/>
    <x v="94"/>
    <x v="239"/>
    <x v="19"/>
  </r>
  <r>
    <x v="1"/>
    <x v="97"/>
    <x v="240"/>
    <x v="0"/>
    <x v="0"/>
    <x v="239"/>
    <x v="95"/>
    <x v="240"/>
    <x v="19"/>
  </r>
  <r>
    <x v="1"/>
    <x v="98"/>
    <x v="241"/>
    <x v="0"/>
    <x v="0"/>
    <x v="240"/>
    <x v="96"/>
    <x v="241"/>
    <x v="19"/>
  </r>
  <r>
    <x v="1"/>
    <x v="99"/>
    <x v="242"/>
    <x v="0"/>
    <x v="1"/>
    <x v="241"/>
    <x v="97"/>
    <x v="242"/>
    <x v="19"/>
  </r>
  <r>
    <x v="1"/>
    <x v="100"/>
    <x v="243"/>
    <x v="0"/>
    <x v="0"/>
    <x v="242"/>
    <x v="98"/>
    <x v="243"/>
    <x v="20"/>
  </r>
  <r>
    <x v="1"/>
    <x v="101"/>
    <x v="244"/>
    <x v="0"/>
    <x v="0"/>
    <x v="243"/>
    <x v="99"/>
    <x v="244"/>
    <x v="20"/>
  </r>
  <r>
    <x v="1"/>
    <x v="102"/>
    <x v="245"/>
    <x v="0"/>
    <x v="0"/>
    <x v="244"/>
    <x v="100"/>
    <x v="245"/>
    <x v="20"/>
  </r>
  <r>
    <x v="1"/>
    <x v="103"/>
    <x v="246"/>
    <x v="0"/>
    <x v="0"/>
    <x v="245"/>
    <x v="101"/>
    <x v="246"/>
    <x v="20"/>
  </r>
  <r>
    <x v="1"/>
    <x v="104"/>
    <x v="247"/>
    <x v="0"/>
    <x v="0"/>
    <x v="246"/>
    <x v="102"/>
    <x v="247"/>
    <x v="20"/>
  </r>
  <r>
    <x v="1"/>
    <x v="105"/>
    <x v="248"/>
    <x v="0"/>
    <x v="1"/>
    <x v="247"/>
    <x v="103"/>
    <x v="248"/>
    <x v="20"/>
  </r>
  <r>
    <x v="1"/>
    <x v="106"/>
    <x v="249"/>
    <x v="0"/>
    <x v="0"/>
    <x v="248"/>
    <x v="104"/>
    <x v="249"/>
    <x v="20"/>
  </r>
  <r>
    <x v="1"/>
    <x v="107"/>
    <x v="250"/>
    <x v="0"/>
    <x v="0"/>
    <x v="249"/>
    <x v="105"/>
    <x v="250"/>
    <x v="20"/>
  </r>
  <r>
    <x v="1"/>
    <x v="108"/>
    <x v="251"/>
    <x v="0"/>
    <x v="0"/>
    <x v="250"/>
    <x v="106"/>
    <x v="251"/>
    <x v="20"/>
  </r>
  <r>
    <x v="1"/>
    <x v="109"/>
    <x v="252"/>
    <x v="0"/>
    <x v="0"/>
    <x v="251"/>
    <x v="107"/>
    <x v="252"/>
    <x v="20"/>
  </r>
  <r>
    <x v="1"/>
    <x v="110"/>
    <x v="253"/>
    <x v="0"/>
    <x v="0"/>
    <x v="252"/>
    <x v="108"/>
    <x v="253"/>
    <x v="20"/>
  </r>
  <r>
    <x v="1"/>
    <x v="111"/>
    <x v="254"/>
    <x v="0"/>
    <x v="0"/>
    <x v="253"/>
    <x v="109"/>
    <x v="254"/>
    <x v="20"/>
  </r>
  <r>
    <x v="1"/>
    <x v="112"/>
    <x v="255"/>
    <x v="0"/>
    <x v="0"/>
    <x v="254"/>
    <x v="110"/>
    <x v="255"/>
    <x v="20"/>
  </r>
  <r>
    <x v="1"/>
    <x v="113"/>
    <x v="256"/>
    <x v="0"/>
    <x v="0"/>
    <x v="255"/>
    <x v="111"/>
    <x v="256"/>
    <x v="21"/>
  </r>
  <r>
    <x v="1"/>
    <x v="114"/>
    <x v="257"/>
    <x v="0"/>
    <x v="0"/>
    <x v="256"/>
    <x v="111"/>
    <x v="257"/>
    <x v="21"/>
  </r>
  <r>
    <x v="1"/>
    <x v="115"/>
    <x v="258"/>
    <x v="0"/>
    <x v="0"/>
    <x v="257"/>
    <x v="112"/>
    <x v="258"/>
    <x v="21"/>
  </r>
  <r>
    <x v="1"/>
    <x v="116"/>
    <x v="259"/>
    <x v="0"/>
    <x v="0"/>
    <x v="258"/>
    <x v="113"/>
    <x v="259"/>
    <x v="21"/>
  </r>
  <r>
    <x v="1"/>
    <x v="117"/>
    <x v="260"/>
    <x v="0"/>
    <x v="0"/>
    <x v="259"/>
    <x v="114"/>
    <x v="260"/>
    <x v="21"/>
  </r>
  <r>
    <x v="1"/>
    <x v="118"/>
    <x v="261"/>
    <x v="0"/>
    <x v="0"/>
    <x v="260"/>
    <x v="115"/>
    <x v="261"/>
    <x v="21"/>
  </r>
  <r>
    <x v="1"/>
    <x v="119"/>
    <x v="262"/>
    <x v="0"/>
    <x v="0"/>
    <x v="62"/>
    <x v="106"/>
    <x v="262"/>
    <x v="21"/>
  </r>
  <r>
    <x v="1"/>
    <x v="120"/>
    <x v="263"/>
    <x v="0"/>
    <x v="0"/>
    <x v="261"/>
    <x v="116"/>
    <x v="263"/>
    <x v="21"/>
  </r>
  <r>
    <x v="1"/>
    <x v="121"/>
    <x v="264"/>
    <x v="0"/>
    <x v="0"/>
    <x v="262"/>
    <x v="117"/>
    <x v="264"/>
    <x v="21"/>
  </r>
  <r>
    <x v="1"/>
    <x v="122"/>
    <x v="265"/>
    <x v="0"/>
    <x v="0"/>
    <x v="31"/>
    <x v="118"/>
    <x v="265"/>
    <x v="21"/>
  </r>
  <r>
    <x v="1"/>
    <x v="123"/>
    <x v="266"/>
    <x v="0"/>
    <x v="0"/>
    <x v="263"/>
    <x v="119"/>
    <x v="266"/>
    <x v="21"/>
  </r>
  <r>
    <x v="1"/>
    <x v="124"/>
    <x v="267"/>
    <x v="0"/>
    <x v="0"/>
    <x v="264"/>
    <x v="120"/>
    <x v="267"/>
    <x v="21"/>
  </r>
  <r>
    <x v="1"/>
    <x v="125"/>
    <x v="268"/>
    <x v="0"/>
    <x v="0"/>
    <x v="265"/>
    <x v="121"/>
    <x v="268"/>
    <x v="21"/>
  </r>
  <r>
    <x v="1"/>
    <x v="126"/>
    <x v="269"/>
    <x v="0"/>
    <x v="0"/>
    <x v="266"/>
    <x v="122"/>
    <x v="269"/>
    <x v="22"/>
  </r>
  <r>
    <x v="1"/>
    <x v="127"/>
    <x v="270"/>
    <x v="0"/>
    <x v="0"/>
    <x v="267"/>
    <x v="123"/>
    <x v="270"/>
    <x v="22"/>
  </r>
  <r>
    <x v="1"/>
    <x v="128"/>
    <x v="271"/>
    <x v="0"/>
    <x v="0"/>
    <x v="268"/>
    <x v="124"/>
    <x v="271"/>
    <x v="22"/>
  </r>
  <r>
    <x v="1"/>
    <x v="129"/>
    <x v="272"/>
    <x v="0"/>
    <x v="0"/>
    <x v="269"/>
    <x v="125"/>
    <x v="272"/>
    <x v="22"/>
  </r>
  <r>
    <x v="1"/>
    <x v="130"/>
    <x v="273"/>
    <x v="0"/>
    <x v="0"/>
    <x v="270"/>
    <x v="126"/>
    <x v="273"/>
    <x v="22"/>
  </r>
  <r>
    <x v="1"/>
    <x v="131"/>
    <x v="274"/>
    <x v="0"/>
    <x v="0"/>
    <x v="271"/>
    <x v="127"/>
    <x v="274"/>
    <x v="22"/>
  </r>
  <r>
    <x v="1"/>
    <x v="132"/>
    <x v="275"/>
    <x v="0"/>
    <x v="0"/>
    <x v="272"/>
    <x v="128"/>
    <x v="275"/>
    <x v="22"/>
  </r>
  <r>
    <x v="1"/>
    <x v="133"/>
    <x v="276"/>
    <x v="0"/>
    <x v="0"/>
    <x v="273"/>
    <x v="129"/>
    <x v="276"/>
    <x v="22"/>
  </r>
  <r>
    <x v="1"/>
    <x v="134"/>
    <x v="277"/>
    <x v="0"/>
    <x v="0"/>
    <x v="274"/>
    <x v="77"/>
    <x v="277"/>
    <x v="22"/>
  </r>
  <r>
    <x v="1"/>
    <x v="135"/>
    <x v="278"/>
    <x v="0"/>
    <x v="1"/>
    <x v="275"/>
    <x v="130"/>
    <x v="278"/>
    <x v="22"/>
  </r>
  <r>
    <x v="1"/>
    <x v="136"/>
    <x v="279"/>
    <x v="0"/>
    <x v="0"/>
    <x v="276"/>
    <x v="131"/>
    <x v="279"/>
    <x v="22"/>
  </r>
  <r>
    <x v="1"/>
    <x v="137"/>
    <x v="280"/>
    <x v="0"/>
    <x v="0"/>
    <x v="277"/>
    <x v="132"/>
    <x v="280"/>
    <x v="22"/>
  </r>
  <r>
    <x v="1"/>
    <x v="138"/>
    <x v="281"/>
    <x v="0"/>
    <x v="0"/>
    <x v="278"/>
    <x v="133"/>
    <x v="281"/>
    <x v="22"/>
  </r>
  <r>
    <x v="1"/>
    <x v="139"/>
    <x v="282"/>
    <x v="0"/>
    <x v="0"/>
    <x v="279"/>
    <x v="134"/>
    <x v="282"/>
    <x v="23"/>
  </r>
  <r>
    <x v="1"/>
    <x v="140"/>
    <x v="283"/>
    <x v="0"/>
    <x v="0"/>
    <x v="280"/>
    <x v="135"/>
    <x v="283"/>
    <x v="23"/>
  </r>
  <r>
    <x v="1"/>
    <x v="141"/>
    <x v="284"/>
    <x v="0"/>
    <x v="0"/>
    <x v="256"/>
    <x v="71"/>
    <x v="284"/>
    <x v="23"/>
  </r>
  <r>
    <x v="1"/>
    <x v="142"/>
    <x v="285"/>
    <x v="0"/>
    <x v="0"/>
    <x v="281"/>
    <x v="136"/>
    <x v="285"/>
    <x v="23"/>
  </r>
  <r>
    <x v="2"/>
    <x v="0"/>
    <x v="286"/>
    <x v="1"/>
    <x v="0"/>
    <x v="282"/>
    <x v="0"/>
    <x v="286"/>
    <x v="24"/>
  </r>
  <r>
    <x v="2"/>
    <x v="1"/>
    <x v="287"/>
    <x v="1"/>
    <x v="1"/>
    <x v="283"/>
    <x v="1"/>
    <x v="287"/>
    <x v="24"/>
  </r>
  <r>
    <x v="2"/>
    <x v="2"/>
    <x v="288"/>
    <x v="1"/>
    <x v="0"/>
    <x v="284"/>
    <x v="2"/>
    <x v="288"/>
    <x v="24"/>
  </r>
  <r>
    <x v="2"/>
    <x v="3"/>
    <x v="289"/>
    <x v="1"/>
    <x v="0"/>
    <x v="285"/>
    <x v="3"/>
    <x v="289"/>
    <x v="24"/>
  </r>
  <r>
    <x v="2"/>
    <x v="4"/>
    <x v="290"/>
    <x v="1"/>
    <x v="0"/>
    <x v="286"/>
    <x v="4"/>
    <x v="290"/>
    <x v="24"/>
  </r>
  <r>
    <x v="2"/>
    <x v="5"/>
    <x v="291"/>
    <x v="1"/>
    <x v="0"/>
    <x v="287"/>
    <x v="5"/>
    <x v="291"/>
    <x v="24"/>
  </r>
  <r>
    <x v="2"/>
    <x v="6"/>
    <x v="292"/>
    <x v="1"/>
    <x v="0"/>
    <x v="288"/>
    <x v="6"/>
    <x v="292"/>
    <x v="24"/>
  </r>
  <r>
    <x v="2"/>
    <x v="7"/>
    <x v="293"/>
    <x v="1"/>
    <x v="0"/>
    <x v="289"/>
    <x v="7"/>
    <x v="293"/>
    <x v="24"/>
  </r>
  <r>
    <x v="2"/>
    <x v="8"/>
    <x v="294"/>
    <x v="1"/>
    <x v="0"/>
    <x v="290"/>
    <x v="8"/>
    <x v="294"/>
    <x v="25"/>
  </r>
  <r>
    <x v="2"/>
    <x v="9"/>
    <x v="295"/>
    <x v="1"/>
    <x v="0"/>
    <x v="291"/>
    <x v="9"/>
    <x v="295"/>
    <x v="25"/>
  </r>
  <r>
    <x v="2"/>
    <x v="10"/>
    <x v="296"/>
    <x v="1"/>
    <x v="0"/>
    <x v="155"/>
    <x v="10"/>
    <x v="296"/>
    <x v="25"/>
  </r>
  <r>
    <x v="2"/>
    <x v="11"/>
    <x v="297"/>
    <x v="1"/>
    <x v="0"/>
    <x v="292"/>
    <x v="11"/>
    <x v="297"/>
    <x v="25"/>
  </r>
  <r>
    <x v="2"/>
    <x v="12"/>
    <x v="298"/>
    <x v="1"/>
    <x v="0"/>
    <x v="293"/>
    <x v="12"/>
    <x v="298"/>
    <x v="25"/>
  </r>
  <r>
    <x v="2"/>
    <x v="13"/>
    <x v="299"/>
    <x v="1"/>
    <x v="0"/>
    <x v="294"/>
    <x v="13"/>
    <x v="299"/>
    <x v="25"/>
  </r>
  <r>
    <x v="2"/>
    <x v="14"/>
    <x v="300"/>
    <x v="1"/>
    <x v="0"/>
    <x v="295"/>
    <x v="14"/>
    <x v="300"/>
    <x v="25"/>
  </r>
  <r>
    <x v="2"/>
    <x v="15"/>
    <x v="301"/>
    <x v="1"/>
    <x v="0"/>
    <x v="296"/>
    <x v="15"/>
    <x v="301"/>
    <x v="25"/>
  </r>
  <r>
    <x v="2"/>
    <x v="16"/>
    <x v="302"/>
    <x v="1"/>
    <x v="0"/>
    <x v="297"/>
    <x v="16"/>
    <x v="302"/>
    <x v="25"/>
  </r>
  <r>
    <x v="2"/>
    <x v="17"/>
    <x v="303"/>
    <x v="1"/>
    <x v="0"/>
    <x v="298"/>
    <x v="17"/>
    <x v="303"/>
    <x v="25"/>
  </r>
  <r>
    <x v="2"/>
    <x v="18"/>
    <x v="304"/>
    <x v="1"/>
    <x v="0"/>
    <x v="299"/>
    <x v="18"/>
    <x v="304"/>
    <x v="25"/>
  </r>
  <r>
    <x v="2"/>
    <x v="19"/>
    <x v="305"/>
    <x v="1"/>
    <x v="0"/>
    <x v="300"/>
    <x v="19"/>
    <x v="305"/>
    <x v="25"/>
  </r>
  <r>
    <x v="2"/>
    <x v="20"/>
    <x v="306"/>
    <x v="1"/>
    <x v="0"/>
    <x v="301"/>
    <x v="20"/>
    <x v="306"/>
    <x v="25"/>
  </r>
  <r>
    <x v="2"/>
    <x v="21"/>
    <x v="307"/>
    <x v="1"/>
    <x v="0"/>
    <x v="302"/>
    <x v="21"/>
    <x v="307"/>
    <x v="26"/>
  </r>
  <r>
    <x v="2"/>
    <x v="22"/>
    <x v="308"/>
    <x v="1"/>
    <x v="0"/>
    <x v="303"/>
    <x v="22"/>
    <x v="308"/>
    <x v="26"/>
  </r>
  <r>
    <x v="2"/>
    <x v="23"/>
    <x v="309"/>
    <x v="1"/>
    <x v="0"/>
    <x v="304"/>
    <x v="23"/>
    <x v="309"/>
    <x v="26"/>
  </r>
  <r>
    <x v="2"/>
    <x v="24"/>
    <x v="310"/>
    <x v="1"/>
    <x v="0"/>
    <x v="305"/>
    <x v="24"/>
    <x v="310"/>
    <x v="26"/>
  </r>
  <r>
    <x v="2"/>
    <x v="25"/>
    <x v="311"/>
    <x v="1"/>
    <x v="0"/>
    <x v="306"/>
    <x v="25"/>
    <x v="311"/>
    <x v="26"/>
  </r>
  <r>
    <x v="2"/>
    <x v="26"/>
    <x v="312"/>
    <x v="1"/>
    <x v="0"/>
    <x v="307"/>
    <x v="26"/>
    <x v="312"/>
    <x v="26"/>
  </r>
  <r>
    <x v="2"/>
    <x v="27"/>
    <x v="313"/>
    <x v="1"/>
    <x v="0"/>
    <x v="308"/>
    <x v="27"/>
    <x v="313"/>
    <x v="26"/>
  </r>
  <r>
    <x v="2"/>
    <x v="28"/>
    <x v="314"/>
    <x v="1"/>
    <x v="0"/>
    <x v="309"/>
    <x v="28"/>
    <x v="314"/>
    <x v="26"/>
  </r>
  <r>
    <x v="2"/>
    <x v="29"/>
    <x v="315"/>
    <x v="1"/>
    <x v="0"/>
    <x v="310"/>
    <x v="29"/>
    <x v="315"/>
    <x v="26"/>
  </r>
  <r>
    <x v="2"/>
    <x v="30"/>
    <x v="316"/>
    <x v="1"/>
    <x v="0"/>
    <x v="311"/>
    <x v="30"/>
    <x v="316"/>
    <x v="26"/>
  </r>
  <r>
    <x v="2"/>
    <x v="31"/>
    <x v="317"/>
    <x v="1"/>
    <x v="1"/>
    <x v="312"/>
    <x v="31"/>
    <x v="317"/>
    <x v="26"/>
  </r>
  <r>
    <x v="2"/>
    <x v="32"/>
    <x v="318"/>
    <x v="1"/>
    <x v="0"/>
    <x v="313"/>
    <x v="32"/>
    <x v="318"/>
    <x v="26"/>
  </r>
  <r>
    <x v="2"/>
    <x v="33"/>
    <x v="319"/>
    <x v="1"/>
    <x v="0"/>
    <x v="314"/>
    <x v="33"/>
    <x v="319"/>
    <x v="26"/>
  </r>
  <r>
    <x v="2"/>
    <x v="34"/>
    <x v="320"/>
    <x v="1"/>
    <x v="0"/>
    <x v="315"/>
    <x v="34"/>
    <x v="320"/>
    <x v="27"/>
  </r>
  <r>
    <x v="2"/>
    <x v="35"/>
    <x v="321"/>
    <x v="1"/>
    <x v="0"/>
    <x v="316"/>
    <x v="35"/>
    <x v="321"/>
    <x v="27"/>
  </r>
  <r>
    <x v="2"/>
    <x v="36"/>
    <x v="322"/>
    <x v="1"/>
    <x v="0"/>
    <x v="317"/>
    <x v="6"/>
    <x v="322"/>
    <x v="27"/>
  </r>
  <r>
    <x v="2"/>
    <x v="37"/>
    <x v="323"/>
    <x v="1"/>
    <x v="0"/>
    <x v="318"/>
    <x v="36"/>
    <x v="323"/>
    <x v="27"/>
  </r>
  <r>
    <x v="2"/>
    <x v="38"/>
    <x v="324"/>
    <x v="1"/>
    <x v="0"/>
    <x v="319"/>
    <x v="37"/>
    <x v="324"/>
    <x v="27"/>
  </r>
  <r>
    <x v="2"/>
    <x v="39"/>
    <x v="325"/>
    <x v="1"/>
    <x v="0"/>
    <x v="320"/>
    <x v="38"/>
    <x v="325"/>
    <x v="27"/>
  </r>
  <r>
    <x v="2"/>
    <x v="40"/>
    <x v="326"/>
    <x v="1"/>
    <x v="0"/>
    <x v="321"/>
    <x v="39"/>
    <x v="326"/>
    <x v="27"/>
  </r>
  <r>
    <x v="2"/>
    <x v="41"/>
    <x v="327"/>
    <x v="1"/>
    <x v="0"/>
    <x v="322"/>
    <x v="40"/>
    <x v="327"/>
    <x v="27"/>
  </r>
  <r>
    <x v="2"/>
    <x v="42"/>
    <x v="328"/>
    <x v="1"/>
    <x v="1"/>
    <x v="323"/>
    <x v="41"/>
    <x v="328"/>
    <x v="27"/>
  </r>
  <r>
    <x v="2"/>
    <x v="43"/>
    <x v="329"/>
    <x v="1"/>
    <x v="0"/>
    <x v="324"/>
    <x v="42"/>
    <x v="329"/>
    <x v="27"/>
  </r>
  <r>
    <x v="2"/>
    <x v="44"/>
    <x v="330"/>
    <x v="1"/>
    <x v="0"/>
    <x v="325"/>
    <x v="43"/>
    <x v="330"/>
    <x v="27"/>
  </r>
  <r>
    <x v="2"/>
    <x v="45"/>
    <x v="331"/>
    <x v="1"/>
    <x v="0"/>
    <x v="326"/>
    <x v="44"/>
    <x v="331"/>
    <x v="27"/>
  </r>
  <r>
    <x v="2"/>
    <x v="46"/>
    <x v="332"/>
    <x v="1"/>
    <x v="0"/>
    <x v="327"/>
    <x v="45"/>
    <x v="332"/>
    <x v="27"/>
  </r>
  <r>
    <x v="2"/>
    <x v="47"/>
    <x v="333"/>
    <x v="1"/>
    <x v="1"/>
    <x v="328"/>
    <x v="46"/>
    <x v="333"/>
    <x v="27"/>
  </r>
  <r>
    <x v="2"/>
    <x v="48"/>
    <x v="334"/>
    <x v="1"/>
    <x v="0"/>
    <x v="329"/>
    <x v="47"/>
    <x v="334"/>
    <x v="28"/>
  </r>
  <r>
    <x v="2"/>
    <x v="49"/>
    <x v="335"/>
    <x v="1"/>
    <x v="0"/>
    <x v="330"/>
    <x v="48"/>
    <x v="335"/>
    <x v="28"/>
  </r>
  <r>
    <x v="2"/>
    <x v="50"/>
    <x v="336"/>
    <x v="1"/>
    <x v="0"/>
    <x v="331"/>
    <x v="49"/>
    <x v="336"/>
    <x v="28"/>
  </r>
  <r>
    <x v="2"/>
    <x v="51"/>
    <x v="337"/>
    <x v="1"/>
    <x v="0"/>
    <x v="332"/>
    <x v="50"/>
    <x v="337"/>
    <x v="28"/>
  </r>
  <r>
    <x v="2"/>
    <x v="52"/>
    <x v="338"/>
    <x v="1"/>
    <x v="0"/>
    <x v="333"/>
    <x v="51"/>
    <x v="338"/>
    <x v="28"/>
  </r>
  <r>
    <x v="2"/>
    <x v="53"/>
    <x v="339"/>
    <x v="1"/>
    <x v="1"/>
    <x v="334"/>
    <x v="52"/>
    <x v="339"/>
    <x v="28"/>
  </r>
  <r>
    <x v="2"/>
    <x v="54"/>
    <x v="340"/>
    <x v="1"/>
    <x v="0"/>
    <x v="335"/>
    <x v="53"/>
    <x v="340"/>
    <x v="28"/>
  </r>
  <r>
    <x v="2"/>
    <x v="55"/>
    <x v="341"/>
    <x v="1"/>
    <x v="0"/>
    <x v="336"/>
    <x v="54"/>
    <x v="341"/>
    <x v="28"/>
  </r>
  <r>
    <x v="2"/>
    <x v="56"/>
    <x v="342"/>
    <x v="1"/>
    <x v="0"/>
    <x v="154"/>
    <x v="55"/>
    <x v="342"/>
    <x v="28"/>
  </r>
  <r>
    <x v="2"/>
    <x v="57"/>
    <x v="343"/>
    <x v="1"/>
    <x v="0"/>
    <x v="337"/>
    <x v="56"/>
    <x v="343"/>
    <x v="28"/>
  </r>
  <r>
    <x v="2"/>
    <x v="58"/>
    <x v="344"/>
    <x v="1"/>
    <x v="0"/>
    <x v="338"/>
    <x v="57"/>
    <x v="344"/>
    <x v="28"/>
  </r>
  <r>
    <x v="2"/>
    <x v="59"/>
    <x v="345"/>
    <x v="1"/>
    <x v="0"/>
    <x v="339"/>
    <x v="58"/>
    <x v="345"/>
    <x v="28"/>
  </r>
  <r>
    <x v="2"/>
    <x v="60"/>
    <x v="346"/>
    <x v="1"/>
    <x v="0"/>
    <x v="340"/>
    <x v="59"/>
    <x v="346"/>
    <x v="29"/>
  </r>
  <r>
    <x v="2"/>
    <x v="61"/>
    <x v="347"/>
    <x v="1"/>
    <x v="0"/>
    <x v="13"/>
    <x v="60"/>
    <x v="347"/>
    <x v="29"/>
  </r>
  <r>
    <x v="2"/>
    <x v="62"/>
    <x v="348"/>
    <x v="1"/>
    <x v="0"/>
    <x v="276"/>
    <x v="61"/>
    <x v="348"/>
    <x v="29"/>
  </r>
  <r>
    <x v="2"/>
    <x v="63"/>
    <x v="349"/>
    <x v="1"/>
    <x v="0"/>
    <x v="273"/>
    <x v="62"/>
    <x v="349"/>
    <x v="29"/>
  </r>
  <r>
    <x v="2"/>
    <x v="64"/>
    <x v="350"/>
    <x v="1"/>
    <x v="0"/>
    <x v="31"/>
    <x v="63"/>
    <x v="350"/>
    <x v="29"/>
  </r>
  <r>
    <x v="2"/>
    <x v="65"/>
    <x v="351"/>
    <x v="1"/>
    <x v="0"/>
    <x v="341"/>
    <x v="64"/>
    <x v="351"/>
    <x v="29"/>
  </r>
  <r>
    <x v="2"/>
    <x v="66"/>
    <x v="352"/>
    <x v="1"/>
    <x v="0"/>
    <x v="342"/>
    <x v="65"/>
    <x v="352"/>
    <x v="29"/>
  </r>
  <r>
    <x v="2"/>
    <x v="67"/>
    <x v="353"/>
    <x v="1"/>
    <x v="0"/>
    <x v="343"/>
    <x v="66"/>
    <x v="353"/>
    <x v="29"/>
  </r>
  <r>
    <x v="2"/>
    <x v="68"/>
    <x v="354"/>
    <x v="1"/>
    <x v="0"/>
    <x v="344"/>
    <x v="67"/>
    <x v="354"/>
    <x v="29"/>
  </r>
  <r>
    <x v="2"/>
    <x v="69"/>
    <x v="355"/>
    <x v="1"/>
    <x v="0"/>
    <x v="345"/>
    <x v="68"/>
    <x v="355"/>
    <x v="29"/>
  </r>
  <r>
    <x v="2"/>
    <x v="70"/>
    <x v="356"/>
    <x v="1"/>
    <x v="0"/>
    <x v="346"/>
    <x v="69"/>
    <x v="356"/>
    <x v="29"/>
  </r>
  <r>
    <x v="2"/>
    <x v="71"/>
    <x v="357"/>
    <x v="1"/>
    <x v="0"/>
    <x v="347"/>
    <x v="70"/>
    <x v="357"/>
    <x v="29"/>
  </r>
  <r>
    <x v="2"/>
    <x v="72"/>
    <x v="358"/>
    <x v="1"/>
    <x v="0"/>
    <x v="348"/>
    <x v="71"/>
    <x v="358"/>
    <x v="29"/>
  </r>
  <r>
    <x v="2"/>
    <x v="73"/>
    <x v="359"/>
    <x v="1"/>
    <x v="0"/>
    <x v="349"/>
    <x v="59"/>
    <x v="359"/>
    <x v="30"/>
  </r>
  <r>
    <x v="2"/>
    <x v="74"/>
    <x v="360"/>
    <x v="1"/>
    <x v="0"/>
    <x v="350"/>
    <x v="72"/>
    <x v="360"/>
    <x v="30"/>
  </r>
  <r>
    <x v="2"/>
    <x v="75"/>
    <x v="361"/>
    <x v="1"/>
    <x v="0"/>
    <x v="351"/>
    <x v="73"/>
    <x v="361"/>
    <x v="30"/>
  </r>
  <r>
    <x v="2"/>
    <x v="76"/>
    <x v="362"/>
    <x v="1"/>
    <x v="0"/>
    <x v="352"/>
    <x v="74"/>
    <x v="362"/>
    <x v="30"/>
  </r>
  <r>
    <x v="2"/>
    <x v="77"/>
    <x v="363"/>
    <x v="1"/>
    <x v="0"/>
    <x v="353"/>
    <x v="75"/>
    <x v="363"/>
    <x v="30"/>
  </r>
  <r>
    <x v="2"/>
    <x v="78"/>
    <x v="364"/>
    <x v="1"/>
    <x v="0"/>
    <x v="354"/>
    <x v="76"/>
    <x v="364"/>
    <x v="30"/>
  </r>
  <r>
    <x v="2"/>
    <x v="79"/>
    <x v="365"/>
    <x v="1"/>
    <x v="0"/>
    <x v="355"/>
    <x v="77"/>
    <x v="365"/>
    <x v="30"/>
  </r>
  <r>
    <x v="2"/>
    <x v="80"/>
    <x v="366"/>
    <x v="1"/>
    <x v="0"/>
    <x v="356"/>
    <x v="78"/>
    <x v="366"/>
    <x v="30"/>
  </r>
  <r>
    <x v="2"/>
    <x v="81"/>
    <x v="367"/>
    <x v="1"/>
    <x v="0"/>
    <x v="357"/>
    <x v="79"/>
    <x v="367"/>
    <x v="30"/>
  </r>
  <r>
    <x v="2"/>
    <x v="82"/>
    <x v="368"/>
    <x v="1"/>
    <x v="0"/>
    <x v="358"/>
    <x v="80"/>
    <x v="368"/>
    <x v="30"/>
  </r>
  <r>
    <x v="2"/>
    <x v="83"/>
    <x v="369"/>
    <x v="1"/>
    <x v="1"/>
    <x v="359"/>
    <x v="81"/>
    <x v="369"/>
    <x v="30"/>
  </r>
  <r>
    <x v="2"/>
    <x v="84"/>
    <x v="370"/>
    <x v="1"/>
    <x v="0"/>
    <x v="360"/>
    <x v="82"/>
    <x v="370"/>
    <x v="30"/>
  </r>
  <r>
    <x v="2"/>
    <x v="85"/>
    <x v="371"/>
    <x v="1"/>
    <x v="0"/>
    <x v="361"/>
    <x v="83"/>
    <x v="371"/>
    <x v="30"/>
  </r>
  <r>
    <x v="2"/>
    <x v="86"/>
    <x v="372"/>
    <x v="1"/>
    <x v="0"/>
    <x v="362"/>
    <x v="84"/>
    <x v="372"/>
    <x v="30"/>
  </r>
  <r>
    <x v="2"/>
    <x v="87"/>
    <x v="373"/>
    <x v="1"/>
    <x v="0"/>
    <x v="363"/>
    <x v="85"/>
    <x v="373"/>
    <x v="31"/>
  </r>
  <r>
    <x v="2"/>
    <x v="88"/>
    <x v="374"/>
    <x v="1"/>
    <x v="0"/>
    <x v="364"/>
    <x v="86"/>
    <x v="374"/>
    <x v="31"/>
  </r>
  <r>
    <x v="2"/>
    <x v="89"/>
    <x v="375"/>
    <x v="1"/>
    <x v="0"/>
    <x v="365"/>
    <x v="87"/>
    <x v="375"/>
    <x v="31"/>
  </r>
  <r>
    <x v="2"/>
    <x v="90"/>
    <x v="376"/>
    <x v="1"/>
    <x v="0"/>
    <x v="366"/>
    <x v="88"/>
    <x v="376"/>
    <x v="31"/>
  </r>
  <r>
    <x v="2"/>
    <x v="91"/>
    <x v="377"/>
    <x v="1"/>
    <x v="0"/>
    <x v="367"/>
    <x v="89"/>
    <x v="377"/>
    <x v="31"/>
  </r>
  <r>
    <x v="2"/>
    <x v="92"/>
    <x v="378"/>
    <x v="1"/>
    <x v="0"/>
    <x v="368"/>
    <x v="90"/>
    <x v="378"/>
    <x v="31"/>
  </r>
  <r>
    <x v="2"/>
    <x v="93"/>
    <x v="379"/>
    <x v="1"/>
    <x v="0"/>
    <x v="369"/>
    <x v="91"/>
    <x v="379"/>
    <x v="31"/>
  </r>
  <r>
    <x v="2"/>
    <x v="94"/>
    <x v="380"/>
    <x v="1"/>
    <x v="1"/>
    <x v="291"/>
    <x v="92"/>
    <x v="380"/>
    <x v="31"/>
  </r>
  <r>
    <x v="2"/>
    <x v="95"/>
    <x v="381"/>
    <x v="1"/>
    <x v="0"/>
    <x v="370"/>
    <x v="93"/>
    <x v="381"/>
    <x v="31"/>
  </r>
  <r>
    <x v="2"/>
    <x v="96"/>
    <x v="382"/>
    <x v="1"/>
    <x v="0"/>
    <x v="371"/>
    <x v="94"/>
    <x v="382"/>
    <x v="31"/>
  </r>
  <r>
    <x v="2"/>
    <x v="97"/>
    <x v="383"/>
    <x v="1"/>
    <x v="0"/>
    <x v="372"/>
    <x v="95"/>
    <x v="383"/>
    <x v="31"/>
  </r>
  <r>
    <x v="2"/>
    <x v="98"/>
    <x v="384"/>
    <x v="1"/>
    <x v="0"/>
    <x v="373"/>
    <x v="96"/>
    <x v="384"/>
    <x v="31"/>
  </r>
  <r>
    <x v="2"/>
    <x v="99"/>
    <x v="385"/>
    <x v="1"/>
    <x v="1"/>
    <x v="374"/>
    <x v="97"/>
    <x v="385"/>
    <x v="31"/>
  </r>
  <r>
    <x v="2"/>
    <x v="100"/>
    <x v="386"/>
    <x v="1"/>
    <x v="0"/>
    <x v="375"/>
    <x v="98"/>
    <x v="386"/>
    <x v="32"/>
  </r>
  <r>
    <x v="2"/>
    <x v="101"/>
    <x v="387"/>
    <x v="1"/>
    <x v="0"/>
    <x v="376"/>
    <x v="99"/>
    <x v="387"/>
    <x v="32"/>
  </r>
  <r>
    <x v="2"/>
    <x v="102"/>
    <x v="388"/>
    <x v="1"/>
    <x v="0"/>
    <x v="377"/>
    <x v="100"/>
    <x v="388"/>
    <x v="32"/>
  </r>
  <r>
    <x v="2"/>
    <x v="103"/>
    <x v="389"/>
    <x v="1"/>
    <x v="0"/>
    <x v="378"/>
    <x v="101"/>
    <x v="389"/>
    <x v="32"/>
  </r>
  <r>
    <x v="2"/>
    <x v="104"/>
    <x v="390"/>
    <x v="1"/>
    <x v="0"/>
    <x v="234"/>
    <x v="102"/>
    <x v="390"/>
    <x v="32"/>
  </r>
  <r>
    <x v="2"/>
    <x v="105"/>
    <x v="391"/>
    <x v="1"/>
    <x v="1"/>
    <x v="379"/>
    <x v="103"/>
    <x v="391"/>
    <x v="32"/>
  </r>
  <r>
    <x v="2"/>
    <x v="106"/>
    <x v="392"/>
    <x v="1"/>
    <x v="0"/>
    <x v="380"/>
    <x v="104"/>
    <x v="392"/>
    <x v="32"/>
  </r>
  <r>
    <x v="2"/>
    <x v="107"/>
    <x v="393"/>
    <x v="1"/>
    <x v="0"/>
    <x v="381"/>
    <x v="105"/>
    <x v="393"/>
    <x v="32"/>
  </r>
  <r>
    <x v="2"/>
    <x v="108"/>
    <x v="394"/>
    <x v="1"/>
    <x v="0"/>
    <x v="382"/>
    <x v="106"/>
    <x v="394"/>
    <x v="32"/>
  </r>
  <r>
    <x v="2"/>
    <x v="109"/>
    <x v="395"/>
    <x v="1"/>
    <x v="0"/>
    <x v="383"/>
    <x v="107"/>
    <x v="395"/>
    <x v="32"/>
  </r>
  <r>
    <x v="2"/>
    <x v="110"/>
    <x v="396"/>
    <x v="1"/>
    <x v="0"/>
    <x v="384"/>
    <x v="108"/>
    <x v="396"/>
    <x v="32"/>
  </r>
  <r>
    <x v="2"/>
    <x v="111"/>
    <x v="397"/>
    <x v="1"/>
    <x v="0"/>
    <x v="385"/>
    <x v="109"/>
    <x v="397"/>
    <x v="32"/>
  </r>
  <r>
    <x v="2"/>
    <x v="112"/>
    <x v="398"/>
    <x v="1"/>
    <x v="0"/>
    <x v="386"/>
    <x v="110"/>
    <x v="398"/>
    <x v="32"/>
  </r>
  <r>
    <x v="2"/>
    <x v="113"/>
    <x v="399"/>
    <x v="1"/>
    <x v="0"/>
    <x v="387"/>
    <x v="111"/>
    <x v="399"/>
    <x v="33"/>
  </r>
  <r>
    <x v="2"/>
    <x v="114"/>
    <x v="400"/>
    <x v="1"/>
    <x v="0"/>
    <x v="388"/>
    <x v="111"/>
    <x v="400"/>
    <x v="33"/>
  </r>
  <r>
    <x v="2"/>
    <x v="115"/>
    <x v="401"/>
    <x v="1"/>
    <x v="0"/>
    <x v="389"/>
    <x v="112"/>
    <x v="401"/>
    <x v="33"/>
  </r>
  <r>
    <x v="2"/>
    <x v="116"/>
    <x v="402"/>
    <x v="1"/>
    <x v="0"/>
    <x v="390"/>
    <x v="113"/>
    <x v="402"/>
    <x v="33"/>
  </r>
  <r>
    <x v="2"/>
    <x v="117"/>
    <x v="403"/>
    <x v="1"/>
    <x v="0"/>
    <x v="391"/>
    <x v="114"/>
    <x v="403"/>
    <x v="33"/>
  </r>
  <r>
    <x v="2"/>
    <x v="118"/>
    <x v="404"/>
    <x v="1"/>
    <x v="0"/>
    <x v="392"/>
    <x v="115"/>
    <x v="404"/>
    <x v="33"/>
  </r>
  <r>
    <x v="2"/>
    <x v="119"/>
    <x v="405"/>
    <x v="1"/>
    <x v="0"/>
    <x v="393"/>
    <x v="106"/>
    <x v="405"/>
    <x v="33"/>
  </r>
  <r>
    <x v="2"/>
    <x v="120"/>
    <x v="406"/>
    <x v="1"/>
    <x v="0"/>
    <x v="394"/>
    <x v="116"/>
    <x v="406"/>
    <x v="33"/>
  </r>
  <r>
    <x v="2"/>
    <x v="121"/>
    <x v="407"/>
    <x v="1"/>
    <x v="0"/>
    <x v="395"/>
    <x v="117"/>
    <x v="407"/>
    <x v="33"/>
  </r>
  <r>
    <x v="2"/>
    <x v="122"/>
    <x v="408"/>
    <x v="1"/>
    <x v="0"/>
    <x v="396"/>
    <x v="118"/>
    <x v="408"/>
    <x v="33"/>
  </r>
  <r>
    <x v="2"/>
    <x v="123"/>
    <x v="409"/>
    <x v="1"/>
    <x v="0"/>
    <x v="397"/>
    <x v="119"/>
    <x v="409"/>
    <x v="33"/>
  </r>
  <r>
    <x v="2"/>
    <x v="124"/>
    <x v="410"/>
    <x v="1"/>
    <x v="0"/>
    <x v="398"/>
    <x v="120"/>
    <x v="410"/>
    <x v="33"/>
  </r>
  <r>
    <x v="2"/>
    <x v="125"/>
    <x v="411"/>
    <x v="1"/>
    <x v="0"/>
    <x v="399"/>
    <x v="121"/>
    <x v="411"/>
    <x v="33"/>
  </r>
  <r>
    <x v="2"/>
    <x v="126"/>
    <x v="412"/>
    <x v="1"/>
    <x v="0"/>
    <x v="400"/>
    <x v="122"/>
    <x v="412"/>
    <x v="34"/>
  </r>
  <r>
    <x v="2"/>
    <x v="127"/>
    <x v="413"/>
    <x v="1"/>
    <x v="0"/>
    <x v="401"/>
    <x v="123"/>
    <x v="413"/>
    <x v="34"/>
  </r>
  <r>
    <x v="2"/>
    <x v="128"/>
    <x v="414"/>
    <x v="1"/>
    <x v="0"/>
    <x v="402"/>
    <x v="124"/>
    <x v="414"/>
    <x v="34"/>
  </r>
  <r>
    <x v="2"/>
    <x v="129"/>
    <x v="415"/>
    <x v="1"/>
    <x v="0"/>
    <x v="348"/>
    <x v="125"/>
    <x v="415"/>
    <x v="34"/>
  </r>
  <r>
    <x v="2"/>
    <x v="130"/>
    <x v="416"/>
    <x v="1"/>
    <x v="0"/>
    <x v="403"/>
    <x v="126"/>
    <x v="416"/>
    <x v="34"/>
  </r>
  <r>
    <x v="2"/>
    <x v="131"/>
    <x v="417"/>
    <x v="1"/>
    <x v="0"/>
    <x v="404"/>
    <x v="127"/>
    <x v="417"/>
    <x v="34"/>
  </r>
  <r>
    <x v="2"/>
    <x v="132"/>
    <x v="418"/>
    <x v="1"/>
    <x v="0"/>
    <x v="405"/>
    <x v="128"/>
    <x v="418"/>
    <x v="34"/>
  </r>
  <r>
    <x v="2"/>
    <x v="133"/>
    <x v="419"/>
    <x v="1"/>
    <x v="0"/>
    <x v="406"/>
    <x v="129"/>
    <x v="419"/>
    <x v="34"/>
  </r>
  <r>
    <x v="2"/>
    <x v="134"/>
    <x v="420"/>
    <x v="1"/>
    <x v="0"/>
    <x v="407"/>
    <x v="77"/>
    <x v="420"/>
    <x v="34"/>
  </r>
  <r>
    <x v="2"/>
    <x v="135"/>
    <x v="421"/>
    <x v="1"/>
    <x v="1"/>
    <x v="408"/>
    <x v="130"/>
    <x v="421"/>
    <x v="34"/>
  </r>
  <r>
    <x v="2"/>
    <x v="136"/>
    <x v="422"/>
    <x v="1"/>
    <x v="0"/>
    <x v="409"/>
    <x v="131"/>
    <x v="422"/>
    <x v="34"/>
  </r>
  <r>
    <x v="2"/>
    <x v="137"/>
    <x v="423"/>
    <x v="1"/>
    <x v="0"/>
    <x v="410"/>
    <x v="132"/>
    <x v="423"/>
    <x v="34"/>
  </r>
  <r>
    <x v="2"/>
    <x v="138"/>
    <x v="424"/>
    <x v="1"/>
    <x v="0"/>
    <x v="411"/>
    <x v="133"/>
    <x v="424"/>
    <x v="34"/>
  </r>
  <r>
    <x v="2"/>
    <x v="139"/>
    <x v="425"/>
    <x v="1"/>
    <x v="0"/>
    <x v="412"/>
    <x v="134"/>
    <x v="425"/>
    <x v="35"/>
  </r>
  <r>
    <x v="2"/>
    <x v="140"/>
    <x v="426"/>
    <x v="1"/>
    <x v="0"/>
    <x v="413"/>
    <x v="135"/>
    <x v="426"/>
    <x v="35"/>
  </r>
  <r>
    <x v="2"/>
    <x v="141"/>
    <x v="427"/>
    <x v="1"/>
    <x v="0"/>
    <x v="414"/>
    <x v="71"/>
    <x v="427"/>
    <x v="35"/>
  </r>
  <r>
    <x v="2"/>
    <x v="142"/>
    <x v="428"/>
    <x v="1"/>
    <x v="0"/>
    <x v="415"/>
    <x v="136"/>
    <x v="428"/>
    <x v="35"/>
  </r>
  <r>
    <x v="3"/>
    <x v="0"/>
    <x v="429"/>
    <x v="0"/>
    <x v="0"/>
    <x v="416"/>
    <x v="137"/>
    <x v="429"/>
    <x v="36"/>
  </r>
  <r>
    <x v="3"/>
    <x v="1"/>
    <x v="430"/>
    <x v="0"/>
    <x v="1"/>
    <x v="417"/>
    <x v="138"/>
    <x v="430"/>
    <x v="36"/>
  </r>
  <r>
    <x v="3"/>
    <x v="2"/>
    <x v="431"/>
    <x v="0"/>
    <x v="0"/>
    <x v="418"/>
    <x v="139"/>
    <x v="431"/>
    <x v="36"/>
  </r>
  <r>
    <x v="3"/>
    <x v="3"/>
    <x v="432"/>
    <x v="0"/>
    <x v="0"/>
    <x v="419"/>
    <x v="140"/>
    <x v="432"/>
    <x v="36"/>
  </r>
  <r>
    <x v="3"/>
    <x v="4"/>
    <x v="433"/>
    <x v="0"/>
    <x v="0"/>
    <x v="420"/>
    <x v="141"/>
    <x v="433"/>
    <x v="36"/>
  </r>
  <r>
    <x v="3"/>
    <x v="5"/>
    <x v="434"/>
    <x v="0"/>
    <x v="0"/>
    <x v="421"/>
    <x v="142"/>
    <x v="434"/>
    <x v="36"/>
  </r>
  <r>
    <x v="3"/>
    <x v="6"/>
    <x v="435"/>
    <x v="0"/>
    <x v="0"/>
    <x v="422"/>
    <x v="143"/>
    <x v="435"/>
    <x v="36"/>
  </r>
  <r>
    <x v="3"/>
    <x v="7"/>
    <x v="436"/>
    <x v="0"/>
    <x v="0"/>
    <x v="423"/>
    <x v="144"/>
    <x v="436"/>
    <x v="36"/>
  </r>
  <r>
    <x v="3"/>
    <x v="8"/>
    <x v="437"/>
    <x v="0"/>
    <x v="0"/>
    <x v="424"/>
    <x v="145"/>
    <x v="437"/>
    <x v="37"/>
  </r>
  <r>
    <x v="3"/>
    <x v="9"/>
    <x v="438"/>
    <x v="0"/>
    <x v="0"/>
    <x v="425"/>
    <x v="146"/>
    <x v="438"/>
    <x v="37"/>
  </r>
  <r>
    <x v="3"/>
    <x v="10"/>
    <x v="439"/>
    <x v="0"/>
    <x v="0"/>
    <x v="426"/>
    <x v="147"/>
    <x v="439"/>
    <x v="37"/>
  </r>
  <r>
    <x v="3"/>
    <x v="11"/>
    <x v="440"/>
    <x v="0"/>
    <x v="0"/>
    <x v="427"/>
    <x v="148"/>
    <x v="440"/>
    <x v="37"/>
  </r>
  <r>
    <x v="3"/>
    <x v="12"/>
    <x v="441"/>
    <x v="0"/>
    <x v="0"/>
    <x v="286"/>
    <x v="149"/>
    <x v="441"/>
    <x v="37"/>
  </r>
  <r>
    <x v="3"/>
    <x v="13"/>
    <x v="442"/>
    <x v="0"/>
    <x v="0"/>
    <x v="428"/>
    <x v="150"/>
    <x v="442"/>
    <x v="37"/>
  </r>
  <r>
    <x v="3"/>
    <x v="14"/>
    <x v="443"/>
    <x v="0"/>
    <x v="0"/>
    <x v="429"/>
    <x v="151"/>
    <x v="443"/>
    <x v="37"/>
  </r>
  <r>
    <x v="3"/>
    <x v="15"/>
    <x v="444"/>
    <x v="0"/>
    <x v="0"/>
    <x v="336"/>
    <x v="152"/>
    <x v="444"/>
    <x v="37"/>
  </r>
  <r>
    <x v="3"/>
    <x v="16"/>
    <x v="445"/>
    <x v="0"/>
    <x v="0"/>
    <x v="430"/>
    <x v="153"/>
    <x v="445"/>
    <x v="37"/>
  </r>
  <r>
    <x v="3"/>
    <x v="17"/>
    <x v="446"/>
    <x v="0"/>
    <x v="0"/>
    <x v="431"/>
    <x v="154"/>
    <x v="446"/>
    <x v="37"/>
  </r>
  <r>
    <x v="3"/>
    <x v="18"/>
    <x v="447"/>
    <x v="0"/>
    <x v="0"/>
    <x v="432"/>
    <x v="18"/>
    <x v="447"/>
    <x v="37"/>
  </r>
  <r>
    <x v="3"/>
    <x v="19"/>
    <x v="448"/>
    <x v="0"/>
    <x v="0"/>
    <x v="433"/>
    <x v="155"/>
    <x v="448"/>
    <x v="37"/>
  </r>
  <r>
    <x v="3"/>
    <x v="20"/>
    <x v="449"/>
    <x v="0"/>
    <x v="0"/>
    <x v="434"/>
    <x v="141"/>
    <x v="449"/>
    <x v="37"/>
  </r>
  <r>
    <x v="3"/>
    <x v="21"/>
    <x v="450"/>
    <x v="0"/>
    <x v="0"/>
    <x v="435"/>
    <x v="18"/>
    <x v="450"/>
    <x v="38"/>
  </r>
  <r>
    <x v="3"/>
    <x v="22"/>
    <x v="451"/>
    <x v="0"/>
    <x v="0"/>
    <x v="436"/>
    <x v="19"/>
    <x v="451"/>
    <x v="38"/>
  </r>
  <r>
    <x v="3"/>
    <x v="23"/>
    <x v="452"/>
    <x v="0"/>
    <x v="0"/>
    <x v="298"/>
    <x v="156"/>
    <x v="452"/>
    <x v="38"/>
  </r>
  <r>
    <x v="3"/>
    <x v="24"/>
    <x v="453"/>
    <x v="0"/>
    <x v="0"/>
    <x v="437"/>
    <x v="157"/>
    <x v="453"/>
    <x v="38"/>
  </r>
  <r>
    <x v="3"/>
    <x v="25"/>
    <x v="454"/>
    <x v="0"/>
    <x v="0"/>
    <x v="438"/>
    <x v="158"/>
    <x v="454"/>
    <x v="38"/>
  </r>
  <r>
    <x v="3"/>
    <x v="26"/>
    <x v="455"/>
    <x v="0"/>
    <x v="0"/>
    <x v="439"/>
    <x v="25"/>
    <x v="455"/>
    <x v="38"/>
  </r>
  <r>
    <x v="3"/>
    <x v="27"/>
    <x v="456"/>
    <x v="0"/>
    <x v="0"/>
    <x v="440"/>
    <x v="159"/>
    <x v="456"/>
    <x v="38"/>
  </r>
  <r>
    <x v="3"/>
    <x v="28"/>
    <x v="457"/>
    <x v="0"/>
    <x v="0"/>
    <x v="441"/>
    <x v="160"/>
    <x v="457"/>
    <x v="38"/>
  </r>
  <r>
    <x v="3"/>
    <x v="29"/>
    <x v="458"/>
    <x v="0"/>
    <x v="0"/>
    <x v="442"/>
    <x v="156"/>
    <x v="458"/>
    <x v="38"/>
  </r>
  <r>
    <x v="3"/>
    <x v="30"/>
    <x v="459"/>
    <x v="0"/>
    <x v="0"/>
    <x v="443"/>
    <x v="161"/>
    <x v="459"/>
    <x v="38"/>
  </r>
  <r>
    <x v="3"/>
    <x v="31"/>
    <x v="460"/>
    <x v="0"/>
    <x v="1"/>
    <x v="444"/>
    <x v="162"/>
    <x v="460"/>
    <x v="38"/>
  </r>
  <r>
    <x v="3"/>
    <x v="32"/>
    <x v="461"/>
    <x v="0"/>
    <x v="0"/>
    <x v="445"/>
    <x v="163"/>
    <x v="461"/>
    <x v="38"/>
  </r>
  <r>
    <x v="3"/>
    <x v="33"/>
    <x v="462"/>
    <x v="0"/>
    <x v="0"/>
    <x v="108"/>
    <x v="22"/>
    <x v="462"/>
    <x v="38"/>
  </r>
  <r>
    <x v="3"/>
    <x v="34"/>
    <x v="463"/>
    <x v="0"/>
    <x v="0"/>
    <x v="446"/>
    <x v="29"/>
    <x v="463"/>
    <x v="39"/>
  </r>
  <r>
    <x v="3"/>
    <x v="35"/>
    <x v="464"/>
    <x v="0"/>
    <x v="0"/>
    <x v="430"/>
    <x v="164"/>
    <x v="464"/>
    <x v="39"/>
  </r>
  <r>
    <x v="3"/>
    <x v="36"/>
    <x v="465"/>
    <x v="0"/>
    <x v="0"/>
    <x v="447"/>
    <x v="7"/>
    <x v="465"/>
    <x v="39"/>
  </r>
  <r>
    <x v="3"/>
    <x v="37"/>
    <x v="466"/>
    <x v="0"/>
    <x v="0"/>
    <x v="448"/>
    <x v="165"/>
    <x v="466"/>
    <x v="39"/>
  </r>
  <r>
    <x v="3"/>
    <x v="38"/>
    <x v="467"/>
    <x v="0"/>
    <x v="0"/>
    <x v="449"/>
    <x v="166"/>
    <x v="467"/>
    <x v="39"/>
  </r>
  <r>
    <x v="3"/>
    <x v="39"/>
    <x v="468"/>
    <x v="0"/>
    <x v="0"/>
    <x v="450"/>
    <x v="167"/>
    <x v="468"/>
    <x v="39"/>
  </r>
  <r>
    <x v="3"/>
    <x v="40"/>
    <x v="469"/>
    <x v="0"/>
    <x v="0"/>
    <x v="451"/>
    <x v="168"/>
    <x v="469"/>
    <x v="39"/>
  </r>
  <r>
    <x v="3"/>
    <x v="41"/>
    <x v="470"/>
    <x v="0"/>
    <x v="0"/>
    <x v="452"/>
    <x v="12"/>
    <x v="470"/>
    <x v="39"/>
  </r>
  <r>
    <x v="3"/>
    <x v="42"/>
    <x v="471"/>
    <x v="0"/>
    <x v="1"/>
    <x v="453"/>
    <x v="144"/>
    <x v="471"/>
    <x v="39"/>
  </r>
  <r>
    <x v="3"/>
    <x v="43"/>
    <x v="472"/>
    <x v="0"/>
    <x v="0"/>
    <x v="454"/>
    <x v="169"/>
    <x v="472"/>
    <x v="39"/>
  </r>
  <r>
    <x v="3"/>
    <x v="44"/>
    <x v="473"/>
    <x v="0"/>
    <x v="0"/>
    <x v="455"/>
    <x v="170"/>
    <x v="473"/>
    <x v="39"/>
  </r>
  <r>
    <x v="3"/>
    <x v="45"/>
    <x v="474"/>
    <x v="0"/>
    <x v="0"/>
    <x v="456"/>
    <x v="171"/>
    <x v="474"/>
    <x v="39"/>
  </r>
  <r>
    <x v="3"/>
    <x v="46"/>
    <x v="475"/>
    <x v="0"/>
    <x v="0"/>
    <x v="457"/>
    <x v="172"/>
    <x v="475"/>
    <x v="39"/>
  </r>
  <r>
    <x v="3"/>
    <x v="47"/>
    <x v="476"/>
    <x v="0"/>
    <x v="1"/>
    <x v="458"/>
    <x v="173"/>
    <x v="476"/>
    <x v="39"/>
  </r>
  <r>
    <x v="3"/>
    <x v="48"/>
    <x v="477"/>
    <x v="0"/>
    <x v="0"/>
    <x v="459"/>
    <x v="174"/>
    <x v="477"/>
    <x v="40"/>
  </r>
  <r>
    <x v="3"/>
    <x v="49"/>
    <x v="478"/>
    <x v="0"/>
    <x v="0"/>
    <x v="460"/>
    <x v="175"/>
    <x v="478"/>
    <x v="40"/>
  </r>
  <r>
    <x v="3"/>
    <x v="50"/>
    <x v="479"/>
    <x v="0"/>
    <x v="0"/>
    <x v="461"/>
    <x v="176"/>
    <x v="479"/>
    <x v="40"/>
  </r>
  <r>
    <x v="3"/>
    <x v="51"/>
    <x v="480"/>
    <x v="0"/>
    <x v="0"/>
    <x v="462"/>
    <x v="52"/>
    <x v="480"/>
    <x v="40"/>
  </r>
  <r>
    <x v="3"/>
    <x v="52"/>
    <x v="481"/>
    <x v="0"/>
    <x v="0"/>
    <x v="463"/>
    <x v="177"/>
    <x v="481"/>
    <x v="40"/>
  </r>
  <r>
    <x v="3"/>
    <x v="53"/>
    <x v="482"/>
    <x v="0"/>
    <x v="1"/>
    <x v="464"/>
    <x v="178"/>
    <x v="482"/>
    <x v="40"/>
  </r>
  <r>
    <x v="3"/>
    <x v="54"/>
    <x v="483"/>
    <x v="0"/>
    <x v="0"/>
    <x v="465"/>
    <x v="179"/>
    <x v="483"/>
    <x v="40"/>
  </r>
  <r>
    <x v="3"/>
    <x v="55"/>
    <x v="484"/>
    <x v="0"/>
    <x v="0"/>
    <x v="466"/>
    <x v="180"/>
    <x v="484"/>
    <x v="40"/>
  </r>
  <r>
    <x v="3"/>
    <x v="56"/>
    <x v="485"/>
    <x v="0"/>
    <x v="0"/>
    <x v="467"/>
    <x v="181"/>
    <x v="485"/>
    <x v="40"/>
  </r>
  <r>
    <x v="3"/>
    <x v="57"/>
    <x v="486"/>
    <x v="0"/>
    <x v="0"/>
    <x v="468"/>
    <x v="182"/>
    <x v="486"/>
    <x v="40"/>
  </r>
  <r>
    <x v="3"/>
    <x v="58"/>
    <x v="487"/>
    <x v="0"/>
    <x v="0"/>
    <x v="376"/>
    <x v="183"/>
    <x v="487"/>
    <x v="40"/>
  </r>
  <r>
    <x v="3"/>
    <x v="59"/>
    <x v="488"/>
    <x v="0"/>
    <x v="0"/>
    <x v="469"/>
    <x v="72"/>
    <x v="488"/>
    <x v="40"/>
  </r>
  <r>
    <x v="3"/>
    <x v="60"/>
    <x v="489"/>
    <x v="0"/>
    <x v="0"/>
    <x v="470"/>
    <x v="184"/>
    <x v="489"/>
    <x v="41"/>
  </r>
  <r>
    <x v="3"/>
    <x v="61"/>
    <x v="490"/>
    <x v="0"/>
    <x v="0"/>
    <x v="471"/>
    <x v="185"/>
    <x v="490"/>
    <x v="41"/>
  </r>
  <r>
    <x v="3"/>
    <x v="62"/>
    <x v="491"/>
    <x v="0"/>
    <x v="0"/>
    <x v="472"/>
    <x v="186"/>
    <x v="491"/>
    <x v="41"/>
  </r>
  <r>
    <x v="3"/>
    <x v="63"/>
    <x v="492"/>
    <x v="0"/>
    <x v="0"/>
    <x v="473"/>
    <x v="187"/>
    <x v="492"/>
    <x v="41"/>
  </r>
  <r>
    <x v="3"/>
    <x v="64"/>
    <x v="493"/>
    <x v="0"/>
    <x v="0"/>
    <x v="474"/>
    <x v="187"/>
    <x v="493"/>
    <x v="41"/>
  </r>
  <r>
    <x v="3"/>
    <x v="65"/>
    <x v="494"/>
    <x v="0"/>
    <x v="0"/>
    <x v="475"/>
    <x v="188"/>
    <x v="494"/>
    <x v="41"/>
  </r>
  <r>
    <x v="3"/>
    <x v="66"/>
    <x v="495"/>
    <x v="0"/>
    <x v="0"/>
    <x v="476"/>
    <x v="189"/>
    <x v="495"/>
    <x v="41"/>
  </r>
  <r>
    <x v="3"/>
    <x v="67"/>
    <x v="496"/>
    <x v="0"/>
    <x v="0"/>
    <x v="477"/>
    <x v="190"/>
    <x v="496"/>
    <x v="41"/>
  </r>
  <r>
    <x v="3"/>
    <x v="68"/>
    <x v="497"/>
    <x v="0"/>
    <x v="0"/>
    <x v="478"/>
    <x v="191"/>
    <x v="497"/>
    <x v="41"/>
  </r>
  <r>
    <x v="3"/>
    <x v="69"/>
    <x v="498"/>
    <x v="0"/>
    <x v="0"/>
    <x v="479"/>
    <x v="192"/>
    <x v="498"/>
    <x v="41"/>
  </r>
  <r>
    <x v="3"/>
    <x v="70"/>
    <x v="499"/>
    <x v="0"/>
    <x v="0"/>
    <x v="480"/>
    <x v="193"/>
    <x v="499"/>
    <x v="41"/>
  </r>
  <r>
    <x v="3"/>
    <x v="71"/>
    <x v="500"/>
    <x v="0"/>
    <x v="0"/>
    <x v="481"/>
    <x v="194"/>
    <x v="500"/>
    <x v="41"/>
  </r>
  <r>
    <x v="3"/>
    <x v="72"/>
    <x v="501"/>
    <x v="0"/>
    <x v="0"/>
    <x v="482"/>
    <x v="195"/>
    <x v="501"/>
    <x v="41"/>
  </r>
  <r>
    <x v="3"/>
    <x v="73"/>
    <x v="502"/>
    <x v="0"/>
    <x v="0"/>
    <x v="483"/>
    <x v="196"/>
    <x v="502"/>
    <x v="42"/>
  </r>
  <r>
    <x v="3"/>
    <x v="74"/>
    <x v="503"/>
    <x v="0"/>
    <x v="0"/>
    <x v="484"/>
    <x v="197"/>
    <x v="503"/>
    <x v="42"/>
  </r>
  <r>
    <x v="3"/>
    <x v="75"/>
    <x v="504"/>
    <x v="0"/>
    <x v="0"/>
    <x v="485"/>
    <x v="198"/>
    <x v="504"/>
    <x v="42"/>
  </r>
  <r>
    <x v="3"/>
    <x v="76"/>
    <x v="505"/>
    <x v="0"/>
    <x v="0"/>
    <x v="486"/>
    <x v="199"/>
    <x v="505"/>
    <x v="42"/>
  </r>
  <r>
    <x v="3"/>
    <x v="77"/>
    <x v="506"/>
    <x v="0"/>
    <x v="0"/>
    <x v="487"/>
    <x v="200"/>
    <x v="506"/>
    <x v="42"/>
  </r>
  <r>
    <x v="3"/>
    <x v="78"/>
    <x v="507"/>
    <x v="0"/>
    <x v="0"/>
    <x v="488"/>
    <x v="201"/>
    <x v="507"/>
    <x v="42"/>
  </r>
  <r>
    <x v="3"/>
    <x v="79"/>
    <x v="508"/>
    <x v="0"/>
    <x v="0"/>
    <x v="489"/>
    <x v="134"/>
    <x v="508"/>
    <x v="42"/>
  </r>
  <r>
    <x v="3"/>
    <x v="80"/>
    <x v="509"/>
    <x v="0"/>
    <x v="0"/>
    <x v="490"/>
    <x v="202"/>
    <x v="509"/>
    <x v="42"/>
  </r>
  <r>
    <x v="3"/>
    <x v="81"/>
    <x v="510"/>
    <x v="0"/>
    <x v="0"/>
    <x v="491"/>
    <x v="79"/>
    <x v="510"/>
    <x v="42"/>
  </r>
  <r>
    <x v="3"/>
    <x v="82"/>
    <x v="511"/>
    <x v="0"/>
    <x v="0"/>
    <x v="492"/>
    <x v="80"/>
    <x v="511"/>
    <x v="42"/>
  </r>
  <r>
    <x v="3"/>
    <x v="83"/>
    <x v="512"/>
    <x v="0"/>
    <x v="1"/>
    <x v="493"/>
    <x v="78"/>
    <x v="512"/>
    <x v="42"/>
  </r>
  <r>
    <x v="3"/>
    <x v="84"/>
    <x v="513"/>
    <x v="0"/>
    <x v="0"/>
    <x v="494"/>
    <x v="203"/>
    <x v="513"/>
    <x v="42"/>
  </r>
  <r>
    <x v="3"/>
    <x v="85"/>
    <x v="514"/>
    <x v="0"/>
    <x v="0"/>
    <x v="495"/>
    <x v="58"/>
    <x v="514"/>
    <x v="42"/>
  </r>
  <r>
    <x v="3"/>
    <x v="86"/>
    <x v="515"/>
    <x v="0"/>
    <x v="0"/>
    <x v="496"/>
    <x v="204"/>
    <x v="515"/>
    <x v="42"/>
  </r>
  <r>
    <x v="3"/>
    <x v="87"/>
    <x v="516"/>
    <x v="0"/>
    <x v="0"/>
    <x v="497"/>
    <x v="205"/>
    <x v="516"/>
    <x v="43"/>
  </r>
  <r>
    <x v="3"/>
    <x v="88"/>
    <x v="517"/>
    <x v="0"/>
    <x v="0"/>
    <x v="498"/>
    <x v="206"/>
    <x v="517"/>
    <x v="43"/>
  </r>
  <r>
    <x v="3"/>
    <x v="89"/>
    <x v="518"/>
    <x v="0"/>
    <x v="0"/>
    <x v="499"/>
    <x v="207"/>
    <x v="518"/>
    <x v="43"/>
  </r>
  <r>
    <x v="3"/>
    <x v="90"/>
    <x v="519"/>
    <x v="0"/>
    <x v="0"/>
    <x v="500"/>
    <x v="208"/>
    <x v="519"/>
    <x v="43"/>
  </r>
  <r>
    <x v="3"/>
    <x v="91"/>
    <x v="520"/>
    <x v="0"/>
    <x v="0"/>
    <x v="501"/>
    <x v="209"/>
    <x v="520"/>
    <x v="43"/>
  </r>
  <r>
    <x v="3"/>
    <x v="92"/>
    <x v="521"/>
    <x v="0"/>
    <x v="0"/>
    <x v="502"/>
    <x v="121"/>
    <x v="521"/>
    <x v="43"/>
  </r>
  <r>
    <x v="3"/>
    <x v="93"/>
    <x v="522"/>
    <x v="0"/>
    <x v="0"/>
    <x v="503"/>
    <x v="210"/>
    <x v="522"/>
    <x v="43"/>
  </r>
  <r>
    <x v="3"/>
    <x v="94"/>
    <x v="523"/>
    <x v="0"/>
    <x v="1"/>
    <x v="98"/>
    <x v="211"/>
    <x v="523"/>
    <x v="43"/>
  </r>
  <r>
    <x v="3"/>
    <x v="95"/>
    <x v="524"/>
    <x v="0"/>
    <x v="0"/>
    <x v="504"/>
    <x v="212"/>
    <x v="524"/>
    <x v="43"/>
  </r>
  <r>
    <x v="3"/>
    <x v="96"/>
    <x v="525"/>
    <x v="0"/>
    <x v="0"/>
    <x v="505"/>
    <x v="213"/>
    <x v="525"/>
    <x v="43"/>
  </r>
  <r>
    <x v="3"/>
    <x v="97"/>
    <x v="526"/>
    <x v="0"/>
    <x v="0"/>
    <x v="506"/>
    <x v="214"/>
    <x v="526"/>
    <x v="43"/>
  </r>
  <r>
    <x v="3"/>
    <x v="98"/>
    <x v="527"/>
    <x v="0"/>
    <x v="0"/>
    <x v="507"/>
    <x v="215"/>
    <x v="527"/>
    <x v="43"/>
  </r>
  <r>
    <x v="3"/>
    <x v="99"/>
    <x v="528"/>
    <x v="0"/>
    <x v="1"/>
    <x v="508"/>
    <x v="216"/>
    <x v="528"/>
    <x v="43"/>
  </r>
  <r>
    <x v="3"/>
    <x v="100"/>
    <x v="529"/>
    <x v="0"/>
    <x v="0"/>
    <x v="509"/>
    <x v="94"/>
    <x v="529"/>
    <x v="44"/>
  </r>
  <r>
    <x v="3"/>
    <x v="101"/>
    <x v="530"/>
    <x v="0"/>
    <x v="0"/>
    <x v="510"/>
    <x v="217"/>
    <x v="530"/>
    <x v="44"/>
  </r>
  <r>
    <x v="3"/>
    <x v="102"/>
    <x v="531"/>
    <x v="0"/>
    <x v="0"/>
    <x v="511"/>
    <x v="218"/>
    <x v="531"/>
    <x v="44"/>
  </r>
  <r>
    <x v="3"/>
    <x v="103"/>
    <x v="532"/>
    <x v="0"/>
    <x v="0"/>
    <x v="512"/>
    <x v="101"/>
    <x v="532"/>
    <x v="44"/>
  </r>
  <r>
    <x v="3"/>
    <x v="104"/>
    <x v="533"/>
    <x v="0"/>
    <x v="0"/>
    <x v="513"/>
    <x v="219"/>
    <x v="533"/>
    <x v="44"/>
  </r>
  <r>
    <x v="3"/>
    <x v="105"/>
    <x v="534"/>
    <x v="0"/>
    <x v="1"/>
    <x v="514"/>
    <x v="220"/>
    <x v="534"/>
    <x v="44"/>
  </r>
  <r>
    <x v="3"/>
    <x v="106"/>
    <x v="535"/>
    <x v="0"/>
    <x v="0"/>
    <x v="515"/>
    <x v="221"/>
    <x v="535"/>
    <x v="44"/>
  </r>
  <r>
    <x v="3"/>
    <x v="107"/>
    <x v="536"/>
    <x v="0"/>
    <x v="0"/>
    <x v="516"/>
    <x v="222"/>
    <x v="536"/>
    <x v="44"/>
  </r>
  <r>
    <x v="3"/>
    <x v="108"/>
    <x v="537"/>
    <x v="0"/>
    <x v="0"/>
    <x v="517"/>
    <x v="223"/>
    <x v="537"/>
    <x v="44"/>
  </r>
  <r>
    <x v="3"/>
    <x v="109"/>
    <x v="538"/>
    <x v="0"/>
    <x v="0"/>
    <x v="518"/>
    <x v="224"/>
    <x v="538"/>
    <x v="44"/>
  </r>
  <r>
    <x v="3"/>
    <x v="110"/>
    <x v="539"/>
    <x v="0"/>
    <x v="0"/>
    <x v="519"/>
    <x v="225"/>
    <x v="539"/>
    <x v="44"/>
  </r>
  <r>
    <x v="3"/>
    <x v="111"/>
    <x v="540"/>
    <x v="0"/>
    <x v="0"/>
    <x v="520"/>
    <x v="226"/>
    <x v="540"/>
    <x v="44"/>
  </r>
  <r>
    <x v="3"/>
    <x v="112"/>
    <x v="541"/>
    <x v="0"/>
    <x v="0"/>
    <x v="521"/>
    <x v="227"/>
    <x v="541"/>
    <x v="44"/>
  </r>
  <r>
    <x v="3"/>
    <x v="113"/>
    <x v="542"/>
    <x v="0"/>
    <x v="0"/>
    <x v="522"/>
    <x v="228"/>
    <x v="542"/>
    <x v="45"/>
  </r>
  <r>
    <x v="3"/>
    <x v="114"/>
    <x v="543"/>
    <x v="0"/>
    <x v="0"/>
    <x v="523"/>
    <x v="190"/>
    <x v="543"/>
    <x v="45"/>
  </r>
  <r>
    <x v="3"/>
    <x v="115"/>
    <x v="544"/>
    <x v="0"/>
    <x v="0"/>
    <x v="524"/>
    <x v="228"/>
    <x v="544"/>
    <x v="45"/>
  </r>
  <r>
    <x v="3"/>
    <x v="116"/>
    <x v="545"/>
    <x v="0"/>
    <x v="0"/>
    <x v="525"/>
    <x v="63"/>
    <x v="545"/>
    <x v="45"/>
  </r>
  <r>
    <x v="3"/>
    <x v="117"/>
    <x v="546"/>
    <x v="0"/>
    <x v="0"/>
    <x v="526"/>
    <x v="229"/>
    <x v="546"/>
    <x v="45"/>
  </r>
  <r>
    <x v="3"/>
    <x v="118"/>
    <x v="547"/>
    <x v="0"/>
    <x v="0"/>
    <x v="527"/>
    <x v="230"/>
    <x v="547"/>
    <x v="45"/>
  </r>
  <r>
    <x v="3"/>
    <x v="119"/>
    <x v="548"/>
    <x v="0"/>
    <x v="0"/>
    <x v="255"/>
    <x v="129"/>
    <x v="548"/>
    <x v="45"/>
  </r>
  <r>
    <x v="3"/>
    <x v="120"/>
    <x v="549"/>
    <x v="0"/>
    <x v="0"/>
    <x v="528"/>
    <x v="231"/>
    <x v="549"/>
    <x v="45"/>
  </r>
  <r>
    <x v="3"/>
    <x v="121"/>
    <x v="550"/>
    <x v="0"/>
    <x v="0"/>
    <x v="529"/>
    <x v="232"/>
    <x v="550"/>
    <x v="45"/>
  </r>
  <r>
    <x v="3"/>
    <x v="122"/>
    <x v="551"/>
    <x v="0"/>
    <x v="0"/>
    <x v="530"/>
    <x v="233"/>
    <x v="551"/>
    <x v="45"/>
  </r>
  <r>
    <x v="3"/>
    <x v="123"/>
    <x v="552"/>
    <x v="0"/>
    <x v="0"/>
    <x v="33"/>
    <x v="88"/>
    <x v="552"/>
    <x v="45"/>
  </r>
  <r>
    <x v="3"/>
    <x v="124"/>
    <x v="553"/>
    <x v="0"/>
    <x v="0"/>
    <x v="531"/>
    <x v="234"/>
    <x v="553"/>
    <x v="45"/>
  </r>
  <r>
    <x v="3"/>
    <x v="125"/>
    <x v="554"/>
    <x v="0"/>
    <x v="0"/>
    <x v="532"/>
    <x v="235"/>
    <x v="554"/>
    <x v="45"/>
  </r>
  <r>
    <x v="3"/>
    <x v="126"/>
    <x v="555"/>
    <x v="0"/>
    <x v="0"/>
    <x v="533"/>
    <x v="236"/>
    <x v="555"/>
    <x v="46"/>
  </r>
  <r>
    <x v="3"/>
    <x v="127"/>
    <x v="556"/>
    <x v="0"/>
    <x v="0"/>
    <x v="534"/>
    <x v="237"/>
    <x v="556"/>
    <x v="46"/>
  </r>
  <r>
    <x v="3"/>
    <x v="128"/>
    <x v="557"/>
    <x v="0"/>
    <x v="0"/>
    <x v="535"/>
    <x v="217"/>
    <x v="557"/>
    <x v="46"/>
  </r>
  <r>
    <x v="3"/>
    <x v="129"/>
    <x v="558"/>
    <x v="0"/>
    <x v="0"/>
    <x v="536"/>
    <x v="238"/>
    <x v="558"/>
    <x v="46"/>
  </r>
  <r>
    <x v="3"/>
    <x v="130"/>
    <x v="559"/>
    <x v="0"/>
    <x v="0"/>
    <x v="537"/>
    <x v="239"/>
    <x v="559"/>
    <x v="46"/>
  </r>
  <r>
    <x v="3"/>
    <x v="131"/>
    <x v="560"/>
    <x v="0"/>
    <x v="0"/>
    <x v="538"/>
    <x v="240"/>
    <x v="560"/>
    <x v="46"/>
  </r>
  <r>
    <x v="3"/>
    <x v="132"/>
    <x v="561"/>
    <x v="0"/>
    <x v="0"/>
    <x v="539"/>
    <x v="241"/>
    <x v="561"/>
    <x v="46"/>
  </r>
  <r>
    <x v="3"/>
    <x v="133"/>
    <x v="562"/>
    <x v="0"/>
    <x v="0"/>
    <x v="540"/>
    <x v="242"/>
    <x v="562"/>
    <x v="46"/>
  </r>
  <r>
    <x v="3"/>
    <x v="134"/>
    <x v="563"/>
    <x v="0"/>
    <x v="0"/>
    <x v="525"/>
    <x v="243"/>
    <x v="563"/>
    <x v="46"/>
  </r>
  <r>
    <x v="3"/>
    <x v="135"/>
    <x v="564"/>
    <x v="0"/>
    <x v="1"/>
    <x v="541"/>
    <x v="244"/>
    <x v="564"/>
    <x v="46"/>
  </r>
  <r>
    <x v="3"/>
    <x v="136"/>
    <x v="565"/>
    <x v="0"/>
    <x v="0"/>
    <x v="542"/>
    <x v="245"/>
    <x v="565"/>
    <x v="46"/>
  </r>
  <r>
    <x v="3"/>
    <x v="137"/>
    <x v="566"/>
    <x v="0"/>
    <x v="0"/>
    <x v="543"/>
    <x v="132"/>
    <x v="566"/>
    <x v="46"/>
  </r>
  <r>
    <x v="3"/>
    <x v="138"/>
    <x v="567"/>
    <x v="0"/>
    <x v="0"/>
    <x v="88"/>
    <x v="133"/>
    <x v="567"/>
    <x v="46"/>
  </r>
  <r>
    <x v="3"/>
    <x v="139"/>
    <x v="568"/>
    <x v="0"/>
    <x v="0"/>
    <x v="544"/>
    <x v="129"/>
    <x v="568"/>
    <x v="47"/>
  </r>
  <r>
    <x v="3"/>
    <x v="140"/>
    <x v="569"/>
    <x v="0"/>
    <x v="0"/>
    <x v="251"/>
    <x v="246"/>
    <x v="569"/>
    <x v="47"/>
  </r>
  <r>
    <x v="3"/>
    <x v="141"/>
    <x v="570"/>
    <x v="0"/>
    <x v="0"/>
    <x v="545"/>
    <x v="242"/>
    <x v="570"/>
    <x v="47"/>
  </r>
  <r>
    <x v="3"/>
    <x v="142"/>
    <x v="571"/>
    <x v="0"/>
    <x v="0"/>
    <x v="546"/>
    <x v="247"/>
    <x v="571"/>
    <x v="47"/>
  </r>
  <r>
    <x v="4"/>
    <x v="0"/>
    <x v="572"/>
    <x v="1"/>
    <x v="0"/>
    <x v="547"/>
    <x v="0"/>
    <x v="572"/>
    <x v="48"/>
  </r>
  <r>
    <x v="4"/>
    <x v="1"/>
    <x v="573"/>
    <x v="1"/>
    <x v="1"/>
    <x v="548"/>
    <x v="1"/>
    <x v="573"/>
    <x v="48"/>
  </r>
  <r>
    <x v="4"/>
    <x v="2"/>
    <x v="574"/>
    <x v="1"/>
    <x v="0"/>
    <x v="549"/>
    <x v="2"/>
    <x v="574"/>
    <x v="48"/>
  </r>
  <r>
    <x v="4"/>
    <x v="3"/>
    <x v="575"/>
    <x v="1"/>
    <x v="0"/>
    <x v="550"/>
    <x v="3"/>
    <x v="575"/>
    <x v="48"/>
  </r>
  <r>
    <x v="4"/>
    <x v="4"/>
    <x v="576"/>
    <x v="1"/>
    <x v="0"/>
    <x v="551"/>
    <x v="4"/>
    <x v="576"/>
    <x v="48"/>
  </r>
  <r>
    <x v="4"/>
    <x v="5"/>
    <x v="577"/>
    <x v="1"/>
    <x v="0"/>
    <x v="552"/>
    <x v="5"/>
    <x v="577"/>
    <x v="48"/>
  </r>
  <r>
    <x v="4"/>
    <x v="6"/>
    <x v="578"/>
    <x v="1"/>
    <x v="0"/>
    <x v="553"/>
    <x v="6"/>
    <x v="578"/>
    <x v="48"/>
  </r>
  <r>
    <x v="4"/>
    <x v="7"/>
    <x v="579"/>
    <x v="1"/>
    <x v="0"/>
    <x v="554"/>
    <x v="7"/>
    <x v="579"/>
    <x v="48"/>
  </r>
  <r>
    <x v="4"/>
    <x v="8"/>
    <x v="580"/>
    <x v="1"/>
    <x v="0"/>
    <x v="555"/>
    <x v="8"/>
    <x v="580"/>
    <x v="49"/>
  </r>
  <r>
    <x v="4"/>
    <x v="9"/>
    <x v="581"/>
    <x v="1"/>
    <x v="0"/>
    <x v="556"/>
    <x v="9"/>
    <x v="581"/>
    <x v="49"/>
  </r>
  <r>
    <x v="4"/>
    <x v="10"/>
    <x v="582"/>
    <x v="1"/>
    <x v="0"/>
    <x v="557"/>
    <x v="10"/>
    <x v="582"/>
    <x v="49"/>
  </r>
  <r>
    <x v="4"/>
    <x v="11"/>
    <x v="583"/>
    <x v="1"/>
    <x v="0"/>
    <x v="558"/>
    <x v="11"/>
    <x v="583"/>
    <x v="49"/>
  </r>
  <r>
    <x v="4"/>
    <x v="12"/>
    <x v="584"/>
    <x v="1"/>
    <x v="0"/>
    <x v="559"/>
    <x v="12"/>
    <x v="584"/>
    <x v="49"/>
  </r>
  <r>
    <x v="4"/>
    <x v="13"/>
    <x v="585"/>
    <x v="1"/>
    <x v="0"/>
    <x v="560"/>
    <x v="13"/>
    <x v="585"/>
    <x v="49"/>
  </r>
  <r>
    <x v="4"/>
    <x v="14"/>
    <x v="586"/>
    <x v="1"/>
    <x v="0"/>
    <x v="561"/>
    <x v="14"/>
    <x v="586"/>
    <x v="49"/>
  </r>
  <r>
    <x v="4"/>
    <x v="15"/>
    <x v="587"/>
    <x v="1"/>
    <x v="0"/>
    <x v="562"/>
    <x v="15"/>
    <x v="587"/>
    <x v="49"/>
  </r>
  <r>
    <x v="4"/>
    <x v="16"/>
    <x v="588"/>
    <x v="1"/>
    <x v="0"/>
    <x v="563"/>
    <x v="16"/>
    <x v="588"/>
    <x v="49"/>
  </r>
  <r>
    <x v="4"/>
    <x v="17"/>
    <x v="589"/>
    <x v="1"/>
    <x v="0"/>
    <x v="564"/>
    <x v="17"/>
    <x v="589"/>
    <x v="49"/>
  </r>
  <r>
    <x v="4"/>
    <x v="18"/>
    <x v="590"/>
    <x v="1"/>
    <x v="0"/>
    <x v="438"/>
    <x v="18"/>
    <x v="590"/>
    <x v="49"/>
  </r>
  <r>
    <x v="4"/>
    <x v="19"/>
    <x v="591"/>
    <x v="1"/>
    <x v="0"/>
    <x v="565"/>
    <x v="19"/>
    <x v="591"/>
    <x v="49"/>
  </r>
  <r>
    <x v="4"/>
    <x v="20"/>
    <x v="592"/>
    <x v="1"/>
    <x v="0"/>
    <x v="566"/>
    <x v="20"/>
    <x v="592"/>
    <x v="49"/>
  </r>
  <r>
    <x v="4"/>
    <x v="21"/>
    <x v="593"/>
    <x v="1"/>
    <x v="0"/>
    <x v="567"/>
    <x v="21"/>
    <x v="593"/>
    <x v="50"/>
  </r>
  <r>
    <x v="4"/>
    <x v="22"/>
    <x v="594"/>
    <x v="1"/>
    <x v="0"/>
    <x v="568"/>
    <x v="22"/>
    <x v="594"/>
    <x v="50"/>
  </r>
  <r>
    <x v="4"/>
    <x v="23"/>
    <x v="595"/>
    <x v="1"/>
    <x v="0"/>
    <x v="569"/>
    <x v="23"/>
    <x v="595"/>
    <x v="50"/>
  </r>
  <r>
    <x v="4"/>
    <x v="24"/>
    <x v="596"/>
    <x v="1"/>
    <x v="0"/>
    <x v="570"/>
    <x v="24"/>
    <x v="596"/>
    <x v="50"/>
  </r>
  <r>
    <x v="4"/>
    <x v="25"/>
    <x v="597"/>
    <x v="1"/>
    <x v="0"/>
    <x v="571"/>
    <x v="25"/>
    <x v="597"/>
    <x v="50"/>
  </r>
  <r>
    <x v="4"/>
    <x v="26"/>
    <x v="598"/>
    <x v="1"/>
    <x v="0"/>
    <x v="572"/>
    <x v="26"/>
    <x v="598"/>
    <x v="50"/>
  </r>
  <r>
    <x v="4"/>
    <x v="27"/>
    <x v="599"/>
    <x v="1"/>
    <x v="0"/>
    <x v="573"/>
    <x v="27"/>
    <x v="599"/>
    <x v="50"/>
  </r>
  <r>
    <x v="4"/>
    <x v="28"/>
    <x v="600"/>
    <x v="1"/>
    <x v="0"/>
    <x v="574"/>
    <x v="28"/>
    <x v="600"/>
    <x v="50"/>
  </r>
  <r>
    <x v="4"/>
    <x v="29"/>
    <x v="601"/>
    <x v="1"/>
    <x v="0"/>
    <x v="575"/>
    <x v="29"/>
    <x v="601"/>
    <x v="50"/>
  </r>
  <r>
    <x v="4"/>
    <x v="30"/>
    <x v="602"/>
    <x v="1"/>
    <x v="0"/>
    <x v="576"/>
    <x v="30"/>
    <x v="602"/>
    <x v="50"/>
  </r>
  <r>
    <x v="4"/>
    <x v="31"/>
    <x v="603"/>
    <x v="1"/>
    <x v="1"/>
    <x v="577"/>
    <x v="31"/>
    <x v="603"/>
    <x v="50"/>
  </r>
  <r>
    <x v="4"/>
    <x v="32"/>
    <x v="604"/>
    <x v="1"/>
    <x v="0"/>
    <x v="401"/>
    <x v="32"/>
    <x v="604"/>
    <x v="50"/>
  </r>
  <r>
    <x v="4"/>
    <x v="33"/>
    <x v="605"/>
    <x v="1"/>
    <x v="0"/>
    <x v="298"/>
    <x v="33"/>
    <x v="605"/>
    <x v="50"/>
  </r>
  <r>
    <x v="4"/>
    <x v="34"/>
    <x v="606"/>
    <x v="1"/>
    <x v="0"/>
    <x v="578"/>
    <x v="34"/>
    <x v="606"/>
    <x v="51"/>
  </r>
  <r>
    <x v="4"/>
    <x v="35"/>
    <x v="607"/>
    <x v="1"/>
    <x v="0"/>
    <x v="579"/>
    <x v="35"/>
    <x v="607"/>
    <x v="51"/>
  </r>
  <r>
    <x v="4"/>
    <x v="36"/>
    <x v="608"/>
    <x v="1"/>
    <x v="0"/>
    <x v="580"/>
    <x v="6"/>
    <x v="608"/>
    <x v="51"/>
  </r>
  <r>
    <x v="4"/>
    <x v="37"/>
    <x v="609"/>
    <x v="1"/>
    <x v="0"/>
    <x v="581"/>
    <x v="36"/>
    <x v="609"/>
    <x v="51"/>
  </r>
  <r>
    <x v="4"/>
    <x v="38"/>
    <x v="610"/>
    <x v="1"/>
    <x v="0"/>
    <x v="582"/>
    <x v="37"/>
    <x v="610"/>
    <x v="51"/>
  </r>
  <r>
    <x v="4"/>
    <x v="39"/>
    <x v="611"/>
    <x v="1"/>
    <x v="0"/>
    <x v="583"/>
    <x v="38"/>
    <x v="611"/>
    <x v="51"/>
  </r>
  <r>
    <x v="4"/>
    <x v="40"/>
    <x v="612"/>
    <x v="1"/>
    <x v="0"/>
    <x v="584"/>
    <x v="39"/>
    <x v="612"/>
    <x v="51"/>
  </r>
  <r>
    <x v="4"/>
    <x v="41"/>
    <x v="613"/>
    <x v="1"/>
    <x v="0"/>
    <x v="585"/>
    <x v="40"/>
    <x v="613"/>
    <x v="51"/>
  </r>
  <r>
    <x v="4"/>
    <x v="42"/>
    <x v="614"/>
    <x v="1"/>
    <x v="1"/>
    <x v="586"/>
    <x v="41"/>
    <x v="614"/>
    <x v="51"/>
  </r>
  <r>
    <x v="4"/>
    <x v="43"/>
    <x v="615"/>
    <x v="1"/>
    <x v="0"/>
    <x v="587"/>
    <x v="42"/>
    <x v="615"/>
    <x v="51"/>
  </r>
  <r>
    <x v="4"/>
    <x v="44"/>
    <x v="616"/>
    <x v="1"/>
    <x v="0"/>
    <x v="48"/>
    <x v="43"/>
    <x v="616"/>
    <x v="51"/>
  </r>
  <r>
    <x v="4"/>
    <x v="45"/>
    <x v="617"/>
    <x v="1"/>
    <x v="0"/>
    <x v="588"/>
    <x v="44"/>
    <x v="617"/>
    <x v="51"/>
  </r>
  <r>
    <x v="4"/>
    <x v="46"/>
    <x v="618"/>
    <x v="1"/>
    <x v="0"/>
    <x v="589"/>
    <x v="45"/>
    <x v="618"/>
    <x v="51"/>
  </r>
  <r>
    <x v="4"/>
    <x v="47"/>
    <x v="619"/>
    <x v="1"/>
    <x v="1"/>
    <x v="590"/>
    <x v="46"/>
    <x v="619"/>
    <x v="51"/>
  </r>
  <r>
    <x v="4"/>
    <x v="48"/>
    <x v="620"/>
    <x v="1"/>
    <x v="0"/>
    <x v="591"/>
    <x v="47"/>
    <x v="620"/>
    <x v="52"/>
  </r>
  <r>
    <x v="4"/>
    <x v="49"/>
    <x v="621"/>
    <x v="1"/>
    <x v="0"/>
    <x v="592"/>
    <x v="48"/>
    <x v="621"/>
    <x v="52"/>
  </r>
  <r>
    <x v="4"/>
    <x v="50"/>
    <x v="622"/>
    <x v="1"/>
    <x v="0"/>
    <x v="593"/>
    <x v="49"/>
    <x v="622"/>
    <x v="52"/>
  </r>
  <r>
    <x v="4"/>
    <x v="51"/>
    <x v="623"/>
    <x v="1"/>
    <x v="0"/>
    <x v="594"/>
    <x v="50"/>
    <x v="623"/>
    <x v="52"/>
  </r>
  <r>
    <x v="4"/>
    <x v="52"/>
    <x v="624"/>
    <x v="1"/>
    <x v="0"/>
    <x v="595"/>
    <x v="51"/>
    <x v="624"/>
    <x v="52"/>
  </r>
  <r>
    <x v="4"/>
    <x v="53"/>
    <x v="625"/>
    <x v="1"/>
    <x v="1"/>
    <x v="195"/>
    <x v="52"/>
    <x v="625"/>
    <x v="52"/>
  </r>
  <r>
    <x v="4"/>
    <x v="54"/>
    <x v="626"/>
    <x v="1"/>
    <x v="0"/>
    <x v="596"/>
    <x v="53"/>
    <x v="626"/>
    <x v="52"/>
  </r>
  <r>
    <x v="4"/>
    <x v="55"/>
    <x v="627"/>
    <x v="1"/>
    <x v="0"/>
    <x v="597"/>
    <x v="54"/>
    <x v="627"/>
    <x v="52"/>
  </r>
  <r>
    <x v="4"/>
    <x v="56"/>
    <x v="628"/>
    <x v="1"/>
    <x v="0"/>
    <x v="598"/>
    <x v="55"/>
    <x v="628"/>
    <x v="52"/>
  </r>
  <r>
    <x v="4"/>
    <x v="57"/>
    <x v="629"/>
    <x v="1"/>
    <x v="0"/>
    <x v="599"/>
    <x v="56"/>
    <x v="629"/>
    <x v="52"/>
  </r>
  <r>
    <x v="4"/>
    <x v="58"/>
    <x v="630"/>
    <x v="1"/>
    <x v="0"/>
    <x v="600"/>
    <x v="57"/>
    <x v="630"/>
    <x v="52"/>
  </r>
  <r>
    <x v="4"/>
    <x v="59"/>
    <x v="631"/>
    <x v="1"/>
    <x v="0"/>
    <x v="601"/>
    <x v="58"/>
    <x v="631"/>
    <x v="52"/>
  </r>
  <r>
    <x v="4"/>
    <x v="60"/>
    <x v="632"/>
    <x v="1"/>
    <x v="0"/>
    <x v="602"/>
    <x v="59"/>
    <x v="632"/>
    <x v="53"/>
  </r>
  <r>
    <x v="4"/>
    <x v="61"/>
    <x v="633"/>
    <x v="1"/>
    <x v="0"/>
    <x v="38"/>
    <x v="60"/>
    <x v="633"/>
    <x v="53"/>
  </r>
  <r>
    <x v="4"/>
    <x v="62"/>
    <x v="634"/>
    <x v="1"/>
    <x v="0"/>
    <x v="603"/>
    <x v="61"/>
    <x v="634"/>
    <x v="53"/>
  </r>
  <r>
    <x v="4"/>
    <x v="63"/>
    <x v="635"/>
    <x v="1"/>
    <x v="0"/>
    <x v="604"/>
    <x v="62"/>
    <x v="635"/>
    <x v="53"/>
  </r>
  <r>
    <x v="4"/>
    <x v="64"/>
    <x v="636"/>
    <x v="1"/>
    <x v="0"/>
    <x v="605"/>
    <x v="63"/>
    <x v="636"/>
    <x v="53"/>
  </r>
  <r>
    <x v="4"/>
    <x v="65"/>
    <x v="637"/>
    <x v="1"/>
    <x v="0"/>
    <x v="606"/>
    <x v="64"/>
    <x v="637"/>
    <x v="53"/>
  </r>
  <r>
    <x v="4"/>
    <x v="66"/>
    <x v="638"/>
    <x v="1"/>
    <x v="0"/>
    <x v="607"/>
    <x v="65"/>
    <x v="638"/>
    <x v="53"/>
  </r>
  <r>
    <x v="4"/>
    <x v="67"/>
    <x v="639"/>
    <x v="1"/>
    <x v="0"/>
    <x v="608"/>
    <x v="66"/>
    <x v="639"/>
    <x v="53"/>
  </r>
  <r>
    <x v="4"/>
    <x v="68"/>
    <x v="640"/>
    <x v="1"/>
    <x v="0"/>
    <x v="526"/>
    <x v="67"/>
    <x v="640"/>
    <x v="53"/>
  </r>
  <r>
    <x v="4"/>
    <x v="69"/>
    <x v="641"/>
    <x v="1"/>
    <x v="0"/>
    <x v="609"/>
    <x v="68"/>
    <x v="641"/>
    <x v="53"/>
  </r>
  <r>
    <x v="4"/>
    <x v="70"/>
    <x v="642"/>
    <x v="1"/>
    <x v="0"/>
    <x v="610"/>
    <x v="69"/>
    <x v="642"/>
    <x v="53"/>
  </r>
  <r>
    <x v="4"/>
    <x v="71"/>
    <x v="643"/>
    <x v="1"/>
    <x v="0"/>
    <x v="611"/>
    <x v="70"/>
    <x v="643"/>
    <x v="53"/>
  </r>
  <r>
    <x v="4"/>
    <x v="72"/>
    <x v="644"/>
    <x v="1"/>
    <x v="0"/>
    <x v="612"/>
    <x v="71"/>
    <x v="644"/>
    <x v="53"/>
  </r>
  <r>
    <x v="4"/>
    <x v="73"/>
    <x v="645"/>
    <x v="1"/>
    <x v="0"/>
    <x v="162"/>
    <x v="59"/>
    <x v="645"/>
    <x v="54"/>
  </r>
  <r>
    <x v="4"/>
    <x v="74"/>
    <x v="646"/>
    <x v="1"/>
    <x v="0"/>
    <x v="613"/>
    <x v="72"/>
    <x v="646"/>
    <x v="54"/>
  </r>
  <r>
    <x v="4"/>
    <x v="75"/>
    <x v="647"/>
    <x v="1"/>
    <x v="0"/>
    <x v="614"/>
    <x v="73"/>
    <x v="647"/>
    <x v="54"/>
  </r>
  <r>
    <x v="4"/>
    <x v="76"/>
    <x v="648"/>
    <x v="1"/>
    <x v="0"/>
    <x v="615"/>
    <x v="74"/>
    <x v="648"/>
    <x v="54"/>
  </r>
  <r>
    <x v="4"/>
    <x v="77"/>
    <x v="649"/>
    <x v="1"/>
    <x v="0"/>
    <x v="616"/>
    <x v="75"/>
    <x v="649"/>
    <x v="54"/>
  </r>
  <r>
    <x v="4"/>
    <x v="78"/>
    <x v="650"/>
    <x v="1"/>
    <x v="0"/>
    <x v="617"/>
    <x v="76"/>
    <x v="650"/>
    <x v="54"/>
  </r>
  <r>
    <x v="4"/>
    <x v="79"/>
    <x v="651"/>
    <x v="1"/>
    <x v="0"/>
    <x v="618"/>
    <x v="77"/>
    <x v="651"/>
    <x v="54"/>
  </r>
  <r>
    <x v="4"/>
    <x v="80"/>
    <x v="652"/>
    <x v="1"/>
    <x v="0"/>
    <x v="619"/>
    <x v="78"/>
    <x v="652"/>
    <x v="54"/>
  </r>
  <r>
    <x v="4"/>
    <x v="81"/>
    <x v="653"/>
    <x v="1"/>
    <x v="0"/>
    <x v="620"/>
    <x v="79"/>
    <x v="653"/>
    <x v="54"/>
  </r>
  <r>
    <x v="4"/>
    <x v="82"/>
    <x v="654"/>
    <x v="1"/>
    <x v="0"/>
    <x v="621"/>
    <x v="80"/>
    <x v="654"/>
    <x v="54"/>
  </r>
  <r>
    <x v="4"/>
    <x v="83"/>
    <x v="655"/>
    <x v="1"/>
    <x v="1"/>
    <x v="622"/>
    <x v="81"/>
    <x v="655"/>
    <x v="54"/>
  </r>
  <r>
    <x v="4"/>
    <x v="84"/>
    <x v="656"/>
    <x v="1"/>
    <x v="0"/>
    <x v="623"/>
    <x v="82"/>
    <x v="656"/>
    <x v="54"/>
  </r>
  <r>
    <x v="4"/>
    <x v="85"/>
    <x v="657"/>
    <x v="1"/>
    <x v="0"/>
    <x v="624"/>
    <x v="83"/>
    <x v="657"/>
    <x v="54"/>
  </r>
  <r>
    <x v="4"/>
    <x v="86"/>
    <x v="658"/>
    <x v="1"/>
    <x v="0"/>
    <x v="625"/>
    <x v="84"/>
    <x v="658"/>
    <x v="54"/>
  </r>
  <r>
    <x v="4"/>
    <x v="87"/>
    <x v="659"/>
    <x v="1"/>
    <x v="0"/>
    <x v="318"/>
    <x v="85"/>
    <x v="659"/>
    <x v="55"/>
  </r>
  <r>
    <x v="4"/>
    <x v="88"/>
    <x v="660"/>
    <x v="1"/>
    <x v="0"/>
    <x v="626"/>
    <x v="86"/>
    <x v="660"/>
    <x v="55"/>
  </r>
  <r>
    <x v="4"/>
    <x v="89"/>
    <x v="661"/>
    <x v="1"/>
    <x v="0"/>
    <x v="627"/>
    <x v="87"/>
    <x v="661"/>
    <x v="55"/>
  </r>
  <r>
    <x v="4"/>
    <x v="90"/>
    <x v="662"/>
    <x v="1"/>
    <x v="0"/>
    <x v="628"/>
    <x v="88"/>
    <x v="662"/>
    <x v="55"/>
  </r>
  <r>
    <x v="4"/>
    <x v="91"/>
    <x v="663"/>
    <x v="1"/>
    <x v="0"/>
    <x v="629"/>
    <x v="89"/>
    <x v="663"/>
    <x v="55"/>
  </r>
  <r>
    <x v="4"/>
    <x v="92"/>
    <x v="664"/>
    <x v="1"/>
    <x v="0"/>
    <x v="383"/>
    <x v="90"/>
    <x v="664"/>
    <x v="55"/>
  </r>
  <r>
    <x v="4"/>
    <x v="93"/>
    <x v="665"/>
    <x v="1"/>
    <x v="0"/>
    <x v="630"/>
    <x v="91"/>
    <x v="665"/>
    <x v="55"/>
  </r>
  <r>
    <x v="4"/>
    <x v="94"/>
    <x v="666"/>
    <x v="1"/>
    <x v="1"/>
    <x v="631"/>
    <x v="92"/>
    <x v="666"/>
    <x v="55"/>
  </r>
  <r>
    <x v="4"/>
    <x v="95"/>
    <x v="667"/>
    <x v="1"/>
    <x v="0"/>
    <x v="632"/>
    <x v="93"/>
    <x v="667"/>
    <x v="55"/>
  </r>
  <r>
    <x v="4"/>
    <x v="96"/>
    <x v="668"/>
    <x v="1"/>
    <x v="0"/>
    <x v="633"/>
    <x v="94"/>
    <x v="668"/>
    <x v="55"/>
  </r>
  <r>
    <x v="4"/>
    <x v="97"/>
    <x v="669"/>
    <x v="1"/>
    <x v="0"/>
    <x v="634"/>
    <x v="95"/>
    <x v="669"/>
    <x v="55"/>
  </r>
  <r>
    <x v="4"/>
    <x v="98"/>
    <x v="670"/>
    <x v="1"/>
    <x v="0"/>
    <x v="635"/>
    <x v="96"/>
    <x v="670"/>
    <x v="55"/>
  </r>
  <r>
    <x v="4"/>
    <x v="99"/>
    <x v="671"/>
    <x v="1"/>
    <x v="1"/>
    <x v="636"/>
    <x v="97"/>
    <x v="671"/>
    <x v="55"/>
  </r>
  <r>
    <x v="4"/>
    <x v="100"/>
    <x v="672"/>
    <x v="1"/>
    <x v="0"/>
    <x v="637"/>
    <x v="98"/>
    <x v="672"/>
    <x v="56"/>
  </r>
  <r>
    <x v="4"/>
    <x v="101"/>
    <x v="673"/>
    <x v="1"/>
    <x v="0"/>
    <x v="638"/>
    <x v="99"/>
    <x v="673"/>
    <x v="56"/>
  </r>
  <r>
    <x v="4"/>
    <x v="102"/>
    <x v="674"/>
    <x v="1"/>
    <x v="0"/>
    <x v="639"/>
    <x v="100"/>
    <x v="674"/>
    <x v="56"/>
  </r>
  <r>
    <x v="4"/>
    <x v="103"/>
    <x v="675"/>
    <x v="1"/>
    <x v="0"/>
    <x v="249"/>
    <x v="101"/>
    <x v="675"/>
    <x v="56"/>
  </r>
  <r>
    <x v="4"/>
    <x v="104"/>
    <x v="676"/>
    <x v="1"/>
    <x v="0"/>
    <x v="640"/>
    <x v="102"/>
    <x v="676"/>
    <x v="56"/>
  </r>
  <r>
    <x v="4"/>
    <x v="105"/>
    <x v="677"/>
    <x v="1"/>
    <x v="1"/>
    <x v="641"/>
    <x v="103"/>
    <x v="677"/>
    <x v="56"/>
  </r>
  <r>
    <x v="4"/>
    <x v="106"/>
    <x v="678"/>
    <x v="1"/>
    <x v="0"/>
    <x v="642"/>
    <x v="104"/>
    <x v="678"/>
    <x v="56"/>
  </r>
  <r>
    <x v="4"/>
    <x v="107"/>
    <x v="679"/>
    <x v="1"/>
    <x v="0"/>
    <x v="643"/>
    <x v="105"/>
    <x v="679"/>
    <x v="56"/>
  </r>
  <r>
    <x v="4"/>
    <x v="108"/>
    <x v="680"/>
    <x v="1"/>
    <x v="0"/>
    <x v="644"/>
    <x v="106"/>
    <x v="680"/>
    <x v="56"/>
  </r>
  <r>
    <x v="4"/>
    <x v="109"/>
    <x v="681"/>
    <x v="1"/>
    <x v="0"/>
    <x v="645"/>
    <x v="107"/>
    <x v="681"/>
    <x v="56"/>
  </r>
  <r>
    <x v="4"/>
    <x v="110"/>
    <x v="682"/>
    <x v="1"/>
    <x v="0"/>
    <x v="646"/>
    <x v="108"/>
    <x v="682"/>
    <x v="56"/>
  </r>
  <r>
    <x v="4"/>
    <x v="111"/>
    <x v="683"/>
    <x v="1"/>
    <x v="0"/>
    <x v="647"/>
    <x v="109"/>
    <x v="683"/>
    <x v="56"/>
  </r>
  <r>
    <x v="4"/>
    <x v="112"/>
    <x v="684"/>
    <x v="1"/>
    <x v="0"/>
    <x v="648"/>
    <x v="110"/>
    <x v="684"/>
    <x v="56"/>
  </r>
  <r>
    <x v="4"/>
    <x v="113"/>
    <x v="685"/>
    <x v="1"/>
    <x v="0"/>
    <x v="649"/>
    <x v="111"/>
    <x v="685"/>
    <x v="57"/>
  </r>
  <r>
    <x v="4"/>
    <x v="114"/>
    <x v="686"/>
    <x v="1"/>
    <x v="0"/>
    <x v="650"/>
    <x v="111"/>
    <x v="686"/>
    <x v="57"/>
  </r>
  <r>
    <x v="4"/>
    <x v="115"/>
    <x v="687"/>
    <x v="1"/>
    <x v="0"/>
    <x v="651"/>
    <x v="112"/>
    <x v="687"/>
    <x v="57"/>
  </r>
  <r>
    <x v="4"/>
    <x v="116"/>
    <x v="688"/>
    <x v="1"/>
    <x v="0"/>
    <x v="652"/>
    <x v="113"/>
    <x v="688"/>
    <x v="57"/>
  </r>
  <r>
    <x v="4"/>
    <x v="117"/>
    <x v="689"/>
    <x v="1"/>
    <x v="0"/>
    <x v="653"/>
    <x v="114"/>
    <x v="689"/>
    <x v="57"/>
  </r>
  <r>
    <x v="4"/>
    <x v="118"/>
    <x v="690"/>
    <x v="1"/>
    <x v="0"/>
    <x v="654"/>
    <x v="115"/>
    <x v="690"/>
    <x v="57"/>
  </r>
  <r>
    <x v="4"/>
    <x v="119"/>
    <x v="691"/>
    <x v="1"/>
    <x v="0"/>
    <x v="655"/>
    <x v="106"/>
    <x v="691"/>
    <x v="57"/>
  </r>
  <r>
    <x v="4"/>
    <x v="120"/>
    <x v="692"/>
    <x v="1"/>
    <x v="0"/>
    <x v="656"/>
    <x v="116"/>
    <x v="692"/>
    <x v="57"/>
  </r>
  <r>
    <x v="4"/>
    <x v="121"/>
    <x v="693"/>
    <x v="1"/>
    <x v="0"/>
    <x v="657"/>
    <x v="117"/>
    <x v="693"/>
    <x v="57"/>
  </r>
  <r>
    <x v="4"/>
    <x v="122"/>
    <x v="694"/>
    <x v="1"/>
    <x v="0"/>
    <x v="658"/>
    <x v="118"/>
    <x v="694"/>
    <x v="57"/>
  </r>
  <r>
    <x v="4"/>
    <x v="123"/>
    <x v="695"/>
    <x v="1"/>
    <x v="0"/>
    <x v="659"/>
    <x v="119"/>
    <x v="695"/>
    <x v="57"/>
  </r>
  <r>
    <x v="4"/>
    <x v="124"/>
    <x v="696"/>
    <x v="1"/>
    <x v="0"/>
    <x v="660"/>
    <x v="120"/>
    <x v="696"/>
    <x v="57"/>
  </r>
  <r>
    <x v="4"/>
    <x v="125"/>
    <x v="697"/>
    <x v="1"/>
    <x v="0"/>
    <x v="661"/>
    <x v="121"/>
    <x v="697"/>
    <x v="57"/>
  </r>
  <r>
    <x v="4"/>
    <x v="126"/>
    <x v="698"/>
    <x v="1"/>
    <x v="0"/>
    <x v="662"/>
    <x v="122"/>
    <x v="698"/>
    <x v="58"/>
  </r>
  <r>
    <x v="4"/>
    <x v="127"/>
    <x v="699"/>
    <x v="1"/>
    <x v="0"/>
    <x v="663"/>
    <x v="123"/>
    <x v="699"/>
    <x v="58"/>
  </r>
  <r>
    <x v="4"/>
    <x v="128"/>
    <x v="700"/>
    <x v="1"/>
    <x v="0"/>
    <x v="664"/>
    <x v="124"/>
    <x v="700"/>
    <x v="58"/>
  </r>
  <r>
    <x v="4"/>
    <x v="129"/>
    <x v="701"/>
    <x v="1"/>
    <x v="0"/>
    <x v="665"/>
    <x v="125"/>
    <x v="701"/>
    <x v="58"/>
  </r>
  <r>
    <x v="4"/>
    <x v="130"/>
    <x v="702"/>
    <x v="1"/>
    <x v="0"/>
    <x v="666"/>
    <x v="126"/>
    <x v="702"/>
    <x v="58"/>
  </r>
  <r>
    <x v="4"/>
    <x v="131"/>
    <x v="703"/>
    <x v="1"/>
    <x v="0"/>
    <x v="347"/>
    <x v="127"/>
    <x v="703"/>
    <x v="58"/>
  </r>
  <r>
    <x v="4"/>
    <x v="132"/>
    <x v="704"/>
    <x v="1"/>
    <x v="0"/>
    <x v="667"/>
    <x v="128"/>
    <x v="704"/>
    <x v="58"/>
  </r>
  <r>
    <x v="4"/>
    <x v="133"/>
    <x v="705"/>
    <x v="1"/>
    <x v="0"/>
    <x v="278"/>
    <x v="129"/>
    <x v="705"/>
    <x v="58"/>
  </r>
  <r>
    <x v="4"/>
    <x v="134"/>
    <x v="706"/>
    <x v="1"/>
    <x v="0"/>
    <x v="668"/>
    <x v="77"/>
    <x v="706"/>
    <x v="58"/>
  </r>
  <r>
    <x v="4"/>
    <x v="135"/>
    <x v="707"/>
    <x v="1"/>
    <x v="1"/>
    <x v="669"/>
    <x v="130"/>
    <x v="707"/>
    <x v="58"/>
  </r>
  <r>
    <x v="4"/>
    <x v="136"/>
    <x v="708"/>
    <x v="1"/>
    <x v="0"/>
    <x v="670"/>
    <x v="131"/>
    <x v="708"/>
    <x v="58"/>
  </r>
  <r>
    <x v="4"/>
    <x v="137"/>
    <x v="709"/>
    <x v="1"/>
    <x v="0"/>
    <x v="277"/>
    <x v="132"/>
    <x v="709"/>
    <x v="58"/>
  </r>
  <r>
    <x v="4"/>
    <x v="138"/>
    <x v="710"/>
    <x v="1"/>
    <x v="0"/>
    <x v="671"/>
    <x v="133"/>
    <x v="710"/>
    <x v="58"/>
  </r>
  <r>
    <x v="4"/>
    <x v="139"/>
    <x v="711"/>
    <x v="1"/>
    <x v="0"/>
    <x v="672"/>
    <x v="134"/>
    <x v="711"/>
    <x v="59"/>
  </r>
  <r>
    <x v="4"/>
    <x v="140"/>
    <x v="712"/>
    <x v="1"/>
    <x v="0"/>
    <x v="181"/>
    <x v="135"/>
    <x v="712"/>
    <x v="59"/>
  </r>
  <r>
    <x v="4"/>
    <x v="141"/>
    <x v="713"/>
    <x v="1"/>
    <x v="0"/>
    <x v="673"/>
    <x v="71"/>
    <x v="713"/>
    <x v="59"/>
  </r>
  <r>
    <x v="4"/>
    <x v="142"/>
    <x v="714"/>
    <x v="1"/>
    <x v="0"/>
    <x v="674"/>
    <x v="136"/>
    <x v="714"/>
    <x v="59"/>
  </r>
  <r>
    <x v="5"/>
    <x v="0"/>
    <x v="715"/>
    <x v="0"/>
    <x v="0"/>
    <x v="675"/>
    <x v="0"/>
    <x v="715"/>
    <x v="60"/>
  </r>
  <r>
    <x v="5"/>
    <x v="1"/>
    <x v="716"/>
    <x v="0"/>
    <x v="1"/>
    <x v="676"/>
    <x v="1"/>
    <x v="716"/>
    <x v="60"/>
  </r>
  <r>
    <x v="5"/>
    <x v="2"/>
    <x v="717"/>
    <x v="0"/>
    <x v="0"/>
    <x v="677"/>
    <x v="2"/>
    <x v="717"/>
    <x v="60"/>
  </r>
  <r>
    <x v="5"/>
    <x v="3"/>
    <x v="718"/>
    <x v="0"/>
    <x v="0"/>
    <x v="678"/>
    <x v="3"/>
    <x v="718"/>
    <x v="60"/>
  </r>
  <r>
    <x v="5"/>
    <x v="4"/>
    <x v="719"/>
    <x v="0"/>
    <x v="0"/>
    <x v="421"/>
    <x v="4"/>
    <x v="719"/>
    <x v="60"/>
  </r>
  <r>
    <x v="5"/>
    <x v="5"/>
    <x v="720"/>
    <x v="0"/>
    <x v="0"/>
    <x v="679"/>
    <x v="5"/>
    <x v="720"/>
    <x v="60"/>
  </r>
  <r>
    <x v="5"/>
    <x v="6"/>
    <x v="721"/>
    <x v="0"/>
    <x v="0"/>
    <x v="104"/>
    <x v="6"/>
    <x v="721"/>
    <x v="60"/>
  </r>
  <r>
    <x v="5"/>
    <x v="7"/>
    <x v="722"/>
    <x v="0"/>
    <x v="0"/>
    <x v="680"/>
    <x v="7"/>
    <x v="722"/>
    <x v="60"/>
  </r>
  <r>
    <x v="5"/>
    <x v="8"/>
    <x v="723"/>
    <x v="0"/>
    <x v="0"/>
    <x v="681"/>
    <x v="8"/>
    <x v="723"/>
    <x v="61"/>
  </r>
  <r>
    <x v="5"/>
    <x v="9"/>
    <x v="724"/>
    <x v="0"/>
    <x v="0"/>
    <x v="586"/>
    <x v="9"/>
    <x v="724"/>
    <x v="61"/>
  </r>
  <r>
    <x v="5"/>
    <x v="10"/>
    <x v="725"/>
    <x v="0"/>
    <x v="0"/>
    <x v="682"/>
    <x v="10"/>
    <x v="725"/>
    <x v="61"/>
  </r>
  <r>
    <x v="5"/>
    <x v="11"/>
    <x v="726"/>
    <x v="0"/>
    <x v="0"/>
    <x v="683"/>
    <x v="11"/>
    <x v="726"/>
    <x v="61"/>
  </r>
  <r>
    <x v="5"/>
    <x v="12"/>
    <x v="727"/>
    <x v="0"/>
    <x v="0"/>
    <x v="684"/>
    <x v="12"/>
    <x v="727"/>
    <x v="61"/>
  </r>
  <r>
    <x v="5"/>
    <x v="13"/>
    <x v="728"/>
    <x v="0"/>
    <x v="0"/>
    <x v="685"/>
    <x v="13"/>
    <x v="728"/>
    <x v="61"/>
  </r>
  <r>
    <x v="5"/>
    <x v="14"/>
    <x v="729"/>
    <x v="0"/>
    <x v="0"/>
    <x v="686"/>
    <x v="14"/>
    <x v="729"/>
    <x v="61"/>
  </r>
  <r>
    <x v="5"/>
    <x v="15"/>
    <x v="730"/>
    <x v="0"/>
    <x v="0"/>
    <x v="687"/>
    <x v="15"/>
    <x v="730"/>
    <x v="61"/>
  </r>
  <r>
    <x v="5"/>
    <x v="16"/>
    <x v="731"/>
    <x v="0"/>
    <x v="0"/>
    <x v="688"/>
    <x v="16"/>
    <x v="731"/>
    <x v="61"/>
  </r>
  <r>
    <x v="5"/>
    <x v="17"/>
    <x v="732"/>
    <x v="0"/>
    <x v="0"/>
    <x v="689"/>
    <x v="17"/>
    <x v="732"/>
    <x v="61"/>
  </r>
  <r>
    <x v="5"/>
    <x v="18"/>
    <x v="733"/>
    <x v="0"/>
    <x v="0"/>
    <x v="160"/>
    <x v="18"/>
    <x v="733"/>
    <x v="61"/>
  </r>
  <r>
    <x v="5"/>
    <x v="19"/>
    <x v="734"/>
    <x v="0"/>
    <x v="0"/>
    <x v="690"/>
    <x v="19"/>
    <x v="734"/>
    <x v="61"/>
  </r>
  <r>
    <x v="5"/>
    <x v="20"/>
    <x v="735"/>
    <x v="0"/>
    <x v="0"/>
    <x v="266"/>
    <x v="20"/>
    <x v="735"/>
    <x v="61"/>
  </r>
  <r>
    <x v="5"/>
    <x v="21"/>
    <x v="736"/>
    <x v="0"/>
    <x v="0"/>
    <x v="691"/>
    <x v="21"/>
    <x v="736"/>
    <x v="62"/>
  </r>
  <r>
    <x v="5"/>
    <x v="22"/>
    <x v="737"/>
    <x v="0"/>
    <x v="0"/>
    <x v="692"/>
    <x v="22"/>
    <x v="737"/>
    <x v="62"/>
  </r>
  <r>
    <x v="5"/>
    <x v="23"/>
    <x v="738"/>
    <x v="0"/>
    <x v="0"/>
    <x v="693"/>
    <x v="23"/>
    <x v="738"/>
    <x v="62"/>
  </r>
  <r>
    <x v="5"/>
    <x v="24"/>
    <x v="739"/>
    <x v="0"/>
    <x v="0"/>
    <x v="694"/>
    <x v="24"/>
    <x v="739"/>
    <x v="62"/>
  </r>
  <r>
    <x v="5"/>
    <x v="25"/>
    <x v="740"/>
    <x v="0"/>
    <x v="0"/>
    <x v="695"/>
    <x v="25"/>
    <x v="740"/>
    <x v="62"/>
  </r>
  <r>
    <x v="5"/>
    <x v="26"/>
    <x v="741"/>
    <x v="0"/>
    <x v="0"/>
    <x v="696"/>
    <x v="26"/>
    <x v="741"/>
    <x v="62"/>
  </r>
  <r>
    <x v="5"/>
    <x v="27"/>
    <x v="742"/>
    <x v="0"/>
    <x v="0"/>
    <x v="77"/>
    <x v="27"/>
    <x v="742"/>
    <x v="62"/>
  </r>
  <r>
    <x v="5"/>
    <x v="28"/>
    <x v="743"/>
    <x v="0"/>
    <x v="0"/>
    <x v="405"/>
    <x v="28"/>
    <x v="743"/>
    <x v="62"/>
  </r>
  <r>
    <x v="5"/>
    <x v="29"/>
    <x v="744"/>
    <x v="0"/>
    <x v="0"/>
    <x v="697"/>
    <x v="29"/>
    <x v="744"/>
    <x v="62"/>
  </r>
  <r>
    <x v="5"/>
    <x v="30"/>
    <x v="745"/>
    <x v="0"/>
    <x v="0"/>
    <x v="698"/>
    <x v="30"/>
    <x v="745"/>
    <x v="62"/>
  </r>
  <r>
    <x v="5"/>
    <x v="31"/>
    <x v="746"/>
    <x v="0"/>
    <x v="1"/>
    <x v="699"/>
    <x v="31"/>
    <x v="746"/>
    <x v="62"/>
  </r>
  <r>
    <x v="5"/>
    <x v="32"/>
    <x v="747"/>
    <x v="0"/>
    <x v="0"/>
    <x v="700"/>
    <x v="32"/>
    <x v="747"/>
    <x v="62"/>
  </r>
  <r>
    <x v="5"/>
    <x v="33"/>
    <x v="748"/>
    <x v="0"/>
    <x v="0"/>
    <x v="701"/>
    <x v="33"/>
    <x v="748"/>
    <x v="62"/>
  </r>
  <r>
    <x v="5"/>
    <x v="34"/>
    <x v="749"/>
    <x v="0"/>
    <x v="0"/>
    <x v="702"/>
    <x v="34"/>
    <x v="749"/>
    <x v="63"/>
  </r>
  <r>
    <x v="5"/>
    <x v="35"/>
    <x v="750"/>
    <x v="0"/>
    <x v="0"/>
    <x v="703"/>
    <x v="35"/>
    <x v="750"/>
    <x v="63"/>
  </r>
  <r>
    <x v="5"/>
    <x v="36"/>
    <x v="751"/>
    <x v="0"/>
    <x v="0"/>
    <x v="704"/>
    <x v="6"/>
    <x v="751"/>
    <x v="63"/>
  </r>
  <r>
    <x v="5"/>
    <x v="37"/>
    <x v="752"/>
    <x v="0"/>
    <x v="0"/>
    <x v="705"/>
    <x v="36"/>
    <x v="752"/>
    <x v="63"/>
  </r>
  <r>
    <x v="5"/>
    <x v="38"/>
    <x v="753"/>
    <x v="0"/>
    <x v="0"/>
    <x v="706"/>
    <x v="37"/>
    <x v="753"/>
    <x v="63"/>
  </r>
  <r>
    <x v="5"/>
    <x v="39"/>
    <x v="754"/>
    <x v="0"/>
    <x v="0"/>
    <x v="707"/>
    <x v="38"/>
    <x v="754"/>
    <x v="63"/>
  </r>
  <r>
    <x v="5"/>
    <x v="40"/>
    <x v="755"/>
    <x v="0"/>
    <x v="0"/>
    <x v="708"/>
    <x v="39"/>
    <x v="755"/>
    <x v="63"/>
  </r>
  <r>
    <x v="5"/>
    <x v="41"/>
    <x v="756"/>
    <x v="0"/>
    <x v="0"/>
    <x v="709"/>
    <x v="40"/>
    <x v="756"/>
    <x v="63"/>
  </r>
  <r>
    <x v="5"/>
    <x v="42"/>
    <x v="757"/>
    <x v="0"/>
    <x v="1"/>
    <x v="497"/>
    <x v="41"/>
    <x v="757"/>
    <x v="63"/>
  </r>
  <r>
    <x v="5"/>
    <x v="43"/>
    <x v="758"/>
    <x v="0"/>
    <x v="0"/>
    <x v="710"/>
    <x v="42"/>
    <x v="758"/>
    <x v="63"/>
  </r>
  <r>
    <x v="5"/>
    <x v="44"/>
    <x v="759"/>
    <x v="0"/>
    <x v="0"/>
    <x v="711"/>
    <x v="43"/>
    <x v="759"/>
    <x v="63"/>
  </r>
  <r>
    <x v="5"/>
    <x v="45"/>
    <x v="760"/>
    <x v="0"/>
    <x v="0"/>
    <x v="712"/>
    <x v="44"/>
    <x v="760"/>
    <x v="63"/>
  </r>
  <r>
    <x v="5"/>
    <x v="46"/>
    <x v="761"/>
    <x v="0"/>
    <x v="0"/>
    <x v="713"/>
    <x v="45"/>
    <x v="761"/>
    <x v="63"/>
  </r>
  <r>
    <x v="5"/>
    <x v="47"/>
    <x v="762"/>
    <x v="0"/>
    <x v="1"/>
    <x v="714"/>
    <x v="46"/>
    <x v="762"/>
    <x v="63"/>
  </r>
  <r>
    <x v="5"/>
    <x v="48"/>
    <x v="763"/>
    <x v="0"/>
    <x v="0"/>
    <x v="715"/>
    <x v="47"/>
    <x v="763"/>
    <x v="64"/>
  </r>
  <r>
    <x v="5"/>
    <x v="49"/>
    <x v="764"/>
    <x v="0"/>
    <x v="0"/>
    <x v="716"/>
    <x v="48"/>
    <x v="764"/>
    <x v="64"/>
  </r>
  <r>
    <x v="5"/>
    <x v="50"/>
    <x v="765"/>
    <x v="0"/>
    <x v="0"/>
    <x v="717"/>
    <x v="49"/>
    <x v="765"/>
    <x v="64"/>
  </r>
  <r>
    <x v="5"/>
    <x v="51"/>
    <x v="766"/>
    <x v="0"/>
    <x v="0"/>
    <x v="718"/>
    <x v="50"/>
    <x v="766"/>
    <x v="64"/>
  </r>
  <r>
    <x v="5"/>
    <x v="52"/>
    <x v="767"/>
    <x v="0"/>
    <x v="0"/>
    <x v="719"/>
    <x v="51"/>
    <x v="767"/>
    <x v="64"/>
  </r>
  <r>
    <x v="5"/>
    <x v="53"/>
    <x v="768"/>
    <x v="0"/>
    <x v="1"/>
    <x v="720"/>
    <x v="52"/>
    <x v="768"/>
    <x v="64"/>
  </r>
  <r>
    <x v="5"/>
    <x v="54"/>
    <x v="769"/>
    <x v="0"/>
    <x v="0"/>
    <x v="40"/>
    <x v="53"/>
    <x v="769"/>
    <x v="64"/>
  </r>
  <r>
    <x v="5"/>
    <x v="55"/>
    <x v="770"/>
    <x v="0"/>
    <x v="0"/>
    <x v="721"/>
    <x v="54"/>
    <x v="770"/>
    <x v="64"/>
  </r>
  <r>
    <x v="5"/>
    <x v="56"/>
    <x v="771"/>
    <x v="0"/>
    <x v="0"/>
    <x v="722"/>
    <x v="55"/>
    <x v="771"/>
    <x v="64"/>
  </r>
  <r>
    <x v="5"/>
    <x v="57"/>
    <x v="772"/>
    <x v="0"/>
    <x v="0"/>
    <x v="723"/>
    <x v="56"/>
    <x v="772"/>
    <x v="64"/>
  </r>
  <r>
    <x v="5"/>
    <x v="58"/>
    <x v="773"/>
    <x v="0"/>
    <x v="0"/>
    <x v="724"/>
    <x v="57"/>
    <x v="773"/>
    <x v="64"/>
  </r>
  <r>
    <x v="5"/>
    <x v="59"/>
    <x v="774"/>
    <x v="0"/>
    <x v="0"/>
    <x v="431"/>
    <x v="58"/>
    <x v="774"/>
    <x v="64"/>
  </r>
  <r>
    <x v="5"/>
    <x v="60"/>
    <x v="775"/>
    <x v="0"/>
    <x v="0"/>
    <x v="93"/>
    <x v="59"/>
    <x v="775"/>
    <x v="65"/>
  </r>
  <r>
    <x v="5"/>
    <x v="61"/>
    <x v="776"/>
    <x v="0"/>
    <x v="0"/>
    <x v="725"/>
    <x v="60"/>
    <x v="776"/>
    <x v="65"/>
  </r>
  <r>
    <x v="5"/>
    <x v="62"/>
    <x v="777"/>
    <x v="0"/>
    <x v="0"/>
    <x v="726"/>
    <x v="61"/>
    <x v="777"/>
    <x v="65"/>
  </r>
  <r>
    <x v="5"/>
    <x v="63"/>
    <x v="778"/>
    <x v="0"/>
    <x v="0"/>
    <x v="727"/>
    <x v="62"/>
    <x v="778"/>
    <x v="65"/>
  </r>
  <r>
    <x v="5"/>
    <x v="64"/>
    <x v="779"/>
    <x v="0"/>
    <x v="0"/>
    <x v="728"/>
    <x v="63"/>
    <x v="779"/>
    <x v="65"/>
  </r>
  <r>
    <x v="5"/>
    <x v="65"/>
    <x v="780"/>
    <x v="0"/>
    <x v="0"/>
    <x v="729"/>
    <x v="64"/>
    <x v="780"/>
    <x v="65"/>
  </r>
  <r>
    <x v="5"/>
    <x v="66"/>
    <x v="781"/>
    <x v="0"/>
    <x v="0"/>
    <x v="730"/>
    <x v="65"/>
    <x v="781"/>
    <x v="65"/>
  </r>
  <r>
    <x v="5"/>
    <x v="67"/>
    <x v="782"/>
    <x v="0"/>
    <x v="0"/>
    <x v="731"/>
    <x v="66"/>
    <x v="782"/>
    <x v="65"/>
  </r>
  <r>
    <x v="5"/>
    <x v="68"/>
    <x v="783"/>
    <x v="0"/>
    <x v="0"/>
    <x v="732"/>
    <x v="67"/>
    <x v="783"/>
    <x v="65"/>
  </r>
  <r>
    <x v="5"/>
    <x v="69"/>
    <x v="784"/>
    <x v="0"/>
    <x v="0"/>
    <x v="733"/>
    <x v="68"/>
    <x v="784"/>
    <x v="65"/>
  </r>
  <r>
    <x v="5"/>
    <x v="70"/>
    <x v="785"/>
    <x v="0"/>
    <x v="0"/>
    <x v="734"/>
    <x v="69"/>
    <x v="785"/>
    <x v="65"/>
  </r>
  <r>
    <x v="5"/>
    <x v="71"/>
    <x v="786"/>
    <x v="0"/>
    <x v="0"/>
    <x v="661"/>
    <x v="70"/>
    <x v="786"/>
    <x v="65"/>
  </r>
  <r>
    <x v="5"/>
    <x v="72"/>
    <x v="787"/>
    <x v="0"/>
    <x v="0"/>
    <x v="735"/>
    <x v="71"/>
    <x v="787"/>
    <x v="65"/>
  </r>
  <r>
    <x v="5"/>
    <x v="73"/>
    <x v="788"/>
    <x v="0"/>
    <x v="0"/>
    <x v="27"/>
    <x v="59"/>
    <x v="788"/>
    <x v="66"/>
  </r>
  <r>
    <x v="5"/>
    <x v="74"/>
    <x v="789"/>
    <x v="0"/>
    <x v="0"/>
    <x v="736"/>
    <x v="72"/>
    <x v="789"/>
    <x v="66"/>
  </r>
  <r>
    <x v="5"/>
    <x v="75"/>
    <x v="790"/>
    <x v="0"/>
    <x v="0"/>
    <x v="737"/>
    <x v="73"/>
    <x v="790"/>
    <x v="66"/>
  </r>
  <r>
    <x v="5"/>
    <x v="76"/>
    <x v="791"/>
    <x v="0"/>
    <x v="0"/>
    <x v="738"/>
    <x v="74"/>
    <x v="791"/>
    <x v="66"/>
  </r>
  <r>
    <x v="5"/>
    <x v="77"/>
    <x v="792"/>
    <x v="0"/>
    <x v="0"/>
    <x v="270"/>
    <x v="75"/>
    <x v="792"/>
    <x v="66"/>
  </r>
  <r>
    <x v="5"/>
    <x v="78"/>
    <x v="793"/>
    <x v="0"/>
    <x v="0"/>
    <x v="739"/>
    <x v="76"/>
    <x v="793"/>
    <x v="66"/>
  </r>
  <r>
    <x v="5"/>
    <x v="79"/>
    <x v="794"/>
    <x v="0"/>
    <x v="0"/>
    <x v="740"/>
    <x v="77"/>
    <x v="794"/>
    <x v="66"/>
  </r>
  <r>
    <x v="5"/>
    <x v="80"/>
    <x v="795"/>
    <x v="0"/>
    <x v="0"/>
    <x v="741"/>
    <x v="78"/>
    <x v="795"/>
    <x v="66"/>
  </r>
  <r>
    <x v="5"/>
    <x v="81"/>
    <x v="796"/>
    <x v="0"/>
    <x v="0"/>
    <x v="219"/>
    <x v="79"/>
    <x v="796"/>
    <x v="66"/>
  </r>
  <r>
    <x v="5"/>
    <x v="82"/>
    <x v="797"/>
    <x v="0"/>
    <x v="0"/>
    <x v="742"/>
    <x v="80"/>
    <x v="797"/>
    <x v="66"/>
  </r>
  <r>
    <x v="5"/>
    <x v="83"/>
    <x v="798"/>
    <x v="0"/>
    <x v="1"/>
    <x v="743"/>
    <x v="81"/>
    <x v="798"/>
    <x v="66"/>
  </r>
  <r>
    <x v="5"/>
    <x v="84"/>
    <x v="799"/>
    <x v="0"/>
    <x v="0"/>
    <x v="348"/>
    <x v="82"/>
    <x v="799"/>
    <x v="66"/>
  </r>
  <r>
    <x v="5"/>
    <x v="85"/>
    <x v="800"/>
    <x v="0"/>
    <x v="0"/>
    <x v="744"/>
    <x v="83"/>
    <x v="800"/>
    <x v="66"/>
  </r>
  <r>
    <x v="5"/>
    <x v="86"/>
    <x v="801"/>
    <x v="0"/>
    <x v="0"/>
    <x v="745"/>
    <x v="84"/>
    <x v="801"/>
    <x v="66"/>
  </r>
  <r>
    <x v="5"/>
    <x v="87"/>
    <x v="802"/>
    <x v="0"/>
    <x v="0"/>
    <x v="746"/>
    <x v="85"/>
    <x v="802"/>
    <x v="67"/>
  </r>
  <r>
    <x v="5"/>
    <x v="88"/>
    <x v="803"/>
    <x v="0"/>
    <x v="0"/>
    <x v="747"/>
    <x v="86"/>
    <x v="803"/>
    <x v="67"/>
  </r>
  <r>
    <x v="5"/>
    <x v="89"/>
    <x v="804"/>
    <x v="0"/>
    <x v="0"/>
    <x v="748"/>
    <x v="87"/>
    <x v="804"/>
    <x v="67"/>
  </r>
  <r>
    <x v="5"/>
    <x v="90"/>
    <x v="805"/>
    <x v="0"/>
    <x v="0"/>
    <x v="749"/>
    <x v="88"/>
    <x v="805"/>
    <x v="67"/>
  </r>
  <r>
    <x v="5"/>
    <x v="91"/>
    <x v="806"/>
    <x v="0"/>
    <x v="0"/>
    <x v="750"/>
    <x v="89"/>
    <x v="806"/>
    <x v="67"/>
  </r>
  <r>
    <x v="5"/>
    <x v="92"/>
    <x v="807"/>
    <x v="0"/>
    <x v="0"/>
    <x v="751"/>
    <x v="90"/>
    <x v="807"/>
    <x v="67"/>
  </r>
  <r>
    <x v="5"/>
    <x v="93"/>
    <x v="808"/>
    <x v="0"/>
    <x v="0"/>
    <x v="752"/>
    <x v="91"/>
    <x v="808"/>
    <x v="67"/>
  </r>
  <r>
    <x v="5"/>
    <x v="94"/>
    <x v="809"/>
    <x v="0"/>
    <x v="1"/>
    <x v="753"/>
    <x v="92"/>
    <x v="809"/>
    <x v="67"/>
  </r>
  <r>
    <x v="5"/>
    <x v="95"/>
    <x v="810"/>
    <x v="0"/>
    <x v="0"/>
    <x v="754"/>
    <x v="93"/>
    <x v="810"/>
    <x v="67"/>
  </r>
  <r>
    <x v="5"/>
    <x v="96"/>
    <x v="811"/>
    <x v="0"/>
    <x v="0"/>
    <x v="755"/>
    <x v="94"/>
    <x v="811"/>
    <x v="67"/>
  </r>
  <r>
    <x v="5"/>
    <x v="97"/>
    <x v="812"/>
    <x v="0"/>
    <x v="0"/>
    <x v="756"/>
    <x v="95"/>
    <x v="812"/>
    <x v="67"/>
  </r>
  <r>
    <x v="5"/>
    <x v="98"/>
    <x v="813"/>
    <x v="0"/>
    <x v="0"/>
    <x v="757"/>
    <x v="96"/>
    <x v="813"/>
    <x v="67"/>
  </r>
  <r>
    <x v="5"/>
    <x v="99"/>
    <x v="814"/>
    <x v="0"/>
    <x v="1"/>
    <x v="758"/>
    <x v="97"/>
    <x v="814"/>
    <x v="67"/>
  </r>
  <r>
    <x v="5"/>
    <x v="100"/>
    <x v="815"/>
    <x v="0"/>
    <x v="0"/>
    <x v="759"/>
    <x v="98"/>
    <x v="815"/>
    <x v="68"/>
  </r>
  <r>
    <x v="5"/>
    <x v="101"/>
    <x v="816"/>
    <x v="0"/>
    <x v="0"/>
    <x v="760"/>
    <x v="99"/>
    <x v="816"/>
    <x v="68"/>
  </r>
  <r>
    <x v="5"/>
    <x v="102"/>
    <x v="817"/>
    <x v="0"/>
    <x v="0"/>
    <x v="761"/>
    <x v="100"/>
    <x v="817"/>
    <x v="68"/>
  </r>
  <r>
    <x v="5"/>
    <x v="103"/>
    <x v="818"/>
    <x v="0"/>
    <x v="0"/>
    <x v="762"/>
    <x v="101"/>
    <x v="818"/>
    <x v="68"/>
  </r>
  <r>
    <x v="5"/>
    <x v="104"/>
    <x v="819"/>
    <x v="0"/>
    <x v="0"/>
    <x v="763"/>
    <x v="102"/>
    <x v="819"/>
    <x v="68"/>
  </r>
  <r>
    <x v="5"/>
    <x v="105"/>
    <x v="820"/>
    <x v="0"/>
    <x v="1"/>
    <x v="764"/>
    <x v="103"/>
    <x v="820"/>
    <x v="68"/>
  </r>
  <r>
    <x v="5"/>
    <x v="106"/>
    <x v="821"/>
    <x v="0"/>
    <x v="0"/>
    <x v="765"/>
    <x v="104"/>
    <x v="821"/>
    <x v="68"/>
  </r>
  <r>
    <x v="5"/>
    <x v="107"/>
    <x v="822"/>
    <x v="0"/>
    <x v="0"/>
    <x v="60"/>
    <x v="105"/>
    <x v="822"/>
    <x v="68"/>
  </r>
  <r>
    <x v="5"/>
    <x v="108"/>
    <x v="823"/>
    <x v="0"/>
    <x v="0"/>
    <x v="766"/>
    <x v="106"/>
    <x v="823"/>
    <x v="68"/>
  </r>
  <r>
    <x v="5"/>
    <x v="109"/>
    <x v="824"/>
    <x v="0"/>
    <x v="0"/>
    <x v="767"/>
    <x v="107"/>
    <x v="824"/>
    <x v="68"/>
  </r>
  <r>
    <x v="5"/>
    <x v="110"/>
    <x v="825"/>
    <x v="0"/>
    <x v="0"/>
    <x v="768"/>
    <x v="108"/>
    <x v="825"/>
    <x v="68"/>
  </r>
  <r>
    <x v="5"/>
    <x v="111"/>
    <x v="826"/>
    <x v="0"/>
    <x v="0"/>
    <x v="89"/>
    <x v="109"/>
    <x v="826"/>
    <x v="68"/>
  </r>
  <r>
    <x v="5"/>
    <x v="112"/>
    <x v="827"/>
    <x v="0"/>
    <x v="0"/>
    <x v="769"/>
    <x v="110"/>
    <x v="827"/>
    <x v="68"/>
  </r>
  <r>
    <x v="5"/>
    <x v="113"/>
    <x v="828"/>
    <x v="0"/>
    <x v="0"/>
    <x v="770"/>
    <x v="111"/>
    <x v="828"/>
    <x v="69"/>
  </r>
  <r>
    <x v="5"/>
    <x v="114"/>
    <x v="829"/>
    <x v="0"/>
    <x v="0"/>
    <x v="771"/>
    <x v="111"/>
    <x v="829"/>
    <x v="69"/>
  </r>
  <r>
    <x v="5"/>
    <x v="115"/>
    <x v="830"/>
    <x v="0"/>
    <x v="0"/>
    <x v="772"/>
    <x v="112"/>
    <x v="830"/>
    <x v="69"/>
  </r>
  <r>
    <x v="5"/>
    <x v="116"/>
    <x v="831"/>
    <x v="0"/>
    <x v="0"/>
    <x v="773"/>
    <x v="113"/>
    <x v="831"/>
    <x v="69"/>
  </r>
  <r>
    <x v="5"/>
    <x v="117"/>
    <x v="832"/>
    <x v="0"/>
    <x v="0"/>
    <x v="133"/>
    <x v="114"/>
    <x v="832"/>
    <x v="69"/>
  </r>
  <r>
    <x v="5"/>
    <x v="118"/>
    <x v="833"/>
    <x v="0"/>
    <x v="0"/>
    <x v="774"/>
    <x v="115"/>
    <x v="833"/>
    <x v="69"/>
  </r>
  <r>
    <x v="5"/>
    <x v="119"/>
    <x v="834"/>
    <x v="0"/>
    <x v="0"/>
    <x v="775"/>
    <x v="106"/>
    <x v="834"/>
    <x v="69"/>
  </r>
  <r>
    <x v="5"/>
    <x v="120"/>
    <x v="835"/>
    <x v="0"/>
    <x v="0"/>
    <x v="776"/>
    <x v="116"/>
    <x v="835"/>
    <x v="69"/>
  </r>
  <r>
    <x v="5"/>
    <x v="121"/>
    <x v="836"/>
    <x v="0"/>
    <x v="0"/>
    <x v="777"/>
    <x v="117"/>
    <x v="836"/>
    <x v="69"/>
  </r>
  <r>
    <x v="5"/>
    <x v="122"/>
    <x v="837"/>
    <x v="0"/>
    <x v="0"/>
    <x v="778"/>
    <x v="118"/>
    <x v="837"/>
    <x v="69"/>
  </r>
  <r>
    <x v="5"/>
    <x v="123"/>
    <x v="838"/>
    <x v="0"/>
    <x v="0"/>
    <x v="299"/>
    <x v="119"/>
    <x v="838"/>
    <x v="69"/>
  </r>
  <r>
    <x v="5"/>
    <x v="124"/>
    <x v="839"/>
    <x v="0"/>
    <x v="0"/>
    <x v="779"/>
    <x v="120"/>
    <x v="839"/>
    <x v="69"/>
  </r>
  <r>
    <x v="5"/>
    <x v="125"/>
    <x v="840"/>
    <x v="0"/>
    <x v="0"/>
    <x v="780"/>
    <x v="121"/>
    <x v="840"/>
    <x v="69"/>
  </r>
  <r>
    <x v="5"/>
    <x v="126"/>
    <x v="841"/>
    <x v="0"/>
    <x v="0"/>
    <x v="781"/>
    <x v="122"/>
    <x v="841"/>
    <x v="70"/>
  </r>
  <r>
    <x v="5"/>
    <x v="127"/>
    <x v="842"/>
    <x v="0"/>
    <x v="0"/>
    <x v="782"/>
    <x v="123"/>
    <x v="842"/>
    <x v="70"/>
  </r>
  <r>
    <x v="5"/>
    <x v="128"/>
    <x v="843"/>
    <x v="0"/>
    <x v="0"/>
    <x v="126"/>
    <x v="124"/>
    <x v="843"/>
    <x v="70"/>
  </r>
  <r>
    <x v="5"/>
    <x v="129"/>
    <x v="844"/>
    <x v="0"/>
    <x v="0"/>
    <x v="783"/>
    <x v="125"/>
    <x v="844"/>
    <x v="70"/>
  </r>
  <r>
    <x v="5"/>
    <x v="130"/>
    <x v="845"/>
    <x v="0"/>
    <x v="0"/>
    <x v="784"/>
    <x v="126"/>
    <x v="845"/>
    <x v="70"/>
  </r>
  <r>
    <x v="5"/>
    <x v="131"/>
    <x v="846"/>
    <x v="0"/>
    <x v="0"/>
    <x v="785"/>
    <x v="127"/>
    <x v="846"/>
    <x v="70"/>
  </r>
  <r>
    <x v="5"/>
    <x v="132"/>
    <x v="847"/>
    <x v="0"/>
    <x v="0"/>
    <x v="786"/>
    <x v="128"/>
    <x v="847"/>
    <x v="70"/>
  </r>
  <r>
    <x v="5"/>
    <x v="133"/>
    <x v="848"/>
    <x v="0"/>
    <x v="0"/>
    <x v="787"/>
    <x v="129"/>
    <x v="848"/>
    <x v="70"/>
  </r>
  <r>
    <x v="5"/>
    <x v="134"/>
    <x v="849"/>
    <x v="0"/>
    <x v="0"/>
    <x v="72"/>
    <x v="77"/>
    <x v="849"/>
    <x v="70"/>
  </r>
  <r>
    <x v="5"/>
    <x v="135"/>
    <x v="850"/>
    <x v="0"/>
    <x v="1"/>
    <x v="788"/>
    <x v="130"/>
    <x v="850"/>
    <x v="70"/>
  </r>
  <r>
    <x v="5"/>
    <x v="136"/>
    <x v="851"/>
    <x v="0"/>
    <x v="0"/>
    <x v="789"/>
    <x v="131"/>
    <x v="851"/>
    <x v="70"/>
  </r>
  <r>
    <x v="5"/>
    <x v="137"/>
    <x v="852"/>
    <x v="0"/>
    <x v="0"/>
    <x v="790"/>
    <x v="132"/>
    <x v="852"/>
    <x v="70"/>
  </r>
  <r>
    <x v="5"/>
    <x v="138"/>
    <x v="853"/>
    <x v="0"/>
    <x v="0"/>
    <x v="791"/>
    <x v="133"/>
    <x v="853"/>
    <x v="70"/>
  </r>
  <r>
    <x v="5"/>
    <x v="139"/>
    <x v="854"/>
    <x v="0"/>
    <x v="0"/>
    <x v="792"/>
    <x v="134"/>
    <x v="854"/>
    <x v="71"/>
  </r>
  <r>
    <x v="5"/>
    <x v="140"/>
    <x v="855"/>
    <x v="0"/>
    <x v="0"/>
    <x v="793"/>
    <x v="135"/>
    <x v="855"/>
    <x v="71"/>
  </r>
  <r>
    <x v="5"/>
    <x v="141"/>
    <x v="856"/>
    <x v="0"/>
    <x v="0"/>
    <x v="794"/>
    <x v="71"/>
    <x v="856"/>
    <x v="71"/>
  </r>
  <r>
    <x v="5"/>
    <x v="142"/>
    <x v="857"/>
    <x v="0"/>
    <x v="0"/>
    <x v="795"/>
    <x v="136"/>
    <x v="857"/>
    <x v="71"/>
  </r>
  <r>
    <x v="6"/>
    <x v="0"/>
    <x v="858"/>
    <x v="1"/>
    <x v="0"/>
    <x v="796"/>
    <x v="248"/>
    <x v="858"/>
    <x v="72"/>
  </r>
  <r>
    <x v="6"/>
    <x v="1"/>
    <x v="859"/>
    <x v="1"/>
    <x v="1"/>
    <x v="797"/>
    <x v="0"/>
    <x v="859"/>
    <x v="72"/>
  </r>
  <r>
    <x v="6"/>
    <x v="2"/>
    <x v="860"/>
    <x v="1"/>
    <x v="0"/>
    <x v="798"/>
    <x v="249"/>
    <x v="860"/>
    <x v="72"/>
  </r>
  <r>
    <x v="6"/>
    <x v="3"/>
    <x v="861"/>
    <x v="1"/>
    <x v="0"/>
    <x v="799"/>
    <x v="250"/>
    <x v="861"/>
    <x v="72"/>
  </r>
  <r>
    <x v="6"/>
    <x v="4"/>
    <x v="862"/>
    <x v="1"/>
    <x v="0"/>
    <x v="800"/>
    <x v="251"/>
    <x v="862"/>
    <x v="72"/>
  </r>
  <r>
    <x v="6"/>
    <x v="5"/>
    <x v="863"/>
    <x v="1"/>
    <x v="0"/>
    <x v="801"/>
    <x v="252"/>
    <x v="863"/>
    <x v="72"/>
  </r>
  <r>
    <x v="6"/>
    <x v="6"/>
    <x v="864"/>
    <x v="1"/>
    <x v="0"/>
    <x v="802"/>
    <x v="27"/>
    <x v="864"/>
    <x v="72"/>
  </r>
  <r>
    <x v="6"/>
    <x v="7"/>
    <x v="865"/>
    <x v="1"/>
    <x v="0"/>
    <x v="803"/>
    <x v="253"/>
    <x v="865"/>
    <x v="72"/>
  </r>
  <r>
    <x v="6"/>
    <x v="8"/>
    <x v="866"/>
    <x v="1"/>
    <x v="0"/>
    <x v="804"/>
    <x v="36"/>
    <x v="866"/>
    <x v="73"/>
  </r>
  <r>
    <x v="6"/>
    <x v="9"/>
    <x v="867"/>
    <x v="1"/>
    <x v="0"/>
    <x v="805"/>
    <x v="254"/>
    <x v="867"/>
    <x v="73"/>
  </r>
  <r>
    <x v="6"/>
    <x v="10"/>
    <x v="868"/>
    <x v="1"/>
    <x v="0"/>
    <x v="806"/>
    <x v="255"/>
    <x v="868"/>
    <x v="73"/>
  </r>
  <r>
    <x v="6"/>
    <x v="11"/>
    <x v="869"/>
    <x v="1"/>
    <x v="0"/>
    <x v="807"/>
    <x v="256"/>
    <x v="869"/>
    <x v="73"/>
  </r>
  <r>
    <x v="6"/>
    <x v="12"/>
    <x v="870"/>
    <x v="1"/>
    <x v="0"/>
    <x v="808"/>
    <x v="257"/>
    <x v="870"/>
    <x v="73"/>
  </r>
  <r>
    <x v="6"/>
    <x v="13"/>
    <x v="871"/>
    <x v="1"/>
    <x v="0"/>
    <x v="809"/>
    <x v="40"/>
    <x v="871"/>
    <x v="73"/>
  </r>
  <r>
    <x v="6"/>
    <x v="14"/>
    <x v="872"/>
    <x v="1"/>
    <x v="0"/>
    <x v="810"/>
    <x v="258"/>
    <x v="872"/>
    <x v="73"/>
  </r>
  <r>
    <x v="6"/>
    <x v="15"/>
    <x v="873"/>
    <x v="1"/>
    <x v="0"/>
    <x v="811"/>
    <x v="256"/>
    <x v="873"/>
    <x v="73"/>
  </r>
  <r>
    <x v="6"/>
    <x v="16"/>
    <x v="874"/>
    <x v="1"/>
    <x v="0"/>
    <x v="812"/>
    <x v="259"/>
    <x v="874"/>
    <x v="73"/>
  </r>
  <r>
    <x v="6"/>
    <x v="17"/>
    <x v="875"/>
    <x v="1"/>
    <x v="0"/>
    <x v="518"/>
    <x v="260"/>
    <x v="875"/>
    <x v="73"/>
  </r>
  <r>
    <x v="6"/>
    <x v="18"/>
    <x v="876"/>
    <x v="1"/>
    <x v="0"/>
    <x v="813"/>
    <x v="252"/>
    <x v="876"/>
    <x v="73"/>
  </r>
  <r>
    <x v="6"/>
    <x v="19"/>
    <x v="877"/>
    <x v="1"/>
    <x v="0"/>
    <x v="200"/>
    <x v="261"/>
    <x v="877"/>
    <x v="73"/>
  </r>
  <r>
    <x v="6"/>
    <x v="20"/>
    <x v="878"/>
    <x v="1"/>
    <x v="0"/>
    <x v="814"/>
    <x v="262"/>
    <x v="878"/>
    <x v="73"/>
  </r>
  <r>
    <x v="6"/>
    <x v="21"/>
    <x v="879"/>
    <x v="1"/>
    <x v="0"/>
    <x v="815"/>
    <x v="39"/>
    <x v="879"/>
    <x v="74"/>
  </r>
  <r>
    <x v="6"/>
    <x v="22"/>
    <x v="880"/>
    <x v="1"/>
    <x v="0"/>
    <x v="816"/>
    <x v="263"/>
    <x v="880"/>
    <x v="74"/>
  </r>
  <r>
    <x v="6"/>
    <x v="23"/>
    <x v="881"/>
    <x v="1"/>
    <x v="0"/>
    <x v="817"/>
    <x v="167"/>
    <x v="881"/>
    <x v="74"/>
  </r>
  <r>
    <x v="6"/>
    <x v="24"/>
    <x v="882"/>
    <x v="1"/>
    <x v="0"/>
    <x v="818"/>
    <x v="264"/>
    <x v="882"/>
    <x v="74"/>
  </r>
  <r>
    <x v="6"/>
    <x v="25"/>
    <x v="883"/>
    <x v="1"/>
    <x v="0"/>
    <x v="819"/>
    <x v="265"/>
    <x v="883"/>
    <x v="74"/>
  </r>
  <r>
    <x v="6"/>
    <x v="26"/>
    <x v="884"/>
    <x v="1"/>
    <x v="0"/>
    <x v="368"/>
    <x v="265"/>
    <x v="884"/>
    <x v="74"/>
  </r>
  <r>
    <x v="6"/>
    <x v="27"/>
    <x v="885"/>
    <x v="1"/>
    <x v="0"/>
    <x v="820"/>
    <x v="266"/>
    <x v="885"/>
    <x v="74"/>
  </r>
  <r>
    <x v="6"/>
    <x v="28"/>
    <x v="886"/>
    <x v="1"/>
    <x v="0"/>
    <x v="821"/>
    <x v="7"/>
    <x v="886"/>
    <x v="74"/>
  </r>
  <r>
    <x v="6"/>
    <x v="29"/>
    <x v="887"/>
    <x v="1"/>
    <x v="0"/>
    <x v="822"/>
    <x v="267"/>
    <x v="887"/>
    <x v="74"/>
  </r>
  <r>
    <x v="6"/>
    <x v="30"/>
    <x v="888"/>
    <x v="1"/>
    <x v="0"/>
    <x v="45"/>
    <x v="146"/>
    <x v="888"/>
    <x v="74"/>
  </r>
  <r>
    <x v="6"/>
    <x v="31"/>
    <x v="889"/>
    <x v="1"/>
    <x v="1"/>
    <x v="823"/>
    <x v="12"/>
    <x v="889"/>
    <x v="74"/>
  </r>
  <r>
    <x v="6"/>
    <x v="32"/>
    <x v="890"/>
    <x v="1"/>
    <x v="0"/>
    <x v="824"/>
    <x v="268"/>
    <x v="890"/>
    <x v="74"/>
  </r>
  <r>
    <x v="6"/>
    <x v="33"/>
    <x v="891"/>
    <x v="1"/>
    <x v="0"/>
    <x v="188"/>
    <x v="269"/>
    <x v="891"/>
    <x v="74"/>
  </r>
  <r>
    <x v="6"/>
    <x v="34"/>
    <x v="892"/>
    <x v="1"/>
    <x v="0"/>
    <x v="825"/>
    <x v="16"/>
    <x v="892"/>
    <x v="75"/>
  </r>
  <r>
    <x v="6"/>
    <x v="35"/>
    <x v="893"/>
    <x v="1"/>
    <x v="0"/>
    <x v="826"/>
    <x v="270"/>
    <x v="893"/>
    <x v="75"/>
  </r>
  <r>
    <x v="6"/>
    <x v="36"/>
    <x v="894"/>
    <x v="1"/>
    <x v="0"/>
    <x v="800"/>
    <x v="271"/>
    <x v="894"/>
    <x v="75"/>
  </r>
  <r>
    <x v="6"/>
    <x v="37"/>
    <x v="895"/>
    <x v="1"/>
    <x v="0"/>
    <x v="827"/>
    <x v="271"/>
    <x v="895"/>
    <x v="75"/>
  </r>
  <r>
    <x v="6"/>
    <x v="38"/>
    <x v="896"/>
    <x v="1"/>
    <x v="0"/>
    <x v="828"/>
    <x v="272"/>
    <x v="896"/>
    <x v="75"/>
  </r>
  <r>
    <x v="6"/>
    <x v="39"/>
    <x v="897"/>
    <x v="1"/>
    <x v="0"/>
    <x v="829"/>
    <x v="273"/>
    <x v="897"/>
    <x v="75"/>
  </r>
  <r>
    <x v="6"/>
    <x v="40"/>
    <x v="898"/>
    <x v="1"/>
    <x v="0"/>
    <x v="830"/>
    <x v="259"/>
    <x v="898"/>
    <x v="75"/>
  </r>
  <r>
    <x v="6"/>
    <x v="41"/>
    <x v="899"/>
    <x v="1"/>
    <x v="0"/>
    <x v="831"/>
    <x v="274"/>
    <x v="899"/>
    <x v="75"/>
  </r>
  <r>
    <x v="6"/>
    <x v="42"/>
    <x v="900"/>
    <x v="1"/>
    <x v="1"/>
    <x v="832"/>
    <x v="275"/>
    <x v="900"/>
    <x v="75"/>
  </r>
  <r>
    <x v="6"/>
    <x v="43"/>
    <x v="901"/>
    <x v="1"/>
    <x v="0"/>
    <x v="833"/>
    <x v="276"/>
    <x v="901"/>
    <x v="75"/>
  </r>
  <r>
    <x v="6"/>
    <x v="44"/>
    <x v="902"/>
    <x v="1"/>
    <x v="0"/>
    <x v="834"/>
    <x v="39"/>
    <x v="902"/>
    <x v="75"/>
  </r>
  <r>
    <x v="6"/>
    <x v="45"/>
    <x v="903"/>
    <x v="1"/>
    <x v="0"/>
    <x v="835"/>
    <x v="277"/>
    <x v="903"/>
    <x v="75"/>
  </r>
  <r>
    <x v="6"/>
    <x v="46"/>
    <x v="904"/>
    <x v="1"/>
    <x v="0"/>
    <x v="836"/>
    <x v="278"/>
    <x v="904"/>
    <x v="75"/>
  </r>
  <r>
    <x v="6"/>
    <x v="47"/>
    <x v="905"/>
    <x v="1"/>
    <x v="1"/>
    <x v="837"/>
    <x v="279"/>
    <x v="905"/>
    <x v="75"/>
  </r>
  <r>
    <x v="6"/>
    <x v="48"/>
    <x v="906"/>
    <x v="1"/>
    <x v="0"/>
    <x v="838"/>
    <x v="280"/>
    <x v="906"/>
    <x v="76"/>
  </r>
  <r>
    <x v="6"/>
    <x v="49"/>
    <x v="907"/>
    <x v="1"/>
    <x v="0"/>
    <x v="839"/>
    <x v="281"/>
    <x v="907"/>
    <x v="76"/>
  </r>
  <r>
    <x v="6"/>
    <x v="50"/>
    <x v="908"/>
    <x v="1"/>
    <x v="0"/>
    <x v="840"/>
    <x v="282"/>
    <x v="908"/>
    <x v="76"/>
  </r>
  <r>
    <x v="6"/>
    <x v="51"/>
    <x v="909"/>
    <x v="1"/>
    <x v="0"/>
    <x v="841"/>
    <x v="283"/>
    <x v="909"/>
    <x v="76"/>
  </r>
  <r>
    <x v="6"/>
    <x v="52"/>
    <x v="910"/>
    <x v="1"/>
    <x v="0"/>
    <x v="842"/>
    <x v="284"/>
    <x v="910"/>
    <x v="76"/>
  </r>
  <r>
    <x v="6"/>
    <x v="53"/>
    <x v="911"/>
    <x v="1"/>
    <x v="1"/>
    <x v="843"/>
    <x v="285"/>
    <x v="911"/>
    <x v="76"/>
  </r>
  <r>
    <x v="6"/>
    <x v="54"/>
    <x v="912"/>
    <x v="1"/>
    <x v="0"/>
    <x v="844"/>
    <x v="286"/>
    <x v="912"/>
    <x v="76"/>
  </r>
  <r>
    <x v="6"/>
    <x v="55"/>
    <x v="913"/>
    <x v="1"/>
    <x v="0"/>
    <x v="845"/>
    <x v="287"/>
    <x v="913"/>
    <x v="76"/>
  </r>
  <r>
    <x v="6"/>
    <x v="56"/>
    <x v="914"/>
    <x v="1"/>
    <x v="0"/>
    <x v="846"/>
    <x v="288"/>
    <x v="914"/>
    <x v="76"/>
  </r>
  <r>
    <x v="6"/>
    <x v="57"/>
    <x v="915"/>
    <x v="1"/>
    <x v="0"/>
    <x v="847"/>
    <x v="88"/>
    <x v="915"/>
    <x v="76"/>
  </r>
  <r>
    <x v="6"/>
    <x v="58"/>
    <x v="916"/>
    <x v="1"/>
    <x v="0"/>
    <x v="848"/>
    <x v="289"/>
    <x v="916"/>
    <x v="76"/>
  </r>
  <r>
    <x v="6"/>
    <x v="59"/>
    <x v="917"/>
    <x v="1"/>
    <x v="0"/>
    <x v="849"/>
    <x v="290"/>
    <x v="917"/>
    <x v="76"/>
  </r>
  <r>
    <x v="6"/>
    <x v="60"/>
    <x v="918"/>
    <x v="1"/>
    <x v="0"/>
    <x v="850"/>
    <x v="182"/>
    <x v="918"/>
    <x v="77"/>
  </r>
  <r>
    <x v="6"/>
    <x v="61"/>
    <x v="919"/>
    <x v="1"/>
    <x v="0"/>
    <x v="851"/>
    <x v="203"/>
    <x v="919"/>
    <x v="77"/>
  </r>
  <r>
    <x v="6"/>
    <x v="62"/>
    <x v="920"/>
    <x v="1"/>
    <x v="0"/>
    <x v="852"/>
    <x v="291"/>
    <x v="920"/>
    <x v="77"/>
  </r>
  <r>
    <x v="6"/>
    <x v="63"/>
    <x v="921"/>
    <x v="1"/>
    <x v="0"/>
    <x v="853"/>
    <x v="292"/>
    <x v="921"/>
    <x v="77"/>
  </r>
  <r>
    <x v="6"/>
    <x v="64"/>
    <x v="922"/>
    <x v="1"/>
    <x v="0"/>
    <x v="854"/>
    <x v="293"/>
    <x v="922"/>
    <x v="77"/>
  </r>
  <r>
    <x v="6"/>
    <x v="65"/>
    <x v="923"/>
    <x v="1"/>
    <x v="0"/>
    <x v="855"/>
    <x v="294"/>
    <x v="923"/>
    <x v="77"/>
  </r>
  <r>
    <x v="6"/>
    <x v="66"/>
    <x v="924"/>
    <x v="1"/>
    <x v="0"/>
    <x v="856"/>
    <x v="295"/>
    <x v="924"/>
    <x v="77"/>
  </r>
  <r>
    <x v="6"/>
    <x v="67"/>
    <x v="925"/>
    <x v="1"/>
    <x v="0"/>
    <x v="857"/>
    <x v="296"/>
    <x v="925"/>
    <x v="77"/>
  </r>
  <r>
    <x v="6"/>
    <x v="68"/>
    <x v="926"/>
    <x v="1"/>
    <x v="0"/>
    <x v="858"/>
    <x v="297"/>
    <x v="926"/>
    <x v="77"/>
  </r>
  <r>
    <x v="6"/>
    <x v="69"/>
    <x v="927"/>
    <x v="1"/>
    <x v="0"/>
    <x v="859"/>
    <x v="298"/>
    <x v="927"/>
    <x v="77"/>
  </r>
  <r>
    <x v="6"/>
    <x v="70"/>
    <x v="928"/>
    <x v="1"/>
    <x v="0"/>
    <x v="860"/>
    <x v="294"/>
    <x v="928"/>
    <x v="77"/>
  </r>
  <r>
    <x v="6"/>
    <x v="71"/>
    <x v="929"/>
    <x v="1"/>
    <x v="0"/>
    <x v="861"/>
    <x v="299"/>
    <x v="929"/>
    <x v="77"/>
  </r>
  <r>
    <x v="6"/>
    <x v="72"/>
    <x v="930"/>
    <x v="1"/>
    <x v="0"/>
    <x v="862"/>
    <x v="300"/>
    <x v="930"/>
    <x v="77"/>
  </r>
  <r>
    <x v="6"/>
    <x v="73"/>
    <x v="931"/>
    <x v="1"/>
    <x v="0"/>
    <x v="750"/>
    <x v="301"/>
    <x v="931"/>
    <x v="78"/>
  </r>
  <r>
    <x v="6"/>
    <x v="74"/>
    <x v="932"/>
    <x v="1"/>
    <x v="0"/>
    <x v="863"/>
    <x v="302"/>
    <x v="932"/>
    <x v="78"/>
  </r>
  <r>
    <x v="6"/>
    <x v="75"/>
    <x v="933"/>
    <x v="1"/>
    <x v="0"/>
    <x v="864"/>
    <x v="203"/>
    <x v="933"/>
    <x v="78"/>
  </r>
  <r>
    <x v="6"/>
    <x v="76"/>
    <x v="934"/>
    <x v="1"/>
    <x v="0"/>
    <x v="865"/>
    <x v="303"/>
    <x v="934"/>
    <x v="78"/>
  </r>
  <r>
    <x v="6"/>
    <x v="77"/>
    <x v="935"/>
    <x v="1"/>
    <x v="0"/>
    <x v="866"/>
    <x v="304"/>
    <x v="935"/>
    <x v="78"/>
  </r>
  <r>
    <x v="6"/>
    <x v="78"/>
    <x v="936"/>
    <x v="1"/>
    <x v="0"/>
    <x v="867"/>
    <x v="78"/>
    <x v="936"/>
    <x v="78"/>
  </r>
  <r>
    <x v="6"/>
    <x v="79"/>
    <x v="937"/>
    <x v="1"/>
    <x v="0"/>
    <x v="868"/>
    <x v="305"/>
    <x v="937"/>
    <x v="78"/>
  </r>
  <r>
    <x v="6"/>
    <x v="80"/>
    <x v="938"/>
    <x v="1"/>
    <x v="0"/>
    <x v="869"/>
    <x v="306"/>
    <x v="938"/>
    <x v="78"/>
  </r>
  <r>
    <x v="6"/>
    <x v="81"/>
    <x v="939"/>
    <x v="1"/>
    <x v="0"/>
    <x v="870"/>
    <x v="307"/>
    <x v="939"/>
    <x v="78"/>
  </r>
  <r>
    <x v="6"/>
    <x v="82"/>
    <x v="940"/>
    <x v="1"/>
    <x v="0"/>
    <x v="871"/>
    <x v="308"/>
    <x v="940"/>
    <x v="78"/>
  </r>
  <r>
    <x v="6"/>
    <x v="83"/>
    <x v="941"/>
    <x v="1"/>
    <x v="1"/>
    <x v="872"/>
    <x v="309"/>
    <x v="941"/>
    <x v="78"/>
  </r>
  <r>
    <x v="6"/>
    <x v="84"/>
    <x v="942"/>
    <x v="1"/>
    <x v="0"/>
    <x v="873"/>
    <x v="310"/>
    <x v="942"/>
    <x v="78"/>
  </r>
  <r>
    <x v="6"/>
    <x v="85"/>
    <x v="943"/>
    <x v="1"/>
    <x v="0"/>
    <x v="873"/>
    <x v="311"/>
    <x v="943"/>
    <x v="78"/>
  </r>
  <r>
    <x v="6"/>
    <x v="86"/>
    <x v="944"/>
    <x v="1"/>
    <x v="0"/>
    <x v="874"/>
    <x v="312"/>
    <x v="944"/>
    <x v="78"/>
  </r>
  <r>
    <x v="6"/>
    <x v="87"/>
    <x v="945"/>
    <x v="1"/>
    <x v="0"/>
    <x v="875"/>
    <x v="313"/>
    <x v="945"/>
    <x v="79"/>
  </r>
  <r>
    <x v="6"/>
    <x v="88"/>
    <x v="946"/>
    <x v="1"/>
    <x v="0"/>
    <x v="876"/>
    <x v="314"/>
    <x v="946"/>
    <x v="79"/>
  </r>
  <r>
    <x v="6"/>
    <x v="89"/>
    <x v="947"/>
    <x v="1"/>
    <x v="0"/>
    <x v="877"/>
    <x v="315"/>
    <x v="947"/>
    <x v="79"/>
  </r>
  <r>
    <x v="6"/>
    <x v="90"/>
    <x v="948"/>
    <x v="1"/>
    <x v="0"/>
    <x v="878"/>
    <x v="202"/>
    <x v="948"/>
    <x v="79"/>
  </r>
  <r>
    <x v="6"/>
    <x v="91"/>
    <x v="949"/>
    <x v="1"/>
    <x v="0"/>
    <x v="879"/>
    <x v="316"/>
    <x v="949"/>
    <x v="79"/>
  </r>
  <r>
    <x v="6"/>
    <x v="92"/>
    <x v="950"/>
    <x v="1"/>
    <x v="0"/>
    <x v="880"/>
    <x v="317"/>
    <x v="950"/>
    <x v="79"/>
  </r>
  <r>
    <x v="6"/>
    <x v="93"/>
    <x v="951"/>
    <x v="1"/>
    <x v="0"/>
    <x v="881"/>
    <x v="318"/>
    <x v="951"/>
    <x v="79"/>
  </r>
  <r>
    <x v="6"/>
    <x v="94"/>
    <x v="952"/>
    <x v="1"/>
    <x v="1"/>
    <x v="882"/>
    <x v="319"/>
    <x v="952"/>
    <x v="79"/>
  </r>
  <r>
    <x v="6"/>
    <x v="95"/>
    <x v="953"/>
    <x v="1"/>
    <x v="0"/>
    <x v="883"/>
    <x v="320"/>
    <x v="953"/>
    <x v="79"/>
  </r>
  <r>
    <x v="6"/>
    <x v="96"/>
    <x v="954"/>
    <x v="1"/>
    <x v="0"/>
    <x v="884"/>
    <x v="321"/>
    <x v="954"/>
    <x v="79"/>
  </r>
  <r>
    <x v="6"/>
    <x v="97"/>
    <x v="955"/>
    <x v="1"/>
    <x v="0"/>
    <x v="885"/>
    <x v="322"/>
    <x v="955"/>
    <x v="79"/>
  </r>
  <r>
    <x v="6"/>
    <x v="98"/>
    <x v="956"/>
    <x v="0"/>
    <x v="0"/>
    <x v="886"/>
    <x v="323"/>
    <x v="956"/>
    <x v="79"/>
  </r>
  <r>
    <x v="6"/>
    <x v="99"/>
    <x v="957"/>
    <x v="1"/>
    <x v="1"/>
    <x v="887"/>
    <x v="216"/>
    <x v="957"/>
    <x v="79"/>
  </r>
  <r>
    <x v="6"/>
    <x v="100"/>
    <x v="958"/>
    <x v="1"/>
    <x v="0"/>
    <x v="888"/>
    <x v="324"/>
    <x v="958"/>
    <x v="80"/>
  </r>
  <r>
    <x v="6"/>
    <x v="101"/>
    <x v="959"/>
    <x v="1"/>
    <x v="0"/>
    <x v="889"/>
    <x v="325"/>
    <x v="959"/>
    <x v="80"/>
  </r>
  <r>
    <x v="6"/>
    <x v="102"/>
    <x v="960"/>
    <x v="1"/>
    <x v="0"/>
    <x v="890"/>
    <x v="326"/>
    <x v="960"/>
    <x v="80"/>
  </r>
  <r>
    <x v="6"/>
    <x v="103"/>
    <x v="961"/>
    <x v="1"/>
    <x v="0"/>
    <x v="891"/>
    <x v="327"/>
    <x v="961"/>
    <x v="80"/>
  </r>
  <r>
    <x v="6"/>
    <x v="104"/>
    <x v="962"/>
    <x v="1"/>
    <x v="0"/>
    <x v="892"/>
    <x v="328"/>
    <x v="962"/>
    <x v="80"/>
  </r>
  <r>
    <x v="6"/>
    <x v="105"/>
    <x v="963"/>
    <x v="1"/>
    <x v="1"/>
    <x v="893"/>
    <x v="215"/>
    <x v="963"/>
    <x v="80"/>
  </r>
  <r>
    <x v="6"/>
    <x v="106"/>
    <x v="964"/>
    <x v="1"/>
    <x v="0"/>
    <x v="894"/>
    <x v="329"/>
    <x v="964"/>
    <x v="80"/>
  </r>
  <r>
    <x v="6"/>
    <x v="107"/>
    <x v="965"/>
    <x v="1"/>
    <x v="0"/>
    <x v="895"/>
    <x v="97"/>
    <x v="965"/>
    <x v="80"/>
  </r>
  <r>
    <x v="6"/>
    <x v="108"/>
    <x v="966"/>
    <x v="1"/>
    <x v="0"/>
    <x v="896"/>
    <x v="330"/>
    <x v="966"/>
    <x v="80"/>
  </r>
  <r>
    <x v="6"/>
    <x v="109"/>
    <x v="967"/>
    <x v="1"/>
    <x v="0"/>
    <x v="897"/>
    <x v="121"/>
    <x v="967"/>
    <x v="80"/>
  </r>
  <r>
    <x v="6"/>
    <x v="110"/>
    <x v="968"/>
    <x v="1"/>
    <x v="0"/>
    <x v="898"/>
    <x v="331"/>
    <x v="968"/>
    <x v="80"/>
  </r>
  <r>
    <x v="6"/>
    <x v="111"/>
    <x v="969"/>
    <x v="1"/>
    <x v="0"/>
    <x v="899"/>
    <x v="332"/>
    <x v="969"/>
    <x v="80"/>
  </r>
  <r>
    <x v="6"/>
    <x v="112"/>
    <x v="970"/>
    <x v="1"/>
    <x v="0"/>
    <x v="900"/>
    <x v="333"/>
    <x v="970"/>
    <x v="80"/>
  </r>
  <r>
    <x v="6"/>
    <x v="113"/>
    <x v="971"/>
    <x v="1"/>
    <x v="0"/>
    <x v="901"/>
    <x v="334"/>
    <x v="971"/>
    <x v="81"/>
  </r>
  <r>
    <x v="6"/>
    <x v="114"/>
    <x v="972"/>
    <x v="1"/>
    <x v="0"/>
    <x v="902"/>
    <x v="335"/>
    <x v="972"/>
    <x v="81"/>
  </r>
  <r>
    <x v="6"/>
    <x v="115"/>
    <x v="973"/>
    <x v="1"/>
    <x v="0"/>
    <x v="903"/>
    <x v="336"/>
    <x v="973"/>
    <x v="81"/>
  </r>
  <r>
    <x v="6"/>
    <x v="116"/>
    <x v="974"/>
    <x v="1"/>
    <x v="0"/>
    <x v="904"/>
    <x v="337"/>
    <x v="974"/>
    <x v="81"/>
  </r>
  <r>
    <x v="6"/>
    <x v="117"/>
    <x v="975"/>
    <x v="1"/>
    <x v="0"/>
    <x v="905"/>
    <x v="338"/>
    <x v="975"/>
    <x v="81"/>
  </r>
  <r>
    <x v="6"/>
    <x v="118"/>
    <x v="976"/>
    <x v="1"/>
    <x v="0"/>
    <x v="906"/>
    <x v="339"/>
    <x v="976"/>
    <x v="81"/>
  </r>
  <r>
    <x v="6"/>
    <x v="119"/>
    <x v="977"/>
    <x v="1"/>
    <x v="0"/>
    <x v="907"/>
    <x v="340"/>
    <x v="977"/>
    <x v="81"/>
  </r>
  <r>
    <x v="6"/>
    <x v="120"/>
    <x v="978"/>
    <x v="1"/>
    <x v="0"/>
    <x v="908"/>
    <x v="341"/>
    <x v="978"/>
    <x v="81"/>
  </r>
  <r>
    <x v="6"/>
    <x v="121"/>
    <x v="979"/>
    <x v="1"/>
    <x v="0"/>
    <x v="909"/>
    <x v="342"/>
    <x v="979"/>
    <x v="81"/>
  </r>
  <r>
    <x v="6"/>
    <x v="122"/>
    <x v="980"/>
    <x v="1"/>
    <x v="0"/>
    <x v="544"/>
    <x v="343"/>
    <x v="980"/>
    <x v="81"/>
  </r>
  <r>
    <x v="6"/>
    <x v="123"/>
    <x v="981"/>
    <x v="1"/>
    <x v="0"/>
    <x v="234"/>
    <x v="344"/>
    <x v="981"/>
    <x v="81"/>
  </r>
  <r>
    <x v="6"/>
    <x v="124"/>
    <x v="982"/>
    <x v="1"/>
    <x v="0"/>
    <x v="910"/>
    <x v="294"/>
    <x v="982"/>
    <x v="81"/>
  </r>
  <r>
    <x v="6"/>
    <x v="125"/>
    <x v="983"/>
    <x v="1"/>
    <x v="0"/>
    <x v="911"/>
    <x v="345"/>
    <x v="983"/>
    <x v="81"/>
  </r>
  <r>
    <x v="6"/>
    <x v="126"/>
    <x v="984"/>
    <x v="1"/>
    <x v="0"/>
    <x v="912"/>
    <x v="243"/>
    <x v="984"/>
    <x v="82"/>
  </r>
  <r>
    <x v="6"/>
    <x v="127"/>
    <x v="985"/>
    <x v="1"/>
    <x v="0"/>
    <x v="913"/>
    <x v="346"/>
    <x v="985"/>
    <x v="82"/>
  </r>
  <r>
    <x v="6"/>
    <x v="128"/>
    <x v="986"/>
    <x v="1"/>
    <x v="0"/>
    <x v="914"/>
    <x v="347"/>
    <x v="986"/>
    <x v="82"/>
  </r>
  <r>
    <x v="6"/>
    <x v="129"/>
    <x v="987"/>
    <x v="1"/>
    <x v="0"/>
    <x v="915"/>
    <x v="195"/>
    <x v="987"/>
    <x v="82"/>
  </r>
  <r>
    <x v="6"/>
    <x v="130"/>
    <x v="988"/>
    <x v="1"/>
    <x v="0"/>
    <x v="916"/>
    <x v="348"/>
    <x v="988"/>
    <x v="82"/>
  </r>
  <r>
    <x v="6"/>
    <x v="131"/>
    <x v="989"/>
    <x v="1"/>
    <x v="0"/>
    <x v="475"/>
    <x v="349"/>
    <x v="989"/>
    <x v="82"/>
  </r>
  <r>
    <x v="6"/>
    <x v="132"/>
    <x v="990"/>
    <x v="1"/>
    <x v="0"/>
    <x v="917"/>
    <x v="303"/>
    <x v="990"/>
    <x v="82"/>
  </r>
  <r>
    <x v="6"/>
    <x v="133"/>
    <x v="991"/>
    <x v="1"/>
    <x v="0"/>
    <x v="918"/>
    <x v="350"/>
    <x v="991"/>
    <x v="82"/>
  </r>
  <r>
    <x v="6"/>
    <x v="134"/>
    <x v="992"/>
    <x v="1"/>
    <x v="0"/>
    <x v="919"/>
    <x v="351"/>
    <x v="992"/>
    <x v="82"/>
  </r>
  <r>
    <x v="6"/>
    <x v="135"/>
    <x v="993"/>
    <x v="1"/>
    <x v="1"/>
    <x v="920"/>
    <x v="310"/>
    <x v="993"/>
    <x v="82"/>
  </r>
  <r>
    <x v="6"/>
    <x v="136"/>
    <x v="994"/>
    <x v="1"/>
    <x v="0"/>
    <x v="921"/>
    <x v="200"/>
    <x v="994"/>
    <x v="82"/>
  </r>
  <r>
    <x v="6"/>
    <x v="137"/>
    <x v="995"/>
    <x v="1"/>
    <x v="0"/>
    <x v="922"/>
    <x v="352"/>
    <x v="995"/>
    <x v="82"/>
  </r>
  <r>
    <x v="6"/>
    <x v="138"/>
    <x v="996"/>
    <x v="1"/>
    <x v="0"/>
    <x v="923"/>
    <x v="353"/>
    <x v="996"/>
    <x v="82"/>
  </r>
  <r>
    <x v="6"/>
    <x v="139"/>
    <x v="997"/>
    <x v="1"/>
    <x v="0"/>
    <x v="47"/>
    <x v="354"/>
    <x v="997"/>
    <x v="83"/>
  </r>
  <r>
    <x v="6"/>
    <x v="140"/>
    <x v="998"/>
    <x v="1"/>
    <x v="0"/>
    <x v="902"/>
    <x v="355"/>
    <x v="998"/>
    <x v="83"/>
  </r>
  <r>
    <x v="6"/>
    <x v="141"/>
    <x v="999"/>
    <x v="1"/>
    <x v="0"/>
    <x v="924"/>
    <x v="333"/>
    <x v="999"/>
    <x v="83"/>
  </r>
  <r>
    <x v="6"/>
    <x v="142"/>
    <x v="1000"/>
    <x v="1"/>
    <x v="0"/>
    <x v="925"/>
    <x v="356"/>
    <x v="1000"/>
    <x v="83"/>
  </r>
  <r>
    <x v="7"/>
    <x v="0"/>
    <x v="1001"/>
    <x v="1"/>
    <x v="0"/>
    <x v="926"/>
    <x v="0"/>
    <x v="1001"/>
    <x v="84"/>
  </r>
  <r>
    <x v="7"/>
    <x v="1"/>
    <x v="1002"/>
    <x v="1"/>
    <x v="1"/>
    <x v="927"/>
    <x v="1"/>
    <x v="1002"/>
    <x v="84"/>
  </r>
  <r>
    <x v="7"/>
    <x v="2"/>
    <x v="1003"/>
    <x v="1"/>
    <x v="0"/>
    <x v="928"/>
    <x v="2"/>
    <x v="1003"/>
    <x v="84"/>
  </r>
  <r>
    <x v="7"/>
    <x v="3"/>
    <x v="1004"/>
    <x v="1"/>
    <x v="0"/>
    <x v="929"/>
    <x v="3"/>
    <x v="1004"/>
    <x v="84"/>
  </r>
  <r>
    <x v="7"/>
    <x v="4"/>
    <x v="1005"/>
    <x v="1"/>
    <x v="0"/>
    <x v="930"/>
    <x v="4"/>
    <x v="1005"/>
    <x v="84"/>
  </r>
  <r>
    <x v="7"/>
    <x v="5"/>
    <x v="1006"/>
    <x v="1"/>
    <x v="0"/>
    <x v="931"/>
    <x v="5"/>
    <x v="1006"/>
    <x v="84"/>
  </r>
  <r>
    <x v="7"/>
    <x v="6"/>
    <x v="1007"/>
    <x v="1"/>
    <x v="0"/>
    <x v="932"/>
    <x v="6"/>
    <x v="1007"/>
    <x v="84"/>
  </r>
  <r>
    <x v="7"/>
    <x v="7"/>
    <x v="1008"/>
    <x v="1"/>
    <x v="0"/>
    <x v="933"/>
    <x v="7"/>
    <x v="1008"/>
    <x v="84"/>
  </r>
  <r>
    <x v="7"/>
    <x v="8"/>
    <x v="1009"/>
    <x v="1"/>
    <x v="0"/>
    <x v="934"/>
    <x v="8"/>
    <x v="1009"/>
    <x v="85"/>
  </r>
  <r>
    <x v="7"/>
    <x v="9"/>
    <x v="1010"/>
    <x v="1"/>
    <x v="0"/>
    <x v="935"/>
    <x v="9"/>
    <x v="1010"/>
    <x v="85"/>
  </r>
  <r>
    <x v="7"/>
    <x v="10"/>
    <x v="1011"/>
    <x v="1"/>
    <x v="0"/>
    <x v="936"/>
    <x v="10"/>
    <x v="1011"/>
    <x v="85"/>
  </r>
  <r>
    <x v="7"/>
    <x v="11"/>
    <x v="1012"/>
    <x v="1"/>
    <x v="0"/>
    <x v="937"/>
    <x v="11"/>
    <x v="1012"/>
    <x v="85"/>
  </r>
  <r>
    <x v="7"/>
    <x v="12"/>
    <x v="1013"/>
    <x v="1"/>
    <x v="0"/>
    <x v="938"/>
    <x v="12"/>
    <x v="1013"/>
    <x v="85"/>
  </r>
  <r>
    <x v="7"/>
    <x v="13"/>
    <x v="1014"/>
    <x v="1"/>
    <x v="0"/>
    <x v="939"/>
    <x v="13"/>
    <x v="1014"/>
    <x v="85"/>
  </r>
  <r>
    <x v="7"/>
    <x v="14"/>
    <x v="1015"/>
    <x v="1"/>
    <x v="0"/>
    <x v="940"/>
    <x v="14"/>
    <x v="1015"/>
    <x v="85"/>
  </r>
  <r>
    <x v="7"/>
    <x v="15"/>
    <x v="1016"/>
    <x v="1"/>
    <x v="0"/>
    <x v="941"/>
    <x v="15"/>
    <x v="1016"/>
    <x v="85"/>
  </r>
  <r>
    <x v="7"/>
    <x v="16"/>
    <x v="1017"/>
    <x v="1"/>
    <x v="0"/>
    <x v="942"/>
    <x v="16"/>
    <x v="1017"/>
    <x v="85"/>
  </r>
  <r>
    <x v="7"/>
    <x v="17"/>
    <x v="1018"/>
    <x v="1"/>
    <x v="0"/>
    <x v="943"/>
    <x v="17"/>
    <x v="1018"/>
    <x v="85"/>
  </r>
  <r>
    <x v="7"/>
    <x v="18"/>
    <x v="1019"/>
    <x v="1"/>
    <x v="0"/>
    <x v="944"/>
    <x v="18"/>
    <x v="1019"/>
    <x v="85"/>
  </r>
  <r>
    <x v="7"/>
    <x v="19"/>
    <x v="1020"/>
    <x v="1"/>
    <x v="0"/>
    <x v="945"/>
    <x v="19"/>
    <x v="1020"/>
    <x v="85"/>
  </r>
  <r>
    <x v="7"/>
    <x v="20"/>
    <x v="1021"/>
    <x v="1"/>
    <x v="0"/>
    <x v="700"/>
    <x v="20"/>
    <x v="1021"/>
    <x v="85"/>
  </r>
  <r>
    <x v="7"/>
    <x v="21"/>
    <x v="1022"/>
    <x v="1"/>
    <x v="0"/>
    <x v="14"/>
    <x v="21"/>
    <x v="1022"/>
    <x v="86"/>
  </r>
  <r>
    <x v="7"/>
    <x v="22"/>
    <x v="1023"/>
    <x v="1"/>
    <x v="0"/>
    <x v="946"/>
    <x v="22"/>
    <x v="1023"/>
    <x v="86"/>
  </r>
  <r>
    <x v="7"/>
    <x v="23"/>
    <x v="1024"/>
    <x v="1"/>
    <x v="0"/>
    <x v="947"/>
    <x v="23"/>
    <x v="1024"/>
    <x v="86"/>
  </r>
  <r>
    <x v="7"/>
    <x v="24"/>
    <x v="1025"/>
    <x v="1"/>
    <x v="0"/>
    <x v="948"/>
    <x v="24"/>
    <x v="1025"/>
    <x v="86"/>
  </r>
  <r>
    <x v="7"/>
    <x v="25"/>
    <x v="1026"/>
    <x v="1"/>
    <x v="0"/>
    <x v="949"/>
    <x v="25"/>
    <x v="1026"/>
    <x v="86"/>
  </r>
  <r>
    <x v="7"/>
    <x v="26"/>
    <x v="1027"/>
    <x v="1"/>
    <x v="0"/>
    <x v="533"/>
    <x v="26"/>
    <x v="1027"/>
    <x v="86"/>
  </r>
  <r>
    <x v="7"/>
    <x v="27"/>
    <x v="1028"/>
    <x v="1"/>
    <x v="0"/>
    <x v="950"/>
    <x v="27"/>
    <x v="1028"/>
    <x v="86"/>
  </r>
  <r>
    <x v="7"/>
    <x v="28"/>
    <x v="1029"/>
    <x v="1"/>
    <x v="0"/>
    <x v="951"/>
    <x v="28"/>
    <x v="1029"/>
    <x v="86"/>
  </r>
  <r>
    <x v="7"/>
    <x v="29"/>
    <x v="1030"/>
    <x v="1"/>
    <x v="0"/>
    <x v="952"/>
    <x v="29"/>
    <x v="1030"/>
    <x v="86"/>
  </r>
  <r>
    <x v="7"/>
    <x v="30"/>
    <x v="1031"/>
    <x v="1"/>
    <x v="0"/>
    <x v="953"/>
    <x v="30"/>
    <x v="1031"/>
    <x v="86"/>
  </r>
  <r>
    <x v="7"/>
    <x v="31"/>
    <x v="1032"/>
    <x v="1"/>
    <x v="1"/>
    <x v="604"/>
    <x v="31"/>
    <x v="1032"/>
    <x v="86"/>
  </r>
  <r>
    <x v="7"/>
    <x v="32"/>
    <x v="1033"/>
    <x v="1"/>
    <x v="0"/>
    <x v="954"/>
    <x v="32"/>
    <x v="1033"/>
    <x v="86"/>
  </r>
  <r>
    <x v="7"/>
    <x v="33"/>
    <x v="1034"/>
    <x v="1"/>
    <x v="0"/>
    <x v="955"/>
    <x v="33"/>
    <x v="1034"/>
    <x v="86"/>
  </r>
  <r>
    <x v="7"/>
    <x v="34"/>
    <x v="1035"/>
    <x v="1"/>
    <x v="0"/>
    <x v="956"/>
    <x v="34"/>
    <x v="1035"/>
    <x v="87"/>
  </r>
  <r>
    <x v="7"/>
    <x v="35"/>
    <x v="1036"/>
    <x v="1"/>
    <x v="0"/>
    <x v="320"/>
    <x v="35"/>
    <x v="1036"/>
    <x v="87"/>
  </r>
  <r>
    <x v="7"/>
    <x v="36"/>
    <x v="1037"/>
    <x v="1"/>
    <x v="0"/>
    <x v="957"/>
    <x v="6"/>
    <x v="1037"/>
    <x v="87"/>
  </r>
  <r>
    <x v="7"/>
    <x v="37"/>
    <x v="1038"/>
    <x v="1"/>
    <x v="0"/>
    <x v="721"/>
    <x v="36"/>
    <x v="1038"/>
    <x v="87"/>
  </r>
  <r>
    <x v="7"/>
    <x v="38"/>
    <x v="1039"/>
    <x v="1"/>
    <x v="0"/>
    <x v="958"/>
    <x v="37"/>
    <x v="1039"/>
    <x v="87"/>
  </r>
  <r>
    <x v="7"/>
    <x v="39"/>
    <x v="1040"/>
    <x v="1"/>
    <x v="0"/>
    <x v="959"/>
    <x v="38"/>
    <x v="1040"/>
    <x v="87"/>
  </r>
  <r>
    <x v="7"/>
    <x v="40"/>
    <x v="1041"/>
    <x v="1"/>
    <x v="0"/>
    <x v="960"/>
    <x v="39"/>
    <x v="1041"/>
    <x v="87"/>
  </r>
  <r>
    <x v="7"/>
    <x v="41"/>
    <x v="1042"/>
    <x v="1"/>
    <x v="0"/>
    <x v="961"/>
    <x v="40"/>
    <x v="1042"/>
    <x v="87"/>
  </r>
  <r>
    <x v="7"/>
    <x v="42"/>
    <x v="1043"/>
    <x v="0"/>
    <x v="1"/>
    <x v="962"/>
    <x v="41"/>
    <x v="1043"/>
    <x v="87"/>
  </r>
  <r>
    <x v="7"/>
    <x v="43"/>
    <x v="1044"/>
    <x v="1"/>
    <x v="0"/>
    <x v="963"/>
    <x v="42"/>
    <x v="1044"/>
    <x v="87"/>
  </r>
  <r>
    <x v="7"/>
    <x v="44"/>
    <x v="1045"/>
    <x v="0"/>
    <x v="0"/>
    <x v="964"/>
    <x v="43"/>
    <x v="1045"/>
    <x v="87"/>
  </r>
  <r>
    <x v="7"/>
    <x v="45"/>
    <x v="1046"/>
    <x v="0"/>
    <x v="0"/>
    <x v="965"/>
    <x v="44"/>
    <x v="1046"/>
    <x v="87"/>
  </r>
  <r>
    <x v="7"/>
    <x v="46"/>
    <x v="1047"/>
    <x v="0"/>
    <x v="0"/>
    <x v="966"/>
    <x v="45"/>
    <x v="1047"/>
    <x v="87"/>
  </r>
  <r>
    <x v="7"/>
    <x v="47"/>
    <x v="1048"/>
    <x v="1"/>
    <x v="1"/>
    <x v="967"/>
    <x v="46"/>
    <x v="1048"/>
    <x v="87"/>
  </r>
  <r>
    <x v="7"/>
    <x v="48"/>
    <x v="1049"/>
    <x v="1"/>
    <x v="0"/>
    <x v="968"/>
    <x v="47"/>
    <x v="1049"/>
    <x v="88"/>
  </r>
  <r>
    <x v="7"/>
    <x v="49"/>
    <x v="1050"/>
    <x v="1"/>
    <x v="0"/>
    <x v="969"/>
    <x v="48"/>
    <x v="1050"/>
    <x v="88"/>
  </r>
  <r>
    <x v="7"/>
    <x v="50"/>
    <x v="1051"/>
    <x v="1"/>
    <x v="0"/>
    <x v="970"/>
    <x v="49"/>
    <x v="1051"/>
    <x v="88"/>
  </r>
  <r>
    <x v="7"/>
    <x v="51"/>
    <x v="1052"/>
    <x v="1"/>
    <x v="0"/>
    <x v="971"/>
    <x v="50"/>
    <x v="1052"/>
    <x v="88"/>
  </r>
  <r>
    <x v="7"/>
    <x v="52"/>
    <x v="1053"/>
    <x v="1"/>
    <x v="0"/>
    <x v="972"/>
    <x v="51"/>
    <x v="1053"/>
    <x v="88"/>
  </r>
  <r>
    <x v="7"/>
    <x v="53"/>
    <x v="1054"/>
    <x v="1"/>
    <x v="1"/>
    <x v="973"/>
    <x v="52"/>
    <x v="1054"/>
    <x v="88"/>
  </r>
  <r>
    <x v="7"/>
    <x v="54"/>
    <x v="1055"/>
    <x v="0"/>
    <x v="0"/>
    <x v="923"/>
    <x v="53"/>
    <x v="1055"/>
    <x v="88"/>
  </r>
  <r>
    <x v="7"/>
    <x v="55"/>
    <x v="1056"/>
    <x v="1"/>
    <x v="0"/>
    <x v="974"/>
    <x v="54"/>
    <x v="1056"/>
    <x v="88"/>
  </r>
  <r>
    <x v="7"/>
    <x v="56"/>
    <x v="1057"/>
    <x v="1"/>
    <x v="0"/>
    <x v="975"/>
    <x v="55"/>
    <x v="1057"/>
    <x v="88"/>
  </r>
  <r>
    <x v="7"/>
    <x v="57"/>
    <x v="1058"/>
    <x v="1"/>
    <x v="0"/>
    <x v="714"/>
    <x v="56"/>
    <x v="1058"/>
    <x v="88"/>
  </r>
  <r>
    <x v="7"/>
    <x v="58"/>
    <x v="1059"/>
    <x v="1"/>
    <x v="0"/>
    <x v="976"/>
    <x v="57"/>
    <x v="1059"/>
    <x v="88"/>
  </r>
  <r>
    <x v="7"/>
    <x v="59"/>
    <x v="1060"/>
    <x v="1"/>
    <x v="0"/>
    <x v="977"/>
    <x v="58"/>
    <x v="1060"/>
    <x v="88"/>
  </r>
  <r>
    <x v="7"/>
    <x v="60"/>
    <x v="1061"/>
    <x v="1"/>
    <x v="0"/>
    <x v="501"/>
    <x v="59"/>
    <x v="1061"/>
    <x v="89"/>
  </r>
  <r>
    <x v="7"/>
    <x v="61"/>
    <x v="1062"/>
    <x v="1"/>
    <x v="0"/>
    <x v="978"/>
    <x v="60"/>
    <x v="1062"/>
    <x v="89"/>
  </r>
  <r>
    <x v="7"/>
    <x v="62"/>
    <x v="1063"/>
    <x v="1"/>
    <x v="0"/>
    <x v="646"/>
    <x v="61"/>
    <x v="1063"/>
    <x v="89"/>
  </r>
  <r>
    <x v="7"/>
    <x v="63"/>
    <x v="1064"/>
    <x v="1"/>
    <x v="0"/>
    <x v="154"/>
    <x v="62"/>
    <x v="1064"/>
    <x v="89"/>
  </r>
  <r>
    <x v="7"/>
    <x v="64"/>
    <x v="1065"/>
    <x v="1"/>
    <x v="0"/>
    <x v="979"/>
    <x v="63"/>
    <x v="1065"/>
    <x v="89"/>
  </r>
  <r>
    <x v="7"/>
    <x v="65"/>
    <x v="1066"/>
    <x v="1"/>
    <x v="0"/>
    <x v="980"/>
    <x v="64"/>
    <x v="1066"/>
    <x v="89"/>
  </r>
  <r>
    <x v="7"/>
    <x v="66"/>
    <x v="1067"/>
    <x v="1"/>
    <x v="0"/>
    <x v="981"/>
    <x v="65"/>
    <x v="1067"/>
    <x v="89"/>
  </r>
  <r>
    <x v="7"/>
    <x v="67"/>
    <x v="1068"/>
    <x v="1"/>
    <x v="0"/>
    <x v="982"/>
    <x v="66"/>
    <x v="1068"/>
    <x v="89"/>
  </r>
  <r>
    <x v="7"/>
    <x v="68"/>
    <x v="1069"/>
    <x v="1"/>
    <x v="0"/>
    <x v="983"/>
    <x v="67"/>
    <x v="1069"/>
    <x v="89"/>
  </r>
  <r>
    <x v="7"/>
    <x v="69"/>
    <x v="1070"/>
    <x v="1"/>
    <x v="0"/>
    <x v="175"/>
    <x v="68"/>
    <x v="1070"/>
    <x v="89"/>
  </r>
  <r>
    <x v="7"/>
    <x v="70"/>
    <x v="1071"/>
    <x v="1"/>
    <x v="0"/>
    <x v="944"/>
    <x v="69"/>
    <x v="1071"/>
    <x v="89"/>
  </r>
  <r>
    <x v="7"/>
    <x v="71"/>
    <x v="1072"/>
    <x v="1"/>
    <x v="0"/>
    <x v="984"/>
    <x v="70"/>
    <x v="1072"/>
    <x v="89"/>
  </r>
  <r>
    <x v="7"/>
    <x v="72"/>
    <x v="1073"/>
    <x v="1"/>
    <x v="0"/>
    <x v="985"/>
    <x v="71"/>
    <x v="1073"/>
    <x v="89"/>
  </r>
  <r>
    <x v="7"/>
    <x v="73"/>
    <x v="1074"/>
    <x v="1"/>
    <x v="0"/>
    <x v="986"/>
    <x v="59"/>
    <x v="1074"/>
    <x v="90"/>
  </r>
  <r>
    <x v="7"/>
    <x v="74"/>
    <x v="1075"/>
    <x v="1"/>
    <x v="0"/>
    <x v="987"/>
    <x v="72"/>
    <x v="1075"/>
    <x v="90"/>
  </r>
  <r>
    <x v="7"/>
    <x v="75"/>
    <x v="1076"/>
    <x v="1"/>
    <x v="0"/>
    <x v="988"/>
    <x v="73"/>
    <x v="1076"/>
    <x v="90"/>
  </r>
  <r>
    <x v="7"/>
    <x v="76"/>
    <x v="1077"/>
    <x v="1"/>
    <x v="0"/>
    <x v="989"/>
    <x v="74"/>
    <x v="1077"/>
    <x v="90"/>
  </r>
  <r>
    <x v="7"/>
    <x v="77"/>
    <x v="1078"/>
    <x v="1"/>
    <x v="0"/>
    <x v="990"/>
    <x v="75"/>
    <x v="1078"/>
    <x v="90"/>
  </r>
  <r>
    <x v="7"/>
    <x v="78"/>
    <x v="1079"/>
    <x v="1"/>
    <x v="0"/>
    <x v="991"/>
    <x v="76"/>
    <x v="1079"/>
    <x v="90"/>
  </r>
  <r>
    <x v="7"/>
    <x v="79"/>
    <x v="1080"/>
    <x v="1"/>
    <x v="0"/>
    <x v="992"/>
    <x v="77"/>
    <x v="1080"/>
    <x v="90"/>
  </r>
  <r>
    <x v="7"/>
    <x v="80"/>
    <x v="1081"/>
    <x v="1"/>
    <x v="0"/>
    <x v="993"/>
    <x v="78"/>
    <x v="1081"/>
    <x v="90"/>
  </r>
  <r>
    <x v="7"/>
    <x v="81"/>
    <x v="1082"/>
    <x v="1"/>
    <x v="0"/>
    <x v="994"/>
    <x v="79"/>
    <x v="1082"/>
    <x v="90"/>
  </r>
  <r>
    <x v="7"/>
    <x v="82"/>
    <x v="1083"/>
    <x v="1"/>
    <x v="0"/>
    <x v="995"/>
    <x v="80"/>
    <x v="1083"/>
    <x v="90"/>
  </r>
  <r>
    <x v="7"/>
    <x v="83"/>
    <x v="1084"/>
    <x v="1"/>
    <x v="1"/>
    <x v="996"/>
    <x v="81"/>
    <x v="1084"/>
    <x v="90"/>
  </r>
  <r>
    <x v="7"/>
    <x v="84"/>
    <x v="1085"/>
    <x v="1"/>
    <x v="0"/>
    <x v="997"/>
    <x v="82"/>
    <x v="1085"/>
    <x v="90"/>
  </r>
  <r>
    <x v="7"/>
    <x v="85"/>
    <x v="1086"/>
    <x v="1"/>
    <x v="0"/>
    <x v="998"/>
    <x v="83"/>
    <x v="1086"/>
    <x v="90"/>
  </r>
  <r>
    <x v="7"/>
    <x v="86"/>
    <x v="1087"/>
    <x v="1"/>
    <x v="0"/>
    <x v="999"/>
    <x v="84"/>
    <x v="1087"/>
    <x v="90"/>
  </r>
  <r>
    <x v="7"/>
    <x v="87"/>
    <x v="1088"/>
    <x v="1"/>
    <x v="0"/>
    <x v="112"/>
    <x v="85"/>
    <x v="1088"/>
    <x v="91"/>
  </r>
  <r>
    <x v="7"/>
    <x v="88"/>
    <x v="1089"/>
    <x v="1"/>
    <x v="0"/>
    <x v="1000"/>
    <x v="86"/>
    <x v="1089"/>
    <x v="91"/>
  </r>
  <r>
    <x v="7"/>
    <x v="89"/>
    <x v="1090"/>
    <x v="1"/>
    <x v="0"/>
    <x v="1001"/>
    <x v="87"/>
    <x v="1090"/>
    <x v="91"/>
  </r>
  <r>
    <x v="7"/>
    <x v="90"/>
    <x v="1091"/>
    <x v="1"/>
    <x v="0"/>
    <x v="1002"/>
    <x v="88"/>
    <x v="1091"/>
    <x v="91"/>
  </r>
  <r>
    <x v="7"/>
    <x v="91"/>
    <x v="1092"/>
    <x v="1"/>
    <x v="0"/>
    <x v="1003"/>
    <x v="89"/>
    <x v="1092"/>
    <x v="91"/>
  </r>
  <r>
    <x v="7"/>
    <x v="92"/>
    <x v="1093"/>
    <x v="1"/>
    <x v="0"/>
    <x v="1004"/>
    <x v="90"/>
    <x v="1093"/>
    <x v="91"/>
  </r>
  <r>
    <x v="7"/>
    <x v="93"/>
    <x v="1094"/>
    <x v="1"/>
    <x v="0"/>
    <x v="1005"/>
    <x v="91"/>
    <x v="1094"/>
    <x v="91"/>
  </r>
  <r>
    <x v="7"/>
    <x v="94"/>
    <x v="1095"/>
    <x v="0"/>
    <x v="1"/>
    <x v="1006"/>
    <x v="92"/>
    <x v="1095"/>
    <x v="91"/>
  </r>
  <r>
    <x v="7"/>
    <x v="95"/>
    <x v="1096"/>
    <x v="1"/>
    <x v="0"/>
    <x v="1007"/>
    <x v="93"/>
    <x v="1096"/>
    <x v="91"/>
  </r>
  <r>
    <x v="7"/>
    <x v="96"/>
    <x v="1097"/>
    <x v="0"/>
    <x v="0"/>
    <x v="1008"/>
    <x v="94"/>
    <x v="1097"/>
    <x v="91"/>
  </r>
  <r>
    <x v="7"/>
    <x v="97"/>
    <x v="1098"/>
    <x v="0"/>
    <x v="0"/>
    <x v="1009"/>
    <x v="95"/>
    <x v="1098"/>
    <x v="91"/>
  </r>
  <r>
    <x v="7"/>
    <x v="98"/>
    <x v="1099"/>
    <x v="0"/>
    <x v="0"/>
    <x v="1010"/>
    <x v="96"/>
    <x v="1099"/>
    <x v="91"/>
  </r>
  <r>
    <x v="7"/>
    <x v="99"/>
    <x v="1100"/>
    <x v="1"/>
    <x v="1"/>
    <x v="1011"/>
    <x v="97"/>
    <x v="1100"/>
    <x v="91"/>
  </r>
  <r>
    <x v="7"/>
    <x v="100"/>
    <x v="1101"/>
    <x v="1"/>
    <x v="0"/>
    <x v="1012"/>
    <x v="98"/>
    <x v="1101"/>
    <x v="92"/>
  </r>
  <r>
    <x v="7"/>
    <x v="101"/>
    <x v="1102"/>
    <x v="1"/>
    <x v="0"/>
    <x v="1013"/>
    <x v="99"/>
    <x v="1102"/>
    <x v="92"/>
  </r>
  <r>
    <x v="7"/>
    <x v="102"/>
    <x v="1103"/>
    <x v="1"/>
    <x v="0"/>
    <x v="1014"/>
    <x v="100"/>
    <x v="1103"/>
    <x v="92"/>
  </r>
  <r>
    <x v="7"/>
    <x v="103"/>
    <x v="1104"/>
    <x v="1"/>
    <x v="0"/>
    <x v="1015"/>
    <x v="101"/>
    <x v="1104"/>
    <x v="92"/>
  </r>
  <r>
    <x v="7"/>
    <x v="104"/>
    <x v="1105"/>
    <x v="1"/>
    <x v="0"/>
    <x v="1016"/>
    <x v="102"/>
    <x v="1105"/>
    <x v="92"/>
  </r>
  <r>
    <x v="7"/>
    <x v="105"/>
    <x v="1106"/>
    <x v="1"/>
    <x v="1"/>
    <x v="1017"/>
    <x v="103"/>
    <x v="1106"/>
    <x v="92"/>
  </r>
  <r>
    <x v="7"/>
    <x v="106"/>
    <x v="1107"/>
    <x v="0"/>
    <x v="0"/>
    <x v="858"/>
    <x v="104"/>
    <x v="1107"/>
    <x v="92"/>
  </r>
  <r>
    <x v="7"/>
    <x v="107"/>
    <x v="1108"/>
    <x v="1"/>
    <x v="0"/>
    <x v="44"/>
    <x v="105"/>
    <x v="1108"/>
    <x v="92"/>
  </r>
  <r>
    <x v="7"/>
    <x v="108"/>
    <x v="1109"/>
    <x v="1"/>
    <x v="0"/>
    <x v="1018"/>
    <x v="106"/>
    <x v="1109"/>
    <x v="92"/>
  </r>
  <r>
    <x v="7"/>
    <x v="109"/>
    <x v="1110"/>
    <x v="1"/>
    <x v="0"/>
    <x v="1019"/>
    <x v="107"/>
    <x v="1110"/>
    <x v="92"/>
  </r>
  <r>
    <x v="7"/>
    <x v="110"/>
    <x v="1111"/>
    <x v="1"/>
    <x v="0"/>
    <x v="1020"/>
    <x v="108"/>
    <x v="1111"/>
    <x v="92"/>
  </r>
  <r>
    <x v="7"/>
    <x v="111"/>
    <x v="1112"/>
    <x v="1"/>
    <x v="0"/>
    <x v="1021"/>
    <x v="109"/>
    <x v="1112"/>
    <x v="92"/>
  </r>
  <r>
    <x v="7"/>
    <x v="112"/>
    <x v="1113"/>
    <x v="1"/>
    <x v="0"/>
    <x v="1022"/>
    <x v="110"/>
    <x v="1113"/>
    <x v="92"/>
  </r>
  <r>
    <x v="7"/>
    <x v="113"/>
    <x v="1114"/>
    <x v="1"/>
    <x v="0"/>
    <x v="1023"/>
    <x v="111"/>
    <x v="1114"/>
    <x v="93"/>
  </r>
  <r>
    <x v="7"/>
    <x v="114"/>
    <x v="1115"/>
    <x v="1"/>
    <x v="0"/>
    <x v="556"/>
    <x v="111"/>
    <x v="1115"/>
    <x v="93"/>
  </r>
  <r>
    <x v="7"/>
    <x v="115"/>
    <x v="1116"/>
    <x v="1"/>
    <x v="0"/>
    <x v="813"/>
    <x v="112"/>
    <x v="1116"/>
    <x v="93"/>
  </r>
  <r>
    <x v="7"/>
    <x v="116"/>
    <x v="1117"/>
    <x v="1"/>
    <x v="0"/>
    <x v="1024"/>
    <x v="113"/>
    <x v="1117"/>
    <x v="93"/>
  </r>
  <r>
    <x v="7"/>
    <x v="117"/>
    <x v="1118"/>
    <x v="1"/>
    <x v="0"/>
    <x v="1025"/>
    <x v="114"/>
    <x v="1118"/>
    <x v="93"/>
  </r>
  <r>
    <x v="7"/>
    <x v="118"/>
    <x v="1119"/>
    <x v="1"/>
    <x v="0"/>
    <x v="1026"/>
    <x v="115"/>
    <x v="1119"/>
    <x v="93"/>
  </r>
  <r>
    <x v="7"/>
    <x v="119"/>
    <x v="1120"/>
    <x v="1"/>
    <x v="0"/>
    <x v="1027"/>
    <x v="106"/>
    <x v="1120"/>
    <x v="93"/>
  </r>
  <r>
    <x v="7"/>
    <x v="120"/>
    <x v="1121"/>
    <x v="1"/>
    <x v="0"/>
    <x v="1028"/>
    <x v="116"/>
    <x v="1121"/>
    <x v="93"/>
  </r>
  <r>
    <x v="7"/>
    <x v="121"/>
    <x v="1122"/>
    <x v="1"/>
    <x v="0"/>
    <x v="1029"/>
    <x v="117"/>
    <x v="1122"/>
    <x v="93"/>
  </r>
  <r>
    <x v="7"/>
    <x v="122"/>
    <x v="1123"/>
    <x v="1"/>
    <x v="0"/>
    <x v="1030"/>
    <x v="118"/>
    <x v="1123"/>
    <x v="93"/>
  </r>
  <r>
    <x v="7"/>
    <x v="123"/>
    <x v="1124"/>
    <x v="1"/>
    <x v="0"/>
    <x v="1031"/>
    <x v="119"/>
    <x v="1124"/>
    <x v="93"/>
  </r>
  <r>
    <x v="7"/>
    <x v="124"/>
    <x v="1125"/>
    <x v="1"/>
    <x v="0"/>
    <x v="226"/>
    <x v="120"/>
    <x v="1125"/>
    <x v="93"/>
  </r>
  <r>
    <x v="7"/>
    <x v="125"/>
    <x v="1126"/>
    <x v="1"/>
    <x v="0"/>
    <x v="1032"/>
    <x v="121"/>
    <x v="1126"/>
    <x v="93"/>
  </r>
  <r>
    <x v="7"/>
    <x v="126"/>
    <x v="1127"/>
    <x v="1"/>
    <x v="0"/>
    <x v="1033"/>
    <x v="122"/>
    <x v="1127"/>
    <x v="94"/>
  </r>
  <r>
    <x v="7"/>
    <x v="127"/>
    <x v="1128"/>
    <x v="1"/>
    <x v="0"/>
    <x v="1034"/>
    <x v="123"/>
    <x v="1128"/>
    <x v="94"/>
  </r>
  <r>
    <x v="7"/>
    <x v="128"/>
    <x v="1129"/>
    <x v="1"/>
    <x v="0"/>
    <x v="84"/>
    <x v="124"/>
    <x v="1129"/>
    <x v="94"/>
  </r>
  <r>
    <x v="7"/>
    <x v="129"/>
    <x v="1130"/>
    <x v="1"/>
    <x v="0"/>
    <x v="1035"/>
    <x v="125"/>
    <x v="1130"/>
    <x v="94"/>
  </r>
  <r>
    <x v="7"/>
    <x v="130"/>
    <x v="1131"/>
    <x v="1"/>
    <x v="0"/>
    <x v="665"/>
    <x v="126"/>
    <x v="1131"/>
    <x v="94"/>
  </r>
  <r>
    <x v="7"/>
    <x v="131"/>
    <x v="1132"/>
    <x v="1"/>
    <x v="0"/>
    <x v="1036"/>
    <x v="127"/>
    <x v="1132"/>
    <x v="94"/>
  </r>
  <r>
    <x v="7"/>
    <x v="132"/>
    <x v="1133"/>
    <x v="1"/>
    <x v="0"/>
    <x v="30"/>
    <x v="128"/>
    <x v="1133"/>
    <x v="94"/>
  </r>
  <r>
    <x v="7"/>
    <x v="133"/>
    <x v="1134"/>
    <x v="1"/>
    <x v="0"/>
    <x v="118"/>
    <x v="129"/>
    <x v="1134"/>
    <x v="94"/>
  </r>
  <r>
    <x v="7"/>
    <x v="134"/>
    <x v="1135"/>
    <x v="1"/>
    <x v="0"/>
    <x v="1037"/>
    <x v="77"/>
    <x v="1135"/>
    <x v="94"/>
  </r>
  <r>
    <x v="7"/>
    <x v="135"/>
    <x v="1136"/>
    <x v="1"/>
    <x v="1"/>
    <x v="1038"/>
    <x v="130"/>
    <x v="1136"/>
    <x v="94"/>
  </r>
  <r>
    <x v="7"/>
    <x v="136"/>
    <x v="1137"/>
    <x v="1"/>
    <x v="0"/>
    <x v="1039"/>
    <x v="131"/>
    <x v="1137"/>
    <x v="94"/>
  </r>
  <r>
    <x v="7"/>
    <x v="137"/>
    <x v="1138"/>
    <x v="1"/>
    <x v="0"/>
    <x v="1040"/>
    <x v="132"/>
    <x v="1138"/>
    <x v="94"/>
  </r>
  <r>
    <x v="7"/>
    <x v="138"/>
    <x v="1139"/>
    <x v="1"/>
    <x v="0"/>
    <x v="578"/>
    <x v="133"/>
    <x v="1139"/>
    <x v="94"/>
  </r>
  <r>
    <x v="7"/>
    <x v="139"/>
    <x v="1140"/>
    <x v="1"/>
    <x v="0"/>
    <x v="1041"/>
    <x v="134"/>
    <x v="1140"/>
    <x v="95"/>
  </r>
  <r>
    <x v="7"/>
    <x v="140"/>
    <x v="1141"/>
    <x v="1"/>
    <x v="0"/>
    <x v="1042"/>
    <x v="135"/>
    <x v="1141"/>
    <x v="95"/>
  </r>
  <r>
    <x v="7"/>
    <x v="141"/>
    <x v="1142"/>
    <x v="1"/>
    <x v="0"/>
    <x v="140"/>
    <x v="71"/>
    <x v="1142"/>
    <x v="95"/>
  </r>
  <r>
    <x v="7"/>
    <x v="142"/>
    <x v="1143"/>
    <x v="1"/>
    <x v="0"/>
    <x v="110"/>
    <x v="136"/>
    <x v="1143"/>
    <x v="95"/>
  </r>
  <r>
    <x v="8"/>
    <x v="0"/>
    <x v="1144"/>
    <x v="1"/>
    <x v="0"/>
    <x v="1043"/>
    <x v="0"/>
    <x v="1144"/>
    <x v="96"/>
  </r>
  <r>
    <x v="8"/>
    <x v="1"/>
    <x v="1145"/>
    <x v="1"/>
    <x v="1"/>
    <x v="1044"/>
    <x v="1"/>
    <x v="1145"/>
    <x v="96"/>
  </r>
  <r>
    <x v="8"/>
    <x v="2"/>
    <x v="1146"/>
    <x v="1"/>
    <x v="0"/>
    <x v="1045"/>
    <x v="2"/>
    <x v="1146"/>
    <x v="96"/>
  </r>
  <r>
    <x v="8"/>
    <x v="3"/>
    <x v="1147"/>
    <x v="1"/>
    <x v="0"/>
    <x v="51"/>
    <x v="3"/>
    <x v="1147"/>
    <x v="96"/>
  </r>
  <r>
    <x v="8"/>
    <x v="4"/>
    <x v="1148"/>
    <x v="1"/>
    <x v="0"/>
    <x v="47"/>
    <x v="4"/>
    <x v="1148"/>
    <x v="96"/>
  </r>
  <r>
    <x v="8"/>
    <x v="5"/>
    <x v="1149"/>
    <x v="1"/>
    <x v="0"/>
    <x v="959"/>
    <x v="5"/>
    <x v="1149"/>
    <x v="96"/>
  </r>
  <r>
    <x v="8"/>
    <x v="6"/>
    <x v="1150"/>
    <x v="1"/>
    <x v="0"/>
    <x v="1046"/>
    <x v="6"/>
    <x v="1150"/>
    <x v="96"/>
  </r>
  <r>
    <x v="8"/>
    <x v="7"/>
    <x v="1151"/>
    <x v="1"/>
    <x v="0"/>
    <x v="1047"/>
    <x v="7"/>
    <x v="1151"/>
    <x v="96"/>
  </r>
  <r>
    <x v="8"/>
    <x v="8"/>
    <x v="1152"/>
    <x v="1"/>
    <x v="0"/>
    <x v="703"/>
    <x v="8"/>
    <x v="1152"/>
    <x v="97"/>
  </r>
  <r>
    <x v="8"/>
    <x v="9"/>
    <x v="1153"/>
    <x v="1"/>
    <x v="0"/>
    <x v="1048"/>
    <x v="9"/>
    <x v="1153"/>
    <x v="97"/>
  </r>
  <r>
    <x v="8"/>
    <x v="10"/>
    <x v="1154"/>
    <x v="1"/>
    <x v="0"/>
    <x v="1049"/>
    <x v="10"/>
    <x v="1154"/>
    <x v="97"/>
  </r>
  <r>
    <x v="8"/>
    <x v="11"/>
    <x v="1155"/>
    <x v="1"/>
    <x v="0"/>
    <x v="1050"/>
    <x v="11"/>
    <x v="1155"/>
    <x v="97"/>
  </r>
  <r>
    <x v="8"/>
    <x v="12"/>
    <x v="1156"/>
    <x v="1"/>
    <x v="0"/>
    <x v="819"/>
    <x v="12"/>
    <x v="1156"/>
    <x v="97"/>
  </r>
  <r>
    <x v="8"/>
    <x v="13"/>
    <x v="1157"/>
    <x v="1"/>
    <x v="0"/>
    <x v="1051"/>
    <x v="13"/>
    <x v="1157"/>
    <x v="97"/>
  </r>
  <r>
    <x v="8"/>
    <x v="14"/>
    <x v="1158"/>
    <x v="1"/>
    <x v="0"/>
    <x v="1052"/>
    <x v="14"/>
    <x v="1158"/>
    <x v="97"/>
  </r>
  <r>
    <x v="8"/>
    <x v="15"/>
    <x v="1159"/>
    <x v="1"/>
    <x v="0"/>
    <x v="773"/>
    <x v="15"/>
    <x v="1159"/>
    <x v="97"/>
  </r>
  <r>
    <x v="8"/>
    <x v="16"/>
    <x v="1160"/>
    <x v="1"/>
    <x v="0"/>
    <x v="127"/>
    <x v="16"/>
    <x v="1160"/>
    <x v="97"/>
  </r>
  <r>
    <x v="8"/>
    <x v="17"/>
    <x v="1161"/>
    <x v="1"/>
    <x v="0"/>
    <x v="1053"/>
    <x v="17"/>
    <x v="1161"/>
    <x v="97"/>
  </r>
  <r>
    <x v="8"/>
    <x v="18"/>
    <x v="1162"/>
    <x v="1"/>
    <x v="0"/>
    <x v="693"/>
    <x v="18"/>
    <x v="1162"/>
    <x v="97"/>
  </r>
  <r>
    <x v="8"/>
    <x v="19"/>
    <x v="1163"/>
    <x v="1"/>
    <x v="0"/>
    <x v="1054"/>
    <x v="19"/>
    <x v="1163"/>
    <x v="97"/>
  </r>
  <r>
    <x v="8"/>
    <x v="20"/>
    <x v="1164"/>
    <x v="1"/>
    <x v="0"/>
    <x v="1055"/>
    <x v="20"/>
    <x v="1164"/>
    <x v="97"/>
  </r>
  <r>
    <x v="8"/>
    <x v="21"/>
    <x v="1165"/>
    <x v="1"/>
    <x v="0"/>
    <x v="1056"/>
    <x v="21"/>
    <x v="1165"/>
    <x v="98"/>
  </r>
  <r>
    <x v="8"/>
    <x v="22"/>
    <x v="1166"/>
    <x v="1"/>
    <x v="0"/>
    <x v="1057"/>
    <x v="22"/>
    <x v="1166"/>
    <x v="98"/>
  </r>
  <r>
    <x v="8"/>
    <x v="23"/>
    <x v="1167"/>
    <x v="1"/>
    <x v="0"/>
    <x v="1058"/>
    <x v="23"/>
    <x v="1167"/>
    <x v="98"/>
  </r>
  <r>
    <x v="8"/>
    <x v="24"/>
    <x v="1168"/>
    <x v="1"/>
    <x v="0"/>
    <x v="734"/>
    <x v="24"/>
    <x v="1168"/>
    <x v="98"/>
  </r>
  <r>
    <x v="8"/>
    <x v="25"/>
    <x v="1169"/>
    <x v="1"/>
    <x v="0"/>
    <x v="1059"/>
    <x v="25"/>
    <x v="1169"/>
    <x v="98"/>
  </r>
  <r>
    <x v="8"/>
    <x v="26"/>
    <x v="1170"/>
    <x v="1"/>
    <x v="0"/>
    <x v="1060"/>
    <x v="26"/>
    <x v="1170"/>
    <x v="98"/>
  </r>
  <r>
    <x v="8"/>
    <x v="27"/>
    <x v="1171"/>
    <x v="1"/>
    <x v="0"/>
    <x v="1061"/>
    <x v="27"/>
    <x v="1171"/>
    <x v="98"/>
  </r>
  <r>
    <x v="8"/>
    <x v="28"/>
    <x v="1172"/>
    <x v="1"/>
    <x v="0"/>
    <x v="669"/>
    <x v="28"/>
    <x v="1172"/>
    <x v="98"/>
  </r>
  <r>
    <x v="8"/>
    <x v="29"/>
    <x v="1173"/>
    <x v="1"/>
    <x v="0"/>
    <x v="733"/>
    <x v="29"/>
    <x v="1173"/>
    <x v="98"/>
  </r>
  <r>
    <x v="8"/>
    <x v="30"/>
    <x v="1174"/>
    <x v="1"/>
    <x v="0"/>
    <x v="1062"/>
    <x v="30"/>
    <x v="1174"/>
    <x v="98"/>
  </r>
  <r>
    <x v="8"/>
    <x v="31"/>
    <x v="1175"/>
    <x v="1"/>
    <x v="1"/>
    <x v="1063"/>
    <x v="31"/>
    <x v="1175"/>
    <x v="98"/>
  </r>
  <r>
    <x v="8"/>
    <x v="32"/>
    <x v="1176"/>
    <x v="1"/>
    <x v="0"/>
    <x v="1064"/>
    <x v="32"/>
    <x v="1176"/>
    <x v="98"/>
  </r>
  <r>
    <x v="8"/>
    <x v="33"/>
    <x v="1177"/>
    <x v="1"/>
    <x v="0"/>
    <x v="1065"/>
    <x v="33"/>
    <x v="1177"/>
    <x v="98"/>
  </r>
  <r>
    <x v="8"/>
    <x v="34"/>
    <x v="1178"/>
    <x v="1"/>
    <x v="0"/>
    <x v="1066"/>
    <x v="34"/>
    <x v="1178"/>
    <x v="99"/>
  </r>
  <r>
    <x v="8"/>
    <x v="35"/>
    <x v="1179"/>
    <x v="1"/>
    <x v="0"/>
    <x v="1067"/>
    <x v="35"/>
    <x v="1179"/>
    <x v="99"/>
  </r>
  <r>
    <x v="8"/>
    <x v="36"/>
    <x v="1180"/>
    <x v="1"/>
    <x v="0"/>
    <x v="1068"/>
    <x v="6"/>
    <x v="1180"/>
    <x v="99"/>
  </r>
  <r>
    <x v="8"/>
    <x v="37"/>
    <x v="1181"/>
    <x v="1"/>
    <x v="0"/>
    <x v="1069"/>
    <x v="36"/>
    <x v="1181"/>
    <x v="99"/>
  </r>
  <r>
    <x v="8"/>
    <x v="38"/>
    <x v="1182"/>
    <x v="1"/>
    <x v="0"/>
    <x v="1070"/>
    <x v="37"/>
    <x v="1182"/>
    <x v="99"/>
  </r>
  <r>
    <x v="8"/>
    <x v="39"/>
    <x v="1183"/>
    <x v="1"/>
    <x v="0"/>
    <x v="1071"/>
    <x v="38"/>
    <x v="1183"/>
    <x v="99"/>
  </r>
  <r>
    <x v="8"/>
    <x v="40"/>
    <x v="1184"/>
    <x v="1"/>
    <x v="0"/>
    <x v="1072"/>
    <x v="39"/>
    <x v="1184"/>
    <x v="99"/>
  </r>
  <r>
    <x v="8"/>
    <x v="41"/>
    <x v="1185"/>
    <x v="1"/>
    <x v="0"/>
    <x v="1073"/>
    <x v="40"/>
    <x v="1185"/>
    <x v="99"/>
  </r>
  <r>
    <x v="8"/>
    <x v="42"/>
    <x v="1186"/>
    <x v="1"/>
    <x v="1"/>
    <x v="934"/>
    <x v="41"/>
    <x v="1186"/>
    <x v="99"/>
  </r>
  <r>
    <x v="8"/>
    <x v="43"/>
    <x v="1187"/>
    <x v="1"/>
    <x v="0"/>
    <x v="1074"/>
    <x v="42"/>
    <x v="1187"/>
    <x v="99"/>
  </r>
  <r>
    <x v="8"/>
    <x v="44"/>
    <x v="1188"/>
    <x v="1"/>
    <x v="0"/>
    <x v="146"/>
    <x v="43"/>
    <x v="1188"/>
    <x v="99"/>
  </r>
  <r>
    <x v="8"/>
    <x v="45"/>
    <x v="1189"/>
    <x v="1"/>
    <x v="0"/>
    <x v="1075"/>
    <x v="44"/>
    <x v="1189"/>
    <x v="99"/>
  </r>
  <r>
    <x v="8"/>
    <x v="46"/>
    <x v="1190"/>
    <x v="1"/>
    <x v="0"/>
    <x v="468"/>
    <x v="45"/>
    <x v="1190"/>
    <x v="99"/>
  </r>
  <r>
    <x v="8"/>
    <x v="47"/>
    <x v="1191"/>
    <x v="1"/>
    <x v="1"/>
    <x v="1076"/>
    <x v="46"/>
    <x v="1191"/>
    <x v="99"/>
  </r>
  <r>
    <x v="8"/>
    <x v="48"/>
    <x v="1192"/>
    <x v="1"/>
    <x v="0"/>
    <x v="1077"/>
    <x v="47"/>
    <x v="1192"/>
    <x v="100"/>
  </r>
  <r>
    <x v="8"/>
    <x v="49"/>
    <x v="1193"/>
    <x v="1"/>
    <x v="0"/>
    <x v="1078"/>
    <x v="48"/>
    <x v="1193"/>
    <x v="100"/>
  </r>
  <r>
    <x v="8"/>
    <x v="50"/>
    <x v="1194"/>
    <x v="1"/>
    <x v="0"/>
    <x v="1079"/>
    <x v="49"/>
    <x v="1194"/>
    <x v="100"/>
  </r>
  <r>
    <x v="8"/>
    <x v="51"/>
    <x v="1195"/>
    <x v="1"/>
    <x v="0"/>
    <x v="1080"/>
    <x v="50"/>
    <x v="1195"/>
    <x v="100"/>
  </r>
  <r>
    <x v="8"/>
    <x v="52"/>
    <x v="1196"/>
    <x v="1"/>
    <x v="0"/>
    <x v="1081"/>
    <x v="51"/>
    <x v="1196"/>
    <x v="100"/>
  </r>
  <r>
    <x v="8"/>
    <x v="53"/>
    <x v="1197"/>
    <x v="1"/>
    <x v="1"/>
    <x v="1082"/>
    <x v="52"/>
    <x v="1197"/>
    <x v="100"/>
  </r>
  <r>
    <x v="8"/>
    <x v="54"/>
    <x v="1198"/>
    <x v="1"/>
    <x v="0"/>
    <x v="552"/>
    <x v="53"/>
    <x v="1198"/>
    <x v="100"/>
  </r>
  <r>
    <x v="8"/>
    <x v="55"/>
    <x v="1199"/>
    <x v="1"/>
    <x v="0"/>
    <x v="1083"/>
    <x v="54"/>
    <x v="1199"/>
    <x v="100"/>
  </r>
  <r>
    <x v="8"/>
    <x v="56"/>
    <x v="1200"/>
    <x v="1"/>
    <x v="0"/>
    <x v="1084"/>
    <x v="55"/>
    <x v="1200"/>
    <x v="100"/>
  </r>
  <r>
    <x v="8"/>
    <x v="57"/>
    <x v="1201"/>
    <x v="1"/>
    <x v="0"/>
    <x v="1085"/>
    <x v="56"/>
    <x v="1201"/>
    <x v="100"/>
  </r>
  <r>
    <x v="8"/>
    <x v="58"/>
    <x v="1202"/>
    <x v="1"/>
    <x v="0"/>
    <x v="1086"/>
    <x v="57"/>
    <x v="1202"/>
    <x v="100"/>
  </r>
  <r>
    <x v="8"/>
    <x v="59"/>
    <x v="1203"/>
    <x v="1"/>
    <x v="0"/>
    <x v="1087"/>
    <x v="58"/>
    <x v="1203"/>
    <x v="100"/>
  </r>
  <r>
    <x v="8"/>
    <x v="60"/>
    <x v="1204"/>
    <x v="1"/>
    <x v="0"/>
    <x v="1088"/>
    <x v="59"/>
    <x v="1204"/>
    <x v="101"/>
  </r>
  <r>
    <x v="8"/>
    <x v="61"/>
    <x v="1205"/>
    <x v="1"/>
    <x v="0"/>
    <x v="1089"/>
    <x v="60"/>
    <x v="1205"/>
    <x v="101"/>
  </r>
  <r>
    <x v="8"/>
    <x v="62"/>
    <x v="1206"/>
    <x v="1"/>
    <x v="0"/>
    <x v="1090"/>
    <x v="61"/>
    <x v="1206"/>
    <x v="101"/>
  </r>
  <r>
    <x v="8"/>
    <x v="63"/>
    <x v="1207"/>
    <x v="1"/>
    <x v="0"/>
    <x v="1091"/>
    <x v="62"/>
    <x v="1207"/>
    <x v="101"/>
  </r>
  <r>
    <x v="8"/>
    <x v="64"/>
    <x v="1208"/>
    <x v="1"/>
    <x v="0"/>
    <x v="1092"/>
    <x v="63"/>
    <x v="1208"/>
    <x v="101"/>
  </r>
  <r>
    <x v="8"/>
    <x v="65"/>
    <x v="1209"/>
    <x v="1"/>
    <x v="0"/>
    <x v="1093"/>
    <x v="64"/>
    <x v="1209"/>
    <x v="101"/>
  </r>
  <r>
    <x v="8"/>
    <x v="66"/>
    <x v="1210"/>
    <x v="1"/>
    <x v="0"/>
    <x v="133"/>
    <x v="65"/>
    <x v="1210"/>
    <x v="101"/>
  </r>
  <r>
    <x v="8"/>
    <x v="67"/>
    <x v="1211"/>
    <x v="1"/>
    <x v="0"/>
    <x v="477"/>
    <x v="66"/>
    <x v="1211"/>
    <x v="101"/>
  </r>
  <r>
    <x v="8"/>
    <x v="68"/>
    <x v="1212"/>
    <x v="1"/>
    <x v="0"/>
    <x v="128"/>
    <x v="67"/>
    <x v="1212"/>
    <x v="101"/>
  </r>
  <r>
    <x v="8"/>
    <x v="69"/>
    <x v="1213"/>
    <x v="1"/>
    <x v="0"/>
    <x v="1094"/>
    <x v="68"/>
    <x v="1213"/>
    <x v="101"/>
  </r>
  <r>
    <x v="8"/>
    <x v="70"/>
    <x v="1214"/>
    <x v="1"/>
    <x v="0"/>
    <x v="162"/>
    <x v="69"/>
    <x v="1214"/>
    <x v="101"/>
  </r>
  <r>
    <x v="8"/>
    <x v="71"/>
    <x v="1215"/>
    <x v="1"/>
    <x v="0"/>
    <x v="1095"/>
    <x v="70"/>
    <x v="1215"/>
    <x v="101"/>
  </r>
  <r>
    <x v="8"/>
    <x v="72"/>
    <x v="1216"/>
    <x v="1"/>
    <x v="0"/>
    <x v="308"/>
    <x v="71"/>
    <x v="1216"/>
    <x v="101"/>
  </r>
  <r>
    <x v="8"/>
    <x v="73"/>
    <x v="1217"/>
    <x v="1"/>
    <x v="0"/>
    <x v="1096"/>
    <x v="59"/>
    <x v="1217"/>
    <x v="102"/>
  </r>
  <r>
    <x v="8"/>
    <x v="74"/>
    <x v="1218"/>
    <x v="1"/>
    <x v="0"/>
    <x v="1097"/>
    <x v="72"/>
    <x v="1218"/>
    <x v="102"/>
  </r>
  <r>
    <x v="8"/>
    <x v="75"/>
    <x v="1219"/>
    <x v="1"/>
    <x v="0"/>
    <x v="223"/>
    <x v="73"/>
    <x v="1219"/>
    <x v="102"/>
  </r>
  <r>
    <x v="8"/>
    <x v="76"/>
    <x v="1220"/>
    <x v="1"/>
    <x v="0"/>
    <x v="1098"/>
    <x v="74"/>
    <x v="1220"/>
    <x v="102"/>
  </r>
  <r>
    <x v="8"/>
    <x v="77"/>
    <x v="1221"/>
    <x v="1"/>
    <x v="0"/>
    <x v="1099"/>
    <x v="75"/>
    <x v="1221"/>
    <x v="102"/>
  </r>
  <r>
    <x v="8"/>
    <x v="78"/>
    <x v="1222"/>
    <x v="1"/>
    <x v="0"/>
    <x v="1100"/>
    <x v="76"/>
    <x v="1222"/>
    <x v="102"/>
  </r>
  <r>
    <x v="8"/>
    <x v="79"/>
    <x v="1223"/>
    <x v="1"/>
    <x v="0"/>
    <x v="1101"/>
    <x v="77"/>
    <x v="1223"/>
    <x v="102"/>
  </r>
  <r>
    <x v="8"/>
    <x v="80"/>
    <x v="1224"/>
    <x v="1"/>
    <x v="0"/>
    <x v="1094"/>
    <x v="78"/>
    <x v="1224"/>
    <x v="102"/>
  </r>
  <r>
    <x v="8"/>
    <x v="81"/>
    <x v="1225"/>
    <x v="1"/>
    <x v="0"/>
    <x v="1102"/>
    <x v="79"/>
    <x v="1225"/>
    <x v="102"/>
  </r>
  <r>
    <x v="8"/>
    <x v="82"/>
    <x v="1226"/>
    <x v="1"/>
    <x v="0"/>
    <x v="1103"/>
    <x v="80"/>
    <x v="1226"/>
    <x v="102"/>
  </r>
  <r>
    <x v="8"/>
    <x v="83"/>
    <x v="1227"/>
    <x v="1"/>
    <x v="1"/>
    <x v="1104"/>
    <x v="81"/>
    <x v="1227"/>
    <x v="102"/>
  </r>
  <r>
    <x v="8"/>
    <x v="84"/>
    <x v="1228"/>
    <x v="1"/>
    <x v="0"/>
    <x v="121"/>
    <x v="82"/>
    <x v="1228"/>
    <x v="102"/>
  </r>
  <r>
    <x v="8"/>
    <x v="85"/>
    <x v="1229"/>
    <x v="1"/>
    <x v="0"/>
    <x v="1105"/>
    <x v="83"/>
    <x v="1229"/>
    <x v="102"/>
  </r>
  <r>
    <x v="8"/>
    <x v="86"/>
    <x v="1230"/>
    <x v="1"/>
    <x v="0"/>
    <x v="432"/>
    <x v="84"/>
    <x v="1230"/>
    <x v="102"/>
  </r>
  <r>
    <x v="8"/>
    <x v="87"/>
    <x v="1231"/>
    <x v="1"/>
    <x v="0"/>
    <x v="1106"/>
    <x v="85"/>
    <x v="1231"/>
    <x v="103"/>
  </r>
  <r>
    <x v="8"/>
    <x v="88"/>
    <x v="1232"/>
    <x v="1"/>
    <x v="0"/>
    <x v="1107"/>
    <x v="86"/>
    <x v="1232"/>
    <x v="103"/>
  </r>
  <r>
    <x v="8"/>
    <x v="89"/>
    <x v="1233"/>
    <x v="1"/>
    <x v="0"/>
    <x v="1108"/>
    <x v="87"/>
    <x v="1233"/>
    <x v="103"/>
  </r>
  <r>
    <x v="8"/>
    <x v="90"/>
    <x v="1234"/>
    <x v="1"/>
    <x v="0"/>
    <x v="446"/>
    <x v="88"/>
    <x v="1234"/>
    <x v="103"/>
  </r>
  <r>
    <x v="8"/>
    <x v="91"/>
    <x v="1235"/>
    <x v="1"/>
    <x v="0"/>
    <x v="1109"/>
    <x v="89"/>
    <x v="1235"/>
    <x v="103"/>
  </r>
  <r>
    <x v="8"/>
    <x v="92"/>
    <x v="1236"/>
    <x v="1"/>
    <x v="0"/>
    <x v="1110"/>
    <x v="90"/>
    <x v="1236"/>
    <x v="103"/>
  </r>
  <r>
    <x v="8"/>
    <x v="93"/>
    <x v="1237"/>
    <x v="1"/>
    <x v="0"/>
    <x v="1111"/>
    <x v="91"/>
    <x v="1237"/>
    <x v="103"/>
  </r>
  <r>
    <x v="8"/>
    <x v="94"/>
    <x v="1238"/>
    <x v="1"/>
    <x v="1"/>
    <x v="1112"/>
    <x v="92"/>
    <x v="1238"/>
    <x v="103"/>
  </r>
  <r>
    <x v="8"/>
    <x v="95"/>
    <x v="1239"/>
    <x v="1"/>
    <x v="0"/>
    <x v="1113"/>
    <x v="93"/>
    <x v="1239"/>
    <x v="103"/>
  </r>
  <r>
    <x v="8"/>
    <x v="96"/>
    <x v="1240"/>
    <x v="1"/>
    <x v="0"/>
    <x v="1114"/>
    <x v="94"/>
    <x v="1240"/>
    <x v="103"/>
  </r>
  <r>
    <x v="8"/>
    <x v="97"/>
    <x v="1241"/>
    <x v="1"/>
    <x v="0"/>
    <x v="1115"/>
    <x v="95"/>
    <x v="1241"/>
    <x v="103"/>
  </r>
  <r>
    <x v="8"/>
    <x v="98"/>
    <x v="1242"/>
    <x v="1"/>
    <x v="0"/>
    <x v="1116"/>
    <x v="96"/>
    <x v="1242"/>
    <x v="103"/>
  </r>
  <r>
    <x v="8"/>
    <x v="99"/>
    <x v="1243"/>
    <x v="1"/>
    <x v="1"/>
    <x v="1117"/>
    <x v="97"/>
    <x v="1243"/>
    <x v="103"/>
  </r>
  <r>
    <x v="8"/>
    <x v="100"/>
    <x v="1244"/>
    <x v="1"/>
    <x v="0"/>
    <x v="1118"/>
    <x v="98"/>
    <x v="1244"/>
    <x v="104"/>
  </r>
  <r>
    <x v="8"/>
    <x v="101"/>
    <x v="1245"/>
    <x v="1"/>
    <x v="0"/>
    <x v="1119"/>
    <x v="99"/>
    <x v="1245"/>
    <x v="104"/>
  </r>
  <r>
    <x v="8"/>
    <x v="102"/>
    <x v="1246"/>
    <x v="1"/>
    <x v="0"/>
    <x v="1120"/>
    <x v="100"/>
    <x v="1246"/>
    <x v="104"/>
  </r>
  <r>
    <x v="8"/>
    <x v="103"/>
    <x v="1247"/>
    <x v="1"/>
    <x v="0"/>
    <x v="1121"/>
    <x v="101"/>
    <x v="1247"/>
    <x v="104"/>
  </r>
  <r>
    <x v="8"/>
    <x v="104"/>
    <x v="1248"/>
    <x v="1"/>
    <x v="0"/>
    <x v="1122"/>
    <x v="102"/>
    <x v="1248"/>
    <x v="104"/>
  </r>
  <r>
    <x v="8"/>
    <x v="105"/>
    <x v="1249"/>
    <x v="1"/>
    <x v="1"/>
    <x v="1123"/>
    <x v="103"/>
    <x v="1249"/>
    <x v="104"/>
  </r>
  <r>
    <x v="8"/>
    <x v="106"/>
    <x v="1250"/>
    <x v="1"/>
    <x v="0"/>
    <x v="1124"/>
    <x v="104"/>
    <x v="1250"/>
    <x v="104"/>
  </r>
  <r>
    <x v="8"/>
    <x v="107"/>
    <x v="1251"/>
    <x v="1"/>
    <x v="0"/>
    <x v="1125"/>
    <x v="105"/>
    <x v="1251"/>
    <x v="104"/>
  </r>
  <r>
    <x v="8"/>
    <x v="108"/>
    <x v="1252"/>
    <x v="1"/>
    <x v="0"/>
    <x v="1126"/>
    <x v="106"/>
    <x v="1252"/>
    <x v="104"/>
  </r>
  <r>
    <x v="8"/>
    <x v="109"/>
    <x v="1253"/>
    <x v="1"/>
    <x v="0"/>
    <x v="1127"/>
    <x v="107"/>
    <x v="1253"/>
    <x v="104"/>
  </r>
  <r>
    <x v="8"/>
    <x v="110"/>
    <x v="1254"/>
    <x v="1"/>
    <x v="0"/>
    <x v="814"/>
    <x v="108"/>
    <x v="1254"/>
    <x v="104"/>
  </r>
  <r>
    <x v="8"/>
    <x v="111"/>
    <x v="1255"/>
    <x v="1"/>
    <x v="0"/>
    <x v="250"/>
    <x v="109"/>
    <x v="1255"/>
    <x v="104"/>
  </r>
  <r>
    <x v="8"/>
    <x v="112"/>
    <x v="1256"/>
    <x v="1"/>
    <x v="0"/>
    <x v="292"/>
    <x v="110"/>
    <x v="1256"/>
    <x v="104"/>
  </r>
  <r>
    <x v="8"/>
    <x v="113"/>
    <x v="1257"/>
    <x v="1"/>
    <x v="0"/>
    <x v="1128"/>
    <x v="111"/>
    <x v="1257"/>
    <x v="105"/>
  </r>
  <r>
    <x v="8"/>
    <x v="114"/>
    <x v="1258"/>
    <x v="1"/>
    <x v="0"/>
    <x v="1129"/>
    <x v="111"/>
    <x v="1258"/>
    <x v="105"/>
  </r>
  <r>
    <x v="8"/>
    <x v="115"/>
    <x v="1259"/>
    <x v="1"/>
    <x v="0"/>
    <x v="1130"/>
    <x v="112"/>
    <x v="1259"/>
    <x v="105"/>
  </r>
  <r>
    <x v="8"/>
    <x v="116"/>
    <x v="1260"/>
    <x v="1"/>
    <x v="0"/>
    <x v="1131"/>
    <x v="113"/>
    <x v="1260"/>
    <x v="105"/>
  </r>
  <r>
    <x v="8"/>
    <x v="117"/>
    <x v="1261"/>
    <x v="1"/>
    <x v="0"/>
    <x v="1132"/>
    <x v="114"/>
    <x v="1261"/>
    <x v="105"/>
  </r>
  <r>
    <x v="8"/>
    <x v="118"/>
    <x v="1262"/>
    <x v="1"/>
    <x v="0"/>
    <x v="1133"/>
    <x v="115"/>
    <x v="1262"/>
    <x v="105"/>
  </r>
  <r>
    <x v="8"/>
    <x v="119"/>
    <x v="1263"/>
    <x v="1"/>
    <x v="0"/>
    <x v="1134"/>
    <x v="106"/>
    <x v="1263"/>
    <x v="105"/>
  </r>
  <r>
    <x v="8"/>
    <x v="120"/>
    <x v="1264"/>
    <x v="1"/>
    <x v="0"/>
    <x v="86"/>
    <x v="116"/>
    <x v="1264"/>
    <x v="105"/>
  </r>
  <r>
    <x v="8"/>
    <x v="121"/>
    <x v="1265"/>
    <x v="1"/>
    <x v="0"/>
    <x v="1135"/>
    <x v="117"/>
    <x v="1265"/>
    <x v="105"/>
  </r>
  <r>
    <x v="8"/>
    <x v="122"/>
    <x v="1266"/>
    <x v="1"/>
    <x v="0"/>
    <x v="1136"/>
    <x v="118"/>
    <x v="1266"/>
    <x v="105"/>
  </r>
  <r>
    <x v="8"/>
    <x v="123"/>
    <x v="1267"/>
    <x v="1"/>
    <x v="0"/>
    <x v="944"/>
    <x v="119"/>
    <x v="1267"/>
    <x v="105"/>
  </r>
  <r>
    <x v="8"/>
    <x v="124"/>
    <x v="1268"/>
    <x v="1"/>
    <x v="0"/>
    <x v="664"/>
    <x v="120"/>
    <x v="1268"/>
    <x v="105"/>
  </r>
  <r>
    <x v="8"/>
    <x v="125"/>
    <x v="1269"/>
    <x v="1"/>
    <x v="0"/>
    <x v="1137"/>
    <x v="121"/>
    <x v="1269"/>
    <x v="105"/>
  </r>
  <r>
    <x v="8"/>
    <x v="126"/>
    <x v="1270"/>
    <x v="1"/>
    <x v="0"/>
    <x v="1138"/>
    <x v="122"/>
    <x v="1270"/>
    <x v="106"/>
  </r>
  <r>
    <x v="8"/>
    <x v="127"/>
    <x v="1271"/>
    <x v="1"/>
    <x v="0"/>
    <x v="1139"/>
    <x v="123"/>
    <x v="1271"/>
    <x v="106"/>
  </r>
  <r>
    <x v="8"/>
    <x v="128"/>
    <x v="1272"/>
    <x v="1"/>
    <x v="0"/>
    <x v="1140"/>
    <x v="124"/>
    <x v="1272"/>
    <x v="106"/>
  </r>
  <r>
    <x v="8"/>
    <x v="129"/>
    <x v="1273"/>
    <x v="1"/>
    <x v="0"/>
    <x v="71"/>
    <x v="125"/>
    <x v="1273"/>
    <x v="106"/>
  </r>
  <r>
    <x v="8"/>
    <x v="130"/>
    <x v="1274"/>
    <x v="1"/>
    <x v="0"/>
    <x v="1141"/>
    <x v="126"/>
    <x v="1274"/>
    <x v="106"/>
  </r>
  <r>
    <x v="8"/>
    <x v="131"/>
    <x v="1275"/>
    <x v="1"/>
    <x v="0"/>
    <x v="1142"/>
    <x v="127"/>
    <x v="1275"/>
    <x v="106"/>
  </r>
  <r>
    <x v="8"/>
    <x v="132"/>
    <x v="1276"/>
    <x v="1"/>
    <x v="0"/>
    <x v="269"/>
    <x v="128"/>
    <x v="1276"/>
    <x v="106"/>
  </r>
  <r>
    <x v="8"/>
    <x v="133"/>
    <x v="1277"/>
    <x v="1"/>
    <x v="0"/>
    <x v="1143"/>
    <x v="129"/>
    <x v="1277"/>
    <x v="106"/>
  </r>
  <r>
    <x v="8"/>
    <x v="134"/>
    <x v="1278"/>
    <x v="1"/>
    <x v="0"/>
    <x v="1144"/>
    <x v="77"/>
    <x v="1278"/>
    <x v="106"/>
  </r>
  <r>
    <x v="8"/>
    <x v="135"/>
    <x v="1279"/>
    <x v="1"/>
    <x v="1"/>
    <x v="1145"/>
    <x v="130"/>
    <x v="1279"/>
    <x v="106"/>
  </r>
  <r>
    <x v="8"/>
    <x v="136"/>
    <x v="1280"/>
    <x v="1"/>
    <x v="0"/>
    <x v="1146"/>
    <x v="131"/>
    <x v="1280"/>
    <x v="106"/>
  </r>
  <r>
    <x v="8"/>
    <x v="137"/>
    <x v="1281"/>
    <x v="1"/>
    <x v="0"/>
    <x v="229"/>
    <x v="132"/>
    <x v="1281"/>
    <x v="106"/>
  </r>
  <r>
    <x v="8"/>
    <x v="138"/>
    <x v="1282"/>
    <x v="1"/>
    <x v="0"/>
    <x v="443"/>
    <x v="133"/>
    <x v="1282"/>
    <x v="106"/>
  </r>
  <r>
    <x v="8"/>
    <x v="139"/>
    <x v="1283"/>
    <x v="1"/>
    <x v="0"/>
    <x v="1147"/>
    <x v="134"/>
    <x v="1283"/>
    <x v="107"/>
  </r>
  <r>
    <x v="8"/>
    <x v="140"/>
    <x v="1284"/>
    <x v="1"/>
    <x v="0"/>
    <x v="1148"/>
    <x v="135"/>
    <x v="1284"/>
    <x v="107"/>
  </r>
  <r>
    <x v="8"/>
    <x v="141"/>
    <x v="1285"/>
    <x v="1"/>
    <x v="0"/>
    <x v="1149"/>
    <x v="71"/>
    <x v="1285"/>
    <x v="107"/>
  </r>
  <r>
    <x v="8"/>
    <x v="142"/>
    <x v="1286"/>
    <x v="1"/>
    <x v="0"/>
    <x v="1134"/>
    <x v="136"/>
    <x v="1286"/>
    <x v="107"/>
  </r>
  <r>
    <x v="9"/>
    <x v="0"/>
    <x v="1287"/>
    <x v="0"/>
    <x v="0"/>
    <x v="1150"/>
    <x v="357"/>
    <x v="429"/>
    <x v="108"/>
  </r>
  <r>
    <x v="9"/>
    <x v="1"/>
    <x v="1288"/>
    <x v="0"/>
    <x v="1"/>
    <x v="1073"/>
    <x v="358"/>
    <x v="430"/>
    <x v="108"/>
  </r>
  <r>
    <x v="9"/>
    <x v="2"/>
    <x v="1289"/>
    <x v="0"/>
    <x v="0"/>
    <x v="1151"/>
    <x v="359"/>
    <x v="431"/>
    <x v="108"/>
  </r>
  <r>
    <x v="9"/>
    <x v="3"/>
    <x v="1290"/>
    <x v="0"/>
    <x v="0"/>
    <x v="1152"/>
    <x v="360"/>
    <x v="432"/>
    <x v="108"/>
  </r>
  <r>
    <x v="9"/>
    <x v="4"/>
    <x v="1291"/>
    <x v="0"/>
    <x v="0"/>
    <x v="1153"/>
    <x v="361"/>
    <x v="433"/>
    <x v="108"/>
  </r>
  <r>
    <x v="9"/>
    <x v="5"/>
    <x v="1292"/>
    <x v="0"/>
    <x v="0"/>
    <x v="46"/>
    <x v="362"/>
    <x v="434"/>
    <x v="108"/>
  </r>
  <r>
    <x v="9"/>
    <x v="6"/>
    <x v="1293"/>
    <x v="0"/>
    <x v="0"/>
    <x v="1154"/>
    <x v="363"/>
    <x v="435"/>
    <x v="108"/>
  </r>
  <r>
    <x v="9"/>
    <x v="7"/>
    <x v="1294"/>
    <x v="0"/>
    <x v="0"/>
    <x v="1155"/>
    <x v="174"/>
    <x v="436"/>
    <x v="108"/>
  </r>
  <r>
    <x v="9"/>
    <x v="8"/>
    <x v="1295"/>
    <x v="0"/>
    <x v="0"/>
    <x v="1156"/>
    <x v="364"/>
    <x v="437"/>
    <x v="109"/>
  </r>
  <r>
    <x v="9"/>
    <x v="9"/>
    <x v="1296"/>
    <x v="0"/>
    <x v="0"/>
    <x v="1157"/>
    <x v="365"/>
    <x v="438"/>
    <x v="109"/>
  </r>
  <r>
    <x v="9"/>
    <x v="10"/>
    <x v="1297"/>
    <x v="0"/>
    <x v="0"/>
    <x v="1158"/>
    <x v="366"/>
    <x v="439"/>
    <x v="109"/>
  </r>
  <r>
    <x v="9"/>
    <x v="11"/>
    <x v="1298"/>
    <x v="0"/>
    <x v="0"/>
    <x v="1159"/>
    <x v="367"/>
    <x v="440"/>
    <x v="109"/>
  </r>
  <r>
    <x v="9"/>
    <x v="12"/>
    <x v="1299"/>
    <x v="0"/>
    <x v="0"/>
    <x v="1160"/>
    <x v="368"/>
    <x v="441"/>
    <x v="109"/>
  </r>
  <r>
    <x v="9"/>
    <x v="13"/>
    <x v="1300"/>
    <x v="0"/>
    <x v="0"/>
    <x v="1161"/>
    <x v="369"/>
    <x v="442"/>
    <x v="109"/>
  </r>
  <r>
    <x v="9"/>
    <x v="14"/>
    <x v="1301"/>
    <x v="0"/>
    <x v="0"/>
    <x v="1162"/>
    <x v="370"/>
    <x v="443"/>
    <x v="109"/>
  </r>
  <r>
    <x v="9"/>
    <x v="15"/>
    <x v="1302"/>
    <x v="0"/>
    <x v="0"/>
    <x v="1163"/>
    <x v="371"/>
    <x v="444"/>
    <x v="109"/>
  </r>
  <r>
    <x v="9"/>
    <x v="16"/>
    <x v="1303"/>
    <x v="0"/>
    <x v="0"/>
    <x v="1164"/>
    <x v="179"/>
    <x v="445"/>
    <x v="109"/>
  </r>
  <r>
    <x v="9"/>
    <x v="17"/>
    <x v="1304"/>
    <x v="0"/>
    <x v="0"/>
    <x v="1165"/>
    <x v="372"/>
    <x v="446"/>
    <x v="109"/>
  </r>
  <r>
    <x v="9"/>
    <x v="18"/>
    <x v="1305"/>
    <x v="0"/>
    <x v="0"/>
    <x v="1166"/>
    <x v="373"/>
    <x v="447"/>
    <x v="109"/>
  </r>
  <r>
    <x v="9"/>
    <x v="19"/>
    <x v="1306"/>
    <x v="0"/>
    <x v="0"/>
    <x v="168"/>
    <x v="374"/>
    <x v="448"/>
    <x v="109"/>
  </r>
  <r>
    <x v="9"/>
    <x v="20"/>
    <x v="1307"/>
    <x v="0"/>
    <x v="0"/>
    <x v="1167"/>
    <x v="375"/>
    <x v="449"/>
    <x v="109"/>
  </r>
  <r>
    <x v="9"/>
    <x v="21"/>
    <x v="1308"/>
    <x v="0"/>
    <x v="0"/>
    <x v="1168"/>
    <x v="376"/>
    <x v="450"/>
    <x v="110"/>
  </r>
  <r>
    <x v="9"/>
    <x v="22"/>
    <x v="1309"/>
    <x v="0"/>
    <x v="0"/>
    <x v="1169"/>
    <x v="377"/>
    <x v="451"/>
    <x v="110"/>
  </r>
  <r>
    <x v="9"/>
    <x v="23"/>
    <x v="1310"/>
    <x v="0"/>
    <x v="0"/>
    <x v="1170"/>
    <x v="378"/>
    <x v="452"/>
    <x v="110"/>
  </r>
  <r>
    <x v="9"/>
    <x v="24"/>
    <x v="1311"/>
    <x v="0"/>
    <x v="0"/>
    <x v="356"/>
    <x v="96"/>
    <x v="453"/>
    <x v="110"/>
  </r>
  <r>
    <x v="9"/>
    <x v="25"/>
    <x v="1312"/>
    <x v="0"/>
    <x v="0"/>
    <x v="1171"/>
    <x v="176"/>
    <x v="454"/>
    <x v="110"/>
  </r>
  <r>
    <x v="9"/>
    <x v="26"/>
    <x v="1313"/>
    <x v="0"/>
    <x v="0"/>
    <x v="1172"/>
    <x v="379"/>
    <x v="455"/>
    <x v="110"/>
  </r>
  <r>
    <x v="9"/>
    <x v="27"/>
    <x v="1314"/>
    <x v="0"/>
    <x v="0"/>
    <x v="1173"/>
    <x v="380"/>
    <x v="456"/>
    <x v="110"/>
  </r>
  <r>
    <x v="9"/>
    <x v="28"/>
    <x v="1315"/>
    <x v="0"/>
    <x v="0"/>
    <x v="1174"/>
    <x v="381"/>
    <x v="457"/>
    <x v="110"/>
  </r>
  <r>
    <x v="9"/>
    <x v="29"/>
    <x v="1316"/>
    <x v="0"/>
    <x v="0"/>
    <x v="408"/>
    <x v="52"/>
    <x v="458"/>
    <x v="110"/>
  </r>
  <r>
    <x v="9"/>
    <x v="30"/>
    <x v="1317"/>
    <x v="0"/>
    <x v="0"/>
    <x v="1175"/>
    <x v="180"/>
    <x v="459"/>
    <x v="110"/>
  </r>
  <r>
    <x v="9"/>
    <x v="31"/>
    <x v="1318"/>
    <x v="0"/>
    <x v="1"/>
    <x v="1176"/>
    <x v="382"/>
    <x v="460"/>
    <x v="110"/>
  </r>
  <r>
    <x v="9"/>
    <x v="32"/>
    <x v="1319"/>
    <x v="0"/>
    <x v="0"/>
    <x v="1177"/>
    <x v="383"/>
    <x v="461"/>
    <x v="110"/>
  </r>
  <r>
    <x v="9"/>
    <x v="33"/>
    <x v="1320"/>
    <x v="0"/>
    <x v="0"/>
    <x v="1178"/>
    <x v="384"/>
    <x v="462"/>
    <x v="110"/>
  </r>
  <r>
    <x v="9"/>
    <x v="34"/>
    <x v="1321"/>
    <x v="0"/>
    <x v="0"/>
    <x v="1179"/>
    <x v="385"/>
    <x v="463"/>
    <x v="111"/>
  </r>
  <r>
    <x v="9"/>
    <x v="35"/>
    <x v="1322"/>
    <x v="0"/>
    <x v="0"/>
    <x v="1180"/>
    <x v="386"/>
    <x v="464"/>
    <x v="111"/>
  </r>
  <r>
    <x v="9"/>
    <x v="36"/>
    <x v="1323"/>
    <x v="0"/>
    <x v="0"/>
    <x v="1181"/>
    <x v="387"/>
    <x v="465"/>
    <x v="111"/>
  </r>
  <r>
    <x v="9"/>
    <x v="37"/>
    <x v="1324"/>
    <x v="0"/>
    <x v="0"/>
    <x v="1182"/>
    <x v="388"/>
    <x v="466"/>
    <x v="111"/>
  </r>
  <r>
    <x v="9"/>
    <x v="38"/>
    <x v="1325"/>
    <x v="0"/>
    <x v="0"/>
    <x v="340"/>
    <x v="389"/>
    <x v="467"/>
    <x v="111"/>
  </r>
  <r>
    <x v="9"/>
    <x v="39"/>
    <x v="1326"/>
    <x v="0"/>
    <x v="0"/>
    <x v="366"/>
    <x v="390"/>
    <x v="468"/>
    <x v="111"/>
  </r>
  <r>
    <x v="9"/>
    <x v="40"/>
    <x v="1327"/>
    <x v="0"/>
    <x v="0"/>
    <x v="1183"/>
    <x v="389"/>
    <x v="469"/>
    <x v="111"/>
  </r>
  <r>
    <x v="9"/>
    <x v="41"/>
    <x v="1328"/>
    <x v="0"/>
    <x v="0"/>
    <x v="596"/>
    <x v="391"/>
    <x v="470"/>
    <x v="111"/>
  </r>
  <r>
    <x v="9"/>
    <x v="42"/>
    <x v="1329"/>
    <x v="0"/>
    <x v="1"/>
    <x v="1184"/>
    <x v="392"/>
    <x v="471"/>
    <x v="111"/>
  </r>
  <r>
    <x v="9"/>
    <x v="43"/>
    <x v="1330"/>
    <x v="0"/>
    <x v="0"/>
    <x v="1185"/>
    <x v="381"/>
    <x v="472"/>
    <x v="111"/>
  </r>
  <r>
    <x v="9"/>
    <x v="44"/>
    <x v="1331"/>
    <x v="0"/>
    <x v="0"/>
    <x v="1186"/>
    <x v="393"/>
    <x v="473"/>
    <x v="111"/>
  </r>
  <r>
    <x v="9"/>
    <x v="45"/>
    <x v="1332"/>
    <x v="0"/>
    <x v="0"/>
    <x v="1187"/>
    <x v="394"/>
    <x v="474"/>
    <x v="111"/>
  </r>
  <r>
    <x v="9"/>
    <x v="46"/>
    <x v="1333"/>
    <x v="0"/>
    <x v="0"/>
    <x v="289"/>
    <x v="92"/>
    <x v="475"/>
    <x v="111"/>
  </r>
  <r>
    <x v="9"/>
    <x v="47"/>
    <x v="1334"/>
    <x v="0"/>
    <x v="1"/>
    <x v="1188"/>
    <x v="395"/>
    <x v="476"/>
    <x v="111"/>
  </r>
  <r>
    <x v="9"/>
    <x v="48"/>
    <x v="1335"/>
    <x v="0"/>
    <x v="0"/>
    <x v="1189"/>
    <x v="396"/>
    <x v="477"/>
    <x v="112"/>
  </r>
  <r>
    <x v="9"/>
    <x v="49"/>
    <x v="1336"/>
    <x v="0"/>
    <x v="0"/>
    <x v="1190"/>
    <x v="397"/>
    <x v="478"/>
    <x v="112"/>
  </r>
  <r>
    <x v="9"/>
    <x v="50"/>
    <x v="1337"/>
    <x v="0"/>
    <x v="0"/>
    <x v="1191"/>
    <x v="398"/>
    <x v="479"/>
    <x v="112"/>
  </r>
  <r>
    <x v="9"/>
    <x v="51"/>
    <x v="1338"/>
    <x v="0"/>
    <x v="0"/>
    <x v="1192"/>
    <x v="399"/>
    <x v="480"/>
    <x v="112"/>
  </r>
  <r>
    <x v="9"/>
    <x v="52"/>
    <x v="1339"/>
    <x v="0"/>
    <x v="0"/>
    <x v="1193"/>
    <x v="400"/>
    <x v="481"/>
    <x v="112"/>
  </r>
  <r>
    <x v="9"/>
    <x v="53"/>
    <x v="1340"/>
    <x v="0"/>
    <x v="1"/>
    <x v="1194"/>
    <x v="401"/>
    <x v="482"/>
    <x v="112"/>
  </r>
  <r>
    <x v="9"/>
    <x v="54"/>
    <x v="1341"/>
    <x v="0"/>
    <x v="0"/>
    <x v="1195"/>
    <x v="402"/>
    <x v="483"/>
    <x v="112"/>
  </r>
  <r>
    <x v="9"/>
    <x v="55"/>
    <x v="1342"/>
    <x v="0"/>
    <x v="0"/>
    <x v="1196"/>
    <x v="403"/>
    <x v="484"/>
    <x v="112"/>
  </r>
  <r>
    <x v="9"/>
    <x v="56"/>
    <x v="1343"/>
    <x v="0"/>
    <x v="0"/>
    <x v="1197"/>
    <x v="404"/>
    <x v="485"/>
    <x v="112"/>
  </r>
  <r>
    <x v="9"/>
    <x v="57"/>
    <x v="1344"/>
    <x v="0"/>
    <x v="0"/>
    <x v="474"/>
    <x v="106"/>
    <x v="486"/>
    <x v="112"/>
  </r>
  <r>
    <x v="9"/>
    <x v="58"/>
    <x v="1345"/>
    <x v="0"/>
    <x v="0"/>
    <x v="1198"/>
    <x v="405"/>
    <x v="487"/>
    <x v="112"/>
  </r>
  <r>
    <x v="9"/>
    <x v="59"/>
    <x v="1346"/>
    <x v="0"/>
    <x v="0"/>
    <x v="1199"/>
    <x v="406"/>
    <x v="488"/>
    <x v="112"/>
  </r>
  <r>
    <x v="9"/>
    <x v="60"/>
    <x v="1347"/>
    <x v="0"/>
    <x v="0"/>
    <x v="527"/>
    <x v="407"/>
    <x v="489"/>
    <x v="113"/>
  </r>
  <r>
    <x v="9"/>
    <x v="61"/>
    <x v="1348"/>
    <x v="0"/>
    <x v="0"/>
    <x v="1200"/>
    <x v="408"/>
    <x v="490"/>
    <x v="113"/>
  </r>
  <r>
    <x v="9"/>
    <x v="62"/>
    <x v="1349"/>
    <x v="0"/>
    <x v="0"/>
    <x v="1201"/>
    <x v="409"/>
    <x v="491"/>
    <x v="113"/>
  </r>
  <r>
    <x v="9"/>
    <x v="63"/>
    <x v="1350"/>
    <x v="0"/>
    <x v="0"/>
    <x v="1202"/>
    <x v="410"/>
    <x v="492"/>
    <x v="113"/>
  </r>
  <r>
    <x v="9"/>
    <x v="64"/>
    <x v="1351"/>
    <x v="0"/>
    <x v="0"/>
    <x v="1203"/>
    <x v="411"/>
    <x v="493"/>
    <x v="113"/>
  </r>
  <r>
    <x v="9"/>
    <x v="65"/>
    <x v="1352"/>
    <x v="0"/>
    <x v="0"/>
    <x v="1204"/>
    <x v="412"/>
    <x v="494"/>
    <x v="113"/>
  </r>
  <r>
    <x v="9"/>
    <x v="66"/>
    <x v="1353"/>
    <x v="0"/>
    <x v="0"/>
    <x v="1205"/>
    <x v="413"/>
    <x v="495"/>
    <x v="113"/>
  </r>
  <r>
    <x v="9"/>
    <x v="67"/>
    <x v="1354"/>
    <x v="0"/>
    <x v="0"/>
    <x v="1106"/>
    <x v="414"/>
    <x v="496"/>
    <x v="113"/>
  </r>
  <r>
    <x v="9"/>
    <x v="68"/>
    <x v="1355"/>
    <x v="0"/>
    <x v="0"/>
    <x v="1206"/>
    <x v="415"/>
    <x v="497"/>
    <x v="113"/>
  </r>
  <r>
    <x v="9"/>
    <x v="69"/>
    <x v="1356"/>
    <x v="0"/>
    <x v="0"/>
    <x v="1207"/>
    <x v="416"/>
    <x v="498"/>
    <x v="113"/>
  </r>
  <r>
    <x v="9"/>
    <x v="70"/>
    <x v="1357"/>
    <x v="0"/>
    <x v="0"/>
    <x v="1208"/>
    <x v="417"/>
    <x v="499"/>
    <x v="113"/>
  </r>
  <r>
    <x v="9"/>
    <x v="71"/>
    <x v="1358"/>
    <x v="0"/>
    <x v="0"/>
    <x v="81"/>
    <x v="418"/>
    <x v="500"/>
    <x v="113"/>
  </r>
  <r>
    <x v="9"/>
    <x v="72"/>
    <x v="1359"/>
    <x v="0"/>
    <x v="0"/>
    <x v="1209"/>
    <x v="62"/>
    <x v="501"/>
    <x v="113"/>
  </r>
  <r>
    <x v="9"/>
    <x v="73"/>
    <x v="1360"/>
    <x v="0"/>
    <x v="0"/>
    <x v="1210"/>
    <x v="419"/>
    <x v="502"/>
    <x v="114"/>
  </r>
  <r>
    <x v="9"/>
    <x v="74"/>
    <x v="1361"/>
    <x v="0"/>
    <x v="0"/>
    <x v="1211"/>
    <x v="420"/>
    <x v="503"/>
    <x v="114"/>
  </r>
  <r>
    <x v="9"/>
    <x v="75"/>
    <x v="1362"/>
    <x v="0"/>
    <x v="0"/>
    <x v="1179"/>
    <x v="354"/>
    <x v="504"/>
    <x v="114"/>
  </r>
  <r>
    <x v="9"/>
    <x v="76"/>
    <x v="1363"/>
    <x v="0"/>
    <x v="0"/>
    <x v="1212"/>
    <x v="299"/>
    <x v="505"/>
    <x v="114"/>
  </r>
  <r>
    <x v="9"/>
    <x v="77"/>
    <x v="1364"/>
    <x v="0"/>
    <x v="0"/>
    <x v="1213"/>
    <x v="421"/>
    <x v="506"/>
    <x v="114"/>
  </r>
  <r>
    <x v="9"/>
    <x v="78"/>
    <x v="1365"/>
    <x v="0"/>
    <x v="0"/>
    <x v="1214"/>
    <x v="422"/>
    <x v="507"/>
    <x v="114"/>
  </r>
  <r>
    <x v="9"/>
    <x v="79"/>
    <x v="1366"/>
    <x v="0"/>
    <x v="0"/>
    <x v="1215"/>
    <x v="423"/>
    <x v="508"/>
    <x v="114"/>
  </r>
  <r>
    <x v="9"/>
    <x v="80"/>
    <x v="1367"/>
    <x v="0"/>
    <x v="0"/>
    <x v="1216"/>
    <x v="61"/>
    <x v="509"/>
    <x v="114"/>
  </r>
  <r>
    <x v="9"/>
    <x v="81"/>
    <x v="1368"/>
    <x v="0"/>
    <x v="0"/>
    <x v="1217"/>
    <x v="293"/>
    <x v="510"/>
    <x v="114"/>
  </r>
  <r>
    <x v="9"/>
    <x v="82"/>
    <x v="1369"/>
    <x v="0"/>
    <x v="0"/>
    <x v="1218"/>
    <x v="424"/>
    <x v="511"/>
    <x v="114"/>
  </r>
  <r>
    <x v="9"/>
    <x v="83"/>
    <x v="1370"/>
    <x v="0"/>
    <x v="1"/>
    <x v="1219"/>
    <x v="191"/>
    <x v="512"/>
    <x v="114"/>
  </r>
  <r>
    <x v="9"/>
    <x v="84"/>
    <x v="1371"/>
    <x v="0"/>
    <x v="0"/>
    <x v="947"/>
    <x v="425"/>
    <x v="513"/>
    <x v="114"/>
  </r>
  <r>
    <x v="9"/>
    <x v="85"/>
    <x v="1372"/>
    <x v="0"/>
    <x v="0"/>
    <x v="745"/>
    <x v="353"/>
    <x v="514"/>
    <x v="114"/>
  </r>
  <r>
    <x v="9"/>
    <x v="86"/>
    <x v="1373"/>
    <x v="0"/>
    <x v="0"/>
    <x v="1220"/>
    <x v="112"/>
    <x v="515"/>
    <x v="114"/>
  </r>
  <r>
    <x v="9"/>
    <x v="87"/>
    <x v="1374"/>
    <x v="0"/>
    <x v="0"/>
    <x v="1221"/>
    <x v="426"/>
    <x v="516"/>
    <x v="115"/>
  </r>
  <r>
    <x v="9"/>
    <x v="88"/>
    <x v="1375"/>
    <x v="0"/>
    <x v="0"/>
    <x v="279"/>
    <x v="427"/>
    <x v="517"/>
    <x v="115"/>
  </r>
  <r>
    <x v="9"/>
    <x v="89"/>
    <x v="1376"/>
    <x v="0"/>
    <x v="0"/>
    <x v="1222"/>
    <x v="419"/>
    <x v="518"/>
    <x v="115"/>
  </r>
  <r>
    <x v="9"/>
    <x v="90"/>
    <x v="1377"/>
    <x v="0"/>
    <x v="0"/>
    <x v="1223"/>
    <x v="428"/>
    <x v="519"/>
    <x v="115"/>
  </r>
  <r>
    <x v="9"/>
    <x v="91"/>
    <x v="1378"/>
    <x v="0"/>
    <x v="0"/>
    <x v="1224"/>
    <x v="296"/>
    <x v="520"/>
    <x v="115"/>
  </r>
  <r>
    <x v="9"/>
    <x v="92"/>
    <x v="1379"/>
    <x v="0"/>
    <x v="0"/>
    <x v="1225"/>
    <x v="429"/>
    <x v="521"/>
    <x v="115"/>
  </r>
  <r>
    <x v="9"/>
    <x v="93"/>
    <x v="1380"/>
    <x v="0"/>
    <x v="0"/>
    <x v="1226"/>
    <x v="107"/>
    <x v="522"/>
    <x v="115"/>
  </r>
  <r>
    <x v="9"/>
    <x v="94"/>
    <x v="1381"/>
    <x v="0"/>
    <x v="1"/>
    <x v="1227"/>
    <x v="355"/>
    <x v="523"/>
    <x v="115"/>
  </r>
  <r>
    <x v="9"/>
    <x v="95"/>
    <x v="1382"/>
    <x v="0"/>
    <x v="0"/>
    <x v="1228"/>
    <x v="430"/>
    <x v="524"/>
    <x v="115"/>
  </r>
  <r>
    <x v="9"/>
    <x v="96"/>
    <x v="1383"/>
    <x v="0"/>
    <x v="0"/>
    <x v="1229"/>
    <x v="431"/>
    <x v="525"/>
    <x v="115"/>
  </r>
  <r>
    <x v="9"/>
    <x v="97"/>
    <x v="1384"/>
    <x v="0"/>
    <x v="0"/>
    <x v="1230"/>
    <x v="432"/>
    <x v="526"/>
    <x v="115"/>
  </r>
  <r>
    <x v="9"/>
    <x v="98"/>
    <x v="1385"/>
    <x v="0"/>
    <x v="0"/>
    <x v="1231"/>
    <x v="222"/>
    <x v="527"/>
    <x v="115"/>
  </r>
  <r>
    <x v="9"/>
    <x v="99"/>
    <x v="1386"/>
    <x v="0"/>
    <x v="1"/>
    <x v="1232"/>
    <x v="433"/>
    <x v="528"/>
    <x v="115"/>
  </r>
  <r>
    <x v="9"/>
    <x v="100"/>
    <x v="1387"/>
    <x v="0"/>
    <x v="0"/>
    <x v="1233"/>
    <x v="434"/>
    <x v="529"/>
    <x v="116"/>
  </r>
  <r>
    <x v="9"/>
    <x v="101"/>
    <x v="1388"/>
    <x v="0"/>
    <x v="0"/>
    <x v="1234"/>
    <x v="435"/>
    <x v="530"/>
    <x v="116"/>
  </r>
  <r>
    <x v="9"/>
    <x v="102"/>
    <x v="1389"/>
    <x v="0"/>
    <x v="0"/>
    <x v="1235"/>
    <x v="436"/>
    <x v="531"/>
    <x v="116"/>
  </r>
  <r>
    <x v="9"/>
    <x v="103"/>
    <x v="1390"/>
    <x v="0"/>
    <x v="0"/>
    <x v="1196"/>
    <x v="437"/>
    <x v="532"/>
    <x v="116"/>
  </r>
  <r>
    <x v="9"/>
    <x v="104"/>
    <x v="1391"/>
    <x v="0"/>
    <x v="0"/>
    <x v="1236"/>
    <x v="438"/>
    <x v="533"/>
    <x v="116"/>
  </r>
  <r>
    <x v="9"/>
    <x v="105"/>
    <x v="1392"/>
    <x v="0"/>
    <x v="1"/>
    <x v="1237"/>
    <x v="439"/>
    <x v="534"/>
    <x v="116"/>
  </r>
  <r>
    <x v="9"/>
    <x v="106"/>
    <x v="1393"/>
    <x v="0"/>
    <x v="0"/>
    <x v="1238"/>
    <x v="187"/>
    <x v="535"/>
    <x v="116"/>
  </r>
  <r>
    <x v="9"/>
    <x v="107"/>
    <x v="1394"/>
    <x v="0"/>
    <x v="0"/>
    <x v="1239"/>
    <x v="440"/>
    <x v="536"/>
    <x v="116"/>
  </r>
  <r>
    <x v="9"/>
    <x v="108"/>
    <x v="1395"/>
    <x v="0"/>
    <x v="0"/>
    <x v="1240"/>
    <x v="441"/>
    <x v="537"/>
    <x v="116"/>
  </r>
  <r>
    <x v="9"/>
    <x v="109"/>
    <x v="1396"/>
    <x v="0"/>
    <x v="0"/>
    <x v="1241"/>
    <x v="442"/>
    <x v="538"/>
    <x v="116"/>
  </r>
  <r>
    <x v="9"/>
    <x v="110"/>
    <x v="1397"/>
    <x v="0"/>
    <x v="0"/>
    <x v="708"/>
    <x v="443"/>
    <x v="539"/>
    <x v="116"/>
  </r>
  <r>
    <x v="9"/>
    <x v="111"/>
    <x v="1398"/>
    <x v="0"/>
    <x v="0"/>
    <x v="1242"/>
    <x v="444"/>
    <x v="540"/>
    <x v="116"/>
  </r>
  <r>
    <x v="9"/>
    <x v="112"/>
    <x v="1399"/>
    <x v="0"/>
    <x v="0"/>
    <x v="1243"/>
    <x v="445"/>
    <x v="541"/>
    <x v="116"/>
  </r>
  <r>
    <x v="9"/>
    <x v="113"/>
    <x v="1400"/>
    <x v="0"/>
    <x v="0"/>
    <x v="1244"/>
    <x v="446"/>
    <x v="542"/>
    <x v="117"/>
  </r>
  <r>
    <x v="9"/>
    <x v="114"/>
    <x v="1401"/>
    <x v="0"/>
    <x v="0"/>
    <x v="1245"/>
    <x v="447"/>
    <x v="543"/>
    <x v="117"/>
  </r>
  <r>
    <x v="9"/>
    <x v="115"/>
    <x v="1402"/>
    <x v="0"/>
    <x v="0"/>
    <x v="1246"/>
    <x v="448"/>
    <x v="544"/>
    <x v="117"/>
  </r>
  <r>
    <x v="9"/>
    <x v="116"/>
    <x v="1403"/>
    <x v="0"/>
    <x v="0"/>
    <x v="950"/>
    <x v="449"/>
    <x v="545"/>
    <x v="117"/>
  </r>
  <r>
    <x v="9"/>
    <x v="117"/>
    <x v="1404"/>
    <x v="0"/>
    <x v="0"/>
    <x v="1247"/>
    <x v="450"/>
    <x v="546"/>
    <x v="117"/>
  </r>
  <r>
    <x v="9"/>
    <x v="118"/>
    <x v="1405"/>
    <x v="0"/>
    <x v="0"/>
    <x v="1248"/>
    <x v="451"/>
    <x v="547"/>
    <x v="117"/>
  </r>
  <r>
    <x v="9"/>
    <x v="119"/>
    <x v="1406"/>
    <x v="0"/>
    <x v="0"/>
    <x v="1249"/>
    <x v="452"/>
    <x v="548"/>
    <x v="117"/>
  </r>
  <r>
    <x v="9"/>
    <x v="120"/>
    <x v="1407"/>
    <x v="0"/>
    <x v="0"/>
    <x v="1250"/>
    <x v="453"/>
    <x v="549"/>
    <x v="117"/>
  </r>
  <r>
    <x v="9"/>
    <x v="121"/>
    <x v="1408"/>
    <x v="0"/>
    <x v="0"/>
    <x v="1251"/>
    <x v="454"/>
    <x v="550"/>
    <x v="117"/>
  </r>
  <r>
    <x v="9"/>
    <x v="122"/>
    <x v="1409"/>
    <x v="0"/>
    <x v="0"/>
    <x v="1252"/>
    <x v="455"/>
    <x v="551"/>
    <x v="117"/>
  </r>
  <r>
    <x v="9"/>
    <x v="123"/>
    <x v="1410"/>
    <x v="0"/>
    <x v="0"/>
    <x v="1253"/>
    <x v="456"/>
    <x v="552"/>
    <x v="117"/>
  </r>
  <r>
    <x v="9"/>
    <x v="124"/>
    <x v="1411"/>
    <x v="0"/>
    <x v="0"/>
    <x v="1254"/>
    <x v="457"/>
    <x v="553"/>
    <x v="117"/>
  </r>
  <r>
    <x v="9"/>
    <x v="125"/>
    <x v="1412"/>
    <x v="0"/>
    <x v="0"/>
    <x v="1255"/>
    <x v="458"/>
    <x v="554"/>
    <x v="117"/>
  </r>
  <r>
    <x v="9"/>
    <x v="126"/>
    <x v="1413"/>
    <x v="0"/>
    <x v="0"/>
    <x v="1252"/>
    <x v="133"/>
    <x v="555"/>
    <x v="118"/>
  </r>
  <r>
    <x v="9"/>
    <x v="127"/>
    <x v="1414"/>
    <x v="0"/>
    <x v="0"/>
    <x v="1214"/>
    <x v="344"/>
    <x v="556"/>
    <x v="118"/>
  </r>
  <r>
    <x v="9"/>
    <x v="128"/>
    <x v="1415"/>
    <x v="0"/>
    <x v="0"/>
    <x v="1256"/>
    <x v="459"/>
    <x v="557"/>
    <x v="118"/>
  </r>
  <r>
    <x v="9"/>
    <x v="129"/>
    <x v="1416"/>
    <x v="0"/>
    <x v="0"/>
    <x v="569"/>
    <x v="460"/>
    <x v="558"/>
    <x v="118"/>
  </r>
  <r>
    <x v="9"/>
    <x v="130"/>
    <x v="1417"/>
    <x v="0"/>
    <x v="0"/>
    <x v="612"/>
    <x v="461"/>
    <x v="559"/>
    <x v="118"/>
  </r>
  <r>
    <x v="9"/>
    <x v="131"/>
    <x v="1418"/>
    <x v="0"/>
    <x v="0"/>
    <x v="1257"/>
    <x v="462"/>
    <x v="560"/>
    <x v="118"/>
  </r>
  <r>
    <x v="9"/>
    <x v="132"/>
    <x v="1419"/>
    <x v="0"/>
    <x v="0"/>
    <x v="1258"/>
    <x v="463"/>
    <x v="561"/>
    <x v="118"/>
  </r>
  <r>
    <x v="9"/>
    <x v="133"/>
    <x v="1420"/>
    <x v="0"/>
    <x v="0"/>
    <x v="1259"/>
    <x v="464"/>
    <x v="562"/>
    <x v="118"/>
  </r>
  <r>
    <x v="9"/>
    <x v="134"/>
    <x v="1421"/>
    <x v="0"/>
    <x v="0"/>
    <x v="615"/>
    <x v="465"/>
    <x v="563"/>
    <x v="118"/>
  </r>
  <r>
    <x v="9"/>
    <x v="135"/>
    <x v="1422"/>
    <x v="0"/>
    <x v="1"/>
    <x v="212"/>
    <x v="466"/>
    <x v="564"/>
    <x v="118"/>
  </r>
  <r>
    <x v="9"/>
    <x v="136"/>
    <x v="1423"/>
    <x v="0"/>
    <x v="0"/>
    <x v="776"/>
    <x v="467"/>
    <x v="565"/>
    <x v="118"/>
  </r>
  <r>
    <x v="9"/>
    <x v="137"/>
    <x v="1424"/>
    <x v="0"/>
    <x v="0"/>
    <x v="1260"/>
    <x v="468"/>
    <x v="566"/>
    <x v="118"/>
  </r>
  <r>
    <x v="9"/>
    <x v="138"/>
    <x v="1425"/>
    <x v="0"/>
    <x v="0"/>
    <x v="1261"/>
    <x v="467"/>
    <x v="567"/>
    <x v="118"/>
  </r>
  <r>
    <x v="9"/>
    <x v="139"/>
    <x v="1426"/>
    <x v="0"/>
    <x v="0"/>
    <x v="1262"/>
    <x v="469"/>
    <x v="568"/>
    <x v="119"/>
  </r>
  <r>
    <x v="9"/>
    <x v="140"/>
    <x v="1427"/>
    <x v="0"/>
    <x v="0"/>
    <x v="1248"/>
    <x v="470"/>
    <x v="569"/>
    <x v="119"/>
  </r>
  <r>
    <x v="9"/>
    <x v="141"/>
    <x v="1428"/>
    <x v="0"/>
    <x v="0"/>
    <x v="1263"/>
    <x v="471"/>
    <x v="570"/>
    <x v="119"/>
  </r>
  <r>
    <x v="9"/>
    <x v="142"/>
    <x v="1429"/>
    <x v="0"/>
    <x v="0"/>
    <x v="775"/>
    <x v="472"/>
    <x v="571"/>
    <x v="119"/>
  </r>
  <r>
    <x v="10"/>
    <x v="0"/>
    <x v="1430"/>
    <x v="0"/>
    <x v="0"/>
    <x v="1264"/>
    <x v="0"/>
    <x v="286"/>
    <x v="24"/>
  </r>
  <r>
    <x v="10"/>
    <x v="1"/>
    <x v="1431"/>
    <x v="0"/>
    <x v="1"/>
    <x v="1265"/>
    <x v="1"/>
    <x v="287"/>
    <x v="24"/>
  </r>
  <r>
    <x v="10"/>
    <x v="2"/>
    <x v="1432"/>
    <x v="0"/>
    <x v="0"/>
    <x v="591"/>
    <x v="2"/>
    <x v="288"/>
    <x v="24"/>
  </r>
  <r>
    <x v="10"/>
    <x v="3"/>
    <x v="1433"/>
    <x v="0"/>
    <x v="0"/>
    <x v="1266"/>
    <x v="3"/>
    <x v="289"/>
    <x v="24"/>
  </r>
  <r>
    <x v="10"/>
    <x v="4"/>
    <x v="1434"/>
    <x v="0"/>
    <x v="0"/>
    <x v="1267"/>
    <x v="4"/>
    <x v="290"/>
    <x v="24"/>
  </r>
  <r>
    <x v="10"/>
    <x v="5"/>
    <x v="1435"/>
    <x v="0"/>
    <x v="0"/>
    <x v="1268"/>
    <x v="5"/>
    <x v="291"/>
    <x v="24"/>
  </r>
  <r>
    <x v="10"/>
    <x v="6"/>
    <x v="1436"/>
    <x v="0"/>
    <x v="0"/>
    <x v="1269"/>
    <x v="6"/>
    <x v="292"/>
    <x v="24"/>
  </r>
  <r>
    <x v="10"/>
    <x v="7"/>
    <x v="1437"/>
    <x v="0"/>
    <x v="0"/>
    <x v="1270"/>
    <x v="7"/>
    <x v="293"/>
    <x v="24"/>
  </r>
  <r>
    <x v="10"/>
    <x v="8"/>
    <x v="1438"/>
    <x v="0"/>
    <x v="0"/>
    <x v="1271"/>
    <x v="8"/>
    <x v="294"/>
    <x v="25"/>
  </r>
  <r>
    <x v="10"/>
    <x v="9"/>
    <x v="1439"/>
    <x v="0"/>
    <x v="0"/>
    <x v="1272"/>
    <x v="9"/>
    <x v="295"/>
    <x v="25"/>
  </r>
  <r>
    <x v="10"/>
    <x v="10"/>
    <x v="1440"/>
    <x v="0"/>
    <x v="0"/>
    <x v="1273"/>
    <x v="10"/>
    <x v="296"/>
    <x v="25"/>
  </r>
  <r>
    <x v="10"/>
    <x v="11"/>
    <x v="1441"/>
    <x v="0"/>
    <x v="0"/>
    <x v="1274"/>
    <x v="11"/>
    <x v="297"/>
    <x v="25"/>
  </r>
  <r>
    <x v="10"/>
    <x v="12"/>
    <x v="1442"/>
    <x v="0"/>
    <x v="0"/>
    <x v="1275"/>
    <x v="12"/>
    <x v="298"/>
    <x v="25"/>
  </r>
  <r>
    <x v="10"/>
    <x v="13"/>
    <x v="1443"/>
    <x v="0"/>
    <x v="0"/>
    <x v="1276"/>
    <x v="13"/>
    <x v="299"/>
    <x v="25"/>
  </r>
  <r>
    <x v="10"/>
    <x v="14"/>
    <x v="1444"/>
    <x v="0"/>
    <x v="0"/>
    <x v="1277"/>
    <x v="14"/>
    <x v="300"/>
    <x v="25"/>
  </r>
  <r>
    <x v="10"/>
    <x v="15"/>
    <x v="1445"/>
    <x v="0"/>
    <x v="0"/>
    <x v="1278"/>
    <x v="15"/>
    <x v="301"/>
    <x v="25"/>
  </r>
  <r>
    <x v="10"/>
    <x v="16"/>
    <x v="1446"/>
    <x v="0"/>
    <x v="0"/>
    <x v="86"/>
    <x v="16"/>
    <x v="302"/>
    <x v="25"/>
  </r>
  <r>
    <x v="10"/>
    <x v="17"/>
    <x v="1447"/>
    <x v="0"/>
    <x v="0"/>
    <x v="1279"/>
    <x v="17"/>
    <x v="303"/>
    <x v="25"/>
  </r>
  <r>
    <x v="10"/>
    <x v="18"/>
    <x v="1448"/>
    <x v="0"/>
    <x v="0"/>
    <x v="1280"/>
    <x v="18"/>
    <x v="304"/>
    <x v="25"/>
  </r>
  <r>
    <x v="10"/>
    <x v="19"/>
    <x v="1449"/>
    <x v="0"/>
    <x v="0"/>
    <x v="1281"/>
    <x v="19"/>
    <x v="305"/>
    <x v="25"/>
  </r>
  <r>
    <x v="10"/>
    <x v="20"/>
    <x v="1450"/>
    <x v="0"/>
    <x v="0"/>
    <x v="1282"/>
    <x v="20"/>
    <x v="306"/>
    <x v="25"/>
  </r>
  <r>
    <x v="10"/>
    <x v="21"/>
    <x v="1451"/>
    <x v="0"/>
    <x v="0"/>
    <x v="1283"/>
    <x v="21"/>
    <x v="307"/>
    <x v="26"/>
  </r>
  <r>
    <x v="10"/>
    <x v="22"/>
    <x v="1452"/>
    <x v="0"/>
    <x v="0"/>
    <x v="406"/>
    <x v="22"/>
    <x v="308"/>
    <x v="26"/>
  </r>
  <r>
    <x v="10"/>
    <x v="23"/>
    <x v="1453"/>
    <x v="0"/>
    <x v="0"/>
    <x v="1284"/>
    <x v="23"/>
    <x v="309"/>
    <x v="26"/>
  </r>
  <r>
    <x v="10"/>
    <x v="24"/>
    <x v="1454"/>
    <x v="0"/>
    <x v="0"/>
    <x v="1208"/>
    <x v="24"/>
    <x v="310"/>
    <x v="26"/>
  </r>
  <r>
    <x v="10"/>
    <x v="25"/>
    <x v="1455"/>
    <x v="0"/>
    <x v="0"/>
    <x v="1285"/>
    <x v="25"/>
    <x v="311"/>
    <x v="26"/>
  </r>
  <r>
    <x v="10"/>
    <x v="26"/>
    <x v="1456"/>
    <x v="0"/>
    <x v="0"/>
    <x v="1286"/>
    <x v="26"/>
    <x v="312"/>
    <x v="26"/>
  </r>
  <r>
    <x v="10"/>
    <x v="27"/>
    <x v="1457"/>
    <x v="0"/>
    <x v="0"/>
    <x v="1287"/>
    <x v="27"/>
    <x v="313"/>
    <x v="26"/>
  </r>
  <r>
    <x v="10"/>
    <x v="28"/>
    <x v="1458"/>
    <x v="0"/>
    <x v="0"/>
    <x v="737"/>
    <x v="28"/>
    <x v="314"/>
    <x v="26"/>
  </r>
  <r>
    <x v="10"/>
    <x v="29"/>
    <x v="1459"/>
    <x v="0"/>
    <x v="0"/>
    <x v="216"/>
    <x v="29"/>
    <x v="315"/>
    <x v="26"/>
  </r>
  <r>
    <x v="10"/>
    <x v="30"/>
    <x v="1460"/>
    <x v="0"/>
    <x v="0"/>
    <x v="348"/>
    <x v="30"/>
    <x v="316"/>
    <x v="26"/>
  </r>
  <r>
    <x v="10"/>
    <x v="31"/>
    <x v="1461"/>
    <x v="0"/>
    <x v="1"/>
    <x v="1260"/>
    <x v="31"/>
    <x v="317"/>
    <x v="26"/>
  </r>
  <r>
    <x v="10"/>
    <x v="32"/>
    <x v="1462"/>
    <x v="0"/>
    <x v="0"/>
    <x v="1288"/>
    <x v="32"/>
    <x v="318"/>
    <x v="26"/>
  </r>
  <r>
    <x v="10"/>
    <x v="33"/>
    <x v="1463"/>
    <x v="0"/>
    <x v="0"/>
    <x v="1289"/>
    <x v="33"/>
    <x v="319"/>
    <x v="26"/>
  </r>
  <r>
    <x v="10"/>
    <x v="34"/>
    <x v="1464"/>
    <x v="0"/>
    <x v="0"/>
    <x v="1290"/>
    <x v="34"/>
    <x v="320"/>
    <x v="27"/>
  </r>
  <r>
    <x v="10"/>
    <x v="35"/>
    <x v="1465"/>
    <x v="0"/>
    <x v="0"/>
    <x v="323"/>
    <x v="35"/>
    <x v="321"/>
    <x v="27"/>
  </r>
  <r>
    <x v="10"/>
    <x v="36"/>
    <x v="1466"/>
    <x v="0"/>
    <x v="0"/>
    <x v="1291"/>
    <x v="6"/>
    <x v="322"/>
    <x v="27"/>
  </r>
  <r>
    <x v="10"/>
    <x v="37"/>
    <x v="1467"/>
    <x v="0"/>
    <x v="0"/>
    <x v="1292"/>
    <x v="36"/>
    <x v="323"/>
    <x v="27"/>
  </r>
  <r>
    <x v="10"/>
    <x v="38"/>
    <x v="1468"/>
    <x v="0"/>
    <x v="0"/>
    <x v="1293"/>
    <x v="37"/>
    <x v="324"/>
    <x v="27"/>
  </r>
  <r>
    <x v="10"/>
    <x v="39"/>
    <x v="1469"/>
    <x v="0"/>
    <x v="0"/>
    <x v="1294"/>
    <x v="38"/>
    <x v="325"/>
    <x v="27"/>
  </r>
  <r>
    <x v="10"/>
    <x v="40"/>
    <x v="1470"/>
    <x v="0"/>
    <x v="0"/>
    <x v="1295"/>
    <x v="39"/>
    <x v="326"/>
    <x v="27"/>
  </r>
  <r>
    <x v="10"/>
    <x v="41"/>
    <x v="1471"/>
    <x v="0"/>
    <x v="0"/>
    <x v="1296"/>
    <x v="40"/>
    <x v="327"/>
    <x v="27"/>
  </r>
  <r>
    <x v="10"/>
    <x v="42"/>
    <x v="1472"/>
    <x v="0"/>
    <x v="1"/>
    <x v="1297"/>
    <x v="41"/>
    <x v="328"/>
    <x v="27"/>
  </r>
  <r>
    <x v="10"/>
    <x v="43"/>
    <x v="1473"/>
    <x v="0"/>
    <x v="0"/>
    <x v="1298"/>
    <x v="42"/>
    <x v="329"/>
    <x v="27"/>
  </r>
  <r>
    <x v="10"/>
    <x v="44"/>
    <x v="1474"/>
    <x v="0"/>
    <x v="0"/>
    <x v="1299"/>
    <x v="43"/>
    <x v="330"/>
    <x v="27"/>
  </r>
  <r>
    <x v="10"/>
    <x v="45"/>
    <x v="1475"/>
    <x v="0"/>
    <x v="0"/>
    <x v="249"/>
    <x v="44"/>
    <x v="331"/>
    <x v="27"/>
  </r>
  <r>
    <x v="10"/>
    <x v="46"/>
    <x v="1476"/>
    <x v="0"/>
    <x v="0"/>
    <x v="234"/>
    <x v="45"/>
    <x v="332"/>
    <x v="27"/>
  </r>
  <r>
    <x v="10"/>
    <x v="47"/>
    <x v="1477"/>
    <x v="0"/>
    <x v="1"/>
    <x v="1042"/>
    <x v="46"/>
    <x v="333"/>
    <x v="27"/>
  </r>
  <r>
    <x v="10"/>
    <x v="48"/>
    <x v="1478"/>
    <x v="0"/>
    <x v="0"/>
    <x v="1122"/>
    <x v="47"/>
    <x v="334"/>
    <x v="28"/>
  </r>
  <r>
    <x v="10"/>
    <x v="49"/>
    <x v="1479"/>
    <x v="0"/>
    <x v="0"/>
    <x v="1300"/>
    <x v="48"/>
    <x v="335"/>
    <x v="28"/>
  </r>
  <r>
    <x v="10"/>
    <x v="50"/>
    <x v="1480"/>
    <x v="0"/>
    <x v="0"/>
    <x v="1194"/>
    <x v="49"/>
    <x v="336"/>
    <x v="28"/>
  </r>
  <r>
    <x v="10"/>
    <x v="51"/>
    <x v="1481"/>
    <x v="0"/>
    <x v="0"/>
    <x v="1301"/>
    <x v="50"/>
    <x v="337"/>
    <x v="28"/>
  </r>
  <r>
    <x v="10"/>
    <x v="52"/>
    <x v="1482"/>
    <x v="0"/>
    <x v="0"/>
    <x v="147"/>
    <x v="51"/>
    <x v="338"/>
    <x v="28"/>
  </r>
  <r>
    <x v="10"/>
    <x v="53"/>
    <x v="1483"/>
    <x v="0"/>
    <x v="1"/>
    <x v="1302"/>
    <x v="52"/>
    <x v="339"/>
    <x v="28"/>
  </r>
  <r>
    <x v="10"/>
    <x v="54"/>
    <x v="1484"/>
    <x v="0"/>
    <x v="0"/>
    <x v="602"/>
    <x v="53"/>
    <x v="340"/>
    <x v="28"/>
  </r>
  <r>
    <x v="10"/>
    <x v="55"/>
    <x v="1485"/>
    <x v="0"/>
    <x v="0"/>
    <x v="1303"/>
    <x v="54"/>
    <x v="341"/>
    <x v="28"/>
  </r>
  <r>
    <x v="10"/>
    <x v="56"/>
    <x v="1486"/>
    <x v="0"/>
    <x v="0"/>
    <x v="1304"/>
    <x v="55"/>
    <x v="342"/>
    <x v="28"/>
  </r>
  <r>
    <x v="10"/>
    <x v="57"/>
    <x v="1487"/>
    <x v="0"/>
    <x v="0"/>
    <x v="1305"/>
    <x v="56"/>
    <x v="343"/>
    <x v="28"/>
  </r>
  <r>
    <x v="10"/>
    <x v="58"/>
    <x v="1488"/>
    <x v="0"/>
    <x v="0"/>
    <x v="1306"/>
    <x v="57"/>
    <x v="344"/>
    <x v="28"/>
  </r>
  <r>
    <x v="10"/>
    <x v="59"/>
    <x v="1489"/>
    <x v="0"/>
    <x v="0"/>
    <x v="1307"/>
    <x v="58"/>
    <x v="345"/>
    <x v="28"/>
  </r>
  <r>
    <x v="10"/>
    <x v="60"/>
    <x v="1490"/>
    <x v="0"/>
    <x v="0"/>
    <x v="1308"/>
    <x v="59"/>
    <x v="346"/>
    <x v="29"/>
  </r>
  <r>
    <x v="10"/>
    <x v="61"/>
    <x v="1491"/>
    <x v="0"/>
    <x v="0"/>
    <x v="1309"/>
    <x v="60"/>
    <x v="347"/>
    <x v="29"/>
  </r>
  <r>
    <x v="10"/>
    <x v="62"/>
    <x v="1492"/>
    <x v="0"/>
    <x v="0"/>
    <x v="1310"/>
    <x v="61"/>
    <x v="348"/>
    <x v="29"/>
  </r>
  <r>
    <x v="10"/>
    <x v="63"/>
    <x v="1493"/>
    <x v="0"/>
    <x v="0"/>
    <x v="1029"/>
    <x v="62"/>
    <x v="349"/>
    <x v="29"/>
  </r>
  <r>
    <x v="10"/>
    <x v="64"/>
    <x v="1494"/>
    <x v="0"/>
    <x v="0"/>
    <x v="1311"/>
    <x v="63"/>
    <x v="350"/>
    <x v="29"/>
  </r>
  <r>
    <x v="10"/>
    <x v="65"/>
    <x v="1495"/>
    <x v="0"/>
    <x v="0"/>
    <x v="1312"/>
    <x v="64"/>
    <x v="351"/>
    <x v="29"/>
  </r>
  <r>
    <x v="10"/>
    <x v="66"/>
    <x v="1496"/>
    <x v="0"/>
    <x v="0"/>
    <x v="692"/>
    <x v="65"/>
    <x v="352"/>
    <x v="29"/>
  </r>
  <r>
    <x v="10"/>
    <x v="67"/>
    <x v="1497"/>
    <x v="0"/>
    <x v="0"/>
    <x v="1278"/>
    <x v="66"/>
    <x v="353"/>
    <x v="29"/>
  </r>
  <r>
    <x v="10"/>
    <x v="68"/>
    <x v="1498"/>
    <x v="0"/>
    <x v="0"/>
    <x v="1215"/>
    <x v="67"/>
    <x v="354"/>
    <x v="29"/>
  </r>
  <r>
    <x v="10"/>
    <x v="69"/>
    <x v="1499"/>
    <x v="0"/>
    <x v="0"/>
    <x v="1313"/>
    <x v="68"/>
    <x v="355"/>
    <x v="29"/>
  </r>
  <r>
    <x v="10"/>
    <x v="70"/>
    <x v="1500"/>
    <x v="0"/>
    <x v="0"/>
    <x v="1314"/>
    <x v="69"/>
    <x v="356"/>
    <x v="29"/>
  </r>
  <r>
    <x v="10"/>
    <x v="71"/>
    <x v="1501"/>
    <x v="0"/>
    <x v="0"/>
    <x v="1315"/>
    <x v="70"/>
    <x v="357"/>
    <x v="29"/>
  </r>
  <r>
    <x v="10"/>
    <x v="72"/>
    <x v="1502"/>
    <x v="0"/>
    <x v="0"/>
    <x v="1172"/>
    <x v="71"/>
    <x v="358"/>
    <x v="29"/>
  </r>
  <r>
    <x v="10"/>
    <x v="73"/>
    <x v="1503"/>
    <x v="0"/>
    <x v="0"/>
    <x v="1316"/>
    <x v="59"/>
    <x v="359"/>
    <x v="30"/>
  </r>
  <r>
    <x v="10"/>
    <x v="74"/>
    <x v="1504"/>
    <x v="0"/>
    <x v="0"/>
    <x v="1317"/>
    <x v="72"/>
    <x v="360"/>
    <x v="30"/>
  </r>
  <r>
    <x v="10"/>
    <x v="75"/>
    <x v="1505"/>
    <x v="0"/>
    <x v="0"/>
    <x v="1318"/>
    <x v="73"/>
    <x v="361"/>
    <x v="30"/>
  </r>
  <r>
    <x v="10"/>
    <x v="76"/>
    <x v="1506"/>
    <x v="0"/>
    <x v="0"/>
    <x v="1319"/>
    <x v="74"/>
    <x v="362"/>
    <x v="30"/>
  </r>
  <r>
    <x v="10"/>
    <x v="77"/>
    <x v="1507"/>
    <x v="0"/>
    <x v="0"/>
    <x v="1320"/>
    <x v="75"/>
    <x v="363"/>
    <x v="30"/>
  </r>
  <r>
    <x v="10"/>
    <x v="78"/>
    <x v="1508"/>
    <x v="0"/>
    <x v="0"/>
    <x v="1321"/>
    <x v="76"/>
    <x v="364"/>
    <x v="30"/>
  </r>
  <r>
    <x v="10"/>
    <x v="79"/>
    <x v="1509"/>
    <x v="0"/>
    <x v="0"/>
    <x v="1322"/>
    <x v="77"/>
    <x v="365"/>
    <x v="30"/>
  </r>
  <r>
    <x v="10"/>
    <x v="80"/>
    <x v="1510"/>
    <x v="0"/>
    <x v="0"/>
    <x v="1323"/>
    <x v="78"/>
    <x v="366"/>
    <x v="30"/>
  </r>
  <r>
    <x v="10"/>
    <x v="81"/>
    <x v="1511"/>
    <x v="0"/>
    <x v="0"/>
    <x v="1324"/>
    <x v="79"/>
    <x v="367"/>
    <x v="30"/>
  </r>
  <r>
    <x v="10"/>
    <x v="82"/>
    <x v="1512"/>
    <x v="0"/>
    <x v="0"/>
    <x v="1325"/>
    <x v="80"/>
    <x v="368"/>
    <x v="30"/>
  </r>
  <r>
    <x v="10"/>
    <x v="83"/>
    <x v="1513"/>
    <x v="0"/>
    <x v="1"/>
    <x v="1326"/>
    <x v="81"/>
    <x v="369"/>
    <x v="30"/>
  </r>
  <r>
    <x v="10"/>
    <x v="84"/>
    <x v="1514"/>
    <x v="0"/>
    <x v="0"/>
    <x v="1327"/>
    <x v="82"/>
    <x v="370"/>
    <x v="30"/>
  </r>
  <r>
    <x v="10"/>
    <x v="85"/>
    <x v="1515"/>
    <x v="0"/>
    <x v="0"/>
    <x v="1328"/>
    <x v="83"/>
    <x v="371"/>
    <x v="30"/>
  </r>
  <r>
    <x v="10"/>
    <x v="86"/>
    <x v="1516"/>
    <x v="0"/>
    <x v="0"/>
    <x v="1329"/>
    <x v="84"/>
    <x v="372"/>
    <x v="30"/>
  </r>
  <r>
    <x v="10"/>
    <x v="87"/>
    <x v="1517"/>
    <x v="0"/>
    <x v="0"/>
    <x v="1278"/>
    <x v="85"/>
    <x v="373"/>
    <x v="31"/>
  </r>
  <r>
    <x v="10"/>
    <x v="88"/>
    <x v="1518"/>
    <x v="0"/>
    <x v="0"/>
    <x v="1330"/>
    <x v="86"/>
    <x v="374"/>
    <x v="31"/>
  </r>
  <r>
    <x v="10"/>
    <x v="89"/>
    <x v="1519"/>
    <x v="0"/>
    <x v="0"/>
    <x v="1331"/>
    <x v="87"/>
    <x v="375"/>
    <x v="31"/>
  </r>
  <r>
    <x v="10"/>
    <x v="90"/>
    <x v="1520"/>
    <x v="0"/>
    <x v="0"/>
    <x v="774"/>
    <x v="88"/>
    <x v="376"/>
    <x v="31"/>
  </r>
  <r>
    <x v="10"/>
    <x v="91"/>
    <x v="1521"/>
    <x v="0"/>
    <x v="0"/>
    <x v="1332"/>
    <x v="89"/>
    <x v="377"/>
    <x v="31"/>
  </r>
  <r>
    <x v="10"/>
    <x v="92"/>
    <x v="1522"/>
    <x v="0"/>
    <x v="0"/>
    <x v="1333"/>
    <x v="90"/>
    <x v="378"/>
    <x v="31"/>
  </r>
  <r>
    <x v="10"/>
    <x v="93"/>
    <x v="1523"/>
    <x v="0"/>
    <x v="0"/>
    <x v="1334"/>
    <x v="91"/>
    <x v="379"/>
    <x v="31"/>
  </r>
  <r>
    <x v="10"/>
    <x v="94"/>
    <x v="1524"/>
    <x v="0"/>
    <x v="1"/>
    <x v="1335"/>
    <x v="92"/>
    <x v="380"/>
    <x v="31"/>
  </r>
  <r>
    <x v="10"/>
    <x v="95"/>
    <x v="1525"/>
    <x v="0"/>
    <x v="0"/>
    <x v="1336"/>
    <x v="93"/>
    <x v="381"/>
    <x v="31"/>
  </r>
  <r>
    <x v="10"/>
    <x v="96"/>
    <x v="1526"/>
    <x v="0"/>
    <x v="0"/>
    <x v="1337"/>
    <x v="94"/>
    <x v="382"/>
    <x v="31"/>
  </r>
  <r>
    <x v="10"/>
    <x v="97"/>
    <x v="1527"/>
    <x v="0"/>
    <x v="0"/>
    <x v="183"/>
    <x v="95"/>
    <x v="383"/>
    <x v="31"/>
  </r>
  <r>
    <x v="10"/>
    <x v="98"/>
    <x v="1528"/>
    <x v="0"/>
    <x v="0"/>
    <x v="1338"/>
    <x v="96"/>
    <x v="384"/>
    <x v="31"/>
  </r>
  <r>
    <x v="10"/>
    <x v="99"/>
    <x v="1529"/>
    <x v="0"/>
    <x v="1"/>
    <x v="638"/>
    <x v="97"/>
    <x v="385"/>
    <x v="31"/>
  </r>
  <r>
    <x v="10"/>
    <x v="100"/>
    <x v="1530"/>
    <x v="0"/>
    <x v="0"/>
    <x v="1339"/>
    <x v="98"/>
    <x v="386"/>
    <x v="32"/>
  </r>
  <r>
    <x v="10"/>
    <x v="101"/>
    <x v="1531"/>
    <x v="0"/>
    <x v="0"/>
    <x v="1340"/>
    <x v="99"/>
    <x v="387"/>
    <x v="32"/>
  </r>
  <r>
    <x v="10"/>
    <x v="102"/>
    <x v="1532"/>
    <x v="0"/>
    <x v="0"/>
    <x v="1341"/>
    <x v="100"/>
    <x v="388"/>
    <x v="32"/>
  </r>
  <r>
    <x v="10"/>
    <x v="103"/>
    <x v="1533"/>
    <x v="0"/>
    <x v="0"/>
    <x v="1342"/>
    <x v="101"/>
    <x v="389"/>
    <x v="32"/>
  </r>
  <r>
    <x v="10"/>
    <x v="104"/>
    <x v="1534"/>
    <x v="0"/>
    <x v="0"/>
    <x v="1343"/>
    <x v="102"/>
    <x v="390"/>
    <x v="32"/>
  </r>
  <r>
    <x v="10"/>
    <x v="105"/>
    <x v="1535"/>
    <x v="0"/>
    <x v="1"/>
    <x v="1344"/>
    <x v="103"/>
    <x v="391"/>
    <x v="32"/>
  </r>
  <r>
    <x v="10"/>
    <x v="106"/>
    <x v="1536"/>
    <x v="0"/>
    <x v="0"/>
    <x v="1152"/>
    <x v="104"/>
    <x v="392"/>
    <x v="32"/>
  </r>
  <r>
    <x v="10"/>
    <x v="107"/>
    <x v="1537"/>
    <x v="0"/>
    <x v="0"/>
    <x v="1345"/>
    <x v="105"/>
    <x v="393"/>
    <x v="32"/>
  </r>
  <r>
    <x v="10"/>
    <x v="108"/>
    <x v="1538"/>
    <x v="0"/>
    <x v="0"/>
    <x v="471"/>
    <x v="106"/>
    <x v="394"/>
    <x v="32"/>
  </r>
  <r>
    <x v="10"/>
    <x v="109"/>
    <x v="1539"/>
    <x v="0"/>
    <x v="0"/>
    <x v="1346"/>
    <x v="107"/>
    <x v="395"/>
    <x v="32"/>
  </r>
  <r>
    <x v="10"/>
    <x v="110"/>
    <x v="1540"/>
    <x v="0"/>
    <x v="0"/>
    <x v="913"/>
    <x v="108"/>
    <x v="396"/>
    <x v="32"/>
  </r>
  <r>
    <x v="10"/>
    <x v="111"/>
    <x v="1541"/>
    <x v="0"/>
    <x v="0"/>
    <x v="1347"/>
    <x v="109"/>
    <x v="397"/>
    <x v="32"/>
  </r>
  <r>
    <x v="10"/>
    <x v="112"/>
    <x v="1542"/>
    <x v="0"/>
    <x v="0"/>
    <x v="1348"/>
    <x v="110"/>
    <x v="398"/>
    <x v="32"/>
  </r>
  <r>
    <x v="10"/>
    <x v="113"/>
    <x v="1543"/>
    <x v="0"/>
    <x v="0"/>
    <x v="1349"/>
    <x v="111"/>
    <x v="399"/>
    <x v="33"/>
  </r>
  <r>
    <x v="10"/>
    <x v="114"/>
    <x v="1544"/>
    <x v="0"/>
    <x v="0"/>
    <x v="412"/>
    <x v="111"/>
    <x v="400"/>
    <x v="33"/>
  </r>
  <r>
    <x v="10"/>
    <x v="115"/>
    <x v="1545"/>
    <x v="0"/>
    <x v="0"/>
    <x v="1350"/>
    <x v="112"/>
    <x v="401"/>
    <x v="33"/>
  </r>
  <r>
    <x v="10"/>
    <x v="116"/>
    <x v="1546"/>
    <x v="0"/>
    <x v="0"/>
    <x v="1351"/>
    <x v="113"/>
    <x v="402"/>
    <x v="33"/>
  </r>
  <r>
    <x v="10"/>
    <x v="117"/>
    <x v="1547"/>
    <x v="0"/>
    <x v="0"/>
    <x v="1352"/>
    <x v="114"/>
    <x v="403"/>
    <x v="33"/>
  </r>
  <r>
    <x v="10"/>
    <x v="118"/>
    <x v="1548"/>
    <x v="0"/>
    <x v="0"/>
    <x v="1353"/>
    <x v="115"/>
    <x v="404"/>
    <x v="33"/>
  </r>
  <r>
    <x v="10"/>
    <x v="119"/>
    <x v="1549"/>
    <x v="0"/>
    <x v="0"/>
    <x v="1354"/>
    <x v="106"/>
    <x v="405"/>
    <x v="33"/>
  </r>
  <r>
    <x v="10"/>
    <x v="120"/>
    <x v="1550"/>
    <x v="0"/>
    <x v="0"/>
    <x v="1355"/>
    <x v="116"/>
    <x v="406"/>
    <x v="33"/>
  </r>
  <r>
    <x v="10"/>
    <x v="121"/>
    <x v="1551"/>
    <x v="0"/>
    <x v="0"/>
    <x v="1356"/>
    <x v="117"/>
    <x v="407"/>
    <x v="33"/>
  </r>
  <r>
    <x v="10"/>
    <x v="122"/>
    <x v="1552"/>
    <x v="0"/>
    <x v="0"/>
    <x v="299"/>
    <x v="118"/>
    <x v="408"/>
    <x v="33"/>
  </r>
  <r>
    <x v="10"/>
    <x v="123"/>
    <x v="1553"/>
    <x v="0"/>
    <x v="0"/>
    <x v="1357"/>
    <x v="119"/>
    <x v="409"/>
    <x v="33"/>
  </r>
  <r>
    <x v="10"/>
    <x v="124"/>
    <x v="1554"/>
    <x v="0"/>
    <x v="0"/>
    <x v="1285"/>
    <x v="120"/>
    <x v="410"/>
    <x v="33"/>
  </r>
  <r>
    <x v="10"/>
    <x v="125"/>
    <x v="1555"/>
    <x v="0"/>
    <x v="0"/>
    <x v="1358"/>
    <x v="121"/>
    <x v="411"/>
    <x v="33"/>
  </r>
  <r>
    <x v="10"/>
    <x v="126"/>
    <x v="1556"/>
    <x v="0"/>
    <x v="0"/>
    <x v="1359"/>
    <x v="122"/>
    <x v="412"/>
    <x v="34"/>
  </r>
  <r>
    <x v="10"/>
    <x v="127"/>
    <x v="1557"/>
    <x v="0"/>
    <x v="0"/>
    <x v="571"/>
    <x v="123"/>
    <x v="413"/>
    <x v="34"/>
  </r>
  <r>
    <x v="10"/>
    <x v="128"/>
    <x v="1558"/>
    <x v="0"/>
    <x v="0"/>
    <x v="1360"/>
    <x v="124"/>
    <x v="414"/>
    <x v="34"/>
  </r>
  <r>
    <x v="10"/>
    <x v="129"/>
    <x v="1559"/>
    <x v="0"/>
    <x v="0"/>
    <x v="1361"/>
    <x v="125"/>
    <x v="415"/>
    <x v="34"/>
  </r>
  <r>
    <x v="10"/>
    <x v="130"/>
    <x v="1560"/>
    <x v="0"/>
    <x v="0"/>
    <x v="1362"/>
    <x v="126"/>
    <x v="416"/>
    <x v="34"/>
  </r>
  <r>
    <x v="10"/>
    <x v="131"/>
    <x v="1561"/>
    <x v="0"/>
    <x v="0"/>
    <x v="1363"/>
    <x v="127"/>
    <x v="417"/>
    <x v="34"/>
  </r>
  <r>
    <x v="10"/>
    <x v="132"/>
    <x v="1562"/>
    <x v="0"/>
    <x v="0"/>
    <x v="1287"/>
    <x v="128"/>
    <x v="418"/>
    <x v="34"/>
  </r>
  <r>
    <x v="10"/>
    <x v="133"/>
    <x v="1563"/>
    <x v="0"/>
    <x v="0"/>
    <x v="1364"/>
    <x v="129"/>
    <x v="419"/>
    <x v="34"/>
  </r>
  <r>
    <x v="10"/>
    <x v="134"/>
    <x v="1564"/>
    <x v="0"/>
    <x v="0"/>
    <x v="1365"/>
    <x v="77"/>
    <x v="420"/>
    <x v="34"/>
  </r>
  <r>
    <x v="10"/>
    <x v="135"/>
    <x v="1565"/>
    <x v="0"/>
    <x v="1"/>
    <x v="214"/>
    <x v="130"/>
    <x v="421"/>
    <x v="34"/>
  </r>
  <r>
    <x v="10"/>
    <x v="136"/>
    <x v="1566"/>
    <x v="0"/>
    <x v="0"/>
    <x v="1366"/>
    <x v="131"/>
    <x v="422"/>
    <x v="34"/>
  </r>
  <r>
    <x v="10"/>
    <x v="137"/>
    <x v="1567"/>
    <x v="0"/>
    <x v="0"/>
    <x v="1367"/>
    <x v="132"/>
    <x v="423"/>
    <x v="34"/>
  </r>
  <r>
    <x v="10"/>
    <x v="138"/>
    <x v="1568"/>
    <x v="0"/>
    <x v="0"/>
    <x v="1368"/>
    <x v="133"/>
    <x v="424"/>
    <x v="34"/>
  </r>
  <r>
    <x v="10"/>
    <x v="139"/>
    <x v="1569"/>
    <x v="0"/>
    <x v="0"/>
    <x v="1369"/>
    <x v="134"/>
    <x v="425"/>
    <x v="35"/>
  </r>
  <r>
    <x v="10"/>
    <x v="140"/>
    <x v="1570"/>
    <x v="0"/>
    <x v="0"/>
    <x v="1370"/>
    <x v="135"/>
    <x v="426"/>
    <x v="35"/>
  </r>
  <r>
    <x v="10"/>
    <x v="141"/>
    <x v="1571"/>
    <x v="0"/>
    <x v="0"/>
    <x v="118"/>
    <x v="71"/>
    <x v="427"/>
    <x v="35"/>
  </r>
  <r>
    <x v="10"/>
    <x v="142"/>
    <x v="1572"/>
    <x v="0"/>
    <x v="0"/>
    <x v="1371"/>
    <x v="136"/>
    <x v="428"/>
    <x v="35"/>
  </r>
  <r>
    <x v="11"/>
    <x v="0"/>
    <x v="1573"/>
    <x v="0"/>
    <x v="0"/>
    <x v="1372"/>
    <x v="357"/>
    <x v="429"/>
    <x v="120"/>
  </r>
  <r>
    <x v="11"/>
    <x v="1"/>
    <x v="1574"/>
    <x v="0"/>
    <x v="1"/>
    <x v="1373"/>
    <x v="473"/>
    <x v="430"/>
    <x v="120"/>
  </r>
  <r>
    <x v="11"/>
    <x v="2"/>
    <x v="1575"/>
    <x v="0"/>
    <x v="0"/>
    <x v="1374"/>
    <x v="359"/>
    <x v="431"/>
    <x v="120"/>
  </r>
  <r>
    <x v="11"/>
    <x v="3"/>
    <x v="1576"/>
    <x v="0"/>
    <x v="0"/>
    <x v="1375"/>
    <x v="360"/>
    <x v="432"/>
    <x v="120"/>
  </r>
  <r>
    <x v="11"/>
    <x v="4"/>
    <x v="1577"/>
    <x v="0"/>
    <x v="0"/>
    <x v="1376"/>
    <x v="474"/>
    <x v="433"/>
    <x v="120"/>
  </r>
  <r>
    <x v="11"/>
    <x v="5"/>
    <x v="1578"/>
    <x v="1"/>
    <x v="0"/>
    <x v="1377"/>
    <x v="475"/>
    <x v="434"/>
    <x v="120"/>
  </r>
  <r>
    <x v="11"/>
    <x v="6"/>
    <x v="1579"/>
    <x v="1"/>
    <x v="0"/>
    <x v="1378"/>
    <x v="363"/>
    <x v="435"/>
    <x v="120"/>
  </r>
  <r>
    <x v="11"/>
    <x v="7"/>
    <x v="1580"/>
    <x v="1"/>
    <x v="0"/>
    <x v="1379"/>
    <x v="476"/>
    <x v="436"/>
    <x v="120"/>
  </r>
  <r>
    <x v="11"/>
    <x v="8"/>
    <x v="1581"/>
    <x v="1"/>
    <x v="0"/>
    <x v="1380"/>
    <x v="364"/>
    <x v="437"/>
    <x v="121"/>
  </r>
  <r>
    <x v="11"/>
    <x v="9"/>
    <x v="1582"/>
    <x v="1"/>
    <x v="0"/>
    <x v="935"/>
    <x v="477"/>
    <x v="438"/>
    <x v="121"/>
  </r>
  <r>
    <x v="11"/>
    <x v="10"/>
    <x v="1583"/>
    <x v="1"/>
    <x v="0"/>
    <x v="1048"/>
    <x v="366"/>
    <x v="439"/>
    <x v="121"/>
  </r>
  <r>
    <x v="11"/>
    <x v="11"/>
    <x v="1584"/>
    <x v="1"/>
    <x v="0"/>
    <x v="1381"/>
    <x v="367"/>
    <x v="440"/>
    <x v="121"/>
  </r>
  <r>
    <x v="11"/>
    <x v="12"/>
    <x v="1585"/>
    <x v="1"/>
    <x v="0"/>
    <x v="1382"/>
    <x v="368"/>
    <x v="441"/>
    <x v="121"/>
  </r>
  <r>
    <x v="11"/>
    <x v="13"/>
    <x v="1586"/>
    <x v="1"/>
    <x v="0"/>
    <x v="1383"/>
    <x v="369"/>
    <x v="442"/>
    <x v="121"/>
  </r>
  <r>
    <x v="11"/>
    <x v="14"/>
    <x v="1587"/>
    <x v="1"/>
    <x v="0"/>
    <x v="1384"/>
    <x v="370"/>
    <x v="443"/>
    <x v="121"/>
  </r>
  <r>
    <x v="11"/>
    <x v="15"/>
    <x v="1588"/>
    <x v="1"/>
    <x v="0"/>
    <x v="1385"/>
    <x v="371"/>
    <x v="444"/>
    <x v="121"/>
  </r>
  <r>
    <x v="11"/>
    <x v="16"/>
    <x v="1589"/>
    <x v="1"/>
    <x v="0"/>
    <x v="61"/>
    <x v="179"/>
    <x v="445"/>
    <x v="121"/>
  </r>
  <r>
    <x v="11"/>
    <x v="17"/>
    <x v="1590"/>
    <x v="0"/>
    <x v="0"/>
    <x v="1386"/>
    <x v="372"/>
    <x v="446"/>
    <x v="121"/>
  </r>
  <r>
    <x v="11"/>
    <x v="18"/>
    <x v="1591"/>
    <x v="1"/>
    <x v="0"/>
    <x v="1387"/>
    <x v="478"/>
    <x v="447"/>
    <x v="121"/>
  </r>
  <r>
    <x v="11"/>
    <x v="19"/>
    <x v="1592"/>
    <x v="1"/>
    <x v="0"/>
    <x v="536"/>
    <x v="479"/>
    <x v="448"/>
    <x v="121"/>
  </r>
  <r>
    <x v="11"/>
    <x v="20"/>
    <x v="1593"/>
    <x v="1"/>
    <x v="0"/>
    <x v="1388"/>
    <x v="375"/>
    <x v="449"/>
    <x v="121"/>
  </r>
  <r>
    <x v="11"/>
    <x v="21"/>
    <x v="1594"/>
    <x v="1"/>
    <x v="0"/>
    <x v="1389"/>
    <x v="368"/>
    <x v="450"/>
    <x v="122"/>
  </r>
  <r>
    <x v="11"/>
    <x v="22"/>
    <x v="1595"/>
    <x v="1"/>
    <x v="0"/>
    <x v="1390"/>
    <x v="377"/>
    <x v="451"/>
    <x v="122"/>
  </r>
  <r>
    <x v="11"/>
    <x v="23"/>
    <x v="1596"/>
    <x v="1"/>
    <x v="0"/>
    <x v="1391"/>
    <x v="480"/>
    <x v="452"/>
    <x v="122"/>
  </r>
  <r>
    <x v="11"/>
    <x v="24"/>
    <x v="1597"/>
    <x v="1"/>
    <x v="0"/>
    <x v="1392"/>
    <x v="96"/>
    <x v="453"/>
    <x v="122"/>
  </r>
  <r>
    <x v="11"/>
    <x v="25"/>
    <x v="1598"/>
    <x v="1"/>
    <x v="0"/>
    <x v="1393"/>
    <x v="176"/>
    <x v="454"/>
    <x v="122"/>
  </r>
  <r>
    <x v="11"/>
    <x v="26"/>
    <x v="1599"/>
    <x v="1"/>
    <x v="0"/>
    <x v="1394"/>
    <x v="379"/>
    <x v="455"/>
    <x v="122"/>
  </r>
  <r>
    <x v="11"/>
    <x v="27"/>
    <x v="1600"/>
    <x v="1"/>
    <x v="0"/>
    <x v="1395"/>
    <x v="95"/>
    <x v="456"/>
    <x v="122"/>
  </r>
  <r>
    <x v="11"/>
    <x v="28"/>
    <x v="1601"/>
    <x v="1"/>
    <x v="0"/>
    <x v="1396"/>
    <x v="381"/>
    <x v="457"/>
    <x v="122"/>
  </r>
  <r>
    <x v="11"/>
    <x v="29"/>
    <x v="1602"/>
    <x v="1"/>
    <x v="0"/>
    <x v="1397"/>
    <x v="97"/>
    <x v="458"/>
    <x v="122"/>
  </r>
  <r>
    <x v="11"/>
    <x v="30"/>
    <x v="1603"/>
    <x v="0"/>
    <x v="0"/>
    <x v="1398"/>
    <x v="180"/>
    <x v="459"/>
    <x v="122"/>
  </r>
  <r>
    <x v="11"/>
    <x v="31"/>
    <x v="1604"/>
    <x v="1"/>
    <x v="1"/>
    <x v="360"/>
    <x v="481"/>
    <x v="460"/>
    <x v="122"/>
  </r>
  <r>
    <x v="11"/>
    <x v="32"/>
    <x v="1605"/>
    <x v="1"/>
    <x v="0"/>
    <x v="1399"/>
    <x v="383"/>
    <x v="461"/>
    <x v="122"/>
  </r>
  <r>
    <x v="11"/>
    <x v="33"/>
    <x v="1606"/>
    <x v="1"/>
    <x v="0"/>
    <x v="1400"/>
    <x v="384"/>
    <x v="462"/>
    <x v="122"/>
  </r>
  <r>
    <x v="11"/>
    <x v="34"/>
    <x v="1607"/>
    <x v="1"/>
    <x v="0"/>
    <x v="1401"/>
    <x v="385"/>
    <x v="463"/>
    <x v="123"/>
  </r>
  <r>
    <x v="11"/>
    <x v="35"/>
    <x v="1608"/>
    <x v="1"/>
    <x v="0"/>
    <x v="1402"/>
    <x v="482"/>
    <x v="464"/>
    <x v="123"/>
  </r>
  <r>
    <x v="11"/>
    <x v="36"/>
    <x v="1609"/>
    <x v="1"/>
    <x v="0"/>
    <x v="1403"/>
    <x v="47"/>
    <x v="465"/>
    <x v="123"/>
  </r>
  <r>
    <x v="11"/>
    <x v="37"/>
    <x v="1610"/>
    <x v="1"/>
    <x v="0"/>
    <x v="1404"/>
    <x v="388"/>
    <x v="466"/>
    <x v="123"/>
  </r>
  <r>
    <x v="11"/>
    <x v="38"/>
    <x v="1611"/>
    <x v="1"/>
    <x v="0"/>
    <x v="1405"/>
    <x v="49"/>
    <x v="467"/>
    <x v="123"/>
  </r>
  <r>
    <x v="11"/>
    <x v="39"/>
    <x v="1612"/>
    <x v="1"/>
    <x v="0"/>
    <x v="1406"/>
    <x v="97"/>
    <x v="468"/>
    <x v="123"/>
  </r>
  <r>
    <x v="11"/>
    <x v="40"/>
    <x v="1613"/>
    <x v="1"/>
    <x v="0"/>
    <x v="5"/>
    <x v="389"/>
    <x v="469"/>
    <x v="123"/>
  </r>
  <r>
    <x v="11"/>
    <x v="41"/>
    <x v="1614"/>
    <x v="1"/>
    <x v="0"/>
    <x v="1407"/>
    <x v="483"/>
    <x v="470"/>
    <x v="123"/>
  </r>
  <r>
    <x v="11"/>
    <x v="42"/>
    <x v="1615"/>
    <x v="0"/>
    <x v="1"/>
    <x v="1408"/>
    <x v="392"/>
    <x v="471"/>
    <x v="123"/>
  </r>
  <r>
    <x v="11"/>
    <x v="43"/>
    <x v="1616"/>
    <x v="0"/>
    <x v="0"/>
    <x v="1409"/>
    <x v="381"/>
    <x v="472"/>
    <x v="123"/>
  </r>
  <r>
    <x v="11"/>
    <x v="44"/>
    <x v="1617"/>
    <x v="0"/>
    <x v="0"/>
    <x v="1410"/>
    <x v="484"/>
    <x v="473"/>
    <x v="123"/>
  </r>
  <r>
    <x v="11"/>
    <x v="45"/>
    <x v="1618"/>
    <x v="0"/>
    <x v="0"/>
    <x v="1152"/>
    <x v="92"/>
    <x v="474"/>
    <x v="123"/>
  </r>
  <r>
    <x v="11"/>
    <x v="46"/>
    <x v="1619"/>
    <x v="0"/>
    <x v="0"/>
    <x v="1411"/>
    <x v="92"/>
    <x v="475"/>
    <x v="123"/>
  </r>
  <r>
    <x v="11"/>
    <x v="47"/>
    <x v="1620"/>
    <x v="1"/>
    <x v="1"/>
    <x v="930"/>
    <x v="395"/>
    <x v="476"/>
    <x v="123"/>
  </r>
  <r>
    <x v="11"/>
    <x v="48"/>
    <x v="1621"/>
    <x v="1"/>
    <x v="0"/>
    <x v="1412"/>
    <x v="396"/>
    <x v="477"/>
    <x v="124"/>
  </r>
  <r>
    <x v="11"/>
    <x v="49"/>
    <x v="1622"/>
    <x v="1"/>
    <x v="0"/>
    <x v="1413"/>
    <x v="397"/>
    <x v="478"/>
    <x v="124"/>
  </r>
  <r>
    <x v="11"/>
    <x v="50"/>
    <x v="1623"/>
    <x v="1"/>
    <x v="0"/>
    <x v="1414"/>
    <x v="485"/>
    <x v="479"/>
    <x v="124"/>
  </r>
  <r>
    <x v="11"/>
    <x v="51"/>
    <x v="1624"/>
    <x v="1"/>
    <x v="0"/>
    <x v="331"/>
    <x v="486"/>
    <x v="480"/>
    <x v="124"/>
  </r>
  <r>
    <x v="11"/>
    <x v="52"/>
    <x v="1625"/>
    <x v="1"/>
    <x v="0"/>
    <x v="1415"/>
    <x v="400"/>
    <x v="481"/>
    <x v="124"/>
  </r>
  <r>
    <x v="11"/>
    <x v="53"/>
    <x v="1626"/>
    <x v="0"/>
    <x v="1"/>
    <x v="1416"/>
    <x v="401"/>
    <x v="482"/>
    <x v="124"/>
  </r>
  <r>
    <x v="11"/>
    <x v="54"/>
    <x v="1627"/>
    <x v="0"/>
    <x v="0"/>
    <x v="329"/>
    <x v="402"/>
    <x v="483"/>
    <x v="124"/>
  </r>
  <r>
    <x v="11"/>
    <x v="55"/>
    <x v="1628"/>
    <x v="1"/>
    <x v="0"/>
    <x v="1417"/>
    <x v="487"/>
    <x v="484"/>
    <x v="124"/>
  </r>
  <r>
    <x v="11"/>
    <x v="56"/>
    <x v="1629"/>
    <x v="0"/>
    <x v="0"/>
    <x v="1005"/>
    <x v="404"/>
    <x v="485"/>
    <x v="124"/>
  </r>
  <r>
    <x v="11"/>
    <x v="57"/>
    <x v="1630"/>
    <x v="1"/>
    <x v="0"/>
    <x v="643"/>
    <x v="408"/>
    <x v="486"/>
    <x v="124"/>
  </r>
  <r>
    <x v="11"/>
    <x v="58"/>
    <x v="1631"/>
    <x v="1"/>
    <x v="0"/>
    <x v="913"/>
    <x v="488"/>
    <x v="487"/>
    <x v="124"/>
  </r>
  <r>
    <x v="11"/>
    <x v="59"/>
    <x v="1632"/>
    <x v="1"/>
    <x v="0"/>
    <x v="1418"/>
    <x v="489"/>
    <x v="488"/>
    <x v="124"/>
  </r>
  <r>
    <x v="11"/>
    <x v="60"/>
    <x v="1633"/>
    <x v="1"/>
    <x v="0"/>
    <x v="1419"/>
    <x v="407"/>
    <x v="489"/>
    <x v="125"/>
  </r>
  <r>
    <x v="11"/>
    <x v="61"/>
    <x v="1634"/>
    <x v="1"/>
    <x v="0"/>
    <x v="1420"/>
    <x v="490"/>
    <x v="490"/>
    <x v="125"/>
  </r>
  <r>
    <x v="11"/>
    <x v="62"/>
    <x v="1635"/>
    <x v="1"/>
    <x v="0"/>
    <x v="1421"/>
    <x v="491"/>
    <x v="491"/>
    <x v="125"/>
  </r>
  <r>
    <x v="11"/>
    <x v="63"/>
    <x v="1636"/>
    <x v="1"/>
    <x v="0"/>
    <x v="1422"/>
    <x v="492"/>
    <x v="492"/>
    <x v="125"/>
  </r>
  <r>
    <x v="11"/>
    <x v="64"/>
    <x v="1637"/>
    <x v="1"/>
    <x v="0"/>
    <x v="1423"/>
    <x v="411"/>
    <x v="493"/>
    <x v="125"/>
  </r>
  <r>
    <x v="11"/>
    <x v="65"/>
    <x v="1638"/>
    <x v="1"/>
    <x v="0"/>
    <x v="1424"/>
    <x v="412"/>
    <x v="494"/>
    <x v="125"/>
  </r>
  <r>
    <x v="11"/>
    <x v="66"/>
    <x v="1639"/>
    <x v="1"/>
    <x v="0"/>
    <x v="1425"/>
    <x v="413"/>
    <x v="495"/>
    <x v="125"/>
  </r>
  <r>
    <x v="11"/>
    <x v="67"/>
    <x v="1640"/>
    <x v="1"/>
    <x v="0"/>
    <x v="1426"/>
    <x v="493"/>
    <x v="496"/>
    <x v="125"/>
  </r>
  <r>
    <x v="11"/>
    <x v="68"/>
    <x v="1641"/>
    <x v="1"/>
    <x v="0"/>
    <x v="1164"/>
    <x v="494"/>
    <x v="497"/>
    <x v="125"/>
  </r>
  <r>
    <x v="11"/>
    <x v="69"/>
    <x v="1642"/>
    <x v="1"/>
    <x v="0"/>
    <x v="1427"/>
    <x v="495"/>
    <x v="498"/>
    <x v="125"/>
  </r>
  <r>
    <x v="11"/>
    <x v="70"/>
    <x v="1643"/>
    <x v="1"/>
    <x v="0"/>
    <x v="1428"/>
    <x v="417"/>
    <x v="499"/>
    <x v="125"/>
  </r>
  <r>
    <x v="11"/>
    <x v="71"/>
    <x v="1644"/>
    <x v="1"/>
    <x v="0"/>
    <x v="611"/>
    <x v="418"/>
    <x v="500"/>
    <x v="125"/>
  </r>
  <r>
    <x v="11"/>
    <x v="72"/>
    <x v="1645"/>
    <x v="1"/>
    <x v="0"/>
    <x v="1102"/>
    <x v="496"/>
    <x v="501"/>
    <x v="125"/>
  </r>
  <r>
    <x v="11"/>
    <x v="73"/>
    <x v="1646"/>
    <x v="1"/>
    <x v="0"/>
    <x v="1429"/>
    <x v="419"/>
    <x v="502"/>
    <x v="126"/>
  </r>
  <r>
    <x v="11"/>
    <x v="74"/>
    <x v="1647"/>
    <x v="1"/>
    <x v="0"/>
    <x v="1430"/>
    <x v="497"/>
    <x v="503"/>
    <x v="126"/>
  </r>
  <r>
    <x v="11"/>
    <x v="75"/>
    <x v="1648"/>
    <x v="1"/>
    <x v="0"/>
    <x v="1431"/>
    <x v="488"/>
    <x v="504"/>
    <x v="126"/>
  </r>
  <r>
    <x v="11"/>
    <x v="76"/>
    <x v="1649"/>
    <x v="1"/>
    <x v="0"/>
    <x v="1432"/>
    <x v="423"/>
    <x v="505"/>
    <x v="126"/>
  </r>
  <r>
    <x v="11"/>
    <x v="77"/>
    <x v="1650"/>
    <x v="1"/>
    <x v="0"/>
    <x v="1433"/>
    <x v="498"/>
    <x v="506"/>
    <x v="126"/>
  </r>
  <r>
    <x v="11"/>
    <x v="78"/>
    <x v="1651"/>
    <x v="1"/>
    <x v="0"/>
    <x v="1434"/>
    <x v="422"/>
    <x v="507"/>
    <x v="126"/>
  </r>
  <r>
    <x v="11"/>
    <x v="79"/>
    <x v="1652"/>
    <x v="1"/>
    <x v="0"/>
    <x v="1435"/>
    <x v="430"/>
    <x v="508"/>
    <x v="126"/>
  </r>
  <r>
    <x v="11"/>
    <x v="80"/>
    <x v="1653"/>
    <x v="1"/>
    <x v="0"/>
    <x v="1436"/>
    <x v="61"/>
    <x v="509"/>
    <x v="126"/>
  </r>
  <r>
    <x v="11"/>
    <x v="81"/>
    <x v="1654"/>
    <x v="1"/>
    <x v="0"/>
    <x v="1437"/>
    <x v="499"/>
    <x v="510"/>
    <x v="126"/>
  </r>
  <r>
    <x v="11"/>
    <x v="82"/>
    <x v="1655"/>
    <x v="0"/>
    <x v="0"/>
    <x v="1438"/>
    <x v="424"/>
    <x v="511"/>
    <x v="126"/>
  </r>
  <r>
    <x v="11"/>
    <x v="83"/>
    <x v="1656"/>
    <x v="1"/>
    <x v="1"/>
    <x v="1439"/>
    <x v="500"/>
    <x v="512"/>
    <x v="126"/>
  </r>
  <r>
    <x v="11"/>
    <x v="84"/>
    <x v="1657"/>
    <x v="1"/>
    <x v="0"/>
    <x v="1440"/>
    <x v="501"/>
    <x v="513"/>
    <x v="126"/>
  </r>
  <r>
    <x v="11"/>
    <x v="85"/>
    <x v="1658"/>
    <x v="1"/>
    <x v="0"/>
    <x v="781"/>
    <x v="353"/>
    <x v="514"/>
    <x v="126"/>
  </r>
  <r>
    <x v="11"/>
    <x v="86"/>
    <x v="1659"/>
    <x v="1"/>
    <x v="0"/>
    <x v="1285"/>
    <x v="112"/>
    <x v="515"/>
    <x v="126"/>
  </r>
  <r>
    <x v="11"/>
    <x v="87"/>
    <x v="1660"/>
    <x v="1"/>
    <x v="0"/>
    <x v="1441"/>
    <x v="426"/>
    <x v="516"/>
    <x v="127"/>
  </r>
  <r>
    <x v="11"/>
    <x v="88"/>
    <x v="1661"/>
    <x v="1"/>
    <x v="0"/>
    <x v="1442"/>
    <x v="498"/>
    <x v="517"/>
    <x v="127"/>
  </r>
  <r>
    <x v="11"/>
    <x v="89"/>
    <x v="1662"/>
    <x v="1"/>
    <x v="0"/>
    <x v="1443"/>
    <x v="419"/>
    <x v="518"/>
    <x v="127"/>
  </r>
  <r>
    <x v="11"/>
    <x v="90"/>
    <x v="1663"/>
    <x v="1"/>
    <x v="0"/>
    <x v="12"/>
    <x v="502"/>
    <x v="519"/>
    <x v="127"/>
  </r>
  <r>
    <x v="11"/>
    <x v="91"/>
    <x v="1664"/>
    <x v="0"/>
    <x v="0"/>
    <x v="1444"/>
    <x v="296"/>
    <x v="520"/>
    <x v="127"/>
  </r>
  <r>
    <x v="11"/>
    <x v="92"/>
    <x v="1665"/>
    <x v="0"/>
    <x v="0"/>
    <x v="1445"/>
    <x v="503"/>
    <x v="521"/>
    <x v="127"/>
  </r>
  <r>
    <x v="11"/>
    <x v="93"/>
    <x v="1666"/>
    <x v="1"/>
    <x v="0"/>
    <x v="1446"/>
    <x v="504"/>
    <x v="522"/>
    <x v="127"/>
  </r>
  <r>
    <x v="11"/>
    <x v="94"/>
    <x v="1667"/>
    <x v="0"/>
    <x v="1"/>
    <x v="1447"/>
    <x v="60"/>
    <x v="523"/>
    <x v="127"/>
  </r>
  <r>
    <x v="11"/>
    <x v="95"/>
    <x v="1668"/>
    <x v="0"/>
    <x v="0"/>
    <x v="1448"/>
    <x v="430"/>
    <x v="524"/>
    <x v="127"/>
  </r>
  <r>
    <x v="11"/>
    <x v="96"/>
    <x v="1669"/>
    <x v="0"/>
    <x v="0"/>
    <x v="1449"/>
    <x v="431"/>
    <x v="525"/>
    <x v="127"/>
  </r>
  <r>
    <x v="11"/>
    <x v="97"/>
    <x v="1670"/>
    <x v="0"/>
    <x v="0"/>
    <x v="1450"/>
    <x v="505"/>
    <x v="526"/>
    <x v="127"/>
  </r>
  <r>
    <x v="11"/>
    <x v="98"/>
    <x v="1671"/>
    <x v="0"/>
    <x v="0"/>
    <x v="1451"/>
    <x v="222"/>
    <x v="527"/>
    <x v="127"/>
  </r>
  <r>
    <x v="11"/>
    <x v="99"/>
    <x v="1672"/>
    <x v="0"/>
    <x v="1"/>
    <x v="1452"/>
    <x v="433"/>
    <x v="528"/>
    <x v="127"/>
  </r>
  <r>
    <x v="11"/>
    <x v="100"/>
    <x v="1673"/>
    <x v="1"/>
    <x v="0"/>
    <x v="1453"/>
    <x v="506"/>
    <x v="529"/>
    <x v="128"/>
  </r>
  <r>
    <x v="11"/>
    <x v="101"/>
    <x v="1674"/>
    <x v="1"/>
    <x v="0"/>
    <x v="1454"/>
    <x v="507"/>
    <x v="530"/>
    <x v="128"/>
  </r>
  <r>
    <x v="11"/>
    <x v="102"/>
    <x v="1675"/>
    <x v="1"/>
    <x v="0"/>
    <x v="717"/>
    <x v="436"/>
    <x v="531"/>
    <x v="128"/>
  </r>
  <r>
    <x v="11"/>
    <x v="103"/>
    <x v="1676"/>
    <x v="1"/>
    <x v="0"/>
    <x v="1453"/>
    <x v="437"/>
    <x v="532"/>
    <x v="128"/>
  </r>
  <r>
    <x v="11"/>
    <x v="104"/>
    <x v="1677"/>
    <x v="0"/>
    <x v="0"/>
    <x v="1455"/>
    <x v="508"/>
    <x v="533"/>
    <x v="128"/>
  </r>
  <r>
    <x v="11"/>
    <x v="105"/>
    <x v="1678"/>
    <x v="0"/>
    <x v="1"/>
    <x v="1456"/>
    <x v="439"/>
    <x v="534"/>
    <x v="128"/>
  </r>
  <r>
    <x v="11"/>
    <x v="106"/>
    <x v="1679"/>
    <x v="0"/>
    <x v="0"/>
    <x v="1047"/>
    <x v="187"/>
    <x v="535"/>
    <x v="128"/>
  </r>
  <r>
    <x v="11"/>
    <x v="107"/>
    <x v="1680"/>
    <x v="0"/>
    <x v="0"/>
    <x v="1457"/>
    <x v="440"/>
    <x v="536"/>
    <x v="128"/>
  </r>
  <r>
    <x v="11"/>
    <x v="108"/>
    <x v="1681"/>
    <x v="0"/>
    <x v="0"/>
    <x v="1456"/>
    <x v="509"/>
    <x v="537"/>
    <x v="128"/>
  </r>
  <r>
    <x v="11"/>
    <x v="109"/>
    <x v="1682"/>
    <x v="0"/>
    <x v="0"/>
    <x v="1458"/>
    <x v="510"/>
    <x v="538"/>
    <x v="128"/>
  </r>
  <r>
    <x v="11"/>
    <x v="110"/>
    <x v="1683"/>
    <x v="0"/>
    <x v="0"/>
    <x v="647"/>
    <x v="443"/>
    <x v="539"/>
    <x v="128"/>
  </r>
  <r>
    <x v="11"/>
    <x v="111"/>
    <x v="1684"/>
    <x v="1"/>
    <x v="0"/>
    <x v="1459"/>
    <x v="511"/>
    <x v="540"/>
    <x v="128"/>
  </r>
  <r>
    <x v="11"/>
    <x v="112"/>
    <x v="1685"/>
    <x v="1"/>
    <x v="0"/>
    <x v="1460"/>
    <x v="445"/>
    <x v="541"/>
    <x v="128"/>
  </r>
  <r>
    <x v="11"/>
    <x v="113"/>
    <x v="1686"/>
    <x v="0"/>
    <x v="0"/>
    <x v="1461"/>
    <x v="512"/>
    <x v="542"/>
    <x v="129"/>
  </r>
  <r>
    <x v="11"/>
    <x v="114"/>
    <x v="1687"/>
    <x v="0"/>
    <x v="0"/>
    <x v="1462"/>
    <x v="447"/>
    <x v="543"/>
    <x v="129"/>
  </r>
  <r>
    <x v="11"/>
    <x v="115"/>
    <x v="1688"/>
    <x v="1"/>
    <x v="0"/>
    <x v="1463"/>
    <x v="513"/>
    <x v="544"/>
    <x v="129"/>
  </r>
  <r>
    <x v="11"/>
    <x v="116"/>
    <x v="1689"/>
    <x v="1"/>
    <x v="0"/>
    <x v="492"/>
    <x v="412"/>
    <x v="545"/>
    <x v="129"/>
  </r>
  <r>
    <x v="11"/>
    <x v="117"/>
    <x v="1690"/>
    <x v="0"/>
    <x v="0"/>
    <x v="1248"/>
    <x v="514"/>
    <x v="546"/>
    <x v="129"/>
  </r>
  <r>
    <x v="11"/>
    <x v="118"/>
    <x v="1691"/>
    <x v="1"/>
    <x v="0"/>
    <x v="1464"/>
    <x v="451"/>
    <x v="547"/>
    <x v="129"/>
  </r>
  <r>
    <x v="11"/>
    <x v="119"/>
    <x v="1692"/>
    <x v="1"/>
    <x v="0"/>
    <x v="1465"/>
    <x v="515"/>
    <x v="548"/>
    <x v="129"/>
  </r>
  <r>
    <x v="11"/>
    <x v="120"/>
    <x v="1693"/>
    <x v="1"/>
    <x v="0"/>
    <x v="1466"/>
    <x v="516"/>
    <x v="549"/>
    <x v="129"/>
  </r>
  <r>
    <x v="11"/>
    <x v="121"/>
    <x v="1694"/>
    <x v="1"/>
    <x v="0"/>
    <x v="530"/>
    <x v="454"/>
    <x v="550"/>
    <x v="129"/>
  </r>
  <r>
    <x v="11"/>
    <x v="122"/>
    <x v="1695"/>
    <x v="0"/>
    <x v="0"/>
    <x v="1467"/>
    <x v="455"/>
    <x v="551"/>
    <x v="129"/>
  </r>
  <r>
    <x v="11"/>
    <x v="123"/>
    <x v="1696"/>
    <x v="1"/>
    <x v="0"/>
    <x v="1468"/>
    <x v="456"/>
    <x v="552"/>
    <x v="129"/>
  </r>
  <r>
    <x v="11"/>
    <x v="124"/>
    <x v="1697"/>
    <x v="1"/>
    <x v="0"/>
    <x v="1218"/>
    <x v="457"/>
    <x v="553"/>
    <x v="129"/>
  </r>
  <r>
    <x v="11"/>
    <x v="125"/>
    <x v="1698"/>
    <x v="1"/>
    <x v="0"/>
    <x v="1469"/>
    <x v="458"/>
    <x v="554"/>
    <x v="129"/>
  </r>
  <r>
    <x v="11"/>
    <x v="126"/>
    <x v="1699"/>
    <x v="1"/>
    <x v="0"/>
    <x v="1470"/>
    <x v="352"/>
    <x v="555"/>
    <x v="130"/>
  </r>
  <r>
    <x v="11"/>
    <x v="127"/>
    <x v="1700"/>
    <x v="1"/>
    <x v="0"/>
    <x v="1471"/>
    <x v="344"/>
    <x v="556"/>
    <x v="130"/>
  </r>
  <r>
    <x v="11"/>
    <x v="128"/>
    <x v="1701"/>
    <x v="1"/>
    <x v="0"/>
    <x v="1472"/>
    <x v="517"/>
    <x v="557"/>
    <x v="130"/>
  </r>
  <r>
    <x v="11"/>
    <x v="129"/>
    <x v="1702"/>
    <x v="1"/>
    <x v="0"/>
    <x v="1473"/>
    <x v="460"/>
    <x v="558"/>
    <x v="130"/>
  </r>
  <r>
    <x v="11"/>
    <x v="130"/>
    <x v="1703"/>
    <x v="1"/>
    <x v="0"/>
    <x v="1474"/>
    <x v="355"/>
    <x v="559"/>
    <x v="130"/>
  </r>
  <r>
    <x v="11"/>
    <x v="131"/>
    <x v="1704"/>
    <x v="1"/>
    <x v="0"/>
    <x v="1475"/>
    <x v="462"/>
    <x v="560"/>
    <x v="130"/>
  </r>
  <r>
    <x v="11"/>
    <x v="132"/>
    <x v="1705"/>
    <x v="1"/>
    <x v="0"/>
    <x v="1476"/>
    <x v="463"/>
    <x v="561"/>
    <x v="130"/>
  </r>
  <r>
    <x v="11"/>
    <x v="133"/>
    <x v="1706"/>
    <x v="0"/>
    <x v="0"/>
    <x v="166"/>
    <x v="464"/>
    <x v="562"/>
    <x v="130"/>
  </r>
  <r>
    <x v="11"/>
    <x v="134"/>
    <x v="1707"/>
    <x v="0"/>
    <x v="0"/>
    <x v="1477"/>
    <x v="518"/>
    <x v="563"/>
    <x v="130"/>
  </r>
  <r>
    <x v="11"/>
    <x v="135"/>
    <x v="1708"/>
    <x v="1"/>
    <x v="1"/>
    <x v="1478"/>
    <x v="466"/>
    <x v="564"/>
    <x v="130"/>
  </r>
  <r>
    <x v="11"/>
    <x v="136"/>
    <x v="1709"/>
    <x v="1"/>
    <x v="0"/>
    <x v="1479"/>
    <x v="519"/>
    <x v="565"/>
    <x v="130"/>
  </r>
  <r>
    <x v="11"/>
    <x v="137"/>
    <x v="1710"/>
    <x v="1"/>
    <x v="0"/>
    <x v="1480"/>
    <x v="468"/>
    <x v="566"/>
    <x v="130"/>
  </r>
  <r>
    <x v="11"/>
    <x v="138"/>
    <x v="1711"/>
    <x v="1"/>
    <x v="0"/>
    <x v="1481"/>
    <x v="467"/>
    <x v="567"/>
    <x v="130"/>
  </r>
  <r>
    <x v="11"/>
    <x v="139"/>
    <x v="1712"/>
    <x v="1"/>
    <x v="0"/>
    <x v="1482"/>
    <x v="467"/>
    <x v="568"/>
    <x v="131"/>
  </r>
  <r>
    <x v="11"/>
    <x v="140"/>
    <x v="1713"/>
    <x v="1"/>
    <x v="0"/>
    <x v="88"/>
    <x v="470"/>
    <x v="569"/>
    <x v="131"/>
  </r>
  <r>
    <x v="11"/>
    <x v="141"/>
    <x v="1714"/>
    <x v="1"/>
    <x v="0"/>
    <x v="1483"/>
    <x v="471"/>
    <x v="570"/>
    <x v="131"/>
  </r>
  <r>
    <x v="11"/>
    <x v="142"/>
    <x v="1715"/>
    <x v="1"/>
    <x v="0"/>
    <x v="1484"/>
    <x v="472"/>
    <x v="571"/>
    <x v="131"/>
  </r>
  <r>
    <x v="12"/>
    <x v="0"/>
    <x v="1716"/>
    <x v="0"/>
    <x v="0"/>
    <x v="1485"/>
    <x v="520"/>
    <x v="429"/>
    <x v="132"/>
  </r>
  <r>
    <x v="12"/>
    <x v="1"/>
    <x v="1717"/>
    <x v="0"/>
    <x v="1"/>
    <x v="1486"/>
    <x v="160"/>
    <x v="430"/>
    <x v="132"/>
  </r>
  <r>
    <x v="12"/>
    <x v="2"/>
    <x v="1718"/>
    <x v="0"/>
    <x v="0"/>
    <x v="1487"/>
    <x v="141"/>
    <x v="431"/>
    <x v="132"/>
  </r>
  <r>
    <x v="12"/>
    <x v="3"/>
    <x v="1719"/>
    <x v="0"/>
    <x v="0"/>
    <x v="1488"/>
    <x v="5"/>
    <x v="432"/>
    <x v="132"/>
  </r>
  <r>
    <x v="12"/>
    <x v="4"/>
    <x v="1720"/>
    <x v="0"/>
    <x v="0"/>
    <x v="875"/>
    <x v="521"/>
    <x v="433"/>
    <x v="132"/>
  </r>
  <r>
    <x v="12"/>
    <x v="5"/>
    <x v="1721"/>
    <x v="0"/>
    <x v="0"/>
    <x v="1489"/>
    <x v="522"/>
    <x v="434"/>
    <x v="132"/>
  </r>
  <r>
    <x v="12"/>
    <x v="6"/>
    <x v="1722"/>
    <x v="0"/>
    <x v="0"/>
    <x v="1490"/>
    <x v="523"/>
    <x v="435"/>
    <x v="132"/>
  </r>
  <r>
    <x v="12"/>
    <x v="7"/>
    <x v="1723"/>
    <x v="0"/>
    <x v="0"/>
    <x v="1491"/>
    <x v="524"/>
    <x v="436"/>
    <x v="132"/>
  </r>
  <r>
    <x v="12"/>
    <x v="8"/>
    <x v="1724"/>
    <x v="0"/>
    <x v="0"/>
    <x v="1492"/>
    <x v="525"/>
    <x v="437"/>
    <x v="133"/>
  </r>
  <r>
    <x v="12"/>
    <x v="9"/>
    <x v="1725"/>
    <x v="0"/>
    <x v="0"/>
    <x v="1493"/>
    <x v="361"/>
    <x v="438"/>
    <x v="133"/>
  </r>
  <r>
    <x v="12"/>
    <x v="10"/>
    <x v="1726"/>
    <x v="0"/>
    <x v="0"/>
    <x v="1494"/>
    <x v="359"/>
    <x v="439"/>
    <x v="133"/>
  </r>
  <r>
    <x v="12"/>
    <x v="11"/>
    <x v="1727"/>
    <x v="0"/>
    <x v="0"/>
    <x v="1495"/>
    <x v="526"/>
    <x v="440"/>
    <x v="133"/>
  </r>
  <r>
    <x v="12"/>
    <x v="12"/>
    <x v="1728"/>
    <x v="0"/>
    <x v="0"/>
    <x v="760"/>
    <x v="372"/>
    <x v="441"/>
    <x v="133"/>
  </r>
  <r>
    <x v="12"/>
    <x v="13"/>
    <x v="1729"/>
    <x v="0"/>
    <x v="0"/>
    <x v="1496"/>
    <x v="527"/>
    <x v="442"/>
    <x v="133"/>
  </r>
  <r>
    <x v="12"/>
    <x v="14"/>
    <x v="1730"/>
    <x v="0"/>
    <x v="0"/>
    <x v="1497"/>
    <x v="357"/>
    <x v="443"/>
    <x v="133"/>
  </r>
  <r>
    <x v="12"/>
    <x v="15"/>
    <x v="1731"/>
    <x v="0"/>
    <x v="0"/>
    <x v="723"/>
    <x v="528"/>
    <x v="444"/>
    <x v="133"/>
  </r>
  <r>
    <x v="12"/>
    <x v="16"/>
    <x v="1732"/>
    <x v="0"/>
    <x v="0"/>
    <x v="1498"/>
    <x v="529"/>
    <x v="445"/>
    <x v="133"/>
  </r>
  <r>
    <x v="12"/>
    <x v="17"/>
    <x v="1733"/>
    <x v="0"/>
    <x v="0"/>
    <x v="1233"/>
    <x v="530"/>
    <x v="446"/>
    <x v="133"/>
  </r>
  <r>
    <x v="12"/>
    <x v="18"/>
    <x v="1734"/>
    <x v="0"/>
    <x v="0"/>
    <x v="1499"/>
    <x v="531"/>
    <x v="447"/>
    <x v="133"/>
  </r>
  <r>
    <x v="12"/>
    <x v="19"/>
    <x v="1735"/>
    <x v="0"/>
    <x v="0"/>
    <x v="1500"/>
    <x v="524"/>
    <x v="448"/>
    <x v="133"/>
  </r>
  <r>
    <x v="12"/>
    <x v="20"/>
    <x v="1736"/>
    <x v="0"/>
    <x v="0"/>
    <x v="1501"/>
    <x v="152"/>
    <x v="449"/>
    <x v="133"/>
  </r>
  <r>
    <x v="12"/>
    <x v="21"/>
    <x v="1737"/>
    <x v="0"/>
    <x v="0"/>
    <x v="1502"/>
    <x v="532"/>
    <x v="450"/>
    <x v="134"/>
  </r>
  <r>
    <x v="12"/>
    <x v="22"/>
    <x v="1738"/>
    <x v="0"/>
    <x v="0"/>
    <x v="1503"/>
    <x v="533"/>
    <x v="451"/>
    <x v="134"/>
  </r>
  <r>
    <x v="12"/>
    <x v="23"/>
    <x v="1739"/>
    <x v="0"/>
    <x v="0"/>
    <x v="1504"/>
    <x v="534"/>
    <x v="452"/>
    <x v="134"/>
  </r>
  <r>
    <x v="12"/>
    <x v="24"/>
    <x v="1740"/>
    <x v="0"/>
    <x v="0"/>
    <x v="1220"/>
    <x v="535"/>
    <x v="453"/>
    <x v="134"/>
  </r>
  <r>
    <x v="12"/>
    <x v="25"/>
    <x v="1741"/>
    <x v="0"/>
    <x v="0"/>
    <x v="1505"/>
    <x v="535"/>
    <x v="454"/>
    <x v="134"/>
  </r>
  <r>
    <x v="12"/>
    <x v="26"/>
    <x v="1742"/>
    <x v="0"/>
    <x v="0"/>
    <x v="1033"/>
    <x v="533"/>
    <x v="455"/>
    <x v="134"/>
  </r>
  <r>
    <x v="12"/>
    <x v="27"/>
    <x v="1743"/>
    <x v="0"/>
    <x v="0"/>
    <x v="1506"/>
    <x v="536"/>
    <x v="456"/>
    <x v="134"/>
  </r>
  <r>
    <x v="12"/>
    <x v="28"/>
    <x v="1744"/>
    <x v="0"/>
    <x v="0"/>
    <x v="1507"/>
    <x v="537"/>
    <x v="457"/>
    <x v="134"/>
  </r>
  <r>
    <x v="12"/>
    <x v="29"/>
    <x v="1745"/>
    <x v="0"/>
    <x v="0"/>
    <x v="1508"/>
    <x v="14"/>
    <x v="458"/>
    <x v="134"/>
  </r>
  <r>
    <x v="12"/>
    <x v="30"/>
    <x v="1746"/>
    <x v="0"/>
    <x v="0"/>
    <x v="1509"/>
    <x v="538"/>
    <x v="459"/>
    <x v="134"/>
  </r>
  <r>
    <x v="12"/>
    <x v="31"/>
    <x v="1747"/>
    <x v="0"/>
    <x v="1"/>
    <x v="1510"/>
    <x v="539"/>
    <x v="460"/>
    <x v="134"/>
  </r>
  <r>
    <x v="12"/>
    <x v="32"/>
    <x v="1748"/>
    <x v="0"/>
    <x v="0"/>
    <x v="1511"/>
    <x v="540"/>
    <x v="461"/>
    <x v="134"/>
  </r>
  <r>
    <x v="12"/>
    <x v="33"/>
    <x v="1749"/>
    <x v="0"/>
    <x v="0"/>
    <x v="1512"/>
    <x v="541"/>
    <x v="462"/>
    <x v="134"/>
  </r>
  <r>
    <x v="12"/>
    <x v="34"/>
    <x v="1750"/>
    <x v="0"/>
    <x v="0"/>
    <x v="1303"/>
    <x v="542"/>
    <x v="463"/>
    <x v="135"/>
  </r>
  <r>
    <x v="12"/>
    <x v="35"/>
    <x v="1751"/>
    <x v="0"/>
    <x v="0"/>
    <x v="1513"/>
    <x v="531"/>
    <x v="464"/>
    <x v="135"/>
  </r>
  <r>
    <x v="12"/>
    <x v="36"/>
    <x v="1752"/>
    <x v="0"/>
    <x v="0"/>
    <x v="1238"/>
    <x v="151"/>
    <x v="465"/>
    <x v="135"/>
  </r>
  <r>
    <x v="12"/>
    <x v="37"/>
    <x v="1753"/>
    <x v="0"/>
    <x v="0"/>
    <x v="1336"/>
    <x v="543"/>
    <x v="466"/>
    <x v="135"/>
  </r>
  <r>
    <x v="12"/>
    <x v="38"/>
    <x v="1754"/>
    <x v="0"/>
    <x v="0"/>
    <x v="1514"/>
    <x v="531"/>
    <x v="467"/>
    <x v="135"/>
  </r>
  <r>
    <x v="12"/>
    <x v="39"/>
    <x v="1755"/>
    <x v="0"/>
    <x v="0"/>
    <x v="1073"/>
    <x v="544"/>
    <x v="468"/>
    <x v="135"/>
  </r>
  <r>
    <x v="12"/>
    <x v="40"/>
    <x v="1756"/>
    <x v="0"/>
    <x v="0"/>
    <x v="1515"/>
    <x v="544"/>
    <x v="469"/>
    <x v="135"/>
  </r>
  <r>
    <x v="12"/>
    <x v="41"/>
    <x v="1757"/>
    <x v="0"/>
    <x v="0"/>
    <x v="1516"/>
    <x v="525"/>
    <x v="470"/>
    <x v="135"/>
  </r>
  <r>
    <x v="12"/>
    <x v="42"/>
    <x v="1758"/>
    <x v="0"/>
    <x v="1"/>
    <x v="1517"/>
    <x v="545"/>
    <x v="471"/>
    <x v="135"/>
  </r>
  <r>
    <x v="12"/>
    <x v="43"/>
    <x v="1759"/>
    <x v="0"/>
    <x v="0"/>
    <x v="1518"/>
    <x v="546"/>
    <x v="472"/>
    <x v="135"/>
  </r>
  <r>
    <x v="12"/>
    <x v="44"/>
    <x v="1760"/>
    <x v="0"/>
    <x v="0"/>
    <x v="1519"/>
    <x v="547"/>
    <x v="473"/>
    <x v="135"/>
  </r>
  <r>
    <x v="12"/>
    <x v="45"/>
    <x v="1761"/>
    <x v="0"/>
    <x v="0"/>
    <x v="1520"/>
    <x v="525"/>
    <x v="474"/>
    <x v="135"/>
  </r>
  <r>
    <x v="12"/>
    <x v="46"/>
    <x v="1762"/>
    <x v="0"/>
    <x v="0"/>
    <x v="1521"/>
    <x v="548"/>
    <x v="475"/>
    <x v="135"/>
  </r>
  <r>
    <x v="12"/>
    <x v="47"/>
    <x v="1763"/>
    <x v="0"/>
    <x v="1"/>
    <x v="854"/>
    <x v="538"/>
    <x v="476"/>
    <x v="135"/>
  </r>
  <r>
    <x v="12"/>
    <x v="48"/>
    <x v="1764"/>
    <x v="0"/>
    <x v="0"/>
    <x v="1522"/>
    <x v="549"/>
    <x v="477"/>
    <x v="136"/>
  </r>
  <r>
    <x v="12"/>
    <x v="49"/>
    <x v="1765"/>
    <x v="0"/>
    <x v="0"/>
    <x v="1523"/>
    <x v="550"/>
    <x v="478"/>
    <x v="136"/>
  </r>
  <r>
    <x v="12"/>
    <x v="50"/>
    <x v="1766"/>
    <x v="0"/>
    <x v="0"/>
    <x v="1524"/>
    <x v="551"/>
    <x v="479"/>
    <x v="136"/>
  </r>
  <r>
    <x v="12"/>
    <x v="51"/>
    <x v="1767"/>
    <x v="0"/>
    <x v="0"/>
    <x v="505"/>
    <x v="552"/>
    <x v="480"/>
    <x v="136"/>
  </r>
  <r>
    <x v="12"/>
    <x v="52"/>
    <x v="1768"/>
    <x v="0"/>
    <x v="0"/>
    <x v="1525"/>
    <x v="553"/>
    <x v="481"/>
    <x v="136"/>
  </r>
  <r>
    <x v="12"/>
    <x v="53"/>
    <x v="1769"/>
    <x v="0"/>
    <x v="1"/>
    <x v="1526"/>
    <x v="362"/>
    <x v="482"/>
    <x v="136"/>
  </r>
  <r>
    <x v="12"/>
    <x v="54"/>
    <x v="1770"/>
    <x v="0"/>
    <x v="0"/>
    <x v="1527"/>
    <x v="554"/>
    <x v="483"/>
    <x v="136"/>
  </r>
  <r>
    <x v="12"/>
    <x v="55"/>
    <x v="1771"/>
    <x v="0"/>
    <x v="0"/>
    <x v="1528"/>
    <x v="371"/>
    <x v="484"/>
    <x v="136"/>
  </r>
  <r>
    <x v="12"/>
    <x v="56"/>
    <x v="1772"/>
    <x v="0"/>
    <x v="0"/>
    <x v="1529"/>
    <x v="555"/>
    <x v="485"/>
    <x v="136"/>
  </r>
  <r>
    <x v="12"/>
    <x v="57"/>
    <x v="1773"/>
    <x v="0"/>
    <x v="0"/>
    <x v="1530"/>
    <x v="120"/>
    <x v="486"/>
    <x v="136"/>
  </r>
  <r>
    <x v="12"/>
    <x v="58"/>
    <x v="1774"/>
    <x v="0"/>
    <x v="0"/>
    <x v="191"/>
    <x v="125"/>
    <x v="487"/>
    <x v="136"/>
  </r>
  <r>
    <x v="12"/>
    <x v="59"/>
    <x v="1775"/>
    <x v="0"/>
    <x v="0"/>
    <x v="1531"/>
    <x v="556"/>
    <x v="488"/>
    <x v="136"/>
  </r>
  <r>
    <x v="12"/>
    <x v="60"/>
    <x v="1776"/>
    <x v="0"/>
    <x v="0"/>
    <x v="1490"/>
    <x v="557"/>
    <x v="489"/>
    <x v="137"/>
  </r>
  <r>
    <x v="12"/>
    <x v="61"/>
    <x v="1777"/>
    <x v="0"/>
    <x v="0"/>
    <x v="1532"/>
    <x v="304"/>
    <x v="490"/>
    <x v="137"/>
  </r>
  <r>
    <x v="12"/>
    <x v="62"/>
    <x v="1778"/>
    <x v="0"/>
    <x v="0"/>
    <x v="1533"/>
    <x v="558"/>
    <x v="491"/>
    <x v="137"/>
  </r>
  <r>
    <x v="12"/>
    <x v="63"/>
    <x v="1779"/>
    <x v="0"/>
    <x v="0"/>
    <x v="188"/>
    <x v="559"/>
    <x v="492"/>
    <x v="137"/>
  </r>
  <r>
    <x v="12"/>
    <x v="64"/>
    <x v="1780"/>
    <x v="0"/>
    <x v="0"/>
    <x v="1534"/>
    <x v="192"/>
    <x v="493"/>
    <x v="137"/>
  </r>
  <r>
    <x v="12"/>
    <x v="65"/>
    <x v="1781"/>
    <x v="0"/>
    <x v="0"/>
    <x v="1535"/>
    <x v="560"/>
    <x v="494"/>
    <x v="137"/>
  </r>
  <r>
    <x v="12"/>
    <x v="66"/>
    <x v="1782"/>
    <x v="0"/>
    <x v="0"/>
    <x v="1536"/>
    <x v="561"/>
    <x v="495"/>
    <x v="137"/>
  </r>
  <r>
    <x v="12"/>
    <x v="67"/>
    <x v="1783"/>
    <x v="0"/>
    <x v="0"/>
    <x v="1537"/>
    <x v="562"/>
    <x v="496"/>
    <x v="137"/>
  </r>
  <r>
    <x v="12"/>
    <x v="68"/>
    <x v="1784"/>
    <x v="0"/>
    <x v="0"/>
    <x v="1538"/>
    <x v="563"/>
    <x v="497"/>
    <x v="137"/>
  </r>
  <r>
    <x v="12"/>
    <x v="69"/>
    <x v="1785"/>
    <x v="0"/>
    <x v="0"/>
    <x v="1539"/>
    <x v="564"/>
    <x v="498"/>
    <x v="137"/>
  </r>
  <r>
    <x v="12"/>
    <x v="70"/>
    <x v="1786"/>
    <x v="0"/>
    <x v="0"/>
    <x v="1540"/>
    <x v="565"/>
    <x v="499"/>
    <x v="137"/>
  </r>
  <r>
    <x v="12"/>
    <x v="71"/>
    <x v="1787"/>
    <x v="0"/>
    <x v="0"/>
    <x v="597"/>
    <x v="566"/>
    <x v="500"/>
    <x v="137"/>
  </r>
  <r>
    <x v="12"/>
    <x v="72"/>
    <x v="1788"/>
    <x v="0"/>
    <x v="0"/>
    <x v="1541"/>
    <x v="567"/>
    <x v="501"/>
    <x v="137"/>
  </r>
  <r>
    <x v="12"/>
    <x v="73"/>
    <x v="1789"/>
    <x v="0"/>
    <x v="0"/>
    <x v="1542"/>
    <x v="346"/>
    <x v="502"/>
    <x v="138"/>
  </r>
  <r>
    <x v="12"/>
    <x v="74"/>
    <x v="1790"/>
    <x v="0"/>
    <x v="0"/>
    <x v="1543"/>
    <x v="198"/>
    <x v="503"/>
    <x v="138"/>
  </r>
  <r>
    <x v="12"/>
    <x v="75"/>
    <x v="1791"/>
    <x v="0"/>
    <x v="0"/>
    <x v="1544"/>
    <x v="568"/>
    <x v="504"/>
    <x v="138"/>
  </r>
  <r>
    <x v="12"/>
    <x v="76"/>
    <x v="1792"/>
    <x v="0"/>
    <x v="0"/>
    <x v="1545"/>
    <x v="198"/>
    <x v="505"/>
    <x v="138"/>
  </r>
  <r>
    <x v="12"/>
    <x v="77"/>
    <x v="1793"/>
    <x v="0"/>
    <x v="0"/>
    <x v="1546"/>
    <x v="569"/>
    <x v="506"/>
    <x v="138"/>
  </r>
  <r>
    <x v="12"/>
    <x v="78"/>
    <x v="1794"/>
    <x v="0"/>
    <x v="0"/>
    <x v="1330"/>
    <x v="461"/>
    <x v="507"/>
    <x v="138"/>
  </r>
  <r>
    <x v="12"/>
    <x v="79"/>
    <x v="1795"/>
    <x v="0"/>
    <x v="0"/>
    <x v="1547"/>
    <x v="570"/>
    <x v="508"/>
    <x v="138"/>
  </r>
  <r>
    <x v="12"/>
    <x v="80"/>
    <x v="1796"/>
    <x v="0"/>
    <x v="0"/>
    <x v="1548"/>
    <x v="571"/>
    <x v="509"/>
    <x v="138"/>
  </r>
  <r>
    <x v="12"/>
    <x v="81"/>
    <x v="1797"/>
    <x v="0"/>
    <x v="0"/>
    <x v="433"/>
    <x v="195"/>
    <x v="510"/>
    <x v="138"/>
  </r>
  <r>
    <x v="12"/>
    <x v="82"/>
    <x v="1798"/>
    <x v="0"/>
    <x v="0"/>
    <x v="1549"/>
    <x v="572"/>
    <x v="511"/>
    <x v="138"/>
  </r>
  <r>
    <x v="12"/>
    <x v="83"/>
    <x v="1799"/>
    <x v="0"/>
    <x v="1"/>
    <x v="1550"/>
    <x v="223"/>
    <x v="512"/>
    <x v="138"/>
  </r>
  <r>
    <x v="12"/>
    <x v="84"/>
    <x v="1800"/>
    <x v="0"/>
    <x v="0"/>
    <x v="1551"/>
    <x v="573"/>
    <x v="513"/>
    <x v="138"/>
  </r>
  <r>
    <x v="12"/>
    <x v="85"/>
    <x v="1801"/>
    <x v="0"/>
    <x v="0"/>
    <x v="1552"/>
    <x v="69"/>
    <x v="514"/>
    <x v="138"/>
  </r>
  <r>
    <x v="12"/>
    <x v="86"/>
    <x v="1802"/>
    <x v="0"/>
    <x v="0"/>
    <x v="1553"/>
    <x v="574"/>
    <x v="515"/>
    <x v="138"/>
  </r>
  <r>
    <x v="12"/>
    <x v="87"/>
    <x v="1803"/>
    <x v="0"/>
    <x v="0"/>
    <x v="1554"/>
    <x v="575"/>
    <x v="516"/>
    <x v="139"/>
  </r>
  <r>
    <x v="12"/>
    <x v="88"/>
    <x v="1804"/>
    <x v="0"/>
    <x v="0"/>
    <x v="1555"/>
    <x v="576"/>
    <x v="517"/>
    <x v="139"/>
  </r>
  <r>
    <x v="12"/>
    <x v="89"/>
    <x v="1805"/>
    <x v="0"/>
    <x v="0"/>
    <x v="1556"/>
    <x v="577"/>
    <x v="518"/>
    <x v="139"/>
  </r>
  <r>
    <x v="12"/>
    <x v="90"/>
    <x v="1806"/>
    <x v="0"/>
    <x v="0"/>
    <x v="1557"/>
    <x v="576"/>
    <x v="519"/>
    <x v="139"/>
  </r>
  <r>
    <x v="12"/>
    <x v="91"/>
    <x v="1807"/>
    <x v="0"/>
    <x v="0"/>
    <x v="1558"/>
    <x v="312"/>
    <x v="520"/>
    <x v="139"/>
  </r>
  <r>
    <x v="12"/>
    <x v="92"/>
    <x v="1808"/>
    <x v="0"/>
    <x v="0"/>
    <x v="1559"/>
    <x v="578"/>
    <x v="521"/>
    <x v="139"/>
  </r>
  <r>
    <x v="12"/>
    <x v="93"/>
    <x v="1809"/>
    <x v="0"/>
    <x v="0"/>
    <x v="875"/>
    <x v="432"/>
    <x v="522"/>
    <x v="139"/>
  </r>
  <r>
    <x v="12"/>
    <x v="94"/>
    <x v="1810"/>
    <x v="0"/>
    <x v="1"/>
    <x v="1560"/>
    <x v="579"/>
    <x v="523"/>
    <x v="139"/>
  </r>
  <r>
    <x v="12"/>
    <x v="95"/>
    <x v="1811"/>
    <x v="0"/>
    <x v="0"/>
    <x v="1561"/>
    <x v="580"/>
    <x v="524"/>
    <x v="139"/>
  </r>
  <r>
    <x v="12"/>
    <x v="96"/>
    <x v="1812"/>
    <x v="0"/>
    <x v="0"/>
    <x v="1562"/>
    <x v="581"/>
    <x v="525"/>
    <x v="139"/>
  </r>
  <r>
    <x v="12"/>
    <x v="97"/>
    <x v="1813"/>
    <x v="0"/>
    <x v="0"/>
    <x v="1563"/>
    <x v="582"/>
    <x v="526"/>
    <x v="139"/>
  </r>
  <r>
    <x v="12"/>
    <x v="98"/>
    <x v="1814"/>
    <x v="0"/>
    <x v="0"/>
    <x v="1564"/>
    <x v="583"/>
    <x v="527"/>
    <x v="139"/>
  </r>
  <r>
    <x v="12"/>
    <x v="99"/>
    <x v="1815"/>
    <x v="0"/>
    <x v="1"/>
    <x v="1485"/>
    <x v="216"/>
    <x v="528"/>
    <x v="139"/>
  </r>
  <r>
    <x v="12"/>
    <x v="100"/>
    <x v="1816"/>
    <x v="0"/>
    <x v="0"/>
    <x v="1559"/>
    <x v="387"/>
    <x v="529"/>
    <x v="140"/>
  </r>
  <r>
    <x v="12"/>
    <x v="101"/>
    <x v="1817"/>
    <x v="0"/>
    <x v="0"/>
    <x v="1565"/>
    <x v="584"/>
    <x v="530"/>
    <x v="140"/>
  </r>
  <r>
    <x v="12"/>
    <x v="102"/>
    <x v="1818"/>
    <x v="0"/>
    <x v="0"/>
    <x v="1566"/>
    <x v="391"/>
    <x v="531"/>
    <x v="140"/>
  </r>
  <r>
    <x v="12"/>
    <x v="103"/>
    <x v="1819"/>
    <x v="0"/>
    <x v="0"/>
    <x v="1567"/>
    <x v="179"/>
    <x v="532"/>
    <x v="140"/>
  </r>
  <r>
    <x v="12"/>
    <x v="104"/>
    <x v="1820"/>
    <x v="0"/>
    <x v="0"/>
    <x v="1568"/>
    <x v="325"/>
    <x v="533"/>
    <x v="140"/>
  </r>
  <r>
    <x v="12"/>
    <x v="105"/>
    <x v="1821"/>
    <x v="0"/>
    <x v="1"/>
    <x v="1569"/>
    <x v="585"/>
    <x v="534"/>
    <x v="140"/>
  </r>
  <r>
    <x v="12"/>
    <x v="106"/>
    <x v="1822"/>
    <x v="0"/>
    <x v="0"/>
    <x v="1570"/>
    <x v="216"/>
    <x v="535"/>
    <x v="140"/>
  </r>
  <r>
    <x v="12"/>
    <x v="107"/>
    <x v="1823"/>
    <x v="0"/>
    <x v="0"/>
    <x v="1571"/>
    <x v="370"/>
    <x v="536"/>
    <x v="140"/>
  </r>
  <r>
    <x v="12"/>
    <x v="108"/>
    <x v="1824"/>
    <x v="0"/>
    <x v="0"/>
    <x v="1572"/>
    <x v="586"/>
    <x v="537"/>
    <x v="140"/>
  </r>
  <r>
    <x v="12"/>
    <x v="109"/>
    <x v="1825"/>
    <x v="0"/>
    <x v="0"/>
    <x v="1573"/>
    <x v="587"/>
    <x v="538"/>
    <x v="140"/>
  </r>
  <r>
    <x v="12"/>
    <x v="110"/>
    <x v="1826"/>
    <x v="0"/>
    <x v="0"/>
    <x v="1448"/>
    <x v="588"/>
    <x v="539"/>
    <x v="140"/>
  </r>
  <r>
    <x v="12"/>
    <x v="111"/>
    <x v="1827"/>
    <x v="0"/>
    <x v="0"/>
    <x v="1574"/>
    <x v="589"/>
    <x v="540"/>
    <x v="140"/>
  </r>
  <r>
    <x v="12"/>
    <x v="112"/>
    <x v="1828"/>
    <x v="0"/>
    <x v="0"/>
    <x v="328"/>
    <x v="108"/>
    <x v="541"/>
    <x v="140"/>
  </r>
  <r>
    <x v="12"/>
    <x v="113"/>
    <x v="1829"/>
    <x v="0"/>
    <x v="0"/>
    <x v="1575"/>
    <x v="420"/>
    <x v="542"/>
    <x v="141"/>
  </r>
  <r>
    <x v="12"/>
    <x v="114"/>
    <x v="1830"/>
    <x v="0"/>
    <x v="0"/>
    <x v="244"/>
    <x v="590"/>
    <x v="543"/>
    <x v="141"/>
  </r>
  <r>
    <x v="12"/>
    <x v="115"/>
    <x v="1831"/>
    <x v="0"/>
    <x v="0"/>
    <x v="1576"/>
    <x v="110"/>
    <x v="544"/>
    <x v="141"/>
  </r>
  <r>
    <x v="12"/>
    <x v="116"/>
    <x v="1832"/>
    <x v="0"/>
    <x v="0"/>
    <x v="1577"/>
    <x v="419"/>
    <x v="545"/>
    <x v="141"/>
  </r>
  <r>
    <x v="12"/>
    <x v="117"/>
    <x v="1833"/>
    <x v="0"/>
    <x v="0"/>
    <x v="1578"/>
    <x v="591"/>
    <x v="546"/>
    <x v="141"/>
  </r>
  <r>
    <x v="12"/>
    <x v="118"/>
    <x v="1834"/>
    <x v="0"/>
    <x v="0"/>
    <x v="1579"/>
    <x v="592"/>
    <x v="547"/>
    <x v="141"/>
  </r>
  <r>
    <x v="12"/>
    <x v="119"/>
    <x v="1835"/>
    <x v="0"/>
    <x v="0"/>
    <x v="1580"/>
    <x v="593"/>
    <x v="548"/>
    <x v="141"/>
  </r>
  <r>
    <x v="12"/>
    <x v="120"/>
    <x v="1836"/>
    <x v="0"/>
    <x v="0"/>
    <x v="1581"/>
    <x v="594"/>
    <x v="549"/>
    <x v="141"/>
  </r>
  <r>
    <x v="12"/>
    <x v="121"/>
    <x v="1837"/>
    <x v="0"/>
    <x v="0"/>
    <x v="1345"/>
    <x v="595"/>
    <x v="550"/>
    <x v="141"/>
  </r>
  <r>
    <x v="12"/>
    <x v="122"/>
    <x v="1838"/>
    <x v="0"/>
    <x v="0"/>
    <x v="1424"/>
    <x v="596"/>
    <x v="551"/>
    <x v="141"/>
  </r>
  <r>
    <x v="12"/>
    <x v="123"/>
    <x v="1839"/>
    <x v="0"/>
    <x v="0"/>
    <x v="1582"/>
    <x v="597"/>
    <x v="552"/>
    <x v="141"/>
  </r>
  <r>
    <x v="12"/>
    <x v="124"/>
    <x v="1840"/>
    <x v="0"/>
    <x v="0"/>
    <x v="1583"/>
    <x v="598"/>
    <x v="553"/>
    <x v="141"/>
  </r>
  <r>
    <x v="12"/>
    <x v="125"/>
    <x v="1841"/>
    <x v="0"/>
    <x v="0"/>
    <x v="1584"/>
    <x v="599"/>
    <x v="554"/>
    <x v="141"/>
  </r>
  <r>
    <x v="12"/>
    <x v="126"/>
    <x v="1842"/>
    <x v="0"/>
    <x v="0"/>
    <x v="1585"/>
    <x v="106"/>
    <x v="555"/>
    <x v="142"/>
  </r>
  <r>
    <x v="12"/>
    <x v="127"/>
    <x v="1843"/>
    <x v="0"/>
    <x v="0"/>
    <x v="1586"/>
    <x v="461"/>
    <x v="556"/>
    <x v="142"/>
  </r>
  <r>
    <x v="12"/>
    <x v="128"/>
    <x v="1844"/>
    <x v="0"/>
    <x v="0"/>
    <x v="1587"/>
    <x v="351"/>
    <x v="557"/>
    <x v="142"/>
  </r>
  <r>
    <x v="12"/>
    <x v="129"/>
    <x v="1845"/>
    <x v="0"/>
    <x v="0"/>
    <x v="128"/>
    <x v="600"/>
    <x v="558"/>
    <x v="142"/>
  </r>
  <r>
    <x v="12"/>
    <x v="130"/>
    <x v="1846"/>
    <x v="0"/>
    <x v="0"/>
    <x v="1588"/>
    <x v="601"/>
    <x v="559"/>
    <x v="142"/>
  </r>
  <r>
    <x v="12"/>
    <x v="131"/>
    <x v="1847"/>
    <x v="0"/>
    <x v="0"/>
    <x v="1589"/>
    <x v="349"/>
    <x v="560"/>
    <x v="142"/>
  </r>
  <r>
    <x v="12"/>
    <x v="132"/>
    <x v="1848"/>
    <x v="0"/>
    <x v="0"/>
    <x v="1590"/>
    <x v="303"/>
    <x v="561"/>
    <x v="142"/>
  </r>
  <r>
    <x v="12"/>
    <x v="133"/>
    <x v="1849"/>
    <x v="0"/>
    <x v="0"/>
    <x v="1591"/>
    <x v="602"/>
    <x v="562"/>
    <x v="142"/>
  </r>
  <r>
    <x v="12"/>
    <x v="134"/>
    <x v="1850"/>
    <x v="0"/>
    <x v="0"/>
    <x v="1592"/>
    <x v="603"/>
    <x v="563"/>
    <x v="142"/>
  </r>
  <r>
    <x v="12"/>
    <x v="135"/>
    <x v="1851"/>
    <x v="0"/>
    <x v="1"/>
    <x v="476"/>
    <x v="604"/>
    <x v="564"/>
    <x v="142"/>
  </r>
  <r>
    <x v="12"/>
    <x v="136"/>
    <x v="1852"/>
    <x v="0"/>
    <x v="0"/>
    <x v="139"/>
    <x v="114"/>
    <x v="565"/>
    <x v="142"/>
  </r>
  <r>
    <x v="12"/>
    <x v="137"/>
    <x v="1853"/>
    <x v="0"/>
    <x v="0"/>
    <x v="1593"/>
    <x v="605"/>
    <x v="566"/>
    <x v="142"/>
  </r>
  <r>
    <x v="12"/>
    <x v="138"/>
    <x v="1854"/>
    <x v="0"/>
    <x v="0"/>
    <x v="1577"/>
    <x v="605"/>
    <x v="567"/>
    <x v="142"/>
  </r>
  <r>
    <x v="12"/>
    <x v="139"/>
    <x v="1855"/>
    <x v="0"/>
    <x v="0"/>
    <x v="1594"/>
    <x v="606"/>
    <x v="568"/>
    <x v="143"/>
  </r>
  <r>
    <x v="12"/>
    <x v="140"/>
    <x v="1856"/>
    <x v="0"/>
    <x v="0"/>
    <x v="1595"/>
    <x v="607"/>
    <x v="569"/>
    <x v="143"/>
  </r>
  <r>
    <x v="12"/>
    <x v="141"/>
    <x v="1857"/>
    <x v="0"/>
    <x v="0"/>
    <x v="1596"/>
    <x v="187"/>
    <x v="570"/>
    <x v="143"/>
  </r>
  <r>
    <x v="12"/>
    <x v="142"/>
    <x v="1858"/>
    <x v="0"/>
    <x v="0"/>
    <x v="1597"/>
    <x v="608"/>
    <x v="571"/>
    <x v="143"/>
  </r>
  <r>
    <x v="13"/>
    <x v="0"/>
    <x v="1859"/>
    <x v="0"/>
    <x v="0"/>
    <x v="1598"/>
    <x v="609"/>
    <x v="1287"/>
    <x v="144"/>
  </r>
  <r>
    <x v="13"/>
    <x v="1"/>
    <x v="1860"/>
    <x v="0"/>
    <x v="1"/>
    <x v="1599"/>
    <x v="146"/>
    <x v="1288"/>
    <x v="144"/>
  </r>
  <r>
    <x v="13"/>
    <x v="2"/>
    <x v="1861"/>
    <x v="0"/>
    <x v="0"/>
    <x v="1600"/>
    <x v="270"/>
    <x v="1289"/>
    <x v="144"/>
  </r>
  <r>
    <x v="13"/>
    <x v="3"/>
    <x v="1862"/>
    <x v="0"/>
    <x v="0"/>
    <x v="1601"/>
    <x v="610"/>
    <x v="1290"/>
    <x v="144"/>
  </r>
  <r>
    <x v="13"/>
    <x v="4"/>
    <x v="1863"/>
    <x v="0"/>
    <x v="0"/>
    <x v="1602"/>
    <x v="611"/>
    <x v="1291"/>
    <x v="144"/>
  </r>
  <r>
    <x v="13"/>
    <x v="5"/>
    <x v="1864"/>
    <x v="0"/>
    <x v="0"/>
    <x v="1603"/>
    <x v="612"/>
    <x v="1292"/>
    <x v="144"/>
  </r>
  <r>
    <x v="13"/>
    <x v="6"/>
    <x v="1865"/>
    <x v="0"/>
    <x v="0"/>
    <x v="861"/>
    <x v="613"/>
    <x v="1293"/>
    <x v="144"/>
  </r>
  <r>
    <x v="13"/>
    <x v="7"/>
    <x v="1866"/>
    <x v="0"/>
    <x v="0"/>
    <x v="1604"/>
    <x v="14"/>
    <x v="1294"/>
    <x v="144"/>
  </r>
  <r>
    <x v="13"/>
    <x v="8"/>
    <x v="1867"/>
    <x v="0"/>
    <x v="0"/>
    <x v="1605"/>
    <x v="537"/>
    <x v="1295"/>
    <x v="145"/>
  </r>
  <r>
    <x v="13"/>
    <x v="9"/>
    <x v="1868"/>
    <x v="0"/>
    <x v="0"/>
    <x v="1606"/>
    <x v="44"/>
    <x v="1296"/>
    <x v="145"/>
  </r>
  <r>
    <x v="13"/>
    <x v="10"/>
    <x v="1869"/>
    <x v="0"/>
    <x v="0"/>
    <x v="1607"/>
    <x v="614"/>
    <x v="1297"/>
    <x v="145"/>
  </r>
  <r>
    <x v="13"/>
    <x v="11"/>
    <x v="1870"/>
    <x v="0"/>
    <x v="0"/>
    <x v="1608"/>
    <x v="615"/>
    <x v="1298"/>
    <x v="145"/>
  </r>
  <r>
    <x v="13"/>
    <x v="12"/>
    <x v="1871"/>
    <x v="0"/>
    <x v="0"/>
    <x v="1046"/>
    <x v="616"/>
    <x v="1299"/>
    <x v="145"/>
  </r>
  <r>
    <x v="13"/>
    <x v="13"/>
    <x v="1872"/>
    <x v="0"/>
    <x v="0"/>
    <x v="1609"/>
    <x v="617"/>
    <x v="1300"/>
    <x v="145"/>
  </r>
  <r>
    <x v="13"/>
    <x v="14"/>
    <x v="1873"/>
    <x v="0"/>
    <x v="0"/>
    <x v="103"/>
    <x v="618"/>
    <x v="1301"/>
    <x v="145"/>
  </r>
  <r>
    <x v="13"/>
    <x v="15"/>
    <x v="1874"/>
    <x v="0"/>
    <x v="0"/>
    <x v="1610"/>
    <x v="619"/>
    <x v="1302"/>
    <x v="145"/>
  </r>
  <r>
    <x v="13"/>
    <x v="16"/>
    <x v="1875"/>
    <x v="0"/>
    <x v="0"/>
    <x v="628"/>
    <x v="614"/>
    <x v="1303"/>
    <x v="145"/>
  </r>
  <r>
    <x v="13"/>
    <x v="17"/>
    <x v="1876"/>
    <x v="0"/>
    <x v="0"/>
    <x v="1202"/>
    <x v="620"/>
    <x v="1304"/>
    <x v="145"/>
  </r>
  <r>
    <x v="13"/>
    <x v="18"/>
    <x v="1877"/>
    <x v="0"/>
    <x v="0"/>
    <x v="317"/>
    <x v="621"/>
    <x v="1305"/>
    <x v="145"/>
  </r>
  <r>
    <x v="13"/>
    <x v="19"/>
    <x v="1878"/>
    <x v="0"/>
    <x v="0"/>
    <x v="1106"/>
    <x v="12"/>
    <x v="1306"/>
    <x v="145"/>
  </r>
  <r>
    <x v="13"/>
    <x v="20"/>
    <x v="1879"/>
    <x v="0"/>
    <x v="0"/>
    <x v="1611"/>
    <x v="10"/>
    <x v="1307"/>
    <x v="145"/>
  </r>
  <r>
    <x v="13"/>
    <x v="21"/>
    <x v="1880"/>
    <x v="0"/>
    <x v="0"/>
    <x v="1612"/>
    <x v="622"/>
    <x v="1308"/>
    <x v="146"/>
  </r>
  <r>
    <x v="13"/>
    <x v="22"/>
    <x v="1881"/>
    <x v="0"/>
    <x v="0"/>
    <x v="1399"/>
    <x v="269"/>
    <x v="1309"/>
    <x v="146"/>
  </r>
  <r>
    <x v="13"/>
    <x v="23"/>
    <x v="1882"/>
    <x v="0"/>
    <x v="0"/>
    <x v="1613"/>
    <x v="623"/>
    <x v="1310"/>
    <x v="146"/>
  </r>
  <r>
    <x v="13"/>
    <x v="24"/>
    <x v="1883"/>
    <x v="0"/>
    <x v="0"/>
    <x v="1614"/>
    <x v="40"/>
    <x v="1311"/>
    <x v="146"/>
  </r>
  <r>
    <x v="13"/>
    <x v="25"/>
    <x v="1884"/>
    <x v="0"/>
    <x v="0"/>
    <x v="437"/>
    <x v="278"/>
    <x v="1312"/>
    <x v="146"/>
  </r>
  <r>
    <x v="13"/>
    <x v="26"/>
    <x v="1885"/>
    <x v="0"/>
    <x v="0"/>
    <x v="1615"/>
    <x v="609"/>
    <x v="1313"/>
    <x v="146"/>
  </r>
  <r>
    <x v="13"/>
    <x v="27"/>
    <x v="1886"/>
    <x v="0"/>
    <x v="0"/>
    <x v="1355"/>
    <x v="148"/>
    <x v="1314"/>
    <x v="146"/>
  </r>
  <r>
    <x v="13"/>
    <x v="28"/>
    <x v="1887"/>
    <x v="0"/>
    <x v="0"/>
    <x v="1616"/>
    <x v="624"/>
    <x v="1315"/>
    <x v="146"/>
  </r>
  <r>
    <x v="13"/>
    <x v="29"/>
    <x v="1888"/>
    <x v="0"/>
    <x v="0"/>
    <x v="1617"/>
    <x v="625"/>
    <x v="1316"/>
    <x v="146"/>
  </r>
  <r>
    <x v="13"/>
    <x v="30"/>
    <x v="1889"/>
    <x v="0"/>
    <x v="0"/>
    <x v="1618"/>
    <x v="262"/>
    <x v="1317"/>
    <x v="146"/>
  </r>
  <r>
    <x v="13"/>
    <x v="31"/>
    <x v="1890"/>
    <x v="0"/>
    <x v="1"/>
    <x v="1619"/>
    <x v="167"/>
    <x v="1318"/>
    <x v="146"/>
  </r>
  <r>
    <x v="13"/>
    <x v="32"/>
    <x v="1891"/>
    <x v="0"/>
    <x v="0"/>
    <x v="1620"/>
    <x v="626"/>
    <x v="1319"/>
    <x v="146"/>
  </r>
  <r>
    <x v="13"/>
    <x v="33"/>
    <x v="1892"/>
    <x v="0"/>
    <x v="0"/>
    <x v="1621"/>
    <x v="627"/>
    <x v="1320"/>
    <x v="146"/>
  </r>
  <r>
    <x v="13"/>
    <x v="34"/>
    <x v="1893"/>
    <x v="0"/>
    <x v="0"/>
    <x v="582"/>
    <x v="628"/>
    <x v="1321"/>
    <x v="147"/>
  </r>
  <r>
    <x v="13"/>
    <x v="35"/>
    <x v="1894"/>
    <x v="0"/>
    <x v="0"/>
    <x v="1622"/>
    <x v="629"/>
    <x v="1322"/>
    <x v="147"/>
  </r>
  <r>
    <x v="13"/>
    <x v="36"/>
    <x v="1895"/>
    <x v="0"/>
    <x v="0"/>
    <x v="1623"/>
    <x v="538"/>
    <x v="1323"/>
    <x v="147"/>
  </r>
  <r>
    <x v="13"/>
    <x v="37"/>
    <x v="1896"/>
    <x v="0"/>
    <x v="0"/>
    <x v="1046"/>
    <x v="630"/>
    <x v="1324"/>
    <x v="147"/>
  </r>
  <r>
    <x v="13"/>
    <x v="38"/>
    <x v="1897"/>
    <x v="0"/>
    <x v="0"/>
    <x v="1624"/>
    <x v="616"/>
    <x v="1325"/>
    <x v="147"/>
  </r>
  <r>
    <x v="13"/>
    <x v="39"/>
    <x v="1898"/>
    <x v="0"/>
    <x v="0"/>
    <x v="1625"/>
    <x v="630"/>
    <x v="1326"/>
    <x v="147"/>
  </r>
  <r>
    <x v="13"/>
    <x v="40"/>
    <x v="1899"/>
    <x v="0"/>
    <x v="0"/>
    <x v="1626"/>
    <x v="631"/>
    <x v="1327"/>
    <x v="147"/>
  </r>
  <r>
    <x v="13"/>
    <x v="41"/>
    <x v="1900"/>
    <x v="0"/>
    <x v="0"/>
    <x v="1627"/>
    <x v="632"/>
    <x v="1328"/>
    <x v="147"/>
  </r>
  <r>
    <x v="13"/>
    <x v="42"/>
    <x v="1901"/>
    <x v="0"/>
    <x v="1"/>
    <x v="1628"/>
    <x v="633"/>
    <x v="1329"/>
    <x v="147"/>
  </r>
  <r>
    <x v="13"/>
    <x v="43"/>
    <x v="1902"/>
    <x v="0"/>
    <x v="0"/>
    <x v="1629"/>
    <x v="634"/>
    <x v="1330"/>
    <x v="147"/>
  </r>
  <r>
    <x v="13"/>
    <x v="44"/>
    <x v="1903"/>
    <x v="0"/>
    <x v="0"/>
    <x v="1630"/>
    <x v="366"/>
    <x v="1331"/>
    <x v="147"/>
  </r>
  <r>
    <x v="13"/>
    <x v="45"/>
    <x v="1904"/>
    <x v="0"/>
    <x v="0"/>
    <x v="1008"/>
    <x v="635"/>
    <x v="1332"/>
    <x v="147"/>
  </r>
  <r>
    <x v="13"/>
    <x v="46"/>
    <x v="1905"/>
    <x v="0"/>
    <x v="0"/>
    <x v="1631"/>
    <x v="636"/>
    <x v="1333"/>
    <x v="147"/>
  </r>
  <r>
    <x v="13"/>
    <x v="47"/>
    <x v="1906"/>
    <x v="0"/>
    <x v="1"/>
    <x v="1632"/>
    <x v="637"/>
    <x v="1334"/>
    <x v="147"/>
  </r>
  <r>
    <x v="13"/>
    <x v="48"/>
    <x v="1907"/>
    <x v="0"/>
    <x v="0"/>
    <x v="1567"/>
    <x v="638"/>
    <x v="1335"/>
    <x v="148"/>
  </r>
  <r>
    <x v="13"/>
    <x v="49"/>
    <x v="1908"/>
    <x v="0"/>
    <x v="0"/>
    <x v="1633"/>
    <x v="639"/>
    <x v="1336"/>
    <x v="148"/>
  </r>
  <r>
    <x v="13"/>
    <x v="50"/>
    <x v="1909"/>
    <x v="0"/>
    <x v="0"/>
    <x v="1634"/>
    <x v="640"/>
    <x v="1337"/>
    <x v="148"/>
  </r>
  <r>
    <x v="13"/>
    <x v="51"/>
    <x v="1910"/>
    <x v="0"/>
    <x v="0"/>
    <x v="1635"/>
    <x v="641"/>
    <x v="1338"/>
    <x v="148"/>
  </r>
  <r>
    <x v="13"/>
    <x v="52"/>
    <x v="1911"/>
    <x v="0"/>
    <x v="0"/>
    <x v="1636"/>
    <x v="399"/>
    <x v="1339"/>
    <x v="148"/>
  </r>
  <r>
    <x v="13"/>
    <x v="53"/>
    <x v="1912"/>
    <x v="0"/>
    <x v="1"/>
    <x v="1637"/>
    <x v="642"/>
    <x v="1340"/>
    <x v="148"/>
  </r>
  <r>
    <x v="13"/>
    <x v="54"/>
    <x v="1913"/>
    <x v="0"/>
    <x v="0"/>
    <x v="1638"/>
    <x v="643"/>
    <x v="1341"/>
    <x v="148"/>
  </r>
  <r>
    <x v="13"/>
    <x v="55"/>
    <x v="1914"/>
    <x v="0"/>
    <x v="0"/>
    <x v="1639"/>
    <x v="86"/>
    <x v="1342"/>
    <x v="148"/>
  </r>
  <r>
    <x v="13"/>
    <x v="56"/>
    <x v="1915"/>
    <x v="0"/>
    <x v="0"/>
    <x v="1640"/>
    <x v="233"/>
    <x v="1343"/>
    <x v="148"/>
  </r>
  <r>
    <x v="13"/>
    <x v="57"/>
    <x v="1916"/>
    <x v="0"/>
    <x v="0"/>
    <x v="1641"/>
    <x v="602"/>
    <x v="1344"/>
    <x v="148"/>
  </r>
  <r>
    <x v="13"/>
    <x v="58"/>
    <x v="1917"/>
    <x v="0"/>
    <x v="0"/>
    <x v="240"/>
    <x v="644"/>
    <x v="1345"/>
    <x v="148"/>
  </r>
  <r>
    <x v="13"/>
    <x v="59"/>
    <x v="1918"/>
    <x v="0"/>
    <x v="0"/>
    <x v="238"/>
    <x v="645"/>
    <x v="1346"/>
    <x v="148"/>
  </r>
  <r>
    <x v="13"/>
    <x v="60"/>
    <x v="1919"/>
    <x v="0"/>
    <x v="0"/>
    <x v="1642"/>
    <x v="77"/>
    <x v="1347"/>
    <x v="149"/>
  </r>
  <r>
    <x v="13"/>
    <x v="61"/>
    <x v="1920"/>
    <x v="0"/>
    <x v="0"/>
    <x v="332"/>
    <x v="646"/>
    <x v="1348"/>
    <x v="149"/>
  </r>
  <r>
    <x v="13"/>
    <x v="62"/>
    <x v="1921"/>
    <x v="0"/>
    <x v="0"/>
    <x v="1643"/>
    <x v="605"/>
    <x v="1349"/>
    <x v="149"/>
  </r>
  <r>
    <x v="13"/>
    <x v="63"/>
    <x v="1922"/>
    <x v="0"/>
    <x v="0"/>
    <x v="286"/>
    <x v="405"/>
    <x v="1350"/>
    <x v="149"/>
  </r>
  <r>
    <x v="13"/>
    <x v="64"/>
    <x v="1923"/>
    <x v="0"/>
    <x v="0"/>
    <x v="1644"/>
    <x v="647"/>
    <x v="1351"/>
    <x v="149"/>
  </r>
  <r>
    <x v="13"/>
    <x v="65"/>
    <x v="1924"/>
    <x v="0"/>
    <x v="0"/>
    <x v="1645"/>
    <x v="648"/>
    <x v="1352"/>
    <x v="149"/>
  </r>
  <r>
    <x v="13"/>
    <x v="66"/>
    <x v="1925"/>
    <x v="0"/>
    <x v="0"/>
    <x v="1646"/>
    <x v="649"/>
    <x v="1353"/>
    <x v="149"/>
  </r>
  <r>
    <x v="13"/>
    <x v="67"/>
    <x v="1926"/>
    <x v="0"/>
    <x v="0"/>
    <x v="1647"/>
    <x v="650"/>
    <x v="1354"/>
    <x v="149"/>
  </r>
  <r>
    <x v="13"/>
    <x v="68"/>
    <x v="1927"/>
    <x v="0"/>
    <x v="0"/>
    <x v="1648"/>
    <x v="651"/>
    <x v="1355"/>
    <x v="149"/>
  </r>
  <r>
    <x v="13"/>
    <x v="69"/>
    <x v="1928"/>
    <x v="0"/>
    <x v="0"/>
    <x v="1649"/>
    <x v="652"/>
    <x v="1356"/>
    <x v="149"/>
  </r>
  <r>
    <x v="13"/>
    <x v="70"/>
    <x v="1929"/>
    <x v="0"/>
    <x v="0"/>
    <x v="1162"/>
    <x v="190"/>
    <x v="1357"/>
    <x v="149"/>
  </r>
  <r>
    <x v="13"/>
    <x v="71"/>
    <x v="1930"/>
    <x v="0"/>
    <x v="0"/>
    <x v="1650"/>
    <x v="419"/>
    <x v="1358"/>
    <x v="149"/>
  </r>
  <r>
    <x v="13"/>
    <x v="72"/>
    <x v="1931"/>
    <x v="0"/>
    <x v="0"/>
    <x v="1651"/>
    <x v="341"/>
    <x v="1359"/>
    <x v="149"/>
  </r>
  <r>
    <x v="13"/>
    <x v="73"/>
    <x v="1932"/>
    <x v="0"/>
    <x v="0"/>
    <x v="1205"/>
    <x v="653"/>
    <x v="1360"/>
    <x v="150"/>
  </r>
  <r>
    <x v="13"/>
    <x v="74"/>
    <x v="1933"/>
    <x v="0"/>
    <x v="0"/>
    <x v="947"/>
    <x v="654"/>
    <x v="1361"/>
    <x v="150"/>
  </r>
  <r>
    <x v="13"/>
    <x v="75"/>
    <x v="1934"/>
    <x v="0"/>
    <x v="0"/>
    <x v="776"/>
    <x v="355"/>
    <x v="1362"/>
    <x v="150"/>
  </r>
  <r>
    <x v="13"/>
    <x v="76"/>
    <x v="1935"/>
    <x v="0"/>
    <x v="0"/>
    <x v="1652"/>
    <x v="462"/>
    <x v="1363"/>
    <x v="150"/>
  </r>
  <r>
    <x v="13"/>
    <x v="77"/>
    <x v="1936"/>
    <x v="0"/>
    <x v="0"/>
    <x v="1653"/>
    <x v="655"/>
    <x v="1364"/>
    <x v="150"/>
  </r>
  <r>
    <x v="13"/>
    <x v="78"/>
    <x v="1937"/>
    <x v="0"/>
    <x v="0"/>
    <x v="1654"/>
    <x v="419"/>
    <x v="1365"/>
    <x v="150"/>
  </r>
  <r>
    <x v="13"/>
    <x v="79"/>
    <x v="1938"/>
    <x v="0"/>
    <x v="0"/>
    <x v="1549"/>
    <x v="656"/>
    <x v="1366"/>
    <x v="150"/>
  </r>
  <r>
    <x v="13"/>
    <x v="80"/>
    <x v="1939"/>
    <x v="0"/>
    <x v="0"/>
    <x v="1655"/>
    <x v="229"/>
    <x v="1367"/>
    <x v="150"/>
  </r>
  <r>
    <x v="13"/>
    <x v="81"/>
    <x v="1940"/>
    <x v="0"/>
    <x v="0"/>
    <x v="13"/>
    <x v="566"/>
    <x v="1368"/>
    <x v="150"/>
  </r>
  <r>
    <x v="13"/>
    <x v="82"/>
    <x v="1941"/>
    <x v="0"/>
    <x v="0"/>
    <x v="1656"/>
    <x v="657"/>
    <x v="1369"/>
    <x v="150"/>
  </r>
  <r>
    <x v="13"/>
    <x v="83"/>
    <x v="1942"/>
    <x v="0"/>
    <x v="1"/>
    <x v="1657"/>
    <x v="658"/>
    <x v="1370"/>
    <x v="150"/>
  </r>
  <r>
    <x v="13"/>
    <x v="84"/>
    <x v="1943"/>
    <x v="0"/>
    <x v="0"/>
    <x v="673"/>
    <x v="659"/>
    <x v="1371"/>
    <x v="150"/>
  </r>
  <r>
    <x v="13"/>
    <x v="85"/>
    <x v="1944"/>
    <x v="0"/>
    <x v="0"/>
    <x v="498"/>
    <x v="654"/>
    <x v="1372"/>
    <x v="150"/>
  </r>
  <r>
    <x v="13"/>
    <x v="86"/>
    <x v="1945"/>
    <x v="0"/>
    <x v="0"/>
    <x v="1658"/>
    <x v="660"/>
    <x v="1373"/>
    <x v="150"/>
  </r>
  <r>
    <x v="13"/>
    <x v="87"/>
    <x v="1946"/>
    <x v="0"/>
    <x v="0"/>
    <x v="1659"/>
    <x v="661"/>
    <x v="1374"/>
    <x v="151"/>
  </r>
  <r>
    <x v="13"/>
    <x v="88"/>
    <x v="1947"/>
    <x v="0"/>
    <x v="0"/>
    <x v="1086"/>
    <x v="222"/>
    <x v="1375"/>
    <x v="151"/>
  </r>
  <r>
    <x v="13"/>
    <x v="89"/>
    <x v="1948"/>
    <x v="0"/>
    <x v="0"/>
    <x v="1660"/>
    <x v="195"/>
    <x v="1376"/>
    <x v="151"/>
  </r>
  <r>
    <x v="13"/>
    <x v="90"/>
    <x v="1949"/>
    <x v="0"/>
    <x v="0"/>
    <x v="1661"/>
    <x v="662"/>
    <x v="1377"/>
    <x v="151"/>
  </r>
  <r>
    <x v="13"/>
    <x v="91"/>
    <x v="1950"/>
    <x v="0"/>
    <x v="0"/>
    <x v="1662"/>
    <x v="231"/>
    <x v="1378"/>
    <x v="151"/>
  </r>
  <r>
    <x v="13"/>
    <x v="92"/>
    <x v="1951"/>
    <x v="0"/>
    <x v="0"/>
    <x v="1663"/>
    <x v="487"/>
    <x v="1379"/>
    <x v="151"/>
  </r>
  <r>
    <x v="13"/>
    <x v="93"/>
    <x v="1952"/>
    <x v="0"/>
    <x v="0"/>
    <x v="1664"/>
    <x v="487"/>
    <x v="1380"/>
    <x v="151"/>
  </r>
  <r>
    <x v="13"/>
    <x v="94"/>
    <x v="1953"/>
    <x v="0"/>
    <x v="1"/>
    <x v="332"/>
    <x v="663"/>
    <x v="1381"/>
    <x v="151"/>
  </r>
  <r>
    <x v="13"/>
    <x v="95"/>
    <x v="1954"/>
    <x v="0"/>
    <x v="0"/>
    <x v="1665"/>
    <x v="118"/>
    <x v="1382"/>
    <x v="151"/>
  </r>
  <r>
    <x v="13"/>
    <x v="96"/>
    <x v="1955"/>
    <x v="0"/>
    <x v="0"/>
    <x v="456"/>
    <x v="664"/>
    <x v="1383"/>
    <x v="151"/>
  </r>
  <r>
    <x v="13"/>
    <x v="97"/>
    <x v="1956"/>
    <x v="0"/>
    <x v="0"/>
    <x v="2"/>
    <x v="665"/>
    <x v="1384"/>
    <x v="151"/>
  </r>
  <r>
    <x v="13"/>
    <x v="98"/>
    <x v="1957"/>
    <x v="0"/>
    <x v="0"/>
    <x v="52"/>
    <x v="580"/>
    <x v="1385"/>
    <x v="151"/>
  </r>
  <r>
    <x v="13"/>
    <x v="99"/>
    <x v="1958"/>
    <x v="0"/>
    <x v="1"/>
    <x v="1666"/>
    <x v="580"/>
    <x v="1386"/>
    <x v="151"/>
  </r>
  <r>
    <x v="13"/>
    <x v="100"/>
    <x v="1959"/>
    <x v="0"/>
    <x v="0"/>
    <x v="1667"/>
    <x v="666"/>
    <x v="1387"/>
    <x v="152"/>
  </r>
  <r>
    <x v="13"/>
    <x v="101"/>
    <x v="1960"/>
    <x v="0"/>
    <x v="0"/>
    <x v="1668"/>
    <x v="578"/>
    <x v="1388"/>
    <x v="152"/>
  </r>
  <r>
    <x v="13"/>
    <x v="102"/>
    <x v="1961"/>
    <x v="0"/>
    <x v="0"/>
    <x v="1669"/>
    <x v="80"/>
    <x v="1389"/>
    <x v="152"/>
  </r>
  <r>
    <x v="13"/>
    <x v="103"/>
    <x v="1962"/>
    <x v="0"/>
    <x v="0"/>
    <x v="1670"/>
    <x v="576"/>
    <x v="1390"/>
    <x v="152"/>
  </r>
  <r>
    <x v="13"/>
    <x v="104"/>
    <x v="1963"/>
    <x v="0"/>
    <x v="0"/>
    <x v="1671"/>
    <x v="134"/>
    <x v="1391"/>
    <x v="152"/>
  </r>
  <r>
    <x v="13"/>
    <x v="105"/>
    <x v="1964"/>
    <x v="0"/>
    <x v="1"/>
    <x v="1672"/>
    <x v="193"/>
    <x v="1392"/>
    <x v="152"/>
  </r>
  <r>
    <x v="13"/>
    <x v="106"/>
    <x v="1965"/>
    <x v="0"/>
    <x v="0"/>
    <x v="1673"/>
    <x v="667"/>
    <x v="1393"/>
    <x v="152"/>
  </r>
  <r>
    <x v="13"/>
    <x v="107"/>
    <x v="1966"/>
    <x v="0"/>
    <x v="0"/>
    <x v="1674"/>
    <x v="668"/>
    <x v="1394"/>
    <x v="152"/>
  </r>
  <r>
    <x v="13"/>
    <x v="108"/>
    <x v="1967"/>
    <x v="0"/>
    <x v="0"/>
    <x v="1675"/>
    <x v="669"/>
    <x v="1395"/>
    <x v="152"/>
  </r>
  <r>
    <x v="13"/>
    <x v="109"/>
    <x v="1968"/>
    <x v="0"/>
    <x v="0"/>
    <x v="1015"/>
    <x v="670"/>
    <x v="1396"/>
    <x v="152"/>
  </r>
  <r>
    <x v="13"/>
    <x v="110"/>
    <x v="1969"/>
    <x v="0"/>
    <x v="0"/>
    <x v="1004"/>
    <x v="671"/>
    <x v="1397"/>
    <x v="152"/>
  </r>
  <r>
    <x v="13"/>
    <x v="111"/>
    <x v="1970"/>
    <x v="0"/>
    <x v="0"/>
    <x v="1676"/>
    <x v="672"/>
    <x v="1398"/>
    <x v="152"/>
  </r>
  <r>
    <x v="13"/>
    <x v="112"/>
    <x v="1971"/>
    <x v="0"/>
    <x v="0"/>
    <x v="1677"/>
    <x v="673"/>
    <x v="1399"/>
    <x v="152"/>
  </r>
  <r>
    <x v="13"/>
    <x v="113"/>
    <x v="1972"/>
    <x v="0"/>
    <x v="0"/>
    <x v="1678"/>
    <x v="674"/>
    <x v="1400"/>
    <x v="153"/>
  </r>
  <r>
    <x v="13"/>
    <x v="114"/>
    <x v="1973"/>
    <x v="0"/>
    <x v="0"/>
    <x v="1679"/>
    <x v="675"/>
    <x v="1401"/>
    <x v="153"/>
  </r>
  <r>
    <x v="13"/>
    <x v="115"/>
    <x v="1974"/>
    <x v="0"/>
    <x v="0"/>
    <x v="1680"/>
    <x v="676"/>
    <x v="1402"/>
    <x v="153"/>
  </r>
  <r>
    <x v="13"/>
    <x v="116"/>
    <x v="1975"/>
    <x v="0"/>
    <x v="0"/>
    <x v="328"/>
    <x v="677"/>
    <x v="1403"/>
    <x v="153"/>
  </r>
  <r>
    <x v="13"/>
    <x v="117"/>
    <x v="1976"/>
    <x v="0"/>
    <x v="0"/>
    <x v="246"/>
    <x v="678"/>
    <x v="1404"/>
    <x v="153"/>
  </r>
  <r>
    <x v="13"/>
    <x v="118"/>
    <x v="1977"/>
    <x v="0"/>
    <x v="0"/>
    <x v="1183"/>
    <x v="679"/>
    <x v="1405"/>
    <x v="153"/>
  </r>
  <r>
    <x v="13"/>
    <x v="119"/>
    <x v="1978"/>
    <x v="0"/>
    <x v="0"/>
    <x v="1681"/>
    <x v="670"/>
    <x v="1406"/>
    <x v="153"/>
  </r>
  <r>
    <x v="13"/>
    <x v="120"/>
    <x v="1979"/>
    <x v="0"/>
    <x v="0"/>
    <x v="1039"/>
    <x v="424"/>
    <x v="1407"/>
    <x v="153"/>
  </r>
  <r>
    <x v="13"/>
    <x v="121"/>
    <x v="1980"/>
    <x v="0"/>
    <x v="0"/>
    <x v="1682"/>
    <x v="659"/>
    <x v="1408"/>
    <x v="153"/>
  </r>
  <r>
    <x v="13"/>
    <x v="122"/>
    <x v="1981"/>
    <x v="0"/>
    <x v="0"/>
    <x v="1683"/>
    <x v="604"/>
    <x v="1409"/>
    <x v="153"/>
  </r>
  <r>
    <x v="13"/>
    <x v="123"/>
    <x v="1982"/>
    <x v="0"/>
    <x v="0"/>
    <x v="1684"/>
    <x v="129"/>
    <x v="1410"/>
    <x v="153"/>
  </r>
  <r>
    <x v="13"/>
    <x v="124"/>
    <x v="1983"/>
    <x v="0"/>
    <x v="0"/>
    <x v="1685"/>
    <x v="680"/>
    <x v="1411"/>
    <x v="153"/>
  </r>
  <r>
    <x v="13"/>
    <x v="125"/>
    <x v="1984"/>
    <x v="0"/>
    <x v="0"/>
    <x v="1686"/>
    <x v="136"/>
    <x v="1412"/>
    <x v="153"/>
  </r>
  <r>
    <x v="13"/>
    <x v="126"/>
    <x v="1985"/>
    <x v="0"/>
    <x v="0"/>
    <x v="1054"/>
    <x v="681"/>
    <x v="1413"/>
    <x v="154"/>
  </r>
  <r>
    <x v="13"/>
    <x v="127"/>
    <x v="1986"/>
    <x v="0"/>
    <x v="0"/>
    <x v="1311"/>
    <x v="79"/>
    <x v="1414"/>
    <x v="154"/>
  </r>
  <r>
    <x v="13"/>
    <x v="128"/>
    <x v="1987"/>
    <x v="0"/>
    <x v="0"/>
    <x v="688"/>
    <x v="576"/>
    <x v="1415"/>
    <x v="154"/>
  </r>
  <r>
    <x v="13"/>
    <x v="129"/>
    <x v="1988"/>
    <x v="0"/>
    <x v="0"/>
    <x v="1687"/>
    <x v="682"/>
    <x v="1416"/>
    <x v="154"/>
  </r>
  <r>
    <x v="13"/>
    <x v="130"/>
    <x v="1989"/>
    <x v="0"/>
    <x v="0"/>
    <x v="1688"/>
    <x v="683"/>
    <x v="1417"/>
    <x v="154"/>
  </r>
  <r>
    <x v="13"/>
    <x v="131"/>
    <x v="1990"/>
    <x v="0"/>
    <x v="0"/>
    <x v="1689"/>
    <x v="439"/>
    <x v="1418"/>
    <x v="154"/>
  </r>
  <r>
    <x v="13"/>
    <x v="132"/>
    <x v="1991"/>
    <x v="0"/>
    <x v="0"/>
    <x v="943"/>
    <x v="62"/>
    <x v="1419"/>
    <x v="154"/>
  </r>
  <r>
    <x v="13"/>
    <x v="133"/>
    <x v="1992"/>
    <x v="0"/>
    <x v="0"/>
    <x v="1106"/>
    <x v="684"/>
    <x v="1420"/>
    <x v="154"/>
  </r>
  <r>
    <x v="13"/>
    <x v="134"/>
    <x v="1993"/>
    <x v="0"/>
    <x v="0"/>
    <x v="1690"/>
    <x v="685"/>
    <x v="1421"/>
    <x v="154"/>
  </r>
  <r>
    <x v="13"/>
    <x v="135"/>
    <x v="1994"/>
    <x v="0"/>
    <x v="1"/>
    <x v="1691"/>
    <x v="686"/>
    <x v="1422"/>
    <x v="154"/>
  </r>
  <r>
    <x v="13"/>
    <x v="136"/>
    <x v="1995"/>
    <x v="0"/>
    <x v="0"/>
    <x v="292"/>
    <x v="687"/>
    <x v="1423"/>
    <x v="154"/>
  </r>
  <r>
    <x v="13"/>
    <x v="137"/>
    <x v="1996"/>
    <x v="0"/>
    <x v="0"/>
    <x v="1692"/>
    <x v="511"/>
    <x v="1424"/>
    <x v="154"/>
  </r>
  <r>
    <x v="13"/>
    <x v="138"/>
    <x v="1997"/>
    <x v="0"/>
    <x v="0"/>
    <x v="1693"/>
    <x v="688"/>
    <x v="1425"/>
    <x v="154"/>
  </r>
  <r>
    <x v="13"/>
    <x v="139"/>
    <x v="1998"/>
    <x v="0"/>
    <x v="0"/>
    <x v="1694"/>
    <x v="651"/>
    <x v="1426"/>
    <x v="155"/>
  </r>
  <r>
    <x v="13"/>
    <x v="140"/>
    <x v="1999"/>
    <x v="0"/>
    <x v="0"/>
    <x v="1695"/>
    <x v="689"/>
    <x v="1427"/>
    <x v="155"/>
  </r>
  <r>
    <x v="13"/>
    <x v="141"/>
    <x v="2000"/>
    <x v="0"/>
    <x v="0"/>
    <x v="1579"/>
    <x v="690"/>
    <x v="1428"/>
    <x v="155"/>
  </r>
  <r>
    <x v="13"/>
    <x v="142"/>
    <x v="2001"/>
    <x v="0"/>
    <x v="0"/>
    <x v="1696"/>
    <x v="441"/>
    <x v="1429"/>
    <x v="155"/>
  </r>
  <r>
    <x v="14"/>
    <x v="0"/>
    <x v="2002"/>
    <x v="1"/>
    <x v="0"/>
    <x v="1697"/>
    <x v="691"/>
    <x v="1430"/>
    <x v="156"/>
  </r>
  <r>
    <x v="14"/>
    <x v="1"/>
    <x v="2003"/>
    <x v="1"/>
    <x v="1"/>
    <x v="1698"/>
    <x v="692"/>
    <x v="1431"/>
    <x v="156"/>
  </r>
  <r>
    <x v="14"/>
    <x v="2"/>
    <x v="2004"/>
    <x v="1"/>
    <x v="0"/>
    <x v="1699"/>
    <x v="693"/>
    <x v="1432"/>
    <x v="156"/>
  </r>
  <r>
    <x v="14"/>
    <x v="3"/>
    <x v="2005"/>
    <x v="1"/>
    <x v="0"/>
    <x v="1700"/>
    <x v="694"/>
    <x v="1433"/>
    <x v="156"/>
  </r>
  <r>
    <x v="14"/>
    <x v="4"/>
    <x v="2006"/>
    <x v="1"/>
    <x v="0"/>
    <x v="1701"/>
    <x v="695"/>
    <x v="1434"/>
    <x v="156"/>
  </r>
  <r>
    <x v="14"/>
    <x v="5"/>
    <x v="2007"/>
    <x v="1"/>
    <x v="0"/>
    <x v="1702"/>
    <x v="696"/>
    <x v="1435"/>
    <x v="156"/>
  </r>
  <r>
    <x v="14"/>
    <x v="6"/>
    <x v="2008"/>
    <x v="1"/>
    <x v="0"/>
    <x v="191"/>
    <x v="552"/>
    <x v="1436"/>
    <x v="156"/>
  </r>
  <r>
    <x v="14"/>
    <x v="7"/>
    <x v="2009"/>
    <x v="1"/>
    <x v="0"/>
    <x v="1703"/>
    <x v="697"/>
    <x v="1437"/>
    <x v="156"/>
  </r>
  <r>
    <x v="14"/>
    <x v="8"/>
    <x v="2010"/>
    <x v="1"/>
    <x v="0"/>
    <x v="1704"/>
    <x v="698"/>
    <x v="1438"/>
    <x v="157"/>
  </r>
  <r>
    <x v="14"/>
    <x v="9"/>
    <x v="2011"/>
    <x v="1"/>
    <x v="0"/>
    <x v="199"/>
    <x v="175"/>
    <x v="1439"/>
    <x v="157"/>
  </r>
  <r>
    <x v="14"/>
    <x v="10"/>
    <x v="2012"/>
    <x v="1"/>
    <x v="0"/>
    <x v="421"/>
    <x v="50"/>
    <x v="1440"/>
    <x v="157"/>
  </r>
  <r>
    <x v="14"/>
    <x v="11"/>
    <x v="2013"/>
    <x v="1"/>
    <x v="0"/>
    <x v="1705"/>
    <x v="699"/>
    <x v="1441"/>
    <x v="157"/>
  </r>
  <r>
    <x v="14"/>
    <x v="12"/>
    <x v="2014"/>
    <x v="1"/>
    <x v="0"/>
    <x v="1706"/>
    <x v="700"/>
    <x v="1442"/>
    <x v="157"/>
  </r>
  <r>
    <x v="14"/>
    <x v="13"/>
    <x v="2015"/>
    <x v="1"/>
    <x v="0"/>
    <x v="1707"/>
    <x v="324"/>
    <x v="1443"/>
    <x v="157"/>
  </r>
  <r>
    <x v="14"/>
    <x v="14"/>
    <x v="2016"/>
    <x v="1"/>
    <x v="0"/>
    <x v="1708"/>
    <x v="96"/>
    <x v="1444"/>
    <x v="157"/>
  </r>
  <r>
    <x v="14"/>
    <x v="15"/>
    <x v="2017"/>
    <x v="1"/>
    <x v="0"/>
    <x v="1709"/>
    <x v="701"/>
    <x v="1445"/>
    <x v="157"/>
  </r>
  <r>
    <x v="14"/>
    <x v="16"/>
    <x v="2018"/>
    <x v="1"/>
    <x v="0"/>
    <x v="1710"/>
    <x v="634"/>
    <x v="1446"/>
    <x v="157"/>
  </r>
  <r>
    <x v="14"/>
    <x v="17"/>
    <x v="2019"/>
    <x v="1"/>
    <x v="0"/>
    <x v="1069"/>
    <x v="702"/>
    <x v="1447"/>
    <x v="157"/>
  </r>
  <r>
    <x v="14"/>
    <x v="18"/>
    <x v="2020"/>
    <x v="1"/>
    <x v="0"/>
    <x v="1711"/>
    <x v="703"/>
    <x v="1448"/>
    <x v="157"/>
  </r>
  <r>
    <x v="14"/>
    <x v="19"/>
    <x v="2021"/>
    <x v="1"/>
    <x v="0"/>
    <x v="1712"/>
    <x v="704"/>
    <x v="1449"/>
    <x v="157"/>
  </r>
  <r>
    <x v="14"/>
    <x v="20"/>
    <x v="2022"/>
    <x v="1"/>
    <x v="0"/>
    <x v="1223"/>
    <x v="619"/>
    <x v="1450"/>
    <x v="157"/>
  </r>
  <r>
    <x v="14"/>
    <x v="21"/>
    <x v="2023"/>
    <x v="1"/>
    <x v="0"/>
    <x v="1713"/>
    <x v="619"/>
    <x v="1451"/>
    <x v="14"/>
  </r>
  <r>
    <x v="14"/>
    <x v="22"/>
    <x v="2024"/>
    <x v="1"/>
    <x v="0"/>
    <x v="1714"/>
    <x v="692"/>
    <x v="1452"/>
    <x v="14"/>
  </r>
  <r>
    <x v="14"/>
    <x v="23"/>
    <x v="2025"/>
    <x v="1"/>
    <x v="0"/>
    <x v="388"/>
    <x v="705"/>
    <x v="1453"/>
    <x v="14"/>
  </r>
  <r>
    <x v="14"/>
    <x v="24"/>
    <x v="2026"/>
    <x v="1"/>
    <x v="0"/>
    <x v="1715"/>
    <x v="386"/>
    <x v="1454"/>
    <x v="14"/>
  </r>
  <r>
    <x v="14"/>
    <x v="25"/>
    <x v="2027"/>
    <x v="1"/>
    <x v="0"/>
    <x v="319"/>
    <x v="706"/>
    <x v="1455"/>
    <x v="14"/>
  </r>
  <r>
    <x v="14"/>
    <x v="26"/>
    <x v="2028"/>
    <x v="1"/>
    <x v="0"/>
    <x v="1716"/>
    <x v="704"/>
    <x v="1456"/>
    <x v="14"/>
  </r>
  <r>
    <x v="14"/>
    <x v="27"/>
    <x v="2029"/>
    <x v="1"/>
    <x v="0"/>
    <x v="1717"/>
    <x v="707"/>
    <x v="1457"/>
    <x v="14"/>
  </r>
  <r>
    <x v="14"/>
    <x v="28"/>
    <x v="2030"/>
    <x v="1"/>
    <x v="0"/>
    <x v="578"/>
    <x v="708"/>
    <x v="1458"/>
    <x v="14"/>
  </r>
  <r>
    <x v="14"/>
    <x v="29"/>
    <x v="2031"/>
    <x v="1"/>
    <x v="0"/>
    <x v="724"/>
    <x v="709"/>
    <x v="1459"/>
    <x v="14"/>
  </r>
  <r>
    <x v="14"/>
    <x v="30"/>
    <x v="2032"/>
    <x v="1"/>
    <x v="0"/>
    <x v="726"/>
    <x v="170"/>
    <x v="1460"/>
    <x v="14"/>
  </r>
  <r>
    <x v="14"/>
    <x v="31"/>
    <x v="2033"/>
    <x v="1"/>
    <x v="1"/>
    <x v="1718"/>
    <x v="536"/>
    <x v="1461"/>
    <x v="14"/>
  </r>
  <r>
    <x v="14"/>
    <x v="32"/>
    <x v="2034"/>
    <x v="1"/>
    <x v="0"/>
    <x v="1719"/>
    <x v="548"/>
    <x v="1462"/>
    <x v="14"/>
  </r>
  <r>
    <x v="14"/>
    <x v="33"/>
    <x v="2035"/>
    <x v="1"/>
    <x v="0"/>
    <x v="1199"/>
    <x v="536"/>
    <x v="1463"/>
    <x v="14"/>
  </r>
  <r>
    <x v="14"/>
    <x v="34"/>
    <x v="2036"/>
    <x v="1"/>
    <x v="0"/>
    <x v="183"/>
    <x v="710"/>
    <x v="1464"/>
    <x v="158"/>
  </r>
  <r>
    <x v="14"/>
    <x v="35"/>
    <x v="2037"/>
    <x v="1"/>
    <x v="0"/>
    <x v="1720"/>
    <x v="550"/>
    <x v="1465"/>
    <x v="158"/>
  </r>
  <r>
    <x v="14"/>
    <x v="36"/>
    <x v="2038"/>
    <x v="1"/>
    <x v="0"/>
    <x v="1073"/>
    <x v="711"/>
    <x v="1466"/>
    <x v="158"/>
  </r>
  <r>
    <x v="14"/>
    <x v="37"/>
    <x v="2039"/>
    <x v="1"/>
    <x v="0"/>
    <x v="678"/>
    <x v="380"/>
    <x v="1467"/>
    <x v="158"/>
  </r>
  <r>
    <x v="14"/>
    <x v="38"/>
    <x v="2040"/>
    <x v="1"/>
    <x v="0"/>
    <x v="1721"/>
    <x v="326"/>
    <x v="1468"/>
    <x v="158"/>
  </r>
  <r>
    <x v="14"/>
    <x v="39"/>
    <x v="2041"/>
    <x v="1"/>
    <x v="0"/>
    <x v="1722"/>
    <x v="380"/>
    <x v="1469"/>
    <x v="158"/>
  </r>
  <r>
    <x v="14"/>
    <x v="40"/>
    <x v="2042"/>
    <x v="1"/>
    <x v="0"/>
    <x v="1723"/>
    <x v="54"/>
    <x v="1470"/>
    <x v="158"/>
  </r>
  <r>
    <x v="14"/>
    <x v="41"/>
    <x v="2043"/>
    <x v="1"/>
    <x v="0"/>
    <x v="1724"/>
    <x v="712"/>
    <x v="1471"/>
    <x v="158"/>
  </r>
  <r>
    <x v="14"/>
    <x v="42"/>
    <x v="2044"/>
    <x v="0"/>
    <x v="1"/>
    <x v="1725"/>
    <x v="583"/>
    <x v="1472"/>
    <x v="158"/>
  </r>
  <r>
    <x v="14"/>
    <x v="43"/>
    <x v="2045"/>
    <x v="1"/>
    <x v="0"/>
    <x v="1726"/>
    <x v="713"/>
    <x v="1473"/>
    <x v="158"/>
  </r>
  <r>
    <x v="14"/>
    <x v="44"/>
    <x v="2046"/>
    <x v="1"/>
    <x v="0"/>
    <x v="1727"/>
    <x v="714"/>
    <x v="1474"/>
    <x v="158"/>
  </r>
  <r>
    <x v="14"/>
    <x v="45"/>
    <x v="2047"/>
    <x v="1"/>
    <x v="0"/>
    <x v="1728"/>
    <x v="715"/>
    <x v="1475"/>
    <x v="158"/>
  </r>
  <r>
    <x v="14"/>
    <x v="46"/>
    <x v="2048"/>
    <x v="0"/>
    <x v="0"/>
    <x v="1729"/>
    <x v="716"/>
    <x v="1476"/>
    <x v="158"/>
  </r>
  <r>
    <x v="14"/>
    <x v="47"/>
    <x v="2049"/>
    <x v="1"/>
    <x v="1"/>
    <x v="855"/>
    <x v="398"/>
    <x v="1477"/>
    <x v="158"/>
  </r>
  <r>
    <x v="14"/>
    <x v="48"/>
    <x v="2050"/>
    <x v="1"/>
    <x v="0"/>
    <x v="1730"/>
    <x v="717"/>
    <x v="1478"/>
    <x v="159"/>
  </r>
  <r>
    <x v="14"/>
    <x v="49"/>
    <x v="2051"/>
    <x v="1"/>
    <x v="0"/>
    <x v="880"/>
    <x v="718"/>
    <x v="1479"/>
    <x v="159"/>
  </r>
  <r>
    <x v="14"/>
    <x v="50"/>
    <x v="2052"/>
    <x v="1"/>
    <x v="0"/>
    <x v="846"/>
    <x v="719"/>
    <x v="1480"/>
    <x v="159"/>
  </r>
  <r>
    <x v="14"/>
    <x v="51"/>
    <x v="2053"/>
    <x v="1"/>
    <x v="0"/>
    <x v="1731"/>
    <x v="720"/>
    <x v="1481"/>
    <x v="159"/>
  </r>
  <r>
    <x v="14"/>
    <x v="52"/>
    <x v="2054"/>
    <x v="1"/>
    <x v="0"/>
    <x v="1732"/>
    <x v="721"/>
    <x v="1482"/>
    <x v="159"/>
  </r>
  <r>
    <x v="14"/>
    <x v="53"/>
    <x v="2055"/>
    <x v="1"/>
    <x v="1"/>
    <x v="896"/>
    <x v="722"/>
    <x v="1483"/>
    <x v="159"/>
  </r>
  <r>
    <x v="14"/>
    <x v="54"/>
    <x v="2056"/>
    <x v="1"/>
    <x v="0"/>
    <x v="1733"/>
    <x v="723"/>
    <x v="1484"/>
    <x v="159"/>
  </r>
  <r>
    <x v="14"/>
    <x v="55"/>
    <x v="2057"/>
    <x v="1"/>
    <x v="0"/>
    <x v="1734"/>
    <x v="118"/>
    <x v="1485"/>
    <x v="159"/>
  </r>
  <r>
    <x v="14"/>
    <x v="56"/>
    <x v="2058"/>
    <x v="1"/>
    <x v="0"/>
    <x v="1735"/>
    <x v="185"/>
    <x v="1486"/>
    <x v="159"/>
  </r>
  <r>
    <x v="14"/>
    <x v="57"/>
    <x v="2059"/>
    <x v="1"/>
    <x v="0"/>
    <x v="1736"/>
    <x v="564"/>
    <x v="1487"/>
    <x v="159"/>
  </r>
  <r>
    <x v="14"/>
    <x v="58"/>
    <x v="2060"/>
    <x v="1"/>
    <x v="0"/>
    <x v="1737"/>
    <x v="724"/>
    <x v="1488"/>
    <x v="159"/>
  </r>
  <r>
    <x v="14"/>
    <x v="59"/>
    <x v="2061"/>
    <x v="1"/>
    <x v="0"/>
    <x v="1738"/>
    <x v="353"/>
    <x v="1489"/>
    <x v="159"/>
  </r>
  <r>
    <x v="14"/>
    <x v="60"/>
    <x v="2062"/>
    <x v="1"/>
    <x v="0"/>
    <x v="1739"/>
    <x v="462"/>
    <x v="1490"/>
    <x v="160"/>
  </r>
  <r>
    <x v="14"/>
    <x v="61"/>
    <x v="2063"/>
    <x v="1"/>
    <x v="0"/>
    <x v="1740"/>
    <x v="725"/>
    <x v="1491"/>
    <x v="160"/>
  </r>
  <r>
    <x v="14"/>
    <x v="62"/>
    <x v="2064"/>
    <x v="1"/>
    <x v="0"/>
    <x v="1741"/>
    <x v="417"/>
    <x v="1492"/>
    <x v="160"/>
  </r>
  <r>
    <x v="14"/>
    <x v="63"/>
    <x v="2065"/>
    <x v="1"/>
    <x v="0"/>
    <x v="1742"/>
    <x v="726"/>
    <x v="1493"/>
    <x v="160"/>
  </r>
  <r>
    <x v="14"/>
    <x v="64"/>
    <x v="2066"/>
    <x v="1"/>
    <x v="0"/>
    <x v="553"/>
    <x v="727"/>
    <x v="1494"/>
    <x v="160"/>
  </r>
  <r>
    <x v="14"/>
    <x v="65"/>
    <x v="2067"/>
    <x v="1"/>
    <x v="0"/>
    <x v="1743"/>
    <x v="728"/>
    <x v="1495"/>
    <x v="160"/>
  </r>
  <r>
    <x v="14"/>
    <x v="66"/>
    <x v="2068"/>
    <x v="1"/>
    <x v="0"/>
    <x v="1744"/>
    <x v="729"/>
    <x v="1496"/>
    <x v="160"/>
  </r>
  <r>
    <x v="14"/>
    <x v="67"/>
    <x v="2069"/>
    <x v="1"/>
    <x v="0"/>
    <x v="1745"/>
    <x v="413"/>
    <x v="1497"/>
    <x v="160"/>
  </r>
  <r>
    <x v="14"/>
    <x v="68"/>
    <x v="2070"/>
    <x v="1"/>
    <x v="0"/>
    <x v="232"/>
    <x v="492"/>
    <x v="1498"/>
    <x v="160"/>
  </r>
  <r>
    <x v="14"/>
    <x v="69"/>
    <x v="2071"/>
    <x v="1"/>
    <x v="0"/>
    <x v="1746"/>
    <x v="730"/>
    <x v="1499"/>
    <x v="160"/>
  </r>
  <r>
    <x v="14"/>
    <x v="70"/>
    <x v="2072"/>
    <x v="1"/>
    <x v="0"/>
    <x v="37"/>
    <x v="731"/>
    <x v="1500"/>
    <x v="160"/>
  </r>
  <r>
    <x v="14"/>
    <x v="71"/>
    <x v="2073"/>
    <x v="1"/>
    <x v="0"/>
    <x v="1747"/>
    <x v="732"/>
    <x v="1501"/>
    <x v="160"/>
  </r>
  <r>
    <x v="14"/>
    <x v="72"/>
    <x v="2074"/>
    <x v="1"/>
    <x v="0"/>
    <x v="1748"/>
    <x v="733"/>
    <x v="1502"/>
    <x v="160"/>
  </r>
  <r>
    <x v="14"/>
    <x v="73"/>
    <x v="2075"/>
    <x v="1"/>
    <x v="0"/>
    <x v="1749"/>
    <x v="734"/>
    <x v="1503"/>
    <x v="161"/>
  </r>
  <r>
    <x v="14"/>
    <x v="74"/>
    <x v="2076"/>
    <x v="1"/>
    <x v="0"/>
    <x v="294"/>
    <x v="465"/>
    <x v="1504"/>
    <x v="161"/>
  </r>
  <r>
    <x v="14"/>
    <x v="75"/>
    <x v="2077"/>
    <x v="1"/>
    <x v="0"/>
    <x v="493"/>
    <x v="735"/>
    <x v="1505"/>
    <x v="161"/>
  </r>
  <r>
    <x v="14"/>
    <x v="76"/>
    <x v="2078"/>
    <x v="1"/>
    <x v="0"/>
    <x v="1311"/>
    <x v="736"/>
    <x v="1506"/>
    <x v="161"/>
  </r>
  <r>
    <x v="14"/>
    <x v="77"/>
    <x v="2079"/>
    <x v="1"/>
    <x v="0"/>
    <x v="1750"/>
    <x v="677"/>
    <x v="1507"/>
    <x v="161"/>
  </r>
  <r>
    <x v="14"/>
    <x v="78"/>
    <x v="2080"/>
    <x v="1"/>
    <x v="0"/>
    <x v="1751"/>
    <x v="737"/>
    <x v="1508"/>
    <x v="161"/>
  </r>
  <r>
    <x v="14"/>
    <x v="79"/>
    <x v="2081"/>
    <x v="1"/>
    <x v="0"/>
    <x v="1656"/>
    <x v="738"/>
    <x v="1509"/>
    <x v="161"/>
  </r>
  <r>
    <x v="14"/>
    <x v="80"/>
    <x v="2082"/>
    <x v="1"/>
    <x v="0"/>
    <x v="1752"/>
    <x v="739"/>
    <x v="1510"/>
    <x v="161"/>
  </r>
  <r>
    <x v="14"/>
    <x v="81"/>
    <x v="2083"/>
    <x v="1"/>
    <x v="0"/>
    <x v="1129"/>
    <x v="64"/>
    <x v="1511"/>
    <x v="161"/>
  </r>
  <r>
    <x v="14"/>
    <x v="82"/>
    <x v="2084"/>
    <x v="1"/>
    <x v="0"/>
    <x v="67"/>
    <x v="740"/>
    <x v="1512"/>
    <x v="161"/>
  </r>
  <r>
    <x v="14"/>
    <x v="83"/>
    <x v="2085"/>
    <x v="1"/>
    <x v="1"/>
    <x v="1753"/>
    <x v="741"/>
    <x v="1513"/>
    <x v="161"/>
  </r>
  <r>
    <x v="14"/>
    <x v="84"/>
    <x v="2086"/>
    <x v="1"/>
    <x v="0"/>
    <x v="1754"/>
    <x v="742"/>
    <x v="1514"/>
    <x v="161"/>
  </r>
  <r>
    <x v="14"/>
    <x v="85"/>
    <x v="2087"/>
    <x v="1"/>
    <x v="0"/>
    <x v="1755"/>
    <x v="65"/>
    <x v="1515"/>
    <x v="161"/>
  </r>
  <r>
    <x v="14"/>
    <x v="86"/>
    <x v="2088"/>
    <x v="1"/>
    <x v="0"/>
    <x v="1756"/>
    <x v="743"/>
    <x v="1516"/>
    <x v="161"/>
  </r>
  <r>
    <x v="14"/>
    <x v="87"/>
    <x v="2089"/>
    <x v="1"/>
    <x v="0"/>
    <x v="1757"/>
    <x v="744"/>
    <x v="1517"/>
    <x v="7"/>
  </r>
  <r>
    <x v="14"/>
    <x v="88"/>
    <x v="2090"/>
    <x v="1"/>
    <x v="0"/>
    <x v="1624"/>
    <x v="560"/>
    <x v="1518"/>
    <x v="7"/>
  </r>
  <r>
    <x v="14"/>
    <x v="89"/>
    <x v="2091"/>
    <x v="1"/>
    <x v="0"/>
    <x v="1758"/>
    <x v="745"/>
    <x v="1519"/>
    <x v="7"/>
  </r>
  <r>
    <x v="14"/>
    <x v="90"/>
    <x v="2092"/>
    <x v="1"/>
    <x v="0"/>
    <x v="1759"/>
    <x v="745"/>
    <x v="1520"/>
    <x v="7"/>
  </r>
  <r>
    <x v="14"/>
    <x v="91"/>
    <x v="2093"/>
    <x v="1"/>
    <x v="0"/>
    <x v="1760"/>
    <x v="658"/>
    <x v="1521"/>
    <x v="7"/>
  </r>
  <r>
    <x v="14"/>
    <x v="92"/>
    <x v="2094"/>
    <x v="1"/>
    <x v="0"/>
    <x v="1708"/>
    <x v="746"/>
    <x v="1522"/>
    <x v="7"/>
  </r>
  <r>
    <x v="14"/>
    <x v="93"/>
    <x v="2095"/>
    <x v="1"/>
    <x v="0"/>
    <x v="1761"/>
    <x v="131"/>
    <x v="1523"/>
    <x v="7"/>
  </r>
  <r>
    <x v="14"/>
    <x v="94"/>
    <x v="2096"/>
    <x v="0"/>
    <x v="1"/>
    <x v="1762"/>
    <x v="604"/>
    <x v="1524"/>
    <x v="7"/>
  </r>
  <r>
    <x v="14"/>
    <x v="95"/>
    <x v="2097"/>
    <x v="1"/>
    <x v="0"/>
    <x v="966"/>
    <x v="133"/>
    <x v="1525"/>
    <x v="7"/>
  </r>
  <r>
    <x v="14"/>
    <x v="96"/>
    <x v="2098"/>
    <x v="1"/>
    <x v="0"/>
    <x v="1763"/>
    <x v="199"/>
    <x v="1526"/>
    <x v="7"/>
  </r>
  <r>
    <x v="14"/>
    <x v="97"/>
    <x v="2099"/>
    <x v="1"/>
    <x v="0"/>
    <x v="1764"/>
    <x v="291"/>
    <x v="1527"/>
    <x v="7"/>
  </r>
  <r>
    <x v="14"/>
    <x v="98"/>
    <x v="2100"/>
    <x v="0"/>
    <x v="0"/>
    <x v="1765"/>
    <x v="747"/>
    <x v="1528"/>
    <x v="7"/>
  </r>
  <r>
    <x v="14"/>
    <x v="99"/>
    <x v="2101"/>
    <x v="1"/>
    <x v="1"/>
    <x v="1766"/>
    <x v="309"/>
    <x v="1529"/>
    <x v="7"/>
  </r>
  <r>
    <x v="14"/>
    <x v="100"/>
    <x v="2102"/>
    <x v="1"/>
    <x v="0"/>
    <x v="1767"/>
    <x v="347"/>
    <x v="1530"/>
    <x v="162"/>
  </r>
  <r>
    <x v="14"/>
    <x v="101"/>
    <x v="2103"/>
    <x v="1"/>
    <x v="0"/>
    <x v="1768"/>
    <x v="133"/>
    <x v="1531"/>
    <x v="162"/>
  </r>
  <r>
    <x v="14"/>
    <x v="102"/>
    <x v="2104"/>
    <x v="1"/>
    <x v="0"/>
    <x v="1769"/>
    <x v="497"/>
    <x v="1532"/>
    <x v="162"/>
  </r>
  <r>
    <x v="14"/>
    <x v="103"/>
    <x v="2105"/>
    <x v="1"/>
    <x v="0"/>
    <x v="1770"/>
    <x v="598"/>
    <x v="1533"/>
    <x v="162"/>
  </r>
  <r>
    <x v="14"/>
    <x v="104"/>
    <x v="2106"/>
    <x v="1"/>
    <x v="0"/>
    <x v="1771"/>
    <x v="724"/>
    <x v="1534"/>
    <x v="162"/>
  </r>
  <r>
    <x v="14"/>
    <x v="105"/>
    <x v="2107"/>
    <x v="1"/>
    <x v="1"/>
    <x v="1772"/>
    <x v="748"/>
    <x v="1535"/>
    <x v="162"/>
  </r>
  <r>
    <x v="14"/>
    <x v="106"/>
    <x v="2108"/>
    <x v="1"/>
    <x v="0"/>
    <x v="1773"/>
    <x v="749"/>
    <x v="1536"/>
    <x v="162"/>
  </r>
  <r>
    <x v="14"/>
    <x v="107"/>
    <x v="2109"/>
    <x v="1"/>
    <x v="0"/>
    <x v="1774"/>
    <x v="410"/>
    <x v="1537"/>
    <x v="162"/>
  </r>
  <r>
    <x v="14"/>
    <x v="108"/>
    <x v="2110"/>
    <x v="1"/>
    <x v="0"/>
    <x v="1775"/>
    <x v="750"/>
    <x v="1538"/>
    <x v="162"/>
  </r>
  <r>
    <x v="14"/>
    <x v="109"/>
    <x v="2111"/>
    <x v="1"/>
    <x v="0"/>
    <x v="1776"/>
    <x v="751"/>
    <x v="1539"/>
    <x v="162"/>
  </r>
  <r>
    <x v="14"/>
    <x v="110"/>
    <x v="2112"/>
    <x v="1"/>
    <x v="0"/>
    <x v="1777"/>
    <x v="751"/>
    <x v="1540"/>
    <x v="162"/>
  </r>
  <r>
    <x v="14"/>
    <x v="111"/>
    <x v="2113"/>
    <x v="1"/>
    <x v="0"/>
    <x v="980"/>
    <x v="752"/>
    <x v="1541"/>
    <x v="162"/>
  </r>
  <r>
    <x v="14"/>
    <x v="112"/>
    <x v="2114"/>
    <x v="1"/>
    <x v="0"/>
    <x v="1778"/>
    <x v="753"/>
    <x v="1542"/>
    <x v="162"/>
  </r>
  <r>
    <x v="14"/>
    <x v="113"/>
    <x v="2115"/>
    <x v="1"/>
    <x v="0"/>
    <x v="1779"/>
    <x v="754"/>
    <x v="1543"/>
    <x v="163"/>
  </r>
  <r>
    <x v="14"/>
    <x v="114"/>
    <x v="2116"/>
    <x v="1"/>
    <x v="0"/>
    <x v="1780"/>
    <x v="755"/>
    <x v="1544"/>
    <x v="163"/>
  </r>
  <r>
    <x v="14"/>
    <x v="115"/>
    <x v="2117"/>
    <x v="1"/>
    <x v="0"/>
    <x v="1695"/>
    <x v="756"/>
    <x v="1545"/>
    <x v="163"/>
  </r>
  <r>
    <x v="14"/>
    <x v="116"/>
    <x v="2118"/>
    <x v="1"/>
    <x v="0"/>
    <x v="1781"/>
    <x v="757"/>
    <x v="1546"/>
    <x v="163"/>
  </r>
  <r>
    <x v="14"/>
    <x v="117"/>
    <x v="2119"/>
    <x v="1"/>
    <x v="0"/>
    <x v="1301"/>
    <x v="466"/>
    <x v="1547"/>
    <x v="163"/>
  </r>
  <r>
    <x v="14"/>
    <x v="118"/>
    <x v="2120"/>
    <x v="1"/>
    <x v="0"/>
    <x v="1782"/>
    <x v="464"/>
    <x v="1548"/>
    <x v="163"/>
  </r>
  <r>
    <x v="14"/>
    <x v="119"/>
    <x v="2121"/>
    <x v="1"/>
    <x v="0"/>
    <x v="1783"/>
    <x v="758"/>
    <x v="1549"/>
    <x v="163"/>
  </r>
  <r>
    <x v="14"/>
    <x v="120"/>
    <x v="2122"/>
    <x v="1"/>
    <x v="0"/>
    <x v="141"/>
    <x v="759"/>
    <x v="1550"/>
    <x v="163"/>
  </r>
  <r>
    <x v="14"/>
    <x v="121"/>
    <x v="2123"/>
    <x v="1"/>
    <x v="0"/>
    <x v="112"/>
    <x v="735"/>
    <x v="1551"/>
    <x v="163"/>
  </r>
  <r>
    <x v="14"/>
    <x v="122"/>
    <x v="2124"/>
    <x v="1"/>
    <x v="0"/>
    <x v="1784"/>
    <x v="760"/>
    <x v="1552"/>
    <x v="163"/>
  </r>
  <r>
    <x v="14"/>
    <x v="123"/>
    <x v="2125"/>
    <x v="1"/>
    <x v="0"/>
    <x v="1785"/>
    <x v="67"/>
    <x v="1553"/>
    <x v="163"/>
  </r>
  <r>
    <x v="14"/>
    <x v="124"/>
    <x v="2126"/>
    <x v="1"/>
    <x v="0"/>
    <x v="1030"/>
    <x v="439"/>
    <x v="1554"/>
    <x v="163"/>
  </r>
  <r>
    <x v="14"/>
    <x v="125"/>
    <x v="2127"/>
    <x v="1"/>
    <x v="0"/>
    <x v="684"/>
    <x v="224"/>
    <x v="1555"/>
    <x v="163"/>
  </r>
  <r>
    <x v="14"/>
    <x v="126"/>
    <x v="2128"/>
    <x v="1"/>
    <x v="0"/>
    <x v="1786"/>
    <x v="243"/>
    <x v="1556"/>
    <x v="164"/>
  </r>
  <r>
    <x v="14"/>
    <x v="127"/>
    <x v="2129"/>
    <x v="1"/>
    <x v="0"/>
    <x v="1106"/>
    <x v="604"/>
    <x v="1557"/>
    <x v="164"/>
  </r>
  <r>
    <x v="14"/>
    <x v="128"/>
    <x v="2130"/>
    <x v="1"/>
    <x v="0"/>
    <x v="1508"/>
    <x v="565"/>
    <x v="1558"/>
    <x v="164"/>
  </r>
  <r>
    <x v="14"/>
    <x v="129"/>
    <x v="2131"/>
    <x v="1"/>
    <x v="0"/>
    <x v="1787"/>
    <x v="227"/>
    <x v="1559"/>
    <x v="164"/>
  </r>
  <r>
    <x v="14"/>
    <x v="130"/>
    <x v="2132"/>
    <x v="1"/>
    <x v="0"/>
    <x v="1788"/>
    <x v="761"/>
    <x v="1560"/>
    <x v="164"/>
  </r>
  <r>
    <x v="14"/>
    <x v="131"/>
    <x v="2133"/>
    <x v="1"/>
    <x v="0"/>
    <x v="1789"/>
    <x v="762"/>
    <x v="1561"/>
    <x v="164"/>
  </r>
  <r>
    <x v="14"/>
    <x v="132"/>
    <x v="2134"/>
    <x v="1"/>
    <x v="0"/>
    <x v="1790"/>
    <x v="442"/>
    <x v="1562"/>
    <x v="164"/>
  </r>
  <r>
    <x v="14"/>
    <x v="133"/>
    <x v="2135"/>
    <x v="1"/>
    <x v="0"/>
    <x v="155"/>
    <x v="688"/>
    <x v="1563"/>
    <x v="164"/>
  </r>
  <r>
    <x v="14"/>
    <x v="134"/>
    <x v="2136"/>
    <x v="1"/>
    <x v="0"/>
    <x v="1791"/>
    <x v="763"/>
    <x v="1564"/>
    <x v="164"/>
  </r>
  <r>
    <x v="14"/>
    <x v="135"/>
    <x v="2137"/>
    <x v="1"/>
    <x v="1"/>
    <x v="1792"/>
    <x v="764"/>
    <x v="1565"/>
    <x v="164"/>
  </r>
  <r>
    <x v="14"/>
    <x v="136"/>
    <x v="2138"/>
    <x v="1"/>
    <x v="0"/>
    <x v="1793"/>
    <x v="449"/>
    <x v="1566"/>
    <x v="164"/>
  </r>
  <r>
    <x v="14"/>
    <x v="137"/>
    <x v="2139"/>
    <x v="1"/>
    <x v="0"/>
    <x v="1794"/>
    <x v="765"/>
    <x v="1567"/>
    <x v="164"/>
  </r>
  <r>
    <x v="14"/>
    <x v="138"/>
    <x v="2140"/>
    <x v="1"/>
    <x v="0"/>
    <x v="1795"/>
    <x v="766"/>
    <x v="1568"/>
    <x v="164"/>
  </r>
  <r>
    <x v="14"/>
    <x v="139"/>
    <x v="2141"/>
    <x v="1"/>
    <x v="0"/>
    <x v="1378"/>
    <x v="411"/>
    <x v="1569"/>
    <x v="165"/>
  </r>
  <r>
    <x v="14"/>
    <x v="140"/>
    <x v="2142"/>
    <x v="1"/>
    <x v="0"/>
    <x v="1796"/>
    <x v="451"/>
    <x v="1570"/>
    <x v="165"/>
  </r>
  <r>
    <x v="14"/>
    <x v="141"/>
    <x v="2143"/>
    <x v="1"/>
    <x v="0"/>
    <x v="1797"/>
    <x v="767"/>
    <x v="1571"/>
    <x v="165"/>
  </r>
  <r>
    <x v="14"/>
    <x v="142"/>
    <x v="2144"/>
    <x v="1"/>
    <x v="0"/>
    <x v="1798"/>
    <x v="768"/>
    <x v="1572"/>
    <x v="165"/>
  </r>
  <r>
    <x v="15"/>
    <x v="0"/>
    <x v="2145"/>
    <x v="1"/>
    <x v="0"/>
    <x v="1799"/>
    <x v="248"/>
    <x v="858"/>
    <x v="166"/>
  </r>
  <r>
    <x v="15"/>
    <x v="1"/>
    <x v="2146"/>
    <x v="1"/>
    <x v="1"/>
    <x v="1734"/>
    <x v="0"/>
    <x v="859"/>
    <x v="166"/>
  </r>
  <r>
    <x v="15"/>
    <x v="2"/>
    <x v="2147"/>
    <x v="1"/>
    <x v="0"/>
    <x v="1800"/>
    <x v="249"/>
    <x v="860"/>
    <x v="166"/>
  </r>
  <r>
    <x v="15"/>
    <x v="3"/>
    <x v="2148"/>
    <x v="1"/>
    <x v="0"/>
    <x v="1801"/>
    <x v="250"/>
    <x v="861"/>
    <x v="166"/>
  </r>
  <r>
    <x v="15"/>
    <x v="4"/>
    <x v="2149"/>
    <x v="1"/>
    <x v="0"/>
    <x v="1802"/>
    <x v="251"/>
    <x v="862"/>
    <x v="166"/>
  </r>
  <r>
    <x v="15"/>
    <x v="5"/>
    <x v="2150"/>
    <x v="1"/>
    <x v="0"/>
    <x v="1803"/>
    <x v="252"/>
    <x v="863"/>
    <x v="166"/>
  </r>
  <r>
    <x v="15"/>
    <x v="6"/>
    <x v="2151"/>
    <x v="1"/>
    <x v="0"/>
    <x v="1804"/>
    <x v="27"/>
    <x v="864"/>
    <x v="166"/>
  </r>
  <r>
    <x v="15"/>
    <x v="7"/>
    <x v="2152"/>
    <x v="1"/>
    <x v="0"/>
    <x v="1805"/>
    <x v="253"/>
    <x v="865"/>
    <x v="166"/>
  </r>
  <r>
    <x v="15"/>
    <x v="8"/>
    <x v="2153"/>
    <x v="1"/>
    <x v="0"/>
    <x v="1806"/>
    <x v="36"/>
    <x v="866"/>
    <x v="167"/>
  </r>
  <r>
    <x v="15"/>
    <x v="9"/>
    <x v="2154"/>
    <x v="1"/>
    <x v="0"/>
    <x v="1807"/>
    <x v="254"/>
    <x v="867"/>
    <x v="167"/>
  </r>
  <r>
    <x v="15"/>
    <x v="10"/>
    <x v="2155"/>
    <x v="1"/>
    <x v="0"/>
    <x v="1808"/>
    <x v="255"/>
    <x v="868"/>
    <x v="167"/>
  </r>
  <r>
    <x v="15"/>
    <x v="11"/>
    <x v="2156"/>
    <x v="1"/>
    <x v="0"/>
    <x v="1809"/>
    <x v="256"/>
    <x v="869"/>
    <x v="167"/>
  </r>
  <r>
    <x v="15"/>
    <x v="12"/>
    <x v="2157"/>
    <x v="1"/>
    <x v="0"/>
    <x v="1810"/>
    <x v="257"/>
    <x v="870"/>
    <x v="167"/>
  </r>
  <r>
    <x v="15"/>
    <x v="13"/>
    <x v="2158"/>
    <x v="1"/>
    <x v="0"/>
    <x v="1811"/>
    <x v="40"/>
    <x v="871"/>
    <x v="167"/>
  </r>
  <r>
    <x v="15"/>
    <x v="14"/>
    <x v="2159"/>
    <x v="1"/>
    <x v="0"/>
    <x v="1812"/>
    <x v="258"/>
    <x v="872"/>
    <x v="167"/>
  </r>
  <r>
    <x v="15"/>
    <x v="15"/>
    <x v="2160"/>
    <x v="1"/>
    <x v="0"/>
    <x v="874"/>
    <x v="256"/>
    <x v="873"/>
    <x v="167"/>
  </r>
  <r>
    <x v="15"/>
    <x v="16"/>
    <x v="2161"/>
    <x v="1"/>
    <x v="0"/>
    <x v="1813"/>
    <x v="259"/>
    <x v="874"/>
    <x v="167"/>
  </r>
  <r>
    <x v="15"/>
    <x v="17"/>
    <x v="2162"/>
    <x v="1"/>
    <x v="0"/>
    <x v="324"/>
    <x v="260"/>
    <x v="875"/>
    <x v="167"/>
  </r>
  <r>
    <x v="15"/>
    <x v="18"/>
    <x v="2163"/>
    <x v="1"/>
    <x v="0"/>
    <x v="1814"/>
    <x v="252"/>
    <x v="876"/>
    <x v="167"/>
  </r>
  <r>
    <x v="15"/>
    <x v="19"/>
    <x v="2164"/>
    <x v="1"/>
    <x v="0"/>
    <x v="1536"/>
    <x v="261"/>
    <x v="877"/>
    <x v="167"/>
  </r>
  <r>
    <x v="15"/>
    <x v="20"/>
    <x v="2165"/>
    <x v="1"/>
    <x v="0"/>
    <x v="584"/>
    <x v="262"/>
    <x v="878"/>
    <x v="167"/>
  </r>
  <r>
    <x v="15"/>
    <x v="21"/>
    <x v="2166"/>
    <x v="1"/>
    <x v="0"/>
    <x v="647"/>
    <x v="39"/>
    <x v="879"/>
    <x v="168"/>
  </r>
  <r>
    <x v="15"/>
    <x v="22"/>
    <x v="2167"/>
    <x v="1"/>
    <x v="0"/>
    <x v="1594"/>
    <x v="263"/>
    <x v="880"/>
    <x v="168"/>
  </r>
  <r>
    <x v="15"/>
    <x v="23"/>
    <x v="2168"/>
    <x v="1"/>
    <x v="0"/>
    <x v="1815"/>
    <x v="167"/>
    <x v="881"/>
    <x v="168"/>
  </r>
  <r>
    <x v="15"/>
    <x v="24"/>
    <x v="2169"/>
    <x v="1"/>
    <x v="0"/>
    <x v="1816"/>
    <x v="264"/>
    <x v="882"/>
    <x v="168"/>
  </r>
  <r>
    <x v="15"/>
    <x v="25"/>
    <x v="2170"/>
    <x v="1"/>
    <x v="0"/>
    <x v="601"/>
    <x v="265"/>
    <x v="883"/>
    <x v="168"/>
  </r>
  <r>
    <x v="15"/>
    <x v="26"/>
    <x v="2171"/>
    <x v="1"/>
    <x v="0"/>
    <x v="1817"/>
    <x v="265"/>
    <x v="884"/>
    <x v="168"/>
  </r>
  <r>
    <x v="15"/>
    <x v="27"/>
    <x v="2172"/>
    <x v="1"/>
    <x v="0"/>
    <x v="369"/>
    <x v="266"/>
    <x v="885"/>
    <x v="168"/>
  </r>
  <r>
    <x v="15"/>
    <x v="28"/>
    <x v="2173"/>
    <x v="1"/>
    <x v="0"/>
    <x v="813"/>
    <x v="7"/>
    <x v="886"/>
    <x v="168"/>
  </r>
  <r>
    <x v="15"/>
    <x v="29"/>
    <x v="2174"/>
    <x v="1"/>
    <x v="0"/>
    <x v="1818"/>
    <x v="267"/>
    <x v="887"/>
    <x v="168"/>
  </r>
  <r>
    <x v="15"/>
    <x v="30"/>
    <x v="2175"/>
    <x v="1"/>
    <x v="0"/>
    <x v="1819"/>
    <x v="146"/>
    <x v="888"/>
    <x v="168"/>
  </r>
  <r>
    <x v="15"/>
    <x v="31"/>
    <x v="2176"/>
    <x v="1"/>
    <x v="1"/>
    <x v="1820"/>
    <x v="12"/>
    <x v="889"/>
    <x v="168"/>
  </r>
  <r>
    <x v="15"/>
    <x v="32"/>
    <x v="2177"/>
    <x v="1"/>
    <x v="0"/>
    <x v="104"/>
    <x v="268"/>
    <x v="890"/>
    <x v="168"/>
  </r>
  <r>
    <x v="15"/>
    <x v="33"/>
    <x v="2178"/>
    <x v="1"/>
    <x v="0"/>
    <x v="1821"/>
    <x v="269"/>
    <x v="891"/>
    <x v="168"/>
  </r>
  <r>
    <x v="15"/>
    <x v="34"/>
    <x v="2179"/>
    <x v="1"/>
    <x v="0"/>
    <x v="1822"/>
    <x v="16"/>
    <x v="892"/>
    <x v="169"/>
  </r>
  <r>
    <x v="15"/>
    <x v="35"/>
    <x v="2180"/>
    <x v="1"/>
    <x v="0"/>
    <x v="1338"/>
    <x v="270"/>
    <x v="893"/>
    <x v="169"/>
  </r>
  <r>
    <x v="15"/>
    <x v="36"/>
    <x v="2181"/>
    <x v="1"/>
    <x v="0"/>
    <x v="1823"/>
    <x v="271"/>
    <x v="894"/>
    <x v="169"/>
  </r>
  <r>
    <x v="15"/>
    <x v="37"/>
    <x v="2182"/>
    <x v="1"/>
    <x v="0"/>
    <x v="1824"/>
    <x v="271"/>
    <x v="895"/>
    <x v="169"/>
  </r>
  <r>
    <x v="15"/>
    <x v="38"/>
    <x v="2183"/>
    <x v="1"/>
    <x v="0"/>
    <x v="1825"/>
    <x v="272"/>
    <x v="896"/>
    <x v="169"/>
  </r>
  <r>
    <x v="15"/>
    <x v="39"/>
    <x v="2184"/>
    <x v="1"/>
    <x v="0"/>
    <x v="1826"/>
    <x v="273"/>
    <x v="897"/>
    <x v="169"/>
  </r>
  <r>
    <x v="15"/>
    <x v="40"/>
    <x v="2185"/>
    <x v="1"/>
    <x v="0"/>
    <x v="1827"/>
    <x v="259"/>
    <x v="898"/>
    <x v="169"/>
  </r>
  <r>
    <x v="15"/>
    <x v="41"/>
    <x v="2186"/>
    <x v="1"/>
    <x v="0"/>
    <x v="1828"/>
    <x v="274"/>
    <x v="899"/>
    <x v="169"/>
  </r>
  <r>
    <x v="15"/>
    <x v="42"/>
    <x v="2187"/>
    <x v="1"/>
    <x v="1"/>
    <x v="1829"/>
    <x v="275"/>
    <x v="900"/>
    <x v="169"/>
  </r>
  <r>
    <x v="15"/>
    <x v="43"/>
    <x v="2188"/>
    <x v="1"/>
    <x v="0"/>
    <x v="1830"/>
    <x v="276"/>
    <x v="901"/>
    <x v="169"/>
  </r>
  <r>
    <x v="15"/>
    <x v="44"/>
    <x v="2189"/>
    <x v="1"/>
    <x v="0"/>
    <x v="1831"/>
    <x v="39"/>
    <x v="902"/>
    <x v="169"/>
  </r>
  <r>
    <x v="15"/>
    <x v="45"/>
    <x v="2190"/>
    <x v="1"/>
    <x v="0"/>
    <x v="1832"/>
    <x v="277"/>
    <x v="903"/>
    <x v="169"/>
  </r>
  <r>
    <x v="15"/>
    <x v="46"/>
    <x v="2191"/>
    <x v="1"/>
    <x v="0"/>
    <x v="1833"/>
    <x v="278"/>
    <x v="904"/>
    <x v="169"/>
  </r>
  <r>
    <x v="15"/>
    <x v="47"/>
    <x v="2192"/>
    <x v="1"/>
    <x v="1"/>
    <x v="1834"/>
    <x v="279"/>
    <x v="905"/>
    <x v="169"/>
  </r>
  <r>
    <x v="15"/>
    <x v="48"/>
    <x v="2193"/>
    <x v="1"/>
    <x v="0"/>
    <x v="1835"/>
    <x v="280"/>
    <x v="906"/>
    <x v="170"/>
  </r>
  <r>
    <x v="15"/>
    <x v="49"/>
    <x v="2194"/>
    <x v="1"/>
    <x v="0"/>
    <x v="845"/>
    <x v="281"/>
    <x v="907"/>
    <x v="170"/>
  </r>
  <r>
    <x v="15"/>
    <x v="50"/>
    <x v="2195"/>
    <x v="1"/>
    <x v="0"/>
    <x v="1836"/>
    <x v="282"/>
    <x v="908"/>
    <x v="170"/>
  </r>
  <r>
    <x v="15"/>
    <x v="51"/>
    <x v="2196"/>
    <x v="1"/>
    <x v="0"/>
    <x v="1837"/>
    <x v="283"/>
    <x v="909"/>
    <x v="170"/>
  </r>
  <r>
    <x v="15"/>
    <x v="52"/>
    <x v="2197"/>
    <x v="1"/>
    <x v="0"/>
    <x v="1838"/>
    <x v="284"/>
    <x v="910"/>
    <x v="170"/>
  </r>
  <r>
    <x v="15"/>
    <x v="53"/>
    <x v="2198"/>
    <x v="1"/>
    <x v="1"/>
    <x v="1839"/>
    <x v="285"/>
    <x v="911"/>
    <x v="170"/>
  </r>
  <r>
    <x v="15"/>
    <x v="54"/>
    <x v="2199"/>
    <x v="1"/>
    <x v="0"/>
    <x v="1840"/>
    <x v="286"/>
    <x v="912"/>
    <x v="170"/>
  </r>
  <r>
    <x v="15"/>
    <x v="55"/>
    <x v="2200"/>
    <x v="1"/>
    <x v="0"/>
    <x v="1841"/>
    <x v="287"/>
    <x v="913"/>
    <x v="170"/>
  </r>
  <r>
    <x v="15"/>
    <x v="56"/>
    <x v="2201"/>
    <x v="1"/>
    <x v="0"/>
    <x v="1842"/>
    <x v="288"/>
    <x v="914"/>
    <x v="170"/>
  </r>
  <r>
    <x v="15"/>
    <x v="57"/>
    <x v="2202"/>
    <x v="1"/>
    <x v="0"/>
    <x v="1843"/>
    <x v="88"/>
    <x v="915"/>
    <x v="170"/>
  </r>
  <r>
    <x v="15"/>
    <x v="58"/>
    <x v="2203"/>
    <x v="1"/>
    <x v="0"/>
    <x v="1844"/>
    <x v="289"/>
    <x v="916"/>
    <x v="170"/>
  </r>
  <r>
    <x v="15"/>
    <x v="59"/>
    <x v="2204"/>
    <x v="1"/>
    <x v="0"/>
    <x v="1845"/>
    <x v="290"/>
    <x v="917"/>
    <x v="170"/>
  </r>
  <r>
    <x v="15"/>
    <x v="60"/>
    <x v="2205"/>
    <x v="1"/>
    <x v="0"/>
    <x v="1846"/>
    <x v="182"/>
    <x v="918"/>
    <x v="171"/>
  </r>
  <r>
    <x v="15"/>
    <x v="61"/>
    <x v="2206"/>
    <x v="1"/>
    <x v="0"/>
    <x v="1847"/>
    <x v="203"/>
    <x v="919"/>
    <x v="171"/>
  </r>
  <r>
    <x v="15"/>
    <x v="62"/>
    <x v="2207"/>
    <x v="1"/>
    <x v="0"/>
    <x v="1848"/>
    <x v="291"/>
    <x v="920"/>
    <x v="171"/>
  </r>
  <r>
    <x v="15"/>
    <x v="63"/>
    <x v="2208"/>
    <x v="1"/>
    <x v="0"/>
    <x v="1849"/>
    <x v="292"/>
    <x v="921"/>
    <x v="171"/>
  </r>
  <r>
    <x v="15"/>
    <x v="64"/>
    <x v="2209"/>
    <x v="1"/>
    <x v="0"/>
    <x v="1850"/>
    <x v="293"/>
    <x v="922"/>
    <x v="171"/>
  </r>
  <r>
    <x v="15"/>
    <x v="65"/>
    <x v="2210"/>
    <x v="1"/>
    <x v="0"/>
    <x v="509"/>
    <x v="294"/>
    <x v="923"/>
    <x v="171"/>
  </r>
  <r>
    <x v="15"/>
    <x v="66"/>
    <x v="2211"/>
    <x v="1"/>
    <x v="0"/>
    <x v="1450"/>
    <x v="295"/>
    <x v="924"/>
    <x v="171"/>
  </r>
  <r>
    <x v="15"/>
    <x v="67"/>
    <x v="2212"/>
    <x v="1"/>
    <x v="0"/>
    <x v="1851"/>
    <x v="296"/>
    <x v="925"/>
    <x v="171"/>
  </r>
  <r>
    <x v="15"/>
    <x v="68"/>
    <x v="2213"/>
    <x v="1"/>
    <x v="0"/>
    <x v="1852"/>
    <x v="297"/>
    <x v="926"/>
    <x v="171"/>
  </r>
  <r>
    <x v="15"/>
    <x v="69"/>
    <x v="2214"/>
    <x v="1"/>
    <x v="0"/>
    <x v="1853"/>
    <x v="298"/>
    <x v="927"/>
    <x v="171"/>
  </r>
  <r>
    <x v="15"/>
    <x v="70"/>
    <x v="2215"/>
    <x v="1"/>
    <x v="0"/>
    <x v="1854"/>
    <x v="294"/>
    <x v="928"/>
    <x v="171"/>
  </r>
  <r>
    <x v="15"/>
    <x v="71"/>
    <x v="2216"/>
    <x v="1"/>
    <x v="0"/>
    <x v="1855"/>
    <x v="299"/>
    <x v="929"/>
    <x v="171"/>
  </r>
  <r>
    <x v="15"/>
    <x v="72"/>
    <x v="2217"/>
    <x v="1"/>
    <x v="0"/>
    <x v="1604"/>
    <x v="300"/>
    <x v="930"/>
    <x v="171"/>
  </r>
  <r>
    <x v="15"/>
    <x v="73"/>
    <x v="2218"/>
    <x v="1"/>
    <x v="0"/>
    <x v="813"/>
    <x v="301"/>
    <x v="931"/>
    <x v="172"/>
  </r>
  <r>
    <x v="15"/>
    <x v="74"/>
    <x v="2219"/>
    <x v="1"/>
    <x v="0"/>
    <x v="1856"/>
    <x v="302"/>
    <x v="932"/>
    <x v="172"/>
  </r>
  <r>
    <x v="15"/>
    <x v="75"/>
    <x v="2220"/>
    <x v="1"/>
    <x v="0"/>
    <x v="1857"/>
    <x v="203"/>
    <x v="933"/>
    <x v="172"/>
  </r>
  <r>
    <x v="15"/>
    <x v="76"/>
    <x v="2221"/>
    <x v="1"/>
    <x v="0"/>
    <x v="1858"/>
    <x v="303"/>
    <x v="934"/>
    <x v="172"/>
  </r>
  <r>
    <x v="15"/>
    <x v="77"/>
    <x v="2222"/>
    <x v="1"/>
    <x v="0"/>
    <x v="1511"/>
    <x v="304"/>
    <x v="935"/>
    <x v="172"/>
  </r>
  <r>
    <x v="15"/>
    <x v="78"/>
    <x v="2223"/>
    <x v="1"/>
    <x v="0"/>
    <x v="446"/>
    <x v="78"/>
    <x v="936"/>
    <x v="172"/>
  </r>
  <r>
    <x v="15"/>
    <x v="79"/>
    <x v="2224"/>
    <x v="1"/>
    <x v="0"/>
    <x v="1859"/>
    <x v="305"/>
    <x v="937"/>
    <x v="172"/>
  </r>
  <r>
    <x v="15"/>
    <x v="80"/>
    <x v="2225"/>
    <x v="1"/>
    <x v="0"/>
    <x v="1128"/>
    <x v="306"/>
    <x v="938"/>
    <x v="172"/>
  </r>
  <r>
    <x v="15"/>
    <x v="81"/>
    <x v="2226"/>
    <x v="1"/>
    <x v="0"/>
    <x v="1860"/>
    <x v="307"/>
    <x v="939"/>
    <x v="172"/>
  </r>
  <r>
    <x v="15"/>
    <x v="82"/>
    <x v="2227"/>
    <x v="1"/>
    <x v="0"/>
    <x v="1861"/>
    <x v="308"/>
    <x v="940"/>
    <x v="172"/>
  </r>
  <r>
    <x v="15"/>
    <x v="83"/>
    <x v="2228"/>
    <x v="1"/>
    <x v="1"/>
    <x v="470"/>
    <x v="309"/>
    <x v="941"/>
    <x v="172"/>
  </r>
  <r>
    <x v="15"/>
    <x v="84"/>
    <x v="2229"/>
    <x v="1"/>
    <x v="0"/>
    <x v="1862"/>
    <x v="310"/>
    <x v="942"/>
    <x v="172"/>
  </r>
  <r>
    <x v="15"/>
    <x v="85"/>
    <x v="2230"/>
    <x v="1"/>
    <x v="0"/>
    <x v="1494"/>
    <x v="311"/>
    <x v="943"/>
    <x v="172"/>
  </r>
  <r>
    <x v="15"/>
    <x v="86"/>
    <x v="2231"/>
    <x v="1"/>
    <x v="0"/>
    <x v="1863"/>
    <x v="312"/>
    <x v="944"/>
    <x v="172"/>
  </r>
  <r>
    <x v="15"/>
    <x v="87"/>
    <x v="2232"/>
    <x v="1"/>
    <x v="0"/>
    <x v="95"/>
    <x v="313"/>
    <x v="945"/>
    <x v="173"/>
  </r>
  <r>
    <x v="15"/>
    <x v="88"/>
    <x v="2233"/>
    <x v="1"/>
    <x v="0"/>
    <x v="1864"/>
    <x v="314"/>
    <x v="946"/>
    <x v="173"/>
  </r>
  <r>
    <x v="15"/>
    <x v="89"/>
    <x v="2234"/>
    <x v="1"/>
    <x v="0"/>
    <x v="1865"/>
    <x v="315"/>
    <x v="947"/>
    <x v="173"/>
  </r>
  <r>
    <x v="15"/>
    <x v="90"/>
    <x v="2235"/>
    <x v="1"/>
    <x v="0"/>
    <x v="1866"/>
    <x v="202"/>
    <x v="948"/>
    <x v="173"/>
  </r>
  <r>
    <x v="15"/>
    <x v="91"/>
    <x v="2236"/>
    <x v="1"/>
    <x v="0"/>
    <x v="1867"/>
    <x v="316"/>
    <x v="949"/>
    <x v="173"/>
  </r>
  <r>
    <x v="15"/>
    <x v="92"/>
    <x v="2237"/>
    <x v="1"/>
    <x v="0"/>
    <x v="1868"/>
    <x v="317"/>
    <x v="950"/>
    <x v="173"/>
  </r>
  <r>
    <x v="15"/>
    <x v="93"/>
    <x v="2238"/>
    <x v="1"/>
    <x v="0"/>
    <x v="1869"/>
    <x v="318"/>
    <x v="951"/>
    <x v="173"/>
  </r>
  <r>
    <x v="15"/>
    <x v="94"/>
    <x v="2239"/>
    <x v="1"/>
    <x v="1"/>
    <x v="1568"/>
    <x v="319"/>
    <x v="952"/>
    <x v="173"/>
  </r>
  <r>
    <x v="15"/>
    <x v="95"/>
    <x v="2240"/>
    <x v="1"/>
    <x v="0"/>
    <x v="1870"/>
    <x v="320"/>
    <x v="953"/>
    <x v="173"/>
  </r>
  <r>
    <x v="15"/>
    <x v="96"/>
    <x v="2241"/>
    <x v="1"/>
    <x v="0"/>
    <x v="1871"/>
    <x v="321"/>
    <x v="954"/>
    <x v="173"/>
  </r>
  <r>
    <x v="15"/>
    <x v="97"/>
    <x v="2242"/>
    <x v="1"/>
    <x v="0"/>
    <x v="1872"/>
    <x v="322"/>
    <x v="955"/>
    <x v="173"/>
  </r>
  <r>
    <x v="15"/>
    <x v="98"/>
    <x v="2243"/>
    <x v="1"/>
    <x v="0"/>
    <x v="1873"/>
    <x v="323"/>
    <x v="956"/>
    <x v="173"/>
  </r>
  <r>
    <x v="15"/>
    <x v="99"/>
    <x v="2244"/>
    <x v="1"/>
    <x v="1"/>
    <x v="1874"/>
    <x v="216"/>
    <x v="957"/>
    <x v="173"/>
  </r>
  <r>
    <x v="15"/>
    <x v="100"/>
    <x v="2245"/>
    <x v="1"/>
    <x v="0"/>
    <x v="1875"/>
    <x v="324"/>
    <x v="958"/>
    <x v="174"/>
  </r>
  <r>
    <x v="15"/>
    <x v="101"/>
    <x v="2246"/>
    <x v="1"/>
    <x v="0"/>
    <x v="1876"/>
    <x v="325"/>
    <x v="959"/>
    <x v="174"/>
  </r>
  <r>
    <x v="15"/>
    <x v="102"/>
    <x v="2247"/>
    <x v="1"/>
    <x v="0"/>
    <x v="1877"/>
    <x v="326"/>
    <x v="960"/>
    <x v="174"/>
  </r>
  <r>
    <x v="15"/>
    <x v="103"/>
    <x v="2248"/>
    <x v="1"/>
    <x v="0"/>
    <x v="1878"/>
    <x v="327"/>
    <x v="961"/>
    <x v="174"/>
  </r>
  <r>
    <x v="15"/>
    <x v="104"/>
    <x v="2249"/>
    <x v="1"/>
    <x v="0"/>
    <x v="1879"/>
    <x v="328"/>
    <x v="962"/>
    <x v="174"/>
  </r>
  <r>
    <x v="15"/>
    <x v="105"/>
    <x v="2250"/>
    <x v="1"/>
    <x v="1"/>
    <x v="1880"/>
    <x v="215"/>
    <x v="963"/>
    <x v="174"/>
  </r>
  <r>
    <x v="15"/>
    <x v="106"/>
    <x v="2251"/>
    <x v="1"/>
    <x v="0"/>
    <x v="1881"/>
    <x v="329"/>
    <x v="964"/>
    <x v="174"/>
  </r>
  <r>
    <x v="15"/>
    <x v="107"/>
    <x v="2252"/>
    <x v="1"/>
    <x v="0"/>
    <x v="1882"/>
    <x v="97"/>
    <x v="965"/>
    <x v="174"/>
  </r>
  <r>
    <x v="15"/>
    <x v="108"/>
    <x v="2253"/>
    <x v="1"/>
    <x v="0"/>
    <x v="1883"/>
    <x v="330"/>
    <x v="966"/>
    <x v="174"/>
  </r>
  <r>
    <x v="15"/>
    <x v="109"/>
    <x v="2254"/>
    <x v="1"/>
    <x v="0"/>
    <x v="1735"/>
    <x v="121"/>
    <x v="967"/>
    <x v="174"/>
  </r>
  <r>
    <x v="15"/>
    <x v="110"/>
    <x v="2255"/>
    <x v="1"/>
    <x v="0"/>
    <x v="1884"/>
    <x v="331"/>
    <x v="968"/>
    <x v="174"/>
  </r>
  <r>
    <x v="15"/>
    <x v="111"/>
    <x v="2256"/>
    <x v="1"/>
    <x v="0"/>
    <x v="1885"/>
    <x v="332"/>
    <x v="969"/>
    <x v="174"/>
  </r>
  <r>
    <x v="15"/>
    <x v="112"/>
    <x v="2257"/>
    <x v="1"/>
    <x v="0"/>
    <x v="374"/>
    <x v="333"/>
    <x v="970"/>
    <x v="174"/>
  </r>
  <r>
    <x v="15"/>
    <x v="113"/>
    <x v="2258"/>
    <x v="1"/>
    <x v="0"/>
    <x v="1886"/>
    <x v="334"/>
    <x v="971"/>
    <x v="175"/>
  </r>
  <r>
    <x v="15"/>
    <x v="114"/>
    <x v="2259"/>
    <x v="1"/>
    <x v="0"/>
    <x v="1887"/>
    <x v="335"/>
    <x v="972"/>
    <x v="175"/>
  </r>
  <r>
    <x v="15"/>
    <x v="115"/>
    <x v="2260"/>
    <x v="1"/>
    <x v="0"/>
    <x v="1888"/>
    <x v="336"/>
    <x v="973"/>
    <x v="175"/>
  </r>
  <r>
    <x v="15"/>
    <x v="116"/>
    <x v="2261"/>
    <x v="1"/>
    <x v="0"/>
    <x v="183"/>
    <x v="337"/>
    <x v="974"/>
    <x v="175"/>
  </r>
  <r>
    <x v="15"/>
    <x v="117"/>
    <x v="2262"/>
    <x v="1"/>
    <x v="0"/>
    <x v="1664"/>
    <x v="338"/>
    <x v="975"/>
    <x v="175"/>
  </r>
  <r>
    <x v="15"/>
    <x v="118"/>
    <x v="2263"/>
    <x v="1"/>
    <x v="0"/>
    <x v="1889"/>
    <x v="339"/>
    <x v="976"/>
    <x v="175"/>
  </r>
  <r>
    <x v="15"/>
    <x v="119"/>
    <x v="2264"/>
    <x v="1"/>
    <x v="0"/>
    <x v="1890"/>
    <x v="340"/>
    <x v="977"/>
    <x v="175"/>
  </r>
  <r>
    <x v="15"/>
    <x v="120"/>
    <x v="2265"/>
    <x v="1"/>
    <x v="0"/>
    <x v="54"/>
    <x v="341"/>
    <x v="978"/>
    <x v="175"/>
  </r>
  <r>
    <x v="15"/>
    <x v="121"/>
    <x v="2266"/>
    <x v="1"/>
    <x v="0"/>
    <x v="1226"/>
    <x v="342"/>
    <x v="979"/>
    <x v="175"/>
  </r>
  <r>
    <x v="15"/>
    <x v="122"/>
    <x v="2267"/>
    <x v="1"/>
    <x v="0"/>
    <x v="793"/>
    <x v="343"/>
    <x v="980"/>
    <x v="175"/>
  </r>
  <r>
    <x v="15"/>
    <x v="123"/>
    <x v="2268"/>
    <x v="1"/>
    <x v="0"/>
    <x v="1858"/>
    <x v="344"/>
    <x v="981"/>
    <x v="175"/>
  </r>
  <r>
    <x v="15"/>
    <x v="124"/>
    <x v="2269"/>
    <x v="1"/>
    <x v="0"/>
    <x v="1752"/>
    <x v="294"/>
    <x v="982"/>
    <x v="175"/>
  </r>
  <r>
    <x v="15"/>
    <x v="125"/>
    <x v="2270"/>
    <x v="1"/>
    <x v="0"/>
    <x v="1891"/>
    <x v="345"/>
    <x v="983"/>
    <x v="175"/>
  </r>
  <r>
    <x v="15"/>
    <x v="126"/>
    <x v="2271"/>
    <x v="1"/>
    <x v="0"/>
    <x v="477"/>
    <x v="243"/>
    <x v="984"/>
    <x v="176"/>
  </r>
  <r>
    <x v="15"/>
    <x v="127"/>
    <x v="2272"/>
    <x v="1"/>
    <x v="0"/>
    <x v="1790"/>
    <x v="346"/>
    <x v="985"/>
    <x v="176"/>
  </r>
  <r>
    <x v="15"/>
    <x v="128"/>
    <x v="2273"/>
    <x v="1"/>
    <x v="0"/>
    <x v="255"/>
    <x v="347"/>
    <x v="986"/>
    <x v="176"/>
  </r>
  <r>
    <x v="15"/>
    <x v="129"/>
    <x v="2274"/>
    <x v="1"/>
    <x v="0"/>
    <x v="1892"/>
    <x v="195"/>
    <x v="987"/>
    <x v="176"/>
  </r>
  <r>
    <x v="15"/>
    <x v="130"/>
    <x v="2275"/>
    <x v="1"/>
    <x v="0"/>
    <x v="1621"/>
    <x v="348"/>
    <x v="988"/>
    <x v="176"/>
  </r>
  <r>
    <x v="15"/>
    <x v="131"/>
    <x v="2276"/>
    <x v="1"/>
    <x v="0"/>
    <x v="293"/>
    <x v="349"/>
    <x v="989"/>
    <x v="176"/>
  </r>
  <r>
    <x v="15"/>
    <x v="132"/>
    <x v="2277"/>
    <x v="1"/>
    <x v="0"/>
    <x v="1893"/>
    <x v="303"/>
    <x v="990"/>
    <x v="176"/>
  </r>
  <r>
    <x v="15"/>
    <x v="133"/>
    <x v="2278"/>
    <x v="1"/>
    <x v="0"/>
    <x v="1346"/>
    <x v="350"/>
    <x v="991"/>
    <x v="176"/>
  </r>
  <r>
    <x v="15"/>
    <x v="134"/>
    <x v="2279"/>
    <x v="1"/>
    <x v="0"/>
    <x v="1894"/>
    <x v="351"/>
    <x v="992"/>
    <x v="176"/>
  </r>
  <r>
    <x v="15"/>
    <x v="135"/>
    <x v="2280"/>
    <x v="1"/>
    <x v="1"/>
    <x v="1148"/>
    <x v="310"/>
    <x v="993"/>
    <x v="176"/>
  </r>
  <r>
    <x v="15"/>
    <x v="136"/>
    <x v="2281"/>
    <x v="1"/>
    <x v="0"/>
    <x v="1895"/>
    <x v="200"/>
    <x v="994"/>
    <x v="176"/>
  </r>
  <r>
    <x v="15"/>
    <x v="137"/>
    <x v="2282"/>
    <x v="1"/>
    <x v="0"/>
    <x v="1896"/>
    <x v="352"/>
    <x v="995"/>
    <x v="176"/>
  </r>
  <r>
    <x v="15"/>
    <x v="138"/>
    <x v="2283"/>
    <x v="1"/>
    <x v="0"/>
    <x v="1897"/>
    <x v="353"/>
    <x v="996"/>
    <x v="176"/>
  </r>
  <r>
    <x v="15"/>
    <x v="139"/>
    <x v="2284"/>
    <x v="1"/>
    <x v="0"/>
    <x v="1898"/>
    <x v="354"/>
    <x v="997"/>
    <x v="177"/>
  </r>
  <r>
    <x v="15"/>
    <x v="140"/>
    <x v="2285"/>
    <x v="1"/>
    <x v="0"/>
    <x v="1899"/>
    <x v="355"/>
    <x v="998"/>
    <x v="177"/>
  </r>
  <r>
    <x v="15"/>
    <x v="141"/>
    <x v="2286"/>
    <x v="1"/>
    <x v="0"/>
    <x v="719"/>
    <x v="333"/>
    <x v="999"/>
    <x v="177"/>
  </r>
  <r>
    <x v="15"/>
    <x v="142"/>
    <x v="2287"/>
    <x v="1"/>
    <x v="0"/>
    <x v="1900"/>
    <x v="356"/>
    <x v="1000"/>
    <x v="177"/>
  </r>
  <r>
    <x v="16"/>
    <x v="0"/>
    <x v="2288"/>
    <x v="1"/>
    <x v="0"/>
    <x v="1901"/>
    <x v="520"/>
    <x v="429"/>
    <x v="178"/>
  </r>
  <r>
    <x v="16"/>
    <x v="1"/>
    <x v="2289"/>
    <x v="1"/>
    <x v="1"/>
    <x v="1902"/>
    <x v="160"/>
    <x v="430"/>
    <x v="178"/>
  </r>
  <r>
    <x v="16"/>
    <x v="2"/>
    <x v="2290"/>
    <x v="1"/>
    <x v="0"/>
    <x v="1903"/>
    <x v="141"/>
    <x v="431"/>
    <x v="178"/>
  </r>
  <r>
    <x v="16"/>
    <x v="3"/>
    <x v="2291"/>
    <x v="1"/>
    <x v="0"/>
    <x v="1904"/>
    <x v="5"/>
    <x v="432"/>
    <x v="178"/>
  </r>
  <r>
    <x v="16"/>
    <x v="4"/>
    <x v="2292"/>
    <x v="1"/>
    <x v="0"/>
    <x v="1905"/>
    <x v="521"/>
    <x v="433"/>
    <x v="178"/>
  </r>
  <r>
    <x v="16"/>
    <x v="5"/>
    <x v="2293"/>
    <x v="1"/>
    <x v="0"/>
    <x v="1906"/>
    <x v="522"/>
    <x v="434"/>
    <x v="178"/>
  </r>
  <r>
    <x v="16"/>
    <x v="6"/>
    <x v="2294"/>
    <x v="1"/>
    <x v="0"/>
    <x v="1907"/>
    <x v="523"/>
    <x v="435"/>
    <x v="178"/>
  </r>
  <r>
    <x v="16"/>
    <x v="7"/>
    <x v="2295"/>
    <x v="1"/>
    <x v="0"/>
    <x v="1908"/>
    <x v="524"/>
    <x v="436"/>
    <x v="178"/>
  </r>
  <r>
    <x v="16"/>
    <x v="8"/>
    <x v="2296"/>
    <x v="1"/>
    <x v="0"/>
    <x v="1909"/>
    <x v="525"/>
    <x v="437"/>
    <x v="179"/>
  </r>
  <r>
    <x v="16"/>
    <x v="9"/>
    <x v="2297"/>
    <x v="1"/>
    <x v="0"/>
    <x v="1910"/>
    <x v="361"/>
    <x v="438"/>
    <x v="179"/>
  </r>
  <r>
    <x v="16"/>
    <x v="10"/>
    <x v="2298"/>
    <x v="1"/>
    <x v="0"/>
    <x v="1911"/>
    <x v="359"/>
    <x v="439"/>
    <x v="179"/>
  </r>
  <r>
    <x v="16"/>
    <x v="11"/>
    <x v="2299"/>
    <x v="1"/>
    <x v="0"/>
    <x v="1912"/>
    <x v="526"/>
    <x v="440"/>
    <x v="179"/>
  </r>
  <r>
    <x v="16"/>
    <x v="12"/>
    <x v="2300"/>
    <x v="1"/>
    <x v="0"/>
    <x v="248"/>
    <x v="372"/>
    <x v="441"/>
    <x v="179"/>
  </r>
  <r>
    <x v="16"/>
    <x v="13"/>
    <x v="2301"/>
    <x v="1"/>
    <x v="0"/>
    <x v="1913"/>
    <x v="527"/>
    <x v="442"/>
    <x v="179"/>
  </r>
  <r>
    <x v="16"/>
    <x v="14"/>
    <x v="2302"/>
    <x v="1"/>
    <x v="0"/>
    <x v="1914"/>
    <x v="357"/>
    <x v="443"/>
    <x v="179"/>
  </r>
  <r>
    <x v="16"/>
    <x v="15"/>
    <x v="2303"/>
    <x v="1"/>
    <x v="0"/>
    <x v="1915"/>
    <x v="528"/>
    <x v="444"/>
    <x v="179"/>
  </r>
  <r>
    <x v="16"/>
    <x v="16"/>
    <x v="2304"/>
    <x v="1"/>
    <x v="0"/>
    <x v="1916"/>
    <x v="529"/>
    <x v="445"/>
    <x v="179"/>
  </r>
  <r>
    <x v="16"/>
    <x v="17"/>
    <x v="2305"/>
    <x v="1"/>
    <x v="0"/>
    <x v="1917"/>
    <x v="530"/>
    <x v="446"/>
    <x v="179"/>
  </r>
  <r>
    <x v="16"/>
    <x v="18"/>
    <x v="2306"/>
    <x v="1"/>
    <x v="0"/>
    <x v="1918"/>
    <x v="531"/>
    <x v="447"/>
    <x v="179"/>
  </r>
  <r>
    <x v="16"/>
    <x v="19"/>
    <x v="2307"/>
    <x v="1"/>
    <x v="0"/>
    <x v="1919"/>
    <x v="524"/>
    <x v="448"/>
    <x v="179"/>
  </r>
  <r>
    <x v="16"/>
    <x v="20"/>
    <x v="2308"/>
    <x v="1"/>
    <x v="0"/>
    <x v="1920"/>
    <x v="152"/>
    <x v="449"/>
    <x v="179"/>
  </r>
  <r>
    <x v="16"/>
    <x v="21"/>
    <x v="2309"/>
    <x v="1"/>
    <x v="0"/>
    <x v="1921"/>
    <x v="532"/>
    <x v="450"/>
    <x v="180"/>
  </r>
  <r>
    <x v="16"/>
    <x v="22"/>
    <x v="2310"/>
    <x v="1"/>
    <x v="0"/>
    <x v="1922"/>
    <x v="533"/>
    <x v="451"/>
    <x v="180"/>
  </r>
  <r>
    <x v="16"/>
    <x v="23"/>
    <x v="2311"/>
    <x v="1"/>
    <x v="0"/>
    <x v="1818"/>
    <x v="534"/>
    <x v="452"/>
    <x v="180"/>
  </r>
  <r>
    <x v="16"/>
    <x v="24"/>
    <x v="2312"/>
    <x v="1"/>
    <x v="0"/>
    <x v="1923"/>
    <x v="535"/>
    <x v="453"/>
    <x v="180"/>
  </r>
  <r>
    <x v="16"/>
    <x v="25"/>
    <x v="2313"/>
    <x v="1"/>
    <x v="0"/>
    <x v="1748"/>
    <x v="535"/>
    <x v="454"/>
    <x v="180"/>
  </r>
  <r>
    <x v="16"/>
    <x v="26"/>
    <x v="2314"/>
    <x v="1"/>
    <x v="0"/>
    <x v="1052"/>
    <x v="533"/>
    <x v="455"/>
    <x v="180"/>
  </r>
  <r>
    <x v="16"/>
    <x v="27"/>
    <x v="2315"/>
    <x v="1"/>
    <x v="0"/>
    <x v="1580"/>
    <x v="536"/>
    <x v="456"/>
    <x v="180"/>
  </r>
  <r>
    <x v="16"/>
    <x v="28"/>
    <x v="2316"/>
    <x v="1"/>
    <x v="0"/>
    <x v="1924"/>
    <x v="537"/>
    <x v="457"/>
    <x v="180"/>
  </r>
  <r>
    <x v="16"/>
    <x v="29"/>
    <x v="2317"/>
    <x v="1"/>
    <x v="0"/>
    <x v="1925"/>
    <x v="14"/>
    <x v="458"/>
    <x v="180"/>
  </r>
  <r>
    <x v="16"/>
    <x v="30"/>
    <x v="2318"/>
    <x v="1"/>
    <x v="0"/>
    <x v="1926"/>
    <x v="538"/>
    <x v="459"/>
    <x v="180"/>
  </r>
  <r>
    <x v="16"/>
    <x v="31"/>
    <x v="2319"/>
    <x v="0"/>
    <x v="1"/>
    <x v="1927"/>
    <x v="539"/>
    <x v="460"/>
    <x v="180"/>
  </r>
  <r>
    <x v="16"/>
    <x v="32"/>
    <x v="2320"/>
    <x v="1"/>
    <x v="0"/>
    <x v="1928"/>
    <x v="540"/>
    <x v="461"/>
    <x v="180"/>
  </r>
  <r>
    <x v="16"/>
    <x v="33"/>
    <x v="2321"/>
    <x v="1"/>
    <x v="0"/>
    <x v="1929"/>
    <x v="541"/>
    <x v="462"/>
    <x v="180"/>
  </r>
  <r>
    <x v="16"/>
    <x v="34"/>
    <x v="2322"/>
    <x v="1"/>
    <x v="0"/>
    <x v="1930"/>
    <x v="542"/>
    <x v="463"/>
    <x v="181"/>
  </r>
  <r>
    <x v="16"/>
    <x v="35"/>
    <x v="2323"/>
    <x v="1"/>
    <x v="0"/>
    <x v="378"/>
    <x v="531"/>
    <x v="464"/>
    <x v="181"/>
  </r>
  <r>
    <x v="16"/>
    <x v="36"/>
    <x v="2324"/>
    <x v="1"/>
    <x v="0"/>
    <x v="1931"/>
    <x v="151"/>
    <x v="465"/>
    <x v="181"/>
  </r>
  <r>
    <x v="16"/>
    <x v="37"/>
    <x v="2325"/>
    <x v="1"/>
    <x v="0"/>
    <x v="1932"/>
    <x v="543"/>
    <x v="466"/>
    <x v="181"/>
  </r>
  <r>
    <x v="16"/>
    <x v="38"/>
    <x v="2326"/>
    <x v="1"/>
    <x v="0"/>
    <x v="1933"/>
    <x v="531"/>
    <x v="467"/>
    <x v="181"/>
  </r>
  <r>
    <x v="16"/>
    <x v="39"/>
    <x v="2327"/>
    <x v="1"/>
    <x v="0"/>
    <x v="1934"/>
    <x v="544"/>
    <x v="468"/>
    <x v="181"/>
  </r>
  <r>
    <x v="16"/>
    <x v="40"/>
    <x v="2328"/>
    <x v="1"/>
    <x v="0"/>
    <x v="1935"/>
    <x v="544"/>
    <x v="469"/>
    <x v="181"/>
  </r>
  <r>
    <x v="16"/>
    <x v="41"/>
    <x v="2329"/>
    <x v="1"/>
    <x v="0"/>
    <x v="1936"/>
    <x v="525"/>
    <x v="470"/>
    <x v="181"/>
  </r>
  <r>
    <x v="16"/>
    <x v="42"/>
    <x v="2330"/>
    <x v="1"/>
    <x v="1"/>
    <x v="1937"/>
    <x v="545"/>
    <x v="471"/>
    <x v="181"/>
  </r>
  <r>
    <x v="16"/>
    <x v="43"/>
    <x v="2331"/>
    <x v="1"/>
    <x v="0"/>
    <x v="1938"/>
    <x v="546"/>
    <x v="472"/>
    <x v="181"/>
  </r>
  <r>
    <x v="16"/>
    <x v="44"/>
    <x v="2332"/>
    <x v="1"/>
    <x v="0"/>
    <x v="505"/>
    <x v="547"/>
    <x v="473"/>
    <x v="181"/>
  </r>
  <r>
    <x v="16"/>
    <x v="45"/>
    <x v="2333"/>
    <x v="0"/>
    <x v="0"/>
    <x v="1939"/>
    <x v="525"/>
    <x v="474"/>
    <x v="181"/>
  </r>
  <r>
    <x v="16"/>
    <x v="46"/>
    <x v="2334"/>
    <x v="0"/>
    <x v="0"/>
    <x v="1940"/>
    <x v="548"/>
    <x v="475"/>
    <x v="181"/>
  </r>
  <r>
    <x v="16"/>
    <x v="47"/>
    <x v="2335"/>
    <x v="1"/>
    <x v="1"/>
    <x v="1873"/>
    <x v="538"/>
    <x v="476"/>
    <x v="181"/>
  </r>
  <r>
    <x v="16"/>
    <x v="48"/>
    <x v="2336"/>
    <x v="0"/>
    <x v="0"/>
    <x v="1941"/>
    <x v="549"/>
    <x v="477"/>
    <x v="182"/>
  </r>
  <r>
    <x v="16"/>
    <x v="49"/>
    <x v="2337"/>
    <x v="1"/>
    <x v="0"/>
    <x v="1942"/>
    <x v="550"/>
    <x v="478"/>
    <x v="182"/>
  </r>
  <r>
    <x v="16"/>
    <x v="50"/>
    <x v="2338"/>
    <x v="1"/>
    <x v="0"/>
    <x v="1943"/>
    <x v="551"/>
    <x v="479"/>
    <x v="182"/>
  </r>
  <r>
    <x v="16"/>
    <x v="51"/>
    <x v="2339"/>
    <x v="1"/>
    <x v="0"/>
    <x v="1944"/>
    <x v="552"/>
    <x v="480"/>
    <x v="182"/>
  </r>
  <r>
    <x v="16"/>
    <x v="52"/>
    <x v="2340"/>
    <x v="1"/>
    <x v="0"/>
    <x v="1945"/>
    <x v="553"/>
    <x v="481"/>
    <x v="182"/>
  </r>
  <r>
    <x v="16"/>
    <x v="53"/>
    <x v="2341"/>
    <x v="1"/>
    <x v="1"/>
    <x v="1946"/>
    <x v="362"/>
    <x v="482"/>
    <x v="182"/>
  </r>
  <r>
    <x v="16"/>
    <x v="54"/>
    <x v="2342"/>
    <x v="1"/>
    <x v="0"/>
    <x v="1947"/>
    <x v="554"/>
    <x v="483"/>
    <x v="182"/>
  </r>
  <r>
    <x v="16"/>
    <x v="55"/>
    <x v="2343"/>
    <x v="1"/>
    <x v="0"/>
    <x v="1948"/>
    <x v="371"/>
    <x v="484"/>
    <x v="182"/>
  </r>
  <r>
    <x v="16"/>
    <x v="56"/>
    <x v="2344"/>
    <x v="1"/>
    <x v="0"/>
    <x v="1949"/>
    <x v="555"/>
    <x v="485"/>
    <x v="182"/>
  </r>
  <r>
    <x v="16"/>
    <x v="57"/>
    <x v="2345"/>
    <x v="1"/>
    <x v="0"/>
    <x v="1950"/>
    <x v="120"/>
    <x v="486"/>
    <x v="182"/>
  </r>
  <r>
    <x v="16"/>
    <x v="58"/>
    <x v="2346"/>
    <x v="1"/>
    <x v="0"/>
    <x v="1951"/>
    <x v="125"/>
    <x v="487"/>
    <x v="182"/>
  </r>
  <r>
    <x v="16"/>
    <x v="59"/>
    <x v="2347"/>
    <x v="1"/>
    <x v="0"/>
    <x v="1952"/>
    <x v="556"/>
    <x v="488"/>
    <x v="182"/>
  </r>
  <r>
    <x v="16"/>
    <x v="60"/>
    <x v="2348"/>
    <x v="1"/>
    <x v="0"/>
    <x v="720"/>
    <x v="557"/>
    <x v="489"/>
    <x v="183"/>
  </r>
  <r>
    <x v="16"/>
    <x v="61"/>
    <x v="2349"/>
    <x v="1"/>
    <x v="0"/>
    <x v="1953"/>
    <x v="304"/>
    <x v="490"/>
    <x v="183"/>
  </r>
  <r>
    <x v="16"/>
    <x v="62"/>
    <x v="2350"/>
    <x v="1"/>
    <x v="0"/>
    <x v="1954"/>
    <x v="558"/>
    <x v="491"/>
    <x v="183"/>
  </r>
  <r>
    <x v="16"/>
    <x v="63"/>
    <x v="2351"/>
    <x v="0"/>
    <x v="0"/>
    <x v="1955"/>
    <x v="559"/>
    <x v="492"/>
    <x v="183"/>
  </r>
  <r>
    <x v="16"/>
    <x v="64"/>
    <x v="2352"/>
    <x v="1"/>
    <x v="0"/>
    <x v="1956"/>
    <x v="192"/>
    <x v="493"/>
    <x v="183"/>
  </r>
  <r>
    <x v="16"/>
    <x v="65"/>
    <x v="2353"/>
    <x v="1"/>
    <x v="0"/>
    <x v="1957"/>
    <x v="560"/>
    <x v="494"/>
    <x v="183"/>
  </r>
  <r>
    <x v="16"/>
    <x v="66"/>
    <x v="2354"/>
    <x v="1"/>
    <x v="0"/>
    <x v="371"/>
    <x v="561"/>
    <x v="495"/>
    <x v="183"/>
  </r>
  <r>
    <x v="16"/>
    <x v="67"/>
    <x v="2355"/>
    <x v="1"/>
    <x v="0"/>
    <x v="1958"/>
    <x v="562"/>
    <x v="496"/>
    <x v="183"/>
  </r>
  <r>
    <x v="16"/>
    <x v="68"/>
    <x v="2356"/>
    <x v="1"/>
    <x v="0"/>
    <x v="1301"/>
    <x v="563"/>
    <x v="497"/>
    <x v="183"/>
  </r>
  <r>
    <x v="16"/>
    <x v="69"/>
    <x v="2357"/>
    <x v="1"/>
    <x v="0"/>
    <x v="1006"/>
    <x v="564"/>
    <x v="498"/>
    <x v="183"/>
  </r>
  <r>
    <x v="16"/>
    <x v="70"/>
    <x v="2358"/>
    <x v="1"/>
    <x v="0"/>
    <x v="1959"/>
    <x v="565"/>
    <x v="499"/>
    <x v="183"/>
  </r>
  <r>
    <x v="16"/>
    <x v="71"/>
    <x v="2359"/>
    <x v="1"/>
    <x v="0"/>
    <x v="1960"/>
    <x v="566"/>
    <x v="500"/>
    <x v="183"/>
  </r>
  <r>
    <x v="16"/>
    <x v="72"/>
    <x v="2360"/>
    <x v="1"/>
    <x v="0"/>
    <x v="1961"/>
    <x v="567"/>
    <x v="501"/>
    <x v="183"/>
  </r>
  <r>
    <x v="16"/>
    <x v="73"/>
    <x v="2361"/>
    <x v="1"/>
    <x v="0"/>
    <x v="1962"/>
    <x v="346"/>
    <x v="502"/>
    <x v="184"/>
  </r>
  <r>
    <x v="16"/>
    <x v="74"/>
    <x v="2362"/>
    <x v="1"/>
    <x v="0"/>
    <x v="1963"/>
    <x v="198"/>
    <x v="503"/>
    <x v="184"/>
  </r>
  <r>
    <x v="16"/>
    <x v="75"/>
    <x v="2363"/>
    <x v="1"/>
    <x v="0"/>
    <x v="1964"/>
    <x v="568"/>
    <x v="504"/>
    <x v="184"/>
  </r>
  <r>
    <x v="16"/>
    <x v="76"/>
    <x v="2364"/>
    <x v="1"/>
    <x v="0"/>
    <x v="1965"/>
    <x v="198"/>
    <x v="505"/>
    <x v="184"/>
  </r>
  <r>
    <x v="16"/>
    <x v="77"/>
    <x v="2365"/>
    <x v="1"/>
    <x v="0"/>
    <x v="1621"/>
    <x v="569"/>
    <x v="506"/>
    <x v="184"/>
  </r>
  <r>
    <x v="16"/>
    <x v="78"/>
    <x v="2366"/>
    <x v="1"/>
    <x v="0"/>
    <x v="1509"/>
    <x v="461"/>
    <x v="507"/>
    <x v="184"/>
  </r>
  <r>
    <x v="16"/>
    <x v="79"/>
    <x v="2367"/>
    <x v="1"/>
    <x v="0"/>
    <x v="499"/>
    <x v="570"/>
    <x v="508"/>
    <x v="184"/>
  </r>
  <r>
    <x v="16"/>
    <x v="80"/>
    <x v="2368"/>
    <x v="1"/>
    <x v="0"/>
    <x v="1753"/>
    <x v="571"/>
    <x v="509"/>
    <x v="184"/>
  </r>
  <r>
    <x v="16"/>
    <x v="81"/>
    <x v="2369"/>
    <x v="1"/>
    <x v="0"/>
    <x v="319"/>
    <x v="195"/>
    <x v="510"/>
    <x v="184"/>
  </r>
  <r>
    <x v="16"/>
    <x v="82"/>
    <x v="2370"/>
    <x v="1"/>
    <x v="0"/>
    <x v="87"/>
    <x v="572"/>
    <x v="511"/>
    <x v="184"/>
  </r>
  <r>
    <x v="16"/>
    <x v="83"/>
    <x v="2371"/>
    <x v="0"/>
    <x v="1"/>
    <x v="1966"/>
    <x v="223"/>
    <x v="512"/>
    <x v="184"/>
  </r>
  <r>
    <x v="16"/>
    <x v="84"/>
    <x v="2372"/>
    <x v="0"/>
    <x v="0"/>
    <x v="208"/>
    <x v="573"/>
    <x v="513"/>
    <x v="184"/>
  </r>
  <r>
    <x v="16"/>
    <x v="85"/>
    <x v="2373"/>
    <x v="1"/>
    <x v="0"/>
    <x v="1197"/>
    <x v="69"/>
    <x v="514"/>
    <x v="184"/>
  </r>
  <r>
    <x v="16"/>
    <x v="86"/>
    <x v="2374"/>
    <x v="1"/>
    <x v="0"/>
    <x v="1967"/>
    <x v="574"/>
    <x v="515"/>
    <x v="184"/>
  </r>
  <r>
    <x v="16"/>
    <x v="87"/>
    <x v="2375"/>
    <x v="1"/>
    <x v="0"/>
    <x v="1418"/>
    <x v="575"/>
    <x v="516"/>
    <x v="185"/>
  </r>
  <r>
    <x v="16"/>
    <x v="88"/>
    <x v="2376"/>
    <x v="1"/>
    <x v="0"/>
    <x v="1968"/>
    <x v="576"/>
    <x v="517"/>
    <x v="185"/>
  </r>
  <r>
    <x v="16"/>
    <x v="89"/>
    <x v="2377"/>
    <x v="1"/>
    <x v="0"/>
    <x v="1969"/>
    <x v="577"/>
    <x v="518"/>
    <x v="185"/>
  </r>
  <r>
    <x v="16"/>
    <x v="90"/>
    <x v="2378"/>
    <x v="1"/>
    <x v="0"/>
    <x v="806"/>
    <x v="576"/>
    <x v="519"/>
    <x v="185"/>
  </r>
  <r>
    <x v="16"/>
    <x v="91"/>
    <x v="2379"/>
    <x v="1"/>
    <x v="0"/>
    <x v="1970"/>
    <x v="312"/>
    <x v="520"/>
    <x v="185"/>
  </r>
  <r>
    <x v="16"/>
    <x v="92"/>
    <x v="2380"/>
    <x v="1"/>
    <x v="0"/>
    <x v="1971"/>
    <x v="578"/>
    <x v="521"/>
    <x v="185"/>
  </r>
  <r>
    <x v="16"/>
    <x v="93"/>
    <x v="2381"/>
    <x v="1"/>
    <x v="0"/>
    <x v="1972"/>
    <x v="432"/>
    <x v="522"/>
    <x v="185"/>
  </r>
  <r>
    <x v="16"/>
    <x v="94"/>
    <x v="2382"/>
    <x v="0"/>
    <x v="1"/>
    <x v="1973"/>
    <x v="579"/>
    <x v="523"/>
    <x v="185"/>
  </r>
  <r>
    <x v="16"/>
    <x v="95"/>
    <x v="2383"/>
    <x v="1"/>
    <x v="0"/>
    <x v="1974"/>
    <x v="580"/>
    <x v="524"/>
    <x v="185"/>
  </r>
  <r>
    <x v="16"/>
    <x v="96"/>
    <x v="2384"/>
    <x v="1"/>
    <x v="0"/>
    <x v="1975"/>
    <x v="581"/>
    <x v="525"/>
    <x v="185"/>
  </r>
  <r>
    <x v="16"/>
    <x v="97"/>
    <x v="2385"/>
    <x v="0"/>
    <x v="0"/>
    <x v="1976"/>
    <x v="582"/>
    <x v="526"/>
    <x v="185"/>
  </r>
  <r>
    <x v="16"/>
    <x v="98"/>
    <x v="2386"/>
    <x v="0"/>
    <x v="0"/>
    <x v="1977"/>
    <x v="583"/>
    <x v="527"/>
    <x v="185"/>
  </r>
  <r>
    <x v="16"/>
    <x v="99"/>
    <x v="2387"/>
    <x v="1"/>
    <x v="1"/>
    <x v="1978"/>
    <x v="216"/>
    <x v="528"/>
    <x v="185"/>
  </r>
  <r>
    <x v="16"/>
    <x v="100"/>
    <x v="2388"/>
    <x v="0"/>
    <x v="0"/>
    <x v="1979"/>
    <x v="387"/>
    <x v="529"/>
    <x v="186"/>
  </r>
  <r>
    <x v="16"/>
    <x v="101"/>
    <x v="2389"/>
    <x v="1"/>
    <x v="0"/>
    <x v="1980"/>
    <x v="584"/>
    <x v="530"/>
    <x v="186"/>
  </r>
  <r>
    <x v="16"/>
    <x v="102"/>
    <x v="2390"/>
    <x v="1"/>
    <x v="0"/>
    <x v="1828"/>
    <x v="391"/>
    <x v="531"/>
    <x v="186"/>
  </r>
  <r>
    <x v="16"/>
    <x v="103"/>
    <x v="2391"/>
    <x v="1"/>
    <x v="0"/>
    <x v="1981"/>
    <x v="179"/>
    <x v="532"/>
    <x v="186"/>
  </r>
  <r>
    <x v="16"/>
    <x v="104"/>
    <x v="2392"/>
    <x v="1"/>
    <x v="0"/>
    <x v="1982"/>
    <x v="325"/>
    <x v="533"/>
    <x v="186"/>
  </r>
  <r>
    <x v="16"/>
    <x v="105"/>
    <x v="2393"/>
    <x v="1"/>
    <x v="1"/>
    <x v="1983"/>
    <x v="585"/>
    <x v="534"/>
    <x v="186"/>
  </r>
  <r>
    <x v="16"/>
    <x v="106"/>
    <x v="2394"/>
    <x v="1"/>
    <x v="0"/>
    <x v="1984"/>
    <x v="216"/>
    <x v="535"/>
    <x v="186"/>
  </r>
  <r>
    <x v="16"/>
    <x v="107"/>
    <x v="2395"/>
    <x v="1"/>
    <x v="0"/>
    <x v="1985"/>
    <x v="370"/>
    <x v="536"/>
    <x v="186"/>
  </r>
  <r>
    <x v="16"/>
    <x v="108"/>
    <x v="2396"/>
    <x v="1"/>
    <x v="0"/>
    <x v="1986"/>
    <x v="586"/>
    <x v="537"/>
    <x v="186"/>
  </r>
  <r>
    <x v="16"/>
    <x v="109"/>
    <x v="2397"/>
    <x v="1"/>
    <x v="0"/>
    <x v="1831"/>
    <x v="587"/>
    <x v="538"/>
    <x v="186"/>
  </r>
  <r>
    <x v="16"/>
    <x v="110"/>
    <x v="2398"/>
    <x v="1"/>
    <x v="0"/>
    <x v="1987"/>
    <x v="588"/>
    <x v="539"/>
    <x v="186"/>
  </r>
  <r>
    <x v="16"/>
    <x v="111"/>
    <x v="2399"/>
    <x v="1"/>
    <x v="0"/>
    <x v="1988"/>
    <x v="589"/>
    <x v="540"/>
    <x v="186"/>
  </r>
  <r>
    <x v="16"/>
    <x v="112"/>
    <x v="2400"/>
    <x v="1"/>
    <x v="0"/>
    <x v="1989"/>
    <x v="108"/>
    <x v="541"/>
    <x v="186"/>
  </r>
  <r>
    <x v="16"/>
    <x v="113"/>
    <x v="2401"/>
    <x v="1"/>
    <x v="0"/>
    <x v="1662"/>
    <x v="420"/>
    <x v="542"/>
    <x v="187"/>
  </r>
  <r>
    <x v="16"/>
    <x v="114"/>
    <x v="2402"/>
    <x v="1"/>
    <x v="0"/>
    <x v="1990"/>
    <x v="590"/>
    <x v="543"/>
    <x v="187"/>
  </r>
  <r>
    <x v="16"/>
    <x v="115"/>
    <x v="2403"/>
    <x v="0"/>
    <x v="0"/>
    <x v="1968"/>
    <x v="110"/>
    <x v="544"/>
    <x v="187"/>
  </r>
  <r>
    <x v="16"/>
    <x v="116"/>
    <x v="2404"/>
    <x v="1"/>
    <x v="0"/>
    <x v="92"/>
    <x v="419"/>
    <x v="545"/>
    <x v="187"/>
  </r>
  <r>
    <x v="16"/>
    <x v="117"/>
    <x v="2405"/>
    <x v="1"/>
    <x v="0"/>
    <x v="638"/>
    <x v="591"/>
    <x v="546"/>
    <x v="187"/>
  </r>
  <r>
    <x v="16"/>
    <x v="118"/>
    <x v="2406"/>
    <x v="1"/>
    <x v="0"/>
    <x v="1073"/>
    <x v="592"/>
    <x v="547"/>
    <x v="187"/>
  </r>
  <r>
    <x v="16"/>
    <x v="119"/>
    <x v="2407"/>
    <x v="1"/>
    <x v="0"/>
    <x v="1991"/>
    <x v="593"/>
    <x v="548"/>
    <x v="187"/>
  </r>
  <r>
    <x v="16"/>
    <x v="120"/>
    <x v="2408"/>
    <x v="1"/>
    <x v="0"/>
    <x v="1992"/>
    <x v="594"/>
    <x v="549"/>
    <x v="187"/>
  </r>
  <r>
    <x v="16"/>
    <x v="121"/>
    <x v="2409"/>
    <x v="1"/>
    <x v="0"/>
    <x v="1993"/>
    <x v="595"/>
    <x v="550"/>
    <x v="187"/>
  </r>
  <r>
    <x v="16"/>
    <x v="122"/>
    <x v="2410"/>
    <x v="1"/>
    <x v="0"/>
    <x v="1186"/>
    <x v="596"/>
    <x v="551"/>
    <x v="187"/>
  </r>
  <r>
    <x v="16"/>
    <x v="123"/>
    <x v="2411"/>
    <x v="1"/>
    <x v="0"/>
    <x v="1994"/>
    <x v="597"/>
    <x v="552"/>
    <x v="187"/>
  </r>
  <r>
    <x v="16"/>
    <x v="124"/>
    <x v="2412"/>
    <x v="1"/>
    <x v="0"/>
    <x v="55"/>
    <x v="598"/>
    <x v="553"/>
    <x v="187"/>
  </r>
  <r>
    <x v="16"/>
    <x v="125"/>
    <x v="2413"/>
    <x v="1"/>
    <x v="0"/>
    <x v="1995"/>
    <x v="599"/>
    <x v="554"/>
    <x v="187"/>
  </r>
  <r>
    <x v="16"/>
    <x v="126"/>
    <x v="2414"/>
    <x v="1"/>
    <x v="0"/>
    <x v="684"/>
    <x v="106"/>
    <x v="555"/>
    <x v="188"/>
  </r>
  <r>
    <x v="16"/>
    <x v="127"/>
    <x v="2415"/>
    <x v="1"/>
    <x v="0"/>
    <x v="339"/>
    <x v="461"/>
    <x v="556"/>
    <x v="188"/>
  </r>
  <r>
    <x v="16"/>
    <x v="128"/>
    <x v="2416"/>
    <x v="1"/>
    <x v="0"/>
    <x v="1996"/>
    <x v="351"/>
    <x v="557"/>
    <x v="188"/>
  </r>
  <r>
    <x v="16"/>
    <x v="129"/>
    <x v="2417"/>
    <x v="1"/>
    <x v="0"/>
    <x v="1997"/>
    <x v="600"/>
    <x v="558"/>
    <x v="188"/>
  </r>
  <r>
    <x v="16"/>
    <x v="130"/>
    <x v="2418"/>
    <x v="1"/>
    <x v="0"/>
    <x v="339"/>
    <x v="601"/>
    <x v="559"/>
    <x v="188"/>
  </r>
  <r>
    <x v="16"/>
    <x v="131"/>
    <x v="2419"/>
    <x v="1"/>
    <x v="0"/>
    <x v="1998"/>
    <x v="349"/>
    <x v="560"/>
    <x v="188"/>
  </r>
  <r>
    <x v="16"/>
    <x v="132"/>
    <x v="2420"/>
    <x v="1"/>
    <x v="0"/>
    <x v="1999"/>
    <x v="303"/>
    <x v="561"/>
    <x v="188"/>
  </r>
  <r>
    <x v="16"/>
    <x v="133"/>
    <x v="2421"/>
    <x v="1"/>
    <x v="0"/>
    <x v="2000"/>
    <x v="602"/>
    <x v="562"/>
    <x v="188"/>
  </r>
  <r>
    <x v="16"/>
    <x v="134"/>
    <x v="2422"/>
    <x v="1"/>
    <x v="0"/>
    <x v="153"/>
    <x v="603"/>
    <x v="563"/>
    <x v="188"/>
  </r>
  <r>
    <x v="16"/>
    <x v="135"/>
    <x v="2423"/>
    <x v="0"/>
    <x v="1"/>
    <x v="2001"/>
    <x v="604"/>
    <x v="564"/>
    <x v="188"/>
  </r>
  <r>
    <x v="16"/>
    <x v="136"/>
    <x v="2424"/>
    <x v="0"/>
    <x v="0"/>
    <x v="2002"/>
    <x v="114"/>
    <x v="565"/>
    <x v="188"/>
  </r>
  <r>
    <x v="16"/>
    <x v="137"/>
    <x v="2425"/>
    <x v="1"/>
    <x v="0"/>
    <x v="2003"/>
    <x v="605"/>
    <x v="566"/>
    <x v="188"/>
  </r>
  <r>
    <x v="16"/>
    <x v="138"/>
    <x v="2426"/>
    <x v="1"/>
    <x v="0"/>
    <x v="199"/>
    <x v="605"/>
    <x v="567"/>
    <x v="188"/>
  </r>
  <r>
    <x v="16"/>
    <x v="139"/>
    <x v="2427"/>
    <x v="1"/>
    <x v="0"/>
    <x v="2004"/>
    <x v="606"/>
    <x v="568"/>
    <x v="189"/>
  </r>
  <r>
    <x v="16"/>
    <x v="140"/>
    <x v="2428"/>
    <x v="1"/>
    <x v="0"/>
    <x v="2005"/>
    <x v="607"/>
    <x v="569"/>
    <x v="189"/>
  </r>
  <r>
    <x v="16"/>
    <x v="141"/>
    <x v="2429"/>
    <x v="1"/>
    <x v="0"/>
    <x v="2006"/>
    <x v="187"/>
    <x v="570"/>
    <x v="189"/>
  </r>
  <r>
    <x v="16"/>
    <x v="142"/>
    <x v="2430"/>
    <x v="1"/>
    <x v="0"/>
    <x v="1826"/>
    <x v="608"/>
    <x v="571"/>
    <x v="189"/>
  </r>
  <r>
    <x v="17"/>
    <x v="0"/>
    <x v="2431"/>
    <x v="0"/>
    <x v="0"/>
    <x v="2007"/>
    <x v="258"/>
    <x v="1430"/>
    <x v="190"/>
  </r>
  <r>
    <x v="17"/>
    <x v="1"/>
    <x v="2432"/>
    <x v="0"/>
    <x v="1"/>
    <x v="2008"/>
    <x v="40"/>
    <x v="1431"/>
    <x v="190"/>
  </r>
  <r>
    <x v="17"/>
    <x v="2"/>
    <x v="2433"/>
    <x v="0"/>
    <x v="0"/>
    <x v="2009"/>
    <x v="769"/>
    <x v="1432"/>
    <x v="190"/>
  </r>
  <r>
    <x v="17"/>
    <x v="3"/>
    <x v="2434"/>
    <x v="0"/>
    <x v="0"/>
    <x v="2010"/>
    <x v="770"/>
    <x v="1433"/>
    <x v="190"/>
  </r>
  <r>
    <x v="17"/>
    <x v="4"/>
    <x v="2435"/>
    <x v="0"/>
    <x v="0"/>
    <x v="2011"/>
    <x v="257"/>
    <x v="1434"/>
    <x v="190"/>
  </r>
  <r>
    <x v="17"/>
    <x v="5"/>
    <x v="2436"/>
    <x v="0"/>
    <x v="0"/>
    <x v="2012"/>
    <x v="148"/>
    <x v="1435"/>
    <x v="190"/>
  </r>
  <r>
    <x v="17"/>
    <x v="6"/>
    <x v="2437"/>
    <x v="0"/>
    <x v="0"/>
    <x v="2013"/>
    <x v="771"/>
    <x v="1436"/>
    <x v="190"/>
  </r>
  <r>
    <x v="17"/>
    <x v="7"/>
    <x v="2438"/>
    <x v="0"/>
    <x v="0"/>
    <x v="188"/>
    <x v="544"/>
    <x v="1437"/>
    <x v="190"/>
  </r>
  <r>
    <x v="17"/>
    <x v="8"/>
    <x v="2439"/>
    <x v="0"/>
    <x v="0"/>
    <x v="2014"/>
    <x v="15"/>
    <x v="1438"/>
    <x v="191"/>
  </r>
  <r>
    <x v="17"/>
    <x v="9"/>
    <x v="2440"/>
    <x v="0"/>
    <x v="0"/>
    <x v="2015"/>
    <x v="543"/>
    <x v="1439"/>
    <x v="191"/>
  </r>
  <r>
    <x v="17"/>
    <x v="10"/>
    <x v="2441"/>
    <x v="0"/>
    <x v="0"/>
    <x v="2016"/>
    <x v="709"/>
    <x v="1440"/>
    <x v="191"/>
  </r>
  <r>
    <x v="17"/>
    <x v="11"/>
    <x v="2442"/>
    <x v="0"/>
    <x v="0"/>
    <x v="2017"/>
    <x v="772"/>
    <x v="1441"/>
    <x v="191"/>
  </r>
  <r>
    <x v="17"/>
    <x v="12"/>
    <x v="2443"/>
    <x v="0"/>
    <x v="0"/>
    <x v="2018"/>
    <x v="374"/>
    <x v="1442"/>
    <x v="191"/>
  </r>
  <r>
    <x v="17"/>
    <x v="13"/>
    <x v="2444"/>
    <x v="0"/>
    <x v="0"/>
    <x v="2019"/>
    <x v="773"/>
    <x v="1443"/>
    <x v="191"/>
  </r>
  <r>
    <x v="17"/>
    <x v="14"/>
    <x v="2445"/>
    <x v="0"/>
    <x v="0"/>
    <x v="2020"/>
    <x v="48"/>
    <x v="1444"/>
    <x v="191"/>
  </r>
  <r>
    <x v="17"/>
    <x v="15"/>
    <x v="2446"/>
    <x v="0"/>
    <x v="0"/>
    <x v="2021"/>
    <x v="382"/>
    <x v="1445"/>
    <x v="191"/>
  </r>
  <r>
    <x v="17"/>
    <x v="16"/>
    <x v="2447"/>
    <x v="0"/>
    <x v="0"/>
    <x v="2022"/>
    <x v="774"/>
    <x v="1446"/>
    <x v="191"/>
  </r>
  <r>
    <x v="17"/>
    <x v="17"/>
    <x v="2448"/>
    <x v="0"/>
    <x v="0"/>
    <x v="1245"/>
    <x v="775"/>
    <x v="1447"/>
    <x v="191"/>
  </r>
  <r>
    <x v="17"/>
    <x v="18"/>
    <x v="2449"/>
    <x v="0"/>
    <x v="0"/>
    <x v="2023"/>
    <x v="545"/>
    <x v="1448"/>
    <x v="191"/>
  </r>
  <r>
    <x v="17"/>
    <x v="19"/>
    <x v="2450"/>
    <x v="0"/>
    <x v="0"/>
    <x v="2024"/>
    <x v="148"/>
    <x v="1449"/>
    <x v="191"/>
  </r>
  <r>
    <x v="17"/>
    <x v="20"/>
    <x v="2451"/>
    <x v="0"/>
    <x v="0"/>
    <x v="1205"/>
    <x v="147"/>
    <x v="1450"/>
    <x v="191"/>
  </r>
  <r>
    <x v="17"/>
    <x v="21"/>
    <x v="2452"/>
    <x v="0"/>
    <x v="0"/>
    <x v="2025"/>
    <x v="622"/>
    <x v="1451"/>
    <x v="192"/>
  </r>
  <r>
    <x v="17"/>
    <x v="22"/>
    <x v="2453"/>
    <x v="0"/>
    <x v="0"/>
    <x v="2026"/>
    <x v="776"/>
    <x v="1452"/>
    <x v="192"/>
  </r>
  <r>
    <x v="17"/>
    <x v="23"/>
    <x v="2454"/>
    <x v="0"/>
    <x v="0"/>
    <x v="314"/>
    <x v="777"/>
    <x v="1453"/>
    <x v="192"/>
  </r>
  <r>
    <x v="17"/>
    <x v="24"/>
    <x v="2455"/>
    <x v="1"/>
    <x v="0"/>
    <x v="943"/>
    <x v="609"/>
    <x v="1454"/>
    <x v="192"/>
  </r>
  <r>
    <x v="17"/>
    <x v="25"/>
    <x v="2456"/>
    <x v="0"/>
    <x v="0"/>
    <x v="343"/>
    <x v="778"/>
    <x v="1455"/>
    <x v="192"/>
  </r>
  <r>
    <x v="17"/>
    <x v="26"/>
    <x v="2457"/>
    <x v="0"/>
    <x v="0"/>
    <x v="2027"/>
    <x v="778"/>
    <x v="1456"/>
    <x v="192"/>
  </r>
  <r>
    <x v="17"/>
    <x v="27"/>
    <x v="2458"/>
    <x v="0"/>
    <x v="0"/>
    <x v="1349"/>
    <x v="147"/>
    <x v="1457"/>
    <x v="192"/>
  </r>
  <r>
    <x v="17"/>
    <x v="28"/>
    <x v="2459"/>
    <x v="0"/>
    <x v="0"/>
    <x v="2028"/>
    <x v="777"/>
    <x v="1458"/>
    <x v="192"/>
  </r>
  <r>
    <x v="17"/>
    <x v="29"/>
    <x v="2460"/>
    <x v="0"/>
    <x v="0"/>
    <x v="2029"/>
    <x v="9"/>
    <x v="1459"/>
    <x v="192"/>
  </r>
  <r>
    <x v="17"/>
    <x v="30"/>
    <x v="2461"/>
    <x v="0"/>
    <x v="0"/>
    <x v="2030"/>
    <x v="41"/>
    <x v="1460"/>
    <x v="192"/>
  </r>
  <r>
    <x v="17"/>
    <x v="31"/>
    <x v="2462"/>
    <x v="1"/>
    <x v="1"/>
    <x v="1859"/>
    <x v="253"/>
    <x v="1461"/>
    <x v="192"/>
  </r>
  <r>
    <x v="17"/>
    <x v="32"/>
    <x v="2463"/>
    <x v="1"/>
    <x v="0"/>
    <x v="2031"/>
    <x v="37"/>
    <x v="1462"/>
    <x v="192"/>
  </r>
  <r>
    <x v="17"/>
    <x v="33"/>
    <x v="2464"/>
    <x v="1"/>
    <x v="0"/>
    <x v="2032"/>
    <x v="166"/>
    <x v="1463"/>
    <x v="192"/>
  </r>
  <r>
    <x v="17"/>
    <x v="34"/>
    <x v="2465"/>
    <x v="1"/>
    <x v="0"/>
    <x v="648"/>
    <x v="253"/>
    <x v="1464"/>
    <x v="193"/>
  </r>
  <r>
    <x v="17"/>
    <x v="35"/>
    <x v="2466"/>
    <x v="0"/>
    <x v="0"/>
    <x v="2033"/>
    <x v="256"/>
    <x v="1465"/>
    <x v="193"/>
  </r>
  <r>
    <x v="17"/>
    <x v="36"/>
    <x v="2467"/>
    <x v="1"/>
    <x v="0"/>
    <x v="1411"/>
    <x v="779"/>
    <x v="1466"/>
    <x v="193"/>
  </r>
  <r>
    <x v="17"/>
    <x v="37"/>
    <x v="2468"/>
    <x v="0"/>
    <x v="0"/>
    <x v="502"/>
    <x v="695"/>
    <x v="1467"/>
    <x v="193"/>
  </r>
  <r>
    <x v="17"/>
    <x v="38"/>
    <x v="2469"/>
    <x v="1"/>
    <x v="0"/>
    <x v="2034"/>
    <x v="696"/>
    <x v="1468"/>
    <x v="193"/>
  </r>
  <r>
    <x v="17"/>
    <x v="39"/>
    <x v="2470"/>
    <x v="0"/>
    <x v="0"/>
    <x v="2035"/>
    <x v="696"/>
    <x v="1469"/>
    <x v="193"/>
  </r>
  <r>
    <x v="17"/>
    <x v="40"/>
    <x v="2471"/>
    <x v="0"/>
    <x v="0"/>
    <x v="2036"/>
    <x v="382"/>
    <x v="1470"/>
    <x v="193"/>
  </r>
  <r>
    <x v="17"/>
    <x v="41"/>
    <x v="2472"/>
    <x v="1"/>
    <x v="0"/>
    <x v="2037"/>
    <x v="780"/>
    <x v="1471"/>
    <x v="193"/>
  </r>
  <r>
    <x v="17"/>
    <x v="42"/>
    <x v="2473"/>
    <x v="0"/>
    <x v="1"/>
    <x v="2038"/>
    <x v="781"/>
    <x v="1472"/>
    <x v="193"/>
  </r>
  <r>
    <x v="17"/>
    <x v="43"/>
    <x v="2474"/>
    <x v="0"/>
    <x v="0"/>
    <x v="2039"/>
    <x v="54"/>
    <x v="1473"/>
    <x v="193"/>
  </r>
  <r>
    <x v="17"/>
    <x v="44"/>
    <x v="2475"/>
    <x v="0"/>
    <x v="0"/>
    <x v="2040"/>
    <x v="782"/>
    <x v="1474"/>
    <x v="193"/>
  </r>
  <r>
    <x v="17"/>
    <x v="45"/>
    <x v="2476"/>
    <x v="0"/>
    <x v="0"/>
    <x v="2041"/>
    <x v="783"/>
    <x v="1475"/>
    <x v="193"/>
  </r>
  <r>
    <x v="17"/>
    <x v="46"/>
    <x v="2477"/>
    <x v="0"/>
    <x v="0"/>
    <x v="1735"/>
    <x v="784"/>
    <x v="1476"/>
    <x v="193"/>
  </r>
  <r>
    <x v="17"/>
    <x v="47"/>
    <x v="2478"/>
    <x v="1"/>
    <x v="1"/>
    <x v="2042"/>
    <x v="785"/>
    <x v="1477"/>
    <x v="193"/>
  </r>
  <r>
    <x v="17"/>
    <x v="48"/>
    <x v="2479"/>
    <x v="1"/>
    <x v="0"/>
    <x v="897"/>
    <x v="638"/>
    <x v="1478"/>
    <x v="194"/>
  </r>
  <r>
    <x v="17"/>
    <x v="49"/>
    <x v="2480"/>
    <x v="1"/>
    <x v="0"/>
    <x v="2043"/>
    <x v="786"/>
    <x v="1479"/>
    <x v="194"/>
  </r>
  <r>
    <x v="17"/>
    <x v="50"/>
    <x v="2481"/>
    <x v="1"/>
    <x v="0"/>
    <x v="2044"/>
    <x v="288"/>
    <x v="1480"/>
    <x v="194"/>
  </r>
  <r>
    <x v="17"/>
    <x v="51"/>
    <x v="2482"/>
    <x v="1"/>
    <x v="0"/>
    <x v="2045"/>
    <x v="787"/>
    <x v="1481"/>
    <x v="194"/>
  </r>
  <r>
    <x v="17"/>
    <x v="52"/>
    <x v="2483"/>
    <x v="0"/>
    <x v="0"/>
    <x v="1873"/>
    <x v="788"/>
    <x v="1482"/>
    <x v="194"/>
  </r>
  <r>
    <x v="17"/>
    <x v="53"/>
    <x v="2484"/>
    <x v="0"/>
    <x v="1"/>
    <x v="2046"/>
    <x v="714"/>
    <x v="1483"/>
    <x v="194"/>
  </r>
  <r>
    <x v="17"/>
    <x v="54"/>
    <x v="2485"/>
    <x v="0"/>
    <x v="0"/>
    <x v="2047"/>
    <x v="217"/>
    <x v="1484"/>
    <x v="194"/>
  </r>
  <r>
    <x v="17"/>
    <x v="55"/>
    <x v="2486"/>
    <x v="1"/>
    <x v="0"/>
    <x v="1841"/>
    <x v="789"/>
    <x v="1485"/>
    <x v="194"/>
  </r>
  <r>
    <x v="17"/>
    <x v="56"/>
    <x v="2487"/>
    <x v="0"/>
    <x v="0"/>
    <x v="2048"/>
    <x v="790"/>
    <x v="1486"/>
    <x v="194"/>
  </r>
  <r>
    <x v="17"/>
    <x v="57"/>
    <x v="2488"/>
    <x v="1"/>
    <x v="0"/>
    <x v="2049"/>
    <x v="505"/>
    <x v="1487"/>
    <x v="194"/>
  </r>
  <r>
    <x v="17"/>
    <x v="58"/>
    <x v="2489"/>
    <x v="1"/>
    <x v="0"/>
    <x v="2050"/>
    <x v="791"/>
    <x v="1488"/>
    <x v="194"/>
  </r>
  <r>
    <x v="17"/>
    <x v="59"/>
    <x v="2490"/>
    <x v="1"/>
    <x v="0"/>
    <x v="2051"/>
    <x v="603"/>
    <x v="1489"/>
    <x v="194"/>
  </r>
  <r>
    <x v="17"/>
    <x v="60"/>
    <x v="2491"/>
    <x v="1"/>
    <x v="0"/>
    <x v="899"/>
    <x v="77"/>
    <x v="1490"/>
    <x v="195"/>
  </r>
  <r>
    <x v="17"/>
    <x v="61"/>
    <x v="2492"/>
    <x v="1"/>
    <x v="0"/>
    <x v="2052"/>
    <x v="646"/>
    <x v="1491"/>
    <x v="195"/>
  </r>
  <r>
    <x v="17"/>
    <x v="62"/>
    <x v="2493"/>
    <x v="1"/>
    <x v="0"/>
    <x v="2053"/>
    <x v="792"/>
    <x v="1492"/>
    <x v="195"/>
  </r>
  <r>
    <x v="17"/>
    <x v="63"/>
    <x v="2494"/>
    <x v="0"/>
    <x v="0"/>
    <x v="243"/>
    <x v="793"/>
    <x v="1493"/>
    <x v="195"/>
  </r>
  <r>
    <x v="17"/>
    <x v="64"/>
    <x v="2495"/>
    <x v="1"/>
    <x v="0"/>
    <x v="679"/>
    <x v="794"/>
    <x v="1494"/>
    <x v="195"/>
  </r>
  <r>
    <x v="17"/>
    <x v="65"/>
    <x v="2496"/>
    <x v="0"/>
    <x v="0"/>
    <x v="2054"/>
    <x v="795"/>
    <x v="1495"/>
    <x v="195"/>
  </r>
  <r>
    <x v="17"/>
    <x v="66"/>
    <x v="2497"/>
    <x v="1"/>
    <x v="0"/>
    <x v="2055"/>
    <x v="796"/>
    <x v="1496"/>
    <x v="195"/>
  </r>
  <r>
    <x v="17"/>
    <x v="67"/>
    <x v="2498"/>
    <x v="1"/>
    <x v="0"/>
    <x v="2056"/>
    <x v="797"/>
    <x v="1497"/>
    <x v="195"/>
  </r>
  <r>
    <x v="17"/>
    <x v="68"/>
    <x v="2499"/>
    <x v="0"/>
    <x v="0"/>
    <x v="915"/>
    <x v="798"/>
    <x v="1498"/>
    <x v="195"/>
  </r>
  <r>
    <x v="17"/>
    <x v="69"/>
    <x v="2500"/>
    <x v="0"/>
    <x v="0"/>
    <x v="2057"/>
    <x v="799"/>
    <x v="1499"/>
    <x v="195"/>
  </r>
  <r>
    <x v="17"/>
    <x v="70"/>
    <x v="2501"/>
    <x v="1"/>
    <x v="0"/>
    <x v="2058"/>
    <x v="800"/>
    <x v="1500"/>
    <x v="195"/>
  </r>
  <r>
    <x v="17"/>
    <x v="71"/>
    <x v="2502"/>
    <x v="1"/>
    <x v="0"/>
    <x v="2059"/>
    <x v="801"/>
    <x v="1501"/>
    <x v="195"/>
  </r>
  <r>
    <x v="17"/>
    <x v="72"/>
    <x v="2503"/>
    <x v="0"/>
    <x v="0"/>
    <x v="12"/>
    <x v="802"/>
    <x v="1502"/>
    <x v="195"/>
  </r>
  <r>
    <x v="17"/>
    <x v="73"/>
    <x v="2504"/>
    <x v="0"/>
    <x v="0"/>
    <x v="2060"/>
    <x v="606"/>
    <x v="1503"/>
    <x v="196"/>
  </r>
  <r>
    <x v="17"/>
    <x v="74"/>
    <x v="2505"/>
    <x v="0"/>
    <x v="0"/>
    <x v="2061"/>
    <x v="425"/>
    <x v="1504"/>
    <x v="196"/>
  </r>
  <r>
    <x v="17"/>
    <x v="75"/>
    <x v="2506"/>
    <x v="1"/>
    <x v="0"/>
    <x v="2062"/>
    <x v="426"/>
    <x v="1505"/>
    <x v="196"/>
  </r>
  <r>
    <x v="17"/>
    <x v="76"/>
    <x v="2507"/>
    <x v="1"/>
    <x v="0"/>
    <x v="2063"/>
    <x v="441"/>
    <x v="1506"/>
    <x v="196"/>
  </r>
  <r>
    <x v="17"/>
    <x v="77"/>
    <x v="2508"/>
    <x v="1"/>
    <x v="0"/>
    <x v="2064"/>
    <x v="496"/>
    <x v="1507"/>
    <x v="196"/>
  </r>
  <r>
    <x v="17"/>
    <x v="78"/>
    <x v="2509"/>
    <x v="1"/>
    <x v="0"/>
    <x v="2065"/>
    <x v="338"/>
    <x v="1508"/>
    <x v="196"/>
  </r>
  <r>
    <x v="17"/>
    <x v="79"/>
    <x v="2510"/>
    <x v="1"/>
    <x v="0"/>
    <x v="1309"/>
    <x v="803"/>
    <x v="1509"/>
    <x v="196"/>
  </r>
  <r>
    <x v="17"/>
    <x v="80"/>
    <x v="2511"/>
    <x v="1"/>
    <x v="0"/>
    <x v="177"/>
    <x v="227"/>
    <x v="1510"/>
    <x v="196"/>
  </r>
  <r>
    <x v="17"/>
    <x v="81"/>
    <x v="2512"/>
    <x v="0"/>
    <x v="0"/>
    <x v="2066"/>
    <x v="724"/>
    <x v="1511"/>
    <x v="196"/>
  </r>
  <r>
    <x v="17"/>
    <x v="82"/>
    <x v="2513"/>
    <x v="1"/>
    <x v="0"/>
    <x v="2067"/>
    <x v="425"/>
    <x v="1512"/>
    <x v="196"/>
  </r>
  <r>
    <x v="17"/>
    <x v="83"/>
    <x v="2514"/>
    <x v="1"/>
    <x v="1"/>
    <x v="580"/>
    <x v="592"/>
    <x v="1513"/>
    <x v="196"/>
  </r>
  <r>
    <x v="17"/>
    <x v="84"/>
    <x v="2515"/>
    <x v="1"/>
    <x v="0"/>
    <x v="2068"/>
    <x v="592"/>
    <x v="1514"/>
    <x v="196"/>
  </r>
  <r>
    <x v="17"/>
    <x v="85"/>
    <x v="2516"/>
    <x v="1"/>
    <x v="0"/>
    <x v="2069"/>
    <x v="804"/>
    <x v="1515"/>
    <x v="196"/>
  </r>
  <r>
    <x v="17"/>
    <x v="86"/>
    <x v="2517"/>
    <x v="1"/>
    <x v="0"/>
    <x v="996"/>
    <x v="76"/>
    <x v="1516"/>
    <x v="196"/>
  </r>
  <r>
    <x v="17"/>
    <x v="87"/>
    <x v="2518"/>
    <x v="1"/>
    <x v="0"/>
    <x v="639"/>
    <x v="805"/>
    <x v="1517"/>
    <x v="197"/>
  </r>
  <r>
    <x v="17"/>
    <x v="88"/>
    <x v="2519"/>
    <x v="1"/>
    <x v="0"/>
    <x v="2070"/>
    <x v="661"/>
    <x v="1518"/>
    <x v="197"/>
  </r>
  <r>
    <x v="17"/>
    <x v="89"/>
    <x v="2520"/>
    <x v="0"/>
    <x v="0"/>
    <x v="2071"/>
    <x v="194"/>
    <x v="1519"/>
    <x v="197"/>
  </r>
  <r>
    <x v="17"/>
    <x v="90"/>
    <x v="2521"/>
    <x v="0"/>
    <x v="0"/>
    <x v="872"/>
    <x v="806"/>
    <x v="1520"/>
    <x v="197"/>
  </r>
  <r>
    <x v="17"/>
    <x v="91"/>
    <x v="2522"/>
    <x v="0"/>
    <x v="0"/>
    <x v="2072"/>
    <x v="807"/>
    <x v="1521"/>
    <x v="197"/>
  </r>
  <r>
    <x v="17"/>
    <x v="92"/>
    <x v="2523"/>
    <x v="0"/>
    <x v="0"/>
    <x v="1808"/>
    <x v="195"/>
    <x v="1522"/>
    <x v="197"/>
  </r>
  <r>
    <x v="17"/>
    <x v="93"/>
    <x v="2524"/>
    <x v="0"/>
    <x v="0"/>
    <x v="2073"/>
    <x v="128"/>
    <x v="1523"/>
    <x v="197"/>
  </r>
  <r>
    <x v="17"/>
    <x v="94"/>
    <x v="2525"/>
    <x v="0"/>
    <x v="1"/>
    <x v="1866"/>
    <x v="808"/>
    <x v="1524"/>
    <x v="197"/>
  </r>
  <r>
    <x v="17"/>
    <x v="95"/>
    <x v="2526"/>
    <x v="0"/>
    <x v="0"/>
    <x v="2074"/>
    <x v="117"/>
    <x v="1525"/>
    <x v="197"/>
  </r>
  <r>
    <x v="17"/>
    <x v="96"/>
    <x v="2527"/>
    <x v="0"/>
    <x v="0"/>
    <x v="2075"/>
    <x v="809"/>
    <x v="1526"/>
    <x v="197"/>
  </r>
  <r>
    <x v="17"/>
    <x v="97"/>
    <x v="2528"/>
    <x v="0"/>
    <x v="0"/>
    <x v="2076"/>
    <x v="579"/>
    <x v="1527"/>
    <x v="197"/>
  </r>
  <r>
    <x v="17"/>
    <x v="98"/>
    <x v="2529"/>
    <x v="0"/>
    <x v="0"/>
    <x v="1639"/>
    <x v="665"/>
    <x v="1528"/>
    <x v="197"/>
  </r>
  <r>
    <x v="17"/>
    <x v="99"/>
    <x v="2530"/>
    <x v="1"/>
    <x v="1"/>
    <x v="1572"/>
    <x v="720"/>
    <x v="1529"/>
    <x v="197"/>
  </r>
  <r>
    <x v="17"/>
    <x v="100"/>
    <x v="2531"/>
    <x v="1"/>
    <x v="0"/>
    <x v="1600"/>
    <x v="810"/>
    <x v="1530"/>
    <x v="198"/>
  </r>
  <r>
    <x v="17"/>
    <x v="101"/>
    <x v="2532"/>
    <x v="1"/>
    <x v="0"/>
    <x v="2077"/>
    <x v="79"/>
    <x v="1531"/>
    <x v="198"/>
  </r>
  <r>
    <x v="17"/>
    <x v="102"/>
    <x v="2533"/>
    <x v="1"/>
    <x v="0"/>
    <x v="2078"/>
    <x v="305"/>
    <x v="1532"/>
    <x v="198"/>
  </r>
  <r>
    <x v="17"/>
    <x v="103"/>
    <x v="2534"/>
    <x v="1"/>
    <x v="0"/>
    <x v="2079"/>
    <x v="811"/>
    <x v="1533"/>
    <x v="198"/>
  </r>
  <r>
    <x v="17"/>
    <x v="104"/>
    <x v="2535"/>
    <x v="0"/>
    <x v="0"/>
    <x v="1489"/>
    <x v="805"/>
    <x v="1534"/>
    <x v="198"/>
  </r>
  <r>
    <x v="17"/>
    <x v="105"/>
    <x v="2536"/>
    <x v="0"/>
    <x v="1"/>
    <x v="2080"/>
    <x v="559"/>
    <x v="1535"/>
    <x v="198"/>
  </r>
  <r>
    <x v="17"/>
    <x v="106"/>
    <x v="2537"/>
    <x v="0"/>
    <x v="0"/>
    <x v="2081"/>
    <x v="657"/>
    <x v="1536"/>
    <x v="198"/>
  </r>
  <r>
    <x v="17"/>
    <x v="107"/>
    <x v="2538"/>
    <x v="1"/>
    <x v="0"/>
    <x v="2082"/>
    <x v="812"/>
    <x v="1537"/>
    <x v="198"/>
  </r>
  <r>
    <x v="17"/>
    <x v="108"/>
    <x v="2539"/>
    <x v="0"/>
    <x v="0"/>
    <x v="2083"/>
    <x v="426"/>
    <x v="1538"/>
    <x v="198"/>
  </r>
  <r>
    <x v="17"/>
    <x v="109"/>
    <x v="2540"/>
    <x v="0"/>
    <x v="0"/>
    <x v="2084"/>
    <x v="813"/>
    <x v="1539"/>
    <x v="198"/>
  </r>
  <r>
    <x v="17"/>
    <x v="110"/>
    <x v="2541"/>
    <x v="1"/>
    <x v="0"/>
    <x v="2085"/>
    <x v="685"/>
    <x v="1540"/>
    <x v="198"/>
  </r>
  <r>
    <x v="17"/>
    <x v="111"/>
    <x v="2542"/>
    <x v="1"/>
    <x v="0"/>
    <x v="378"/>
    <x v="679"/>
    <x v="1541"/>
    <x v="198"/>
  </r>
  <r>
    <x v="17"/>
    <x v="112"/>
    <x v="2543"/>
    <x v="1"/>
    <x v="0"/>
    <x v="2086"/>
    <x v="814"/>
    <x v="1542"/>
    <x v="198"/>
  </r>
  <r>
    <x v="17"/>
    <x v="113"/>
    <x v="2544"/>
    <x v="0"/>
    <x v="0"/>
    <x v="2087"/>
    <x v="815"/>
    <x v="1543"/>
    <x v="199"/>
  </r>
  <r>
    <x v="17"/>
    <x v="114"/>
    <x v="2545"/>
    <x v="1"/>
    <x v="0"/>
    <x v="1535"/>
    <x v="731"/>
    <x v="1544"/>
    <x v="199"/>
  </r>
  <r>
    <x v="17"/>
    <x v="115"/>
    <x v="2546"/>
    <x v="1"/>
    <x v="0"/>
    <x v="2088"/>
    <x v="648"/>
    <x v="1545"/>
    <x v="199"/>
  </r>
  <r>
    <x v="17"/>
    <x v="116"/>
    <x v="2547"/>
    <x v="1"/>
    <x v="0"/>
    <x v="1453"/>
    <x v="816"/>
    <x v="1546"/>
    <x v="199"/>
  </r>
  <r>
    <x v="17"/>
    <x v="117"/>
    <x v="2548"/>
    <x v="0"/>
    <x v="0"/>
    <x v="2089"/>
    <x v="817"/>
    <x v="1547"/>
    <x v="199"/>
  </r>
  <r>
    <x v="17"/>
    <x v="118"/>
    <x v="2549"/>
    <x v="0"/>
    <x v="0"/>
    <x v="2090"/>
    <x v="818"/>
    <x v="1548"/>
    <x v="199"/>
  </r>
  <r>
    <x v="17"/>
    <x v="119"/>
    <x v="2550"/>
    <x v="0"/>
    <x v="0"/>
    <x v="2091"/>
    <x v="65"/>
    <x v="1549"/>
    <x v="199"/>
  </r>
  <r>
    <x v="17"/>
    <x v="120"/>
    <x v="2551"/>
    <x v="0"/>
    <x v="0"/>
    <x v="2092"/>
    <x v="819"/>
    <x v="1550"/>
    <x v="199"/>
  </r>
  <r>
    <x v="17"/>
    <x v="121"/>
    <x v="2552"/>
    <x v="0"/>
    <x v="0"/>
    <x v="1791"/>
    <x v="424"/>
    <x v="1551"/>
    <x v="199"/>
  </r>
  <r>
    <x v="17"/>
    <x v="122"/>
    <x v="2553"/>
    <x v="0"/>
    <x v="0"/>
    <x v="469"/>
    <x v="820"/>
    <x v="1552"/>
    <x v="199"/>
  </r>
  <r>
    <x v="17"/>
    <x v="123"/>
    <x v="2554"/>
    <x v="0"/>
    <x v="0"/>
    <x v="2093"/>
    <x v="192"/>
    <x v="1553"/>
    <x v="199"/>
  </r>
  <r>
    <x v="17"/>
    <x v="124"/>
    <x v="2555"/>
    <x v="0"/>
    <x v="0"/>
    <x v="2094"/>
    <x v="821"/>
    <x v="1554"/>
    <x v="199"/>
  </r>
  <r>
    <x v="17"/>
    <x v="125"/>
    <x v="2556"/>
    <x v="0"/>
    <x v="0"/>
    <x v="1306"/>
    <x v="822"/>
    <x v="1555"/>
    <x v="199"/>
  </r>
  <r>
    <x v="17"/>
    <x v="126"/>
    <x v="2557"/>
    <x v="0"/>
    <x v="0"/>
    <x v="138"/>
    <x v="312"/>
    <x v="1556"/>
    <x v="200"/>
  </r>
  <r>
    <x v="17"/>
    <x v="127"/>
    <x v="2558"/>
    <x v="1"/>
    <x v="0"/>
    <x v="1690"/>
    <x v="116"/>
    <x v="1557"/>
    <x v="200"/>
  </r>
  <r>
    <x v="17"/>
    <x v="128"/>
    <x v="2559"/>
    <x v="1"/>
    <x v="0"/>
    <x v="2095"/>
    <x v="242"/>
    <x v="1558"/>
    <x v="200"/>
  </r>
  <r>
    <x v="17"/>
    <x v="129"/>
    <x v="2560"/>
    <x v="1"/>
    <x v="0"/>
    <x v="2096"/>
    <x v="430"/>
    <x v="1559"/>
    <x v="200"/>
  </r>
  <r>
    <x v="17"/>
    <x v="130"/>
    <x v="2561"/>
    <x v="0"/>
    <x v="0"/>
    <x v="2097"/>
    <x v="427"/>
    <x v="1560"/>
    <x v="200"/>
  </r>
  <r>
    <x v="17"/>
    <x v="131"/>
    <x v="2562"/>
    <x v="1"/>
    <x v="0"/>
    <x v="1691"/>
    <x v="407"/>
    <x v="1561"/>
    <x v="200"/>
  </r>
  <r>
    <x v="17"/>
    <x v="132"/>
    <x v="2563"/>
    <x v="0"/>
    <x v="0"/>
    <x v="2098"/>
    <x v="823"/>
    <x v="1562"/>
    <x v="200"/>
  </r>
  <r>
    <x v="17"/>
    <x v="133"/>
    <x v="2564"/>
    <x v="0"/>
    <x v="0"/>
    <x v="2099"/>
    <x v="749"/>
    <x v="1563"/>
    <x v="200"/>
  </r>
  <r>
    <x v="17"/>
    <x v="134"/>
    <x v="2565"/>
    <x v="0"/>
    <x v="0"/>
    <x v="2100"/>
    <x v="824"/>
    <x v="1564"/>
    <x v="200"/>
  </r>
  <r>
    <x v="17"/>
    <x v="135"/>
    <x v="2566"/>
    <x v="0"/>
    <x v="1"/>
    <x v="2101"/>
    <x v="814"/>
    <x v="1565"/>
    <x v="200"/>
  </r>
  <r>
    <x v="17"/>
    <x v="136"/>
    <x v="2567"/>
    <x v="1"/>
    <x v="0"/>
    <x v="2102"/>
    <x v="794"/>
    <x v="1566"/>
    <x v="200"/>
  </r>
  <r>
    <x v="17"/>
    <x v="137"/>
    <x v="2568"/>
    <x v="1"/>
    <x v="0"/>
    <x v="2103"/>
    <x v="825"/>
    <x v="1567"/>
    <x v="200"/>
  </r>
  <r>
    <x v="17"/>
    <x v="138"/>
    <x v="2569"/>
    <x v="1"/>
    <x v="0"/>
    <x v="2104"/>
    <x v="826"/>
    <x v="1568"/>
    <x v="200"/>
  </r>
  <r>
    <x v="17"/>
    <x v="139"/>
    <x v="2570"/>
    <x v="0"/>
    <x v="0"/>
    <x v="2105"/>
    <x v="676"/>
    <x v="1569"/>
    <x v="201"/>
  </r>
  <r>
    <x v="17"/>
    <x v="140"/>
    <x v="2571"/>
    <x v="0"/>
    <x v="0"/>
    <x v="2106"/>
    <x v="758"/>
    <x v="1570"/>
    <x v="201"/>
  </r>
  <r>
    <x v="17"/>
    <x v="141"/>
    <x v="2572"/>
    <x v="0"/>
    <x v="0"/>
    <x v="2107"/>
    <x v="689"/>
    <x v="1571"/>
    <x v="201"/>
  </r>
  <r>
    <x v="17"/>
    <x v="142"/>
    <x v="2573"/>
    <x v="0"/>
    <x v="0"/>
    <x v="2108"/>
    <x v="410"/>
    <x v="1572"/>
    <x v="201"/>
  </r>
  <r>
    <x v="18"/>
    <x v="0"/>
    <x v="2574"/>
    <x v="0"/>
    <x v="0"/>
    <x v="2109"/>
    <x v="691"/>
    <x v="1430"/>
    <x v="156"/>
  </r>
  <r>
    <x v="18"/>
    <x v="1"/>
    <x v="2575"/>
    <x v="0"/>
    <x v="1"/>
    <x v="2110"/>
    <x v="692"/>
    <x v="1431"/>
    <x v="156"/>
  </r>
  <r>
    <x v="18"/>
    <x v="2"/>
    <x v="2576"/>
    <x v="0"/>
    <x v="0"/>
    <x v="2111"/>
    <x v="693"/>
    <x v="1432"/>
    <x v="156"/>
  </r>
  <r>
    <x v="18"/>
    <x v="3"/>
    <x v="2577"/>
    <x v="0"/>
    <x v="0"/>
    <x v="2112"/>
    <x v="694"/>
    <x v="1433"/>
    <x v="156"/>
  </r>
  <r>
    <x v="18"/>
    <x v="4"/>
    <x v="2578"/>
    <x v="0"/>
    <x v="0"/>
    <x v="2113"/>
    <x v="695"/>
    <x v="1434"/>
    <x v="156"/>
  </r>
  <r>
    <x v="18"/>
    <x v="5"/>
    <x v="2579"/>
    <x v="0"/>
    <x v="0"/>
    <x v="2114"/>
    <x v="696"/>
    <x v="1435"/>
    <x v="156"/>
  </r>
  <r>
    <x v="18"/>
    <x v="6"/>
    <x v="2580"/>
    <x v="0"/>
    <x v="0"/>
    <x v="2115"/>
    <x v="552"/>
    <x v="1436"/>
    <x v="156"/>
  </r>
  <r>
    <x v="18"/>
    <x v="7"/>
    <x v="2581"/>
    <x v="0"/>
    <x v="0"/>
    <x v="2116"/>
    <x v="697"/>
    <x v="1437"/>
    <x v="156"/>
  </r>
  <r>
    <x v="18"/>
    <x v="8"/>
    <x v="2582"/>
    <x v="0"/>
    <x v="0"/>
    <x v="2037"/>
    <x v="698"/>
    <x v="1438"/>
    <x v="157"/>
  </r>
  <r>
    <x v="18"/>
    <x v="9"/>
    <x v="2583"/>
    <x v="0"/>
    <x v="0"/>
    <x v="1495"/>
    <x v="175"/>
    <x v="1439"/>
    <x v="157"/>
  </r>
  <r>
    <x v="18"/>
    <x v="10"/>
    <x v="2584"/>
    <x v="0"/>
    <x v="0"/>
    <x v="1188"/>
    <x v="50"/>
    <x v="1440"/>
    <x v="157"/>
  </r>
  <r>
    <x v="18"/>
    <x v="11"/>
    <x v="2585"/>
    <x v="0"/>
    <x v="0"/>
    <x v="2117"/>
    <x v="699"/>
    <x v="1441"/>
    <x v="157"/>
  </r>
  <r>
    <x v="18"/>
    <x v="12"/>
    <x v="2586"/>
    <x v="0"/>
    <x v="0"/>
    <x v="1074"/>
    <x v="700"/>
    <x v="1442"/>
    <x v="157"/>
  </r>
  <r>
    <x v="18"/>
    <x v="13"/>
    <x v="2587"/>
    <x v="0"/>
    <x v="0"/>
    <x v="2118"/>
    <x v="324"/>
    <x v="1443"/>
    <x v="157"/>
  </r>
  <r>
    <x v="18"/>
    <x v="14"/>
    <x v="2588"/>
    <x v="0"/>
    <x v="0"/>
    <x v="1761"/>
    <x v="96"/>
    <x v="1444"/>
    <x v="157"/>
  </r>
  <r>
    <x v="18"/>
    <x v="15"/>
    <x v="2589"/>
    <x v="0"/>
    <x v="0"/>
    <x v="2119"/>
    <x v="701"/>
    <x v="1445"/>
    <x v="157"/>
  </r>
  <r>
    <x v="18"/>
    <x v="16"/>
    <x v="2590"/>
    <x v="0"/>
    <x v="0"/>
    <x v="1404"/>
    <x v="634"/>
    <x v="1446"/>
    <x v="157"/>
  </r>
  <r>
    <x v="18"/>
    <x v="17"/>
    <x v="2591"/>
    <x v="0"/>
    <x v="0"/>
    <x v="2120"/>
    <x v="702"/>
    <x v="1447"/>
    <x v="157"/>
  </r>
  <r>
    <x v="18"/>
    <x v="18"/>
    <x v="2592"/>
    <x v="0"/>
    <x v="0"/>
    <x v="2121"/>
    <x v="703"/>
    <x v="1448"/>
    <x v="157"/>
  </r>
  <r>
    <x v="18"/>
    <x v="19"/>
    <x v="2593"/>
    <x v="0"/>
    <x v="0"/>
    <x v="2122"/>
    <x v="704"/>
    <x v="1449"/>
    <x v="157"/>
  </r>
  <r>
    <x v="18"/>
    <x v="20"/>
    <x v="2594"/>
    <x v="0"/>
    <x v="0"/>
    <x v="2123"/>
    <x v="619"/>
    <x v="1450"/>
    <x v="157"/>
  </r>
  <r>
    <x v="18"/>
    <x v="21"/>
    <x v="2595"/>
    <x v="0"/>
    <x v="0"/>
    <x v="2122"/>
    <x v="619"/>
    <x v="1451"/>
    <x v="14"/>
  </r>
  <r>
    <x v="18"/>
    <x v="22"/>
    <x v="2596"/>
    <x v="0"/>
    <x v="0"/>
    <x v="1654"/>
    <x v="692"/>
    <x v="1452"/>
    <x v="14"/>
  </r>
  <r>
    <x v="18"/>
    <x v="23"/>
    <x v="2597"/>
    <x v="0"/>
    <x v="0"/>
    <x v="2124"/>
    <x v="705"/>
    <x v="1453"/>
    <x v="14"/>
  </r>
  <r>
    <x v="18"/>
    <x v="24"/>
    <x v="2598"/>
    <x v="0"/>
    <x v="0"/>
    <x v="2125"/>
    <x v="386"/>
    <x v="1454"/>
    <x v="14"/>
  </r>
  <r>
    <x v="18"/>
    <x v="25"/>
    <x v="2599"/>
    <x v="0"/>
    <x v="0"/>
    <x v="388"/>
    <x v="706"/>
    <x v="1455"/>
    <x v="14"/>
  </r>
  <r>
    <x v="18"/>
    <x v="26"/>
    <x v="2600"/>
    <x v="0"/>
    <x v="0"/>
    <x v="1997"/>
    <x v="704"/>
    <x v="1456"/>
    <x v="14"/>
  </r>
  <r>
    <x v="18"/>
    <x v="27"/>
    <x v="2601"/>
    <x v="0"/>
    <x v="0"/>
    <x v="1263"/>
    <x v="707"/>
    <x v="1457"/>
    <x v="14"/>
  </r>
  <r>
    <x v="18"/>
    <x v="28"/>
    <x v="2602"/>
    <x v="0"/>
    <x v="0"/>
    <x v="2126"/>
    <x v="708"/>
    <x v="1458"/>
    <x v="14"/>
  </r>
  <r>
    <x v="18"/>
    <x v="29"/>
    <x v="2603"/>
    <x v="0"/>
    <x v="0"/>
    <x v="2127"/>
    <x v="709"/>
    <x v="1459"/>
    <x v="14"/>
  </r>
  <r>
    <x v="18"/>
    <x v="30"/>
    <x v="2604"/>
    <x v="0"/>
    <x v="0"/>
    <x v="2128"/>
    <x v="170"/>
    <x v="1460"/>
    <x v="14"/>
  </r>
  <r>
    <x v="18"/>
    <x v="31"/>
    <x v="2605"/>
    <x v="0"/>
    <x v="1"/>
    <x v="2129"/>
    <x v="536"/>
    <x v="1461"/>
    <x v="14"/>
  </r>
  <r>
    <x v="18"/>
    <x v="32"/>
    <x v="2606"/>
    <x v="0"/>
    <x v="0"/>
    <x v="2130"/>
    <x v="548"/>
    <x v="1462"/>
    <x v="14"/>
  </r>
  <r>
    <x v="18"/>
    <x v="33"/>
    <x v="2607"/>
    <x v="0"/>
    <x v="0"/>
    <x v="2131"/>
    <x v="536"/>
    <x v="1463"/>
    <x v="14"/>
  </r>
  <r>
    <x v="18"/>
    <x v="34"/>
    <x v="2608"/>
    <x v="0"/>
    <x v="0"/>
    <x v="2015"/>
    <x v="710"/>
    <x v="1464"/>
    <x v="158"/>
  </r>
  <r>
    <x v="18"/>
    <x v="35"/>
    <x v="2609"/>
    <x v="0"/>
    <x v="0"/>
    <x v="680"/>
    <x v="550"/>
    <x v="1465"/>
    <x v="158"/>
  </r>
  <r>
    <x v="18"/>
    <x v="36"/>
    <x v="2610"/>
    <x v="0"/>
    <x v="0"/>
    <x v="2132"/>
    <x v="711"/>
    <x v="1466"/>
    <x v="158"/>
  </r>
  <r>
    <x v="18"/>
    <x v="37"/>
    <x v="2611"/>
    <x v="0"/>
    <x v="0"/>
    <x v="1417"/>
    <x v="380"/>
    <x v="1467"/>
    <x v="158"/>
  </r>
  <r>
    <x v="18"/>
    <x v="38"/>
    <x v="2612"/>
    <x v="0"/>
    <x v="0"/>
    <x v="2133"/>
    <x v="326"/>
    <x v="1468"/>
    <x v="158"/>
  </r>
  <r>
    <x v="18"/>
    <x v="39"/>
    <x v="2613"/>
    <x v="0"/>
    <x v="0"/>
    <x v="2134"/>
    <x v="380"/>
    <x v="1469"/>
    <x v="158"/>
  </r>
  <r>
    <x v="18"/>
    <x v="40"/>
    <x v="2614"/>
    <x v="0"/>
    <x v="0"/>
    <x v="2135"/>
    <x v="54"/>
    <x v="1470"/>
    <x v="158"/>
  </r>
  <r>
    <x v="18"/>
    <x v="41"/>
    <x v="2615"/>
    <x v="0"/>
    <x v="0"/>
    <x v="2136"/>
    <x v="712"/>
    <x v="1471"/>
    <x v="158"/>
  </r>
  <r>
    <x v="18"/>
    <x v="42"/>
    <x v="2616"/>
    <x v="0"/>
    <x v="1"/>
    <x v="2137"/>
    <x v="583"/>
    <x v="1472"/>
    <x v="158"/>
  </r>
  <r>
    <x v="18"/>
    <x v="43"/>
    <x v="2617"/>
    <x v="0"/>
    <x v="0"/>
    <x v="2138"/>
    <x v="713"/>
    <x v="1473"/>
    <x v="158"/>
  </r>
  <r>
    <x v="18"/>
    <x v="44"/>
    <x v="2618"/>
    <x v="0"/>
    <x v="0"/>
    <x v="2139"/>
    <x v="714"/>
    <x v="1474"/>
    <x v="158"/>
  </r>
  <r>
    <x v="18"/>
    <x v="45"/>
    <x v="2619"/>
    <x v="0"/>
    <x v="0"/>
    <x v="2140"/>
    <x v="715"/>
    <x v="1475"/>
    <x v="158"/>
  </r>
  <r>
    <x v="18"/>
    <x v="46"/>
    <x v="2620"/>
    <x v="0"/>
    <x v="0"/>
    <x v="2141"/>
    <x v="716"/>
    <x v="1476"/>
    <x v="158"/>
  </r>
  <r>
    <x v="18"/>
    <x v="47"/>
    <x v="2621"/>
    <x v="0"/>
    <x v="1"/>
    <x v="2142"/>
    <x v="398"/>
    <x v="1477"/>
    <x v="158"/>
  </r>
  <r>
    <x v="18"/>
    <x v="48"/>
    <x v="2622"/>
    <x v="0"/>
    <x v="0"/>
    <x v="2143"/>
    <x v="717"/>
    <x v="1478"/>
    <x v="159"/>
  </r>
  <r>
    <x v="18"/>
    <x v="49"/>
    <x v="2623"/>
    <x v="0"/>
    <x v="0"/>
    <x v="2144"/>
    <x v="718"/>
    <x v="1479"/>
    <x v="159"/>
  </r>
  <r>
    <x v="18"/>
    <x v="50"/>
    <x v="2624"/>
    <x v="0"/>
    <x v="0"/>
    <x v="2145"/>
    <x v="719"/>
    <x v="1480"/>
    <x v="159"/>
  </r>
  <r>
    <x v="18"/>
    <x v="51"/>
    <x v="2625"/>
    <x v="0"/>
    <x v="0"/>
    <x v="2146"/>
    <x v="720"/>
    <x v="1481"/>
    <x v="159"/>
  </r>
  <r>
    <x v="18"/>
    <x v="52"/>
    <x v="2626"/>
    <x v="0"/>
    <x v="0"/>
    <x v="2147"/>
    <x v="721"/>
    <x v="1482"/>
    <x v="159"/>
  </r>
  <r>
    <x v="18"/>
    <x v="53"/>
    <x v="2627"/>
    <x v="0"/>
    <x v="1"/>
    <x v="2148"/>
    <x v="722"/>
    <x v="1483"/>
    <x v="159"/>
  </r>
  <r>
    <x v="18"/>
    <x v="54"/>
    <x v="2628"/>
    <x v="0"/>
    <x v="0"/>
    <x v="2149"/>
    <x v="723"/>
    <x v="1484"/>
    <x v="159"/>
  </r>
  <r>
    <x v="18"/>
    <x v="55"/>
    <x v="2629"/>
    <x v="0"/>
    <x v="0"/>
    <x v="2150"/>
    <x v="118"/>
    <x v="1485"/>
    <x v="159"/>
  </r>
  <r>
    <x v="18"/>
    <x v="56"/>
    <x v="2630"/>
    <x v="0"/>
    <x v="0"/>
    <x v="2151"/>
    <x v="185"/>
    <x v="1486"/>
    <x v="159"/>
  </r>
  <r>
    <x v="18"/>
    <x v="57"/>
    <x v="2631"/>
    <x v="0"/>
    <x v="0"/>
    <x v="1908"/>
    <x v="564"/>
    <x v="1487"/>
    <x v="159"/>
  </r>
  <r>
    <x v="18"/>
    <x v="58"/>
    <x v="2632"/>
    <x v="0"/>
    <x v="0"/>
    <x v="2152"/>
    <x v="724"/>
    <x v="1488"/>
    <x v="159"/>
  </r>
  <r>
    <x v="18"/>
    <x v="59"/>
    <x v="2633"/>
    <x v="0"/>
    <x v="0"/>
    <x v="2153"/>
    <x v="353"/>
    <x v="1489"/>
    <x v="159"/>
  </r>
  <r>
    <x v="18"/>
    <x v="60"/>
    <x v="2634"/>
    <x v="0"/>
    <x v="0"/>
    <x v="2154"/>
    <x v="462"/>
    <x v="1490"/>
    <x v="160"/>
  </r>
  <r>
    <x v="18"/>
    <x v="61"/>
    <x v="2635"/>
    <x v="0"/>
    <x v="0"/>
    <x v="1812"/>
    <x v="725"/>
    <x v="1491"/>
    <x v="160"/>
  </r>
  <r>
    <x v="18"/>
    <x v="62"/>
    <x v="2636"/>
    <x v="0"/>
    <x v="0"/>
    <x v="2155"/>
    <x v="417"/>
    <x v="1492"/>
    <x v="160"/>
  </r>
  <r>
    <x v="18"/>
    <x v="63"/>
    <x v="2637"/>
    <x v="0"/>
    <x v="0"/>
    <x v="2156"/>
    <x v="726"/>
    <x v="1493"/>
    <x v="160"/>
  </r>
  <r>
    <x v="18"/>
    <x v="64"/>
    <x v="2638"/>
    <x v="0"/>
    <x v="0"/>
    <x v="1782"/>
    <x v="727"/>
    <x v="1494"/>
    <x v="160"/>
  </r>
  <r>
    <x v="18"/>
    <x v="65"/>
    <x v="2639"/>
    <x v="0"/>
    <x v="0"/>
    <x v="1453"/>
    <x v="728"/>
    <x v="1495"/>
    <x v="160"/>
  </r>
  <r>
    <x v="18"/>
    <x v="66"/>
    <x v="2640"/>
    <x v="0"/>
    <x v="0"/>
    <x v="1446"/>
    <x v="729"/>
    <x v="1496"/>
    <x v="160"/>
  </r>
  <r>
    <x v="18"/>
    <x v="67"/>
    <x v="2641"/>
    <x v="0"/>
    <x v="0"/>
    <x v="2157"/>
    <x v="413"/>
    <x v="1497"/>
    <x v="160"/>
  </r>
  <r>
    <x v="18"/>
    <x v="68"/>
    <x v="2642"/>
    <x v="0"/>
    <x v="0"/>
    <x v="2158"/>
    <x v="492"/>
    <x v="1498"/>
    <x v="160"/>
  </r>
  <r>
    <x v="18"/>
    <x v="69"/>
    <x v="2643"/>
    <x v="0"/>
    <x v="0"/>
    <x v="2159"/>
    <x v="730"/>
    <x v="1499"/>
    <x v="160"/>
  </r>
  <r>
    <x v="18"/>
    <x v="70"/>
    <x v="2644"/>
    <x v="0"/>
    <x v="0"/>
    <x v="2160"/>
    <x v="731"/>
    <x v="1500"/>
    <x v="160"/>
  </r>
  <r>
    <x v="18"/>
    <x v="71"/>
    <x v="2645"/>
    <x v="0"/>
    <x v="0"/>
    <x v="2161"/>
    <x v="732"/>
    <x v="1501"/>
    <x v="160"/>
  </r>
  <r>
    <x v="18"/>
    <x v="72"/>
    <x v="2646"/>
    <x v="0"/>
    <x v="0"/>
    <x v="1424"/>
    <x v="733"/>
    <x v="1502"/>
    <x v="160"/>
  </r>
  <r>
    <x v="18"/>
    <x v="73"/>
    <x v="2647"/>
    <x v="0"/>
    <x v="0"/>
    <x v="527"/>
    <x v="734"/>
    <x v="1503"/>
    <x v="161"/>
  </r>
  <r>
    <x v="18"/>
    <x v="74"/>
    <x v="2648"/>
    <x v="0"/>
    <x v="0"/>
    <x v="1715"/>
    <x v="465"/>
    <x v="1504"/>
    <x v="161"/>
  </r>
  <r>
    <x v="18"/>
    <x v="75"/>
    <x v="2649"/>
    <x v="0"/>
    <x v="0"/>
    <x v="2162"/>
    <x v="735"/>
    <x v="1505"/>
    <x v="161"/>
  </r>
  <r>
    <x v="18"/>
    <x v="76"/>
    <x v="2650"/>
    <x v="0"/>
    <x v="0"/>
    <x v="2163"/>
    <x v="736"/>
    <x v="1506"/>
    <x v="161"/>
  </r>
  <r>
    <x v="18"/>
    <x v="77"/>
    <x v="2651"/>
    <x v="0"/>
    <x v="0"/>
    <x v="2164"/>
    <x v="677"/>
    <x v="1507"/>
    <x v="161"/>
  </r>
  <r>
    <x v="18"/>
    <x v="78"/>
    <x v="2652"/>
    <x v="0"/>
    <x v="0"/>
    <x v="2165"/>
    <x v="737"/>
    <x v="1508"/>
    <x v="161"/>
  </r>
  <r>
    <x v="18"/>
    <x v="79"/>
    <x v="2653"/>
    <x v="0"/>
    <x v="0"/>
    <x v="2094"/>
    <x v="738"/>
    <x v="1509"/>
    <x v="161"/>
  </r>
  <r>
    <x v="18"/>
    <x v="80"/>
    <x v="2654"/>
    <x v="0"/>
    <x v="0"/>
    <x v="1995"/>
    <x v="739"/>
    <x v="1510"/>
    <x v="161"/>
  </r>
  <r>
    <x v="18"/>
    <x v="81"/>
    <x v="2655"/>
    <x v="0"/>
    <x v="0"/>
    <x v="2166"/>
    <x v="64"/>
    <x v="1511"/>
    <x v="161"/>
  </r>
  <r>
    <x v="18"/>
    <x v="82"/>
    <x v="2656"/>
    <x v="0"/>
    <x v="0"/>
    <x v="628"/>
    <x v="740"/>
    <x v="1512"/>
    <x v="161"/>
  </r>
  <r>
    <x v="18"/>
    <x v="83"/>
    <x v="2657"/>
    <x v="0"/>
    <x v="1"/>
    <x v="1553"/>
    <x v="741"/>
    <x v="1513"/>
    <x v="161"/>
  </r>
  <r>
    <x v="18"/>
    <x v="84"/>
    <x v="2658"/>
    <x v="0"/>
    <x v="0"/>
    <x v="58"/>
    <x v="742"/>
    <x v="1514"/>
    <x v="161"/>
  </r>
  <r>
    <x v="18"/>
    <x v="85"/>
    <x v="2659"/>
    <x v="0"/>
    <x v="0"/>
    <x v="2167"/>
    <x v="65"/>
    <x v="1515"/>
    <x v="161"/>
  </r>
  <r>
    <x v="18"/>
    <x v="86"/>
    <x v="2660"/>
    <x v="0"/>
    <x v="0"/>
    <x v="579"/>
    <x v="743"/>
    <x v="1516"/>
    <x v="161"/>
  </r>
  <r>
    <x v="18"/>
    <x v="87"/>
    <x v="2661"/>
    <x v="0"/>
    <x v="0"/>
    <x v="1340"/>
    <x v="744"/>
    <x v="1517"/>
    <x v="7"/>
  </r>
  <r>
    <x v="18"/>
    <x v="88"/>
    <x v="2662"/>
    <x v="0"/>
    <x v="0"/>
    <x v="2168"/>
    <x v="560"/>
    <x v="1518"/>
    <x v="7"/>
  </r>
  <r>
    <x v="18"/>
    <x v="89"/>
    <x v="2663"/>
    <x v="0"/>
    <x v="0"/>
    <x v="285"/>
    <x v="745"/>
    <x v="1519"/>
    <x v="7"/>
  </r>
  <r>
    <x v="18"/>
    <x v="90"/>
    <x v="2664"/>
    <x v="0"/>
    <x v="0"/>
    <x v="2169"/>
    <x v="745"/>
    <x v="1520"/>
    <x v="7"/>
  </r>
  <r>
    <x v="18"/>
    <x v="91"/>
    <x v="2665"/>
    <x v="0"/>
    <x v="0"/>
    <x v="2170"/>
    <x v="658"/>
    <x v="1521"/>
    <x v="7"/>
  </r>
  <r>
    <x v="18"/>
    <x v="92"/>
    <x v="2666"/>
    <x v="0"/>
    <x v="0"/>
    <x v="2171"/>
    <x v="746"/>
    <x v="1522"/>
    <x v="7"/>
  </r>
  <r>
    <x v="18"/>
    <x v="93"/>
    <x v="2667"/>
    <x v="0"/>
    <x v="0"/>
    <x v="2172"/>
    <x v="131"/>
    <x v="1523"/>
    <x v="7"/>
  </r>
  <r>
    <x v="18"/>
    <x v="94"/>
    <x v="2668"/>
    <x v="0"/>
    <x v="1"/>
    <x v="1532"/>
    <x v="604"/>
    <x v="1524"/>
    <x v="7"/>
  </r>
  <r>
    <x v="18"/>
    <x v="95"/>
    <x v="2669"/>
    <x v="0"/>
    <x v="0"/>
    <x v="966"/>
    <x v="133"/>
    <x v="1525"/>
    <x v="7"/>
  </r>
  <r>
    <x v="18"/>
    <x v="96"/>
    <x v="2670"/>
    <x v="0"/>
    <x v="0"/>
    <x v="2173"/>
    <x v="199"/>
    <x v="1526"/>
    <x v="7"/>
  </r>
  <r>
    <x v="18"/>
    <x v="97"/>
    <x v="2671"/>
    <x v="0"/>
    <x v="0"/>
    <x v="2174"/>
    <x v="291"/>
    <x v="1527"/>
    <x v="7"/>
  </r>
  <r>
    <x v="18"/>
    <x v="98"/>
    <x v="2672"/>
    <x v="0"/>
    <x v="0"/>
    <x v="2175"/>
    <x v="747"/>
    <x v="1528"/>
    <x v="7"/>
  </r>
  <r>
    <x v="18"/>
    <x v="99"/>
    <x v="2673"/>
    <x v="0"/>
    <x v="1"/>
    <x v="2176"/>
    <x v="309"/>
    <x v="1529"/>
    <x v="7"/>
  </r>
  <r>
    <x v="18"/>
    <x v="100"/>
    <x v="2674"/>
    <x v="0"/>
    <x v="0"/>
    <x v="853"/>
    <x v="347"/>
    <x v="1530"/>
    <x v="162"/>
  </r>
  <r>
    <x v="18"/>
    <x v="101"/>
    <x v="2675"/>
    <x v="0"/>
    <x v="0"/>
    <x v="1044"/>
    <x v="133"/>
    <x v="1531"/>
    <x v="162"/>
  </r>
  <r>
    <x v="18"/>
    <x v="102"/>
    <x v="2676"/>
    <x v="0"/>
    <x v="0"/>
    <x v="2177"/>
    <x v="497"/>
    <x v="1532"/>
    <x v="162"/>
  </r>
  <r>
    <x v="18"/>
    <x v="103"/>
    <x v="2677"/>
    <x v="0"/>
    <x v="0"/>
    <x v="2178"/>
    <x v="598"/>
    <x v="1533"/>
    <x v="162"/>
  </r>
  <r>
    <x v="18"/>
    <x v="104"/>
    <x v="2678"/>
    <x v="0"/>
    <x v="0"/>
    <x v="2179"/>
    <x v="724"/>
    <x v="1534"/>
    <x v="162"/>
  </r>
  <r>
    <x v="18"/>
    <x v="105"/>
    <x v="2679"/>
    <x v="0"/>
    <x v="1"/>
    <x v="1845"/>
    <x v="748"/>
    <x v="1535"/>
    <x v="162"/>
  </r>
  <r>
    <x v="18"/>
    <x v="106"/>
    <x v="2680"/>
    <x v="0"/>
    <x v="0"/>
    <x v="2180"/>
    <x v="749"/>
    <x v="1536"/>
    <x v="162"/>
  </r>
  <r>
    <x v="18"/>
    <x v="107"/>
    <x v="2681"/>
    <x v="0"/>
    <x v="0"/>
    <x v="2181"/>
    <x v="410"/>
    <x v="1537"/>
    <x v="162"/>
  </r>
  <r>
    <x v="18"/>
    <x v="108"/>
    <x v="2682"/>
    <x v="0"/>
    <x v="0"/>
    <x v="2182"/>
    <x v="750"/>
    <x v="1538"/>
    <x v="162"/>
  </r>
  <r>
    <x v="18"/>
    <x v="109"/>
    <x v="2683"/>
    <x v="0"/>
    <x v="0"/>
    <x v="2183"/>
    <x v="751"/>
    <x v="1539"/>
    <x v="162"/>
  </r>
  <r>
    <x v="18"/>
    <x v="110"/>
    <x v="2684"/>
    <x v="0"/>
    <x v="0"/>
    <x v="2184"/>
    <x v="751"/>
    <x v="1540"/>
    <x v="162"/>
  </r>
  <r>
    <x v="18"/>
    <x v="111"/>
    <x v="2685"/>
    <x v="0"/>
    <x v="0"/>
    <x v="2185"/>
    <x v="752"/>
    <x v="1541"/>
    <x v="162"/>
  </r>
  <r>
    <x v="18"/>
    <x v="112"/>
    <x v="2686"/>
    <x v="0"/>
    <x v="0"/>
    <x v="1012"/>
    <x v="753"/>
    <x v="1542"/>
    <x v="162"/>
  </r>
  <r>
    <x v="18"/>
    <x v="113"/>
    <x v="2687"/>
    <x v="0"/>
    <x v="0"/>
    <x v="1737"/>
    <x v="754"/>
    <x v="1543"/>
    <x v="163"/>
  </r>
  <r>
    <x v="18"/>
    <x v="114"/>
    <x v="2688"/>
    <x v="0"/>
    <x v="0"/>
    <x v="1496"/>
    <x v="755"/>
    <x v="1544"/>
    <x v="163"/>
  </r>
  <r>
    <x v="18"/>
    <x v="115"/>
    <x v="2689"/>
    <x v="0"/>
    <x v="0"/>
    <x v="2186"/>
    <x v="756"/>
    <x v="1545"/>
    <x v="163"/>
  </r>
  <r>
    <x v="18"/>
    <x v="116"/>
    <x v="2690"/>
    <x v="0"/>
    <x v="0"/>
    <x v="2187"/>
    <x v="757"/>
    <x v="1546"/>
    <x v="163"/>
  </r>
  <r>
    <x v="18"/>
    <x v="117"/>
    <x v="2691"/>
    <x v="0"/>
    <x v="0"/>
    <x v="2188"/>
    <x v="466"/>
    <x v="1547"/>
    <x v="163"/>
  </r>
  <r>
    <x v="18"/>
    <x v="118"/>
    <x v="2692"/>
    <x v="0"/>
    <x v="0"/>
    <x v="1184"/>
    <x v="464"/>
    <x v="1548"/>
    <x v="163"/>
  </r>
  <r>
    <x v="18"/>
    <x v="119"/>
    <x v="2693"/>
    <x v="0"/>
    <x v="0"/>
    <x v="2189"/>
    <x v="758"/>
    <x v="1549"/>
    <x v="163"/>
  </r>
  <r>
    <x v="18"/>
    <x v="120"/>
    <x v="2694"/>
    <x v="0"/>
    <x v="0"/>
    <x v="2190"/>
    <x v="759"/>
    <x v="1550"/>
    <x v="163"/>
  </r>
  <r>
    <x v="18"/>
    <x v="121"/>
    <x v="2695"/>
    <x v="0"/>
    <x v="0"/>
    <x v="2191"/>
    <x v="735"/>
    <x v="1551"/>
    <x v="163"/>
  </r>
  <r>
    <x v="18"/>
    <x v="122"/>
    <x v="2696"/>
    <x v="0"/>
    <x v="0"/>
    <x v="2192"/>
    <x v="760"/>
    <x v="1552"/>
    <x v="163"/>
  </r>
  <r>
    <x v="18"/>
    <x v="123"/>
    <x v="2697"/>
    <x v="0"/>
    <x v="0"/>
    <x v="2193"/>
    <x v="67"/>
    <x v="1553"/>
    <x v="163"/>
  </r>
  <r>
    <x v="18"/>
    <x v="124"/>
    <x v="2698"/>
    <x v="0"/>
    <x v="0"/>
    <x v="2194"/>
    <x v="439"/>
    <x v="1554"/>
    <x v="163"/>
  </r>
  <r>
    <x v="18"/>
    <x v="125"/>
    <x v="2699"/>
    <x v="0"/>
    <x v="0"/>
    <x v="229"/>
    <x v="224"/>
    <x v="1555"/>
    <x v="163"/>
  </r>
  <r>
    <x v="18"/>
    <x v="126"/>
    <x v="2700"/>
    <x v="0"/>
    <x v="0"/>
    <x v="2195"/>
    <x v="243"/>
    <x v="1556"/>
    <x v="164"/>
  </r>
  <r>
    <x v="18"/>
    <x v="127"/>
    <x v="2701"/>
    <x v="0"/>
    <x v="0"/>
    <x v="726"/>
    <x v="604"/>
    <x v="1557"/>
    <x v="164"/>
  </r>
  <r>
    <x v="18"/>
    <x v="128"/>
    <x v="2702"/>
    <x v="0"/>
    <x v="0"/>
    <x v="2196"/>
    <x v="565"/>
    <x v="1558"/>
    <x v="164"/>
  </r>
  <r>
    <x v="18"/>
    <x v="129"/>
    <x v="2703"/>
    <x v="0"/>
    <x v="0"/>
    <x v="2197"/>
    <x v="227"/>
    <x v="1559"/>
    <x v="164"/>
  </r>
  <r>
    <x v="18"/>
    <x v="130"/>
    <x v="2704"/>
    <x v="0"/>
    <x v="0"/>
    <x v="2198"/>
    <x v="761"/>
    <x v="1560"/>
    <x v="164"/>
  </r>
  <r>
    <x v="18"/>
    <x v="131"/>
    <x v="2705"/>
    <x v="0"/>
    <x v="0"/>
    <x v="2199"/>
    <x v="762"/>
    <x v="1561"/>
    <x v="164"/>
  </r>
  <r>
    <x v="18"/>
    <x v="132"/>
    <x v="2706"/>
    <x v="0"/>
    <x v="0"/>
    <x v="2200"/>
    <x v="442"/>
    <x v="1562"/>
    <x v="164"/>
  </r>
  <r>
    <x v="18"/>
    <x v="133"/>
    <x v="2707"/>
    <x v="0"/>
    <x v="0"/>
    <x v="2201"/>
    <x v="688"/>
    <x v="1563"/>
    <x v="164"/>
  </r>
  <r>
    <x v="18"/>
    <x v="134"/>
    <x v="2708"/>
    <x v="0"/>
    <x v="0"/>
    <x v="2101"/>
    <x v="763"/>
    <x v="1564"/>
    <x v="164"/>
  </r>
  <r>
    <x v="18"/>
    <x v="135"/>
    <x v="2709"/>
    <x v="0"/>
    <x v="1"/>
    <x v="999"/>
    <x v="764"/>
    <x v="1565"/>
    <x v="164"/>
  </r>
  <r>
    <x v="18"/>
    <x v="136"/>
    <x v="2710"/>
    <x v="0"/>
    <x v="0"/>
    <x v="2202"/>
    <x v="449"/>
    <x v="1566"/>
    <x v="164"/>
  </r>
  <r>
    <x v="18"/>
    <x v="137"/>
    <x v="2711"/>
    <x v="0"/>
    <x v="0"/>
    <x v="1554"/>
    <x v="765"/>
    <x v="1567"/>
    <x v="164"/>
  </r>
  <r>
    <x v="18"/>
    <x v="138"/>
    <x v="2712"/>
    <x v="0"/>
    <x v="0"/>
    <x v="2203"/>
    <x v="766"/>
    <x v="1568"/>
    <x v="164"/>
  </r>
  <r>
    <x v="18"/>
    <x v="139"/>
    <x v="2713"/>
    <x v="0"/>
    <x v="0"/>
    <x v="2204"/>
    <x v="411"/>
    <x v="1569"/>
    <x v="165"/>
  </r>
  <r>
    <x v="18"/>
    <x v="140"/>
    <x v="2714"/>
    <x v="0"/>
    <x v="0"/>
    <x v="374"/>
    <x v="451"/>
    <x v="1570"/>
    <x v="165"/>
  </r>
  <r>
    <x v="18"/>
    <x v="141"/>
    <x v="2715"/>
    <x v="0"/>
    <x v="0"/>
    <x v="2205"/>
    <x v="767"/>
    <x v="1571"/>
    <x v="165"/>
  </r>
  <r>
    <x v="18"/>
    <x v="142"/>
    <x v="2716"/>
    <x v="0"/>
    <x v="0"/>
    <x v="1622"/>
    <x v="768"/>
    <x v="1572"/>
    <x v="165"/>
  </r>
  <r>
    <x v="19"/>
    <x v="0"/>
    <x v="2717"/>
    <x v="0"/>
    <x v="0"/>
    <x v="2206"/>
    <x v="609"/>
    <x v="1573"/>
    <x v="202"/>
  </r>
  <r>
    <x v="19"/>
    <x v="1"/>
    <x v="2718"/>
    <x v="0"/>
    <x v="1"/>
    <x v="830"/>
    <x v="146"/>
    <x v="1574"/>
    <x v="202"/>
  </r>
  <r>
    <x v="19"/>
    <x v="2"/>
    <x v="2719"/>
    <x v="0"/>
    <x v="0"/>
    <x v="2207"/>
    <x v="270"/>
    <x v="1575"/>
    <x v="202"/>
  </r>
  <r>
    <x v="19"/>
    <x v="3"/>
    <x v="2720"/>
    <x v="0"/>
    <x v="0"/>
    <x v="2208"/>
    <x v="610"/>
    <x v="1576"/>
    <x v="202"/>
  </r>
  <r>
    <x v="19"/>
    <x v="4"/>
    <x v="2721"/>
    <x v="0"/>
    <x v="0"/>
    <x v="2209"/>
    <x v="611"/>
    <x v="1577"/>
    <x v="202"/>
  </r>
  <r>
    <x v="19"/>
    <x v="5"/>
    <x v="2722"/>
    <x v="0"/>
    <x v="0"/>
    <x v="248"/>
    <x v="612"/>
    <x v="1578"/>
    <x v="202"/>
  </r>
  <r>
    <x v="19"/>
    <x v="6"/>
    <x v="2723"/>
    <x v="0"/>
    <x v="0"/>
    <x v="2210"/>
    <x v="613"/>
    <x v="1579"/>
    <x v="202"/>
  </r>
  <r>
    <x v="19"/>
    <x v="7"/>
    <x v="2724"/>
    <x v="0"/>
    <x v="0"/>
    <x v="2211"/>
    <x v="14"/>
    <x v="1580"/>
    <x v="202"/>
  </r>
  <r>
    <x v="19"/>
    <x v="8"/>
    <x v="2725"/>
    <x v="0"/>
    <x v="0"/>
    <x v="1234"/>
    <x v="537"/>
    <x v="1581"/>
    <x v="203"/>
  </r>
  <r>
    <x v="19"/>
    <x v="9"/>
    <x v="2726"/>
    <x v="0"/>
    <x v="0"/>
    <x v="2212"/>
    <x v="44"/>
    <x v="1582"/>
    <x v="203"/>
  </r>
  <r>
    <x v="19"/>
    <x v="10"/>
    <x v="2727"/>
    <x v="0"/>
    <x v="0"/>
    <x v="203"/>
    <x v="614"/>
    <x v="1583"/>
    <x v="203"/>
  </r>
  <r>
    <x v="19"/>
    <x v="11"/>
    <x v="2728"/>
    <x v="0"/>
    <x v="0"/>
    <x v="2213"/>
    <x v="615"/>
    <x v="1584"/>
    <x v="203"/>
  </r>
  <r>
    <x v="19"/>
    <x v="12"/>
    <x v="2729"/>
    <x v="0"/>
    <x v="0"/>
    <x v="1085"/>
    <x v="616"/>
    <x v="1585"/>
    <x v="203"/>
  </r>
  <r>
    <x v="19"/>
    <x v="13"/>
    <x v="2730"/>
    <x v="0"/>
    <x v="0"/>
    <x v="2214"/>
    <x v="617"/>
    <x v="1586"/>
    <x v="203"/>
  </r>
  <r>
    <x v="19"/>
    <x v="14"/>
    <x v="2731"/>
    <x v="0"/>
    <x v="0"/>
    <x v="867"/>
    <x v="618"/>
    <x v="1587"/>
    <x v="203"/>
  </r>
  <r>
    <x v="19"/>
    <x v="15"/>
    <x v="2732"/>
    <x v="0"/>
    <x v="0"/>
    <x v="1646"/>
    <x v="619"/>
    <x v="1588"/>
    <x v="203"/>
  </r>
  <r>
    <x v="19"/>
    <x v="16"/>
    <x v="2733"/>
    <x v="0"/>
    <x v="0"/>
    <x v="705"/>
    <x v="614"/>
    <x v="1589"/>
    <x v="203"/>
  </r>
  <r>
    <x v="19"/>
    <x v="17"/>
    <x v="2734"/>
    <x v="0"/>
    <x v="0"/>
    <x v="2215"/>
    <x v="620"/>
    <x v="1590"/>
    <x v="203"/>
  </r>
  <r>
    <x v="19"/>
    <x v="18"/>
    <x v="2735"/>
    <x v="0"/>
    <x v="0"/>
    <x v="2216"/>
    <x v="621"/>
    <x v="1591"/>
    <x v="203"/>
  </r>
  <r>
    <x v="19"/>
    <x v="19"/>
    <x v="2736"/>
    <x v="0"/>
    <x v="0"/>
    <x v="1106"/>
    <x v="12"/>
    <x v="1592"/>
    <x v="203"/>
  </r>
  <r>
    <x v="19"/>
    <x v="20"/>
    <x v="2737"/>
    <x v="0"/>
    <x v="0"/>
    <x v="2217"/>
    <x v="10"/>
    <x v="1593"/>
    <x v="203"/>
  </r>
  <r>
    <x v="19"/>
    <x v="21"/>
    <x v="2738"/>
    <x v="0"/>
    <x v="0"/>
    <x v="2218"/>
    <x v="622"/>
    <x v="1594"/>
    <x v="204"/>
  </r>
  <r>
    <x v="19"/>
    <x v="22"/>
    <x v="2739"/>
    <x v="0"/>
    <x v="0"/>
    <x v="2219"/>
    <x v="269"/>
    <x v="1595"/>
    <x v="204"/>
  </r>
  <r>
    <x v="19"/>
    <x v="23"/>
    <x v="2740"/>
    <x v="0"/>
    <x v="0"/>
    <x v="2220"/>
    <x v="623"/>
    <x v="1596"/>
    <x v="204"/>
  </r>
  <r>
    <x v="19"/>
    <x v="24"/>
    <x v="2741"/>
    <x v="0"/>
    <x v="0"/>
    <x v="2221"/>
    <x v="40"/>
    <x v="1597"/>
    <x v="204"/>
  </r>
  <r>
    <x v="19"/>
    <x v="25"/>
    <x v="2742"/>
    <x v="0"/>
    <x v="0"/>
    <x v="1248"/>
    <x v="278"/>
    <x v="1598"/>
    <x v="204"/>
  </r>
  <r>
    <x v="19"/>
    <x v="26"/>
    <x v="2743"/>
    <x v="0"/>
    <x v="0"/>
    <x v="2222"/>
    <x v="609"/>
    <x v="1599"/>
    <x v="204"/>
  </r>
  <r>
    <x v="19"/>
    <x v="27"/>
    <x v="2744"/>
    <x v="0"/>
    <x v="0"/>
    <x v="2223"/>
    <x v="148"/>
    <x v="1600"/>
    <x v="204"/>
  </r>
  <r>
    <x v="19"/>
    <x v="28"/>
    <x v="2745"/>
    <x v="0"/>
    <x v="0"/>
    <x v="2224"/>
    <x v="624"/>
    <x v="1601"/>
    <x v="204"/>
  </r>
  <r>
    <x v="19"/>
    <x v="29"/>
    <x v="2746"/>
    <x v="0"/>
    <x v="0"/>
    <x v="2225"/>
    <x v="625"/>
    <x v="1602"/>
    <x v="204"/>
  </r>
  <r>
    <x v="19"/>
    <x v="30"/>
    <x v="2747"/>
    <x v="0"/>
    <x v="0"/>
    <x v="2226"/>
    <x v="262"/>
    <x v="1603"/>
    <x v="204"/>
  </r>
  <r>
    <x v="19"/>
    <x v="31"/>
    <x v="2748"/>
    <x v="0"/>
    <x v="1"/>
    <x v="2227"/>
    <x v="167"/>
    <x v="1604"/>
    <x v="204"/>
  </r>
  <r>
    <x v="19"/>
    <x v="32"/>
    <x v="2749"/>
    <x v="0"/>
    <x v="0"/>
    <x v="2228"/>
    <x v="626"/>
    <x v="1605"/>
    <x v="204"/>
  </r>
  <r>
    <x v="19"/>
    <x v="33"/>
    <x v="2750"/>
    <x v="0"/>
    <x v="0"/>
    <x v="2229"/>
    <x v="627"/>
    <x v="1606"/>
    <x v="204"/>
  </r>
  <r>
    <x v="19"/>
    <x v="34"/>
    <x v="2751"/>
    <x v="0"/>
    <x v="0"/>
    <x v="2230"/>
    <x v="628"/>
    <x v="1607"/>
    <x v="205"/>
  </r>
  <r>
    <x v="19"/>
    <x v="35"/>
    <x v="2752"/>
    <x v="0"/>
    <x v="0"/>
    <x v="2231"/>
    <x v="629"/>
    <x v="1608"/>
    <x v="205"/>
  </r>
  <r>
    <x v="19"/>
    <x v="36"/>
    <x v="2753"/>
    <x v="0"/>
    <x v="0"/>
    <x v="60"/>
    <x v="538"/>
    <x v="1609"/>
    <x v="205"/>
  </r>
  <r>
    <x v="19"/>
    <x v="37"/>
    <x v="2754"/>
    <x v="0"/>
    <x v="0"/>
    <x v="2232"/>
    <x v="630"/>
    <x v="1610"/>
    <x v="205"/>
  </r>
  <r>
    <x v="19"/>
    <x v="38"/>
    <x v="2755"/>
    <x v="0"/>
    <x v="0"/>
    <x v="148"/>
    <x v="616"/>
    <x v="1611"/>
    <x v="205"/>
  </r>
  <r>
    <x v="19"/>
    <x v="39"/>
    <x v="2756"/>
    <x v="0"/>
    <x v="0"/>
    <x v="2233"/>
    <x v="630"/>
    <x v="1612"/>
    <x v="205"/>
  </r>
  <r>
    <x v="19"/>
    <x v="40"/>
    <x v="2757"/>
    <x v="0"/>
    <x v="0"/>
    <x v="1531"/>
    <x v="631"/>
    <x v="1613"/>
    <x v="205"/>
  </r>
  <r>
    <x v="19"/>
    <x v="41"/>
    <x v="2758"/>
    <x v="0"/>
    <x v="0"/>
    <x v="2234"/>
    <x v="632"/>
    <x v="1614"/>
    <x v="205"/>
  </r>
  <r>
    <x v="19"/>
    <x v="42"/>
    <x v="2759"/>
    <x v="0"/>
    <x v="1"/>
    <x v="240"/>
    <x v="633"/>
    <x v="1615"/>
    <x v="205"/>
  </r>
  <r>
    <x v="19"/>
    <x v="43"/>
    <x v="2760"/>
    <x v="0"/>
    <x v="0"/>
    <x v="2235"/>
    <x v="634"/>
    <x v="1616"/>
    <x v="205"/>
  </r>
  <r>
    <x v="19"/>
    <x v="44"/>
    <x v="2761"/>
    <x v="0"/>
    <x v="0"/>
    <x v="2236"/>
    <x v="366"/>
    <x v="1617"/>
    <x v="205"/>
  </r>
  <r>
    <x v="19"/>
    <x v="45"/>
    <x v="2762"/>
    <x v="0"/>
    <x v="0"/>
    <x v="2237"/>
    <x v="635"/>
    <x v="1618"/>
    <x v="205"/>
  </r>
  <r>
    <x v="19"/>
    <x v="46"/>
    <x v="2763"/>
    <x v="0"/>
    <x v="0"/>
    <x v="2238"/>
    <x v="636"/>
    <x v="1619"/>
    <x v="205"/>
  </r>
  <r>
    <x v="19"/>
    <x v="47"/>
    <x v="2764"/>
    <x v="0"/>
    <x v="1"/>
    <x v="2239"/>
    <x v="637"/>
    <x v="1620"/>
    <x v="205"/>
  </r>
  <r>
    <x v="19"/>
    <x v="48"/>
    <x v="2765"/>
    <x v="0"/>
    <x v="0"/>
    <x v="2240"/>
    <x v="638"/>
    <x v="1621"/>
    <x v="25"/>
  </r>
  <r>
    <x v="19"/>
    <x v="49"/>
    <x v="2766"/>
    <x v="0"/>
    <x v="0"/>
    <x v="2241"/>
    <x v="639"/>
    <x v="1622"/>
    <x v="25"/>
  </r>
  <r>
    <x v="19"/>
    <x v="50"/>
    <x v="2767"/>
    <x v="0"/>
    <x v="0"/>
    <x v="2242"/>
    <x v="640"/>
    <x v="1623"/>
    <x v="25"/>
  </r>
  <r>
    <x v="19"/>
    <x v="51"/>
    <x v="2768"/>
    <x v="0"/>
    <x v="0"/>
    <x v="2243"/>
    <x v="641"/>
    <x v="1624"/>
    <x v="25"/>
  </r>
  <r>
    <x v="19"/>
    <x v="52"/>
    <x v="2769"/>
    <x v="0"/>
    <x v="0"/>
    <x v="2244"/>
    <x v="399"/>
    <x v="1625"/>
    <x v="25"/>
  </r>
  <r>
    <x v="19"/>
    <x v="53"/>
    <x v="2770"/>
    <x v="0"/>
    <x v="1"/>
    <x v="2245"/>
    <x v="642"/>
    <x v="1626"/>
    <x v="25"/>
  </r>
  <r>
    <x v="19"/>
    <x v="54"/>
    <x v="2771"/>
    <x v="0"/>
    <x v="0"/>
    <x v="2246"/>
    <x v="643"/>
    <x v="1627"/>
    <x v="25"/>
  </r>
  <r>
    <x v="19"/>
    <x v="55"/>
    <x v="2772"/>
    <x v="0"/>
    <x v="0"/>
    <x v="2247"/>
    <x v="86"/>
    <x v="1628"/>
    <x v="25"/>
  </r>
  <r>
    <x v="19"/>
    <x v="56"/>
    <x v="2773"/>
    <x v="0"/>
    <x v="0"/>
    <x v="2248"/>
    <x v="233"/>
    <x v="1629"/>
    <x v="25"/>
  </r>
  <r>
    <x v="19"/>
    <x v="57"/>
    <x v="2774"/>
    <x v="0"/>
    <x v="0"/>
    <x v="1703"/>
    <x v="602"/>
    <x v="1630"/>
    <x v="25"/>
  </r>
  <r>
    <x v="19"/>
    <x v="58"/>
    <x v="2775"/>
    <x v="0"/>
    <x v="0"/>
    <x v="2249"/>
    <x v="644"/>
    <x v="1631"/>
    <x v="25"/>
  </r>
  <r>
    <x v="19"/>
    <x v="59"/>
    <x v="2776"/>
    <x v="0"/>
    <x v="0"/>
    <x v="2250"/>
    <x v="645"/>
    <x v="1632"/>
    <x v="25"/>
  </r>
  <r>
    <x v="19"/>
    <x v="60"/>
    <x v="2777"/>
    <x v="0"/>
    <x v="0"/>
    <x v="2251"/>
    <x v="77"/>
    <x v="1633"/>
    <x v="206"/>
  </r>
  <r>
    <x v="19"/>
    <x v="61"/>
    <x v="2778"/>
    <x v="0"/>
    <x v="0"/>
    <x v="2252"/>
    <x v="646"/>
    <x v="1634"/>
    <x v="206"/>
  </r>
  <r>
    <x v="19"/>
    <x v="62"/>
    <x v="2779"/>
    <x v="0"/>
    <x v="0"/>
    <x v="2253"/>
    <x v="605"/>
    <x v="1635"/>
    <x v="206"/>
  </r>
  <r>
    <x v="19"/>
    <x v="63"/>
    <x v="2780"/>
    <x v="0"/>
    <x v="0"/>
    <x v="2254"/>
    <x v="405"/>
    <x v="1636"/>
    <x v="206"/>
  </r>
  <r>
    <x v="19"/>
    <x v="64"/>
    <x v="2781"/>
    <x v="0"/>
    <x v="0"/>
    <x v="2255"/>
    <x v="647"/>
    <x v="1637"/>
    <x v="206"/>
  </r>
  <r>
    <x v="19"/>
    <x v="65"/>
    <x v="2782"/>
    <x v="0"/>
    <x v="0"/>
    <x v="373"/>
    <x v="648"/>
    <x v="1638"/>
    <x v="206"/>
  </r>
  <r>
    <x v="19"/>
    <x v="66"/>
    <x v="2783"/>
    <x v="0"/>
    <x v="0"/>
    <x v="2256"/>
    <x v="649"/>
    <x v="1639"/>
    <x v="206"/>
  </r>
  <r>
    <x v="19"/>
    <x v="67"/>
    <x v="2784"/>
    <x v="0"/>
    <x v="0"/>
    <x v="1083"/>
    <x v="650"/>
    <x v="1640"/>
    <x v="206"/>
  </r>
  <r>
    <x v="19"/>
    <x v="68"/>
    <x v="2785"/>
    <x v="0"/>
    <x v="0"/>
    <x v="2022"/>
    <x v="651"/>
    <x v="1641"/>
    <x v="206"/>
  </r>
  <r>
    <x v="19"/>
    <x v="69"/>
    <x v="2786"/>
    <x v="0"/>
    <x v="0"/>
    <x v="2257"/>
    <x v="652"/>
    <x v="1642"/>
    <x v="206"/>
  </r>
  <r>
    <x v="19"/>
    <x v="70"/>
    <x v="2787"/>
    <x v="0"/>
    <x v="0"/>
    <x v="1367"/>
    <x v="190"/>
    <x v="1643"/>
    <x v="206"/>
  </r>
  <r>
    <x v="19"/>
    <x v="71"/>
    <x v="2788"/>
    <x v="0"/>
    <x v="0"/>
    <x v="2258"/>
    <x v="419"/>
    <x v="1644"/>
    <x v="206"/>
  </r>
  <r>
    <x v="19"/>
    <x v="72"/>
    <x v="2789"/>
    <x v="0"/>
    <x v="0"/>
    <x v="2259"/>
    <x v="341"/>
    <x v="1645"/>
    <x v="206"/>
  </r>
  <r>
    <x v="19"/>
    <x v="73"/>
    <x v="2790"/>
    <x v="0"/>
    <x v="0"/>
    <x v="1923"/>
    <x v="653"/>
    <x v="1646"/>
    <x v="207"/>
  </r>
  <r>
    <x v="19"/>
    <x v="74"/>
    <x v="2791"/>
    <x v="0"/>
    <x v="0"/>
    <x v="2128"/>
    <x v="654"/>
    <x v="1647"/>
    <x v="207"/>
  </r>
  <r>
    <x v="19"/>
    <x v="75"/>
    <x v="2792"/>
    <x v="0"/>
    <x v="0"/>
    <x v="2260"/>
    <x v="355"/>
    <x v="1648"/>
    <x v="207"/>
  </r>
  <r>
    <x v="19"/>
    <x v="76"/>
    <x v="2793"/>
    <x v="0"/>
    <x v="0"/>
    <x v="688"/>
    <x v="462"/>
    <x v="1649"/>
    <x v="207"/>
  </r>
  <r>
    <x v="19"/>
    <x v="77"/>
    <x v="2794"/>
    <x v="0"/>
    <x v="0"/>
    <x v="528"/>
    <x v="655"/>
    <x v="1650"/>
    <x v="207"/>
  </r>
  <r>
    <x v="19"/>
    <x v="78"/>
    <x v="2795"/>
    <x v="0"/>
    <x v="0"/>
    <x v="2261"/>
    <x v="419"/>
    <x v="1651"/>
    <x v="207"/>
  </r>
  <r>
    <x v="19"/>
    <x v="79"/>
    <x v="2796"/>
    <x v="0"/>
    <x v="0"/>
    <x v="2262"/>
    <x v="656"/>
    <x v="1652"/>
    <x v="207"/>
  </r>
  <r>
    <x v="19"/>
    <x v="80"/>
    <x v="2797"/>
    <x v="0"/>
    <x v="0"/>
    <x v="2263"/>
    <x v="229"/>
    <x v="1653"/>
    <x v="207"/>
  </r>
  <r>
    <x v="19"/>
    <x v="81"/>
    <x v="2798"/>
    <x v="0"/>
    <x v="0"/>
    <x v="1383"/>
    <x v="566"/>
    <x v="1654"/>
    <x v="207"/>
  </r>
  <r>
    <x v="19"/>
    <x v="82"/>
    <x v="2799"/>
    <x v="0"/>
    <x v="0"/>
    <x v="2264"/>
    <x v="657"/>
    <x v="1655"/>
    <x v="207"/>
  </r>
  <r>
    <x v="19"/>
    <x v="83"/>
    <x v="2800"/>
    <x v="0"/>
    <x v="1"/>
    <x v="1303"/>
    <x v="658"/>
    <x v="1656"/>
    <x v="207"/>
  </r>
  <r>
    <x v="19"/>
    <x v="84"/>
    <x v="2801"/>
    <x v="0"/>
    <x v="0"/>
    <x v="2161"/>
    <x v="659"/>
    <x v="1657"/>
    <x v="207"/>
  </r>
  <r>
    <x v="19"/>
    <x v="85"/>
    <x v="2802"/>
    <x v="0"/>
    <x v="0"/>
    <x v="2265"/>
    <x v="654"/>
    <x v="1658"/>
    <x v="207"/>
  </r>
  <r>
    <x v="19"/>
    <x v="86"/>
    <x v="2803"/>
    <x v="0"/>
    <x v="0"/>
    <x v="1861"/>
    <x v="660"/>
    <x v="1659"/>
    <x v="207"/>
  </r>
  <r>
    <x v="19"/>
    <x v="87"/>
    <x v="2804"/>
    <x v="0"/>
    <x v="0"/>
    <x v="375"/>
    <x v="661"/>
    <x v="1660"/>
    <x v="208"/>
  </r>
  <r>
    <x v="19"/>
    <x v="88"/>
    <x v="2805"/>
    <x v="0"/>
    <x v="0"/>
    <x v="2118"/>
    <x v="222"/>
    <x v="1661"/>
    <x v="208"/>
  </r>
  <r>
    <x v="19"/>
    <x v="89"/>
    <x v="2806"/>
    <x v="0"/>
    <x v="0"/>
    <x v="1643"/>
    <x v="195"/>
    <x v="1662"/>
    <x v="208"/>
  </r>
  <r>
    <x v="19"/>
    <x v="90"/>
    <x v="2807"/>
    <x v="0"/>
    <x v="0"/>
    <x v="2266"/>
    <x v="662"/>
    <x v="1663"/>
    <x v="208"/>
  </r>
  <r>
    <x v="19"/>
    <x v="91"/>
    <x v="2808"/>
    <x v="0"/>
    <x v="0"/>
    <x v="2267"/>
    <x v="231"/>
    <x v="1664"/>
    <x v="208"/>
  </r>
  <r>
    <x v="19"/>
    <x v="92"/>
    <x v="2809"/>
    <x v="0"/>
    <x v="0"/>
    <x v="1969"/>
    <x v="487"/>
    <x v="1665"/>
    <x v="208"/>
  </r>
  <r>
    <x v="19"/>
    <x v="93"/>
    <x v="2810"/>
    <x v="0"/>
    <x v="0"/>
    <x v="2268"/>
    <x v="487"/>
    <x v="1666"/>
    <x v="208"/>
  </r>
  <r>
    <x v="19"/>
    <x v="94"/>
    <x v="2811"/>
    <x v="0"/>
    <x v="1"/>
    <x v="2269"/>
    <x v="663"/>
    <x v="1667"/>
    <x v="208"/>
  </r>
  <r>
    <x v="19"/>
    <x v="95"/>
    <x v="2812"/>
    <x v="0"/>
    <x v="0"/>
    <x v="2270"/>
    <x v="118"/>
    <x v="1668"/>
    <x v="208"/>
  </r>
  <r>
    <x v="19"/>
    <x v="96"/>
    <x v="2813"/>
    <x v="0"/>
    <x v="0"/>
    <x v="2271"/>
    <x v="664"/>
    <x v="1669"/>
    <x v="208"/>
  </r>
  <r>
    <x v="19"/>
    <x v="97"/>
    <x v="2814"/>
    <x v="0"/>
    <x v="0"/>
    <x v="2272"/>
    <x v="665"/>
    <x v="1670"/>
    <x v="208"/>
  </r>
  <r>
    <x v="19"/>
    <x v="98"/>
    <x v="2815"/>
    <x v="0"/>
    <x v="0"/>
    <x v="143"/>
    <x v="580"/>
    <x v="1671"/>
    <x v="208"/>
  </r>
  <r>
    <x v="19"/>
    <x v="99"/>
    <x v="2816"/>
    <x v="0"/>
    <x v="1"/>
    <x v="2273"/>
    <x v="580"/>
    <x v="1672"/>
    <x v="208"/>
  </r>
  <r>
    <x v="19"/>
    <x v="100"/>
    <x v="2817"/>
    <x v="0"/>
    <x v="0"/>
    <x v="2274"/>
    <x v="666"/>
    <x v="1673"/>
    <x v="209"/>
  </r>
  <r>
    <x v="19"/>
    <x v="101"/>
    <x v="2818"/>
    <x v="0"/>
    <x v="0"/>
    <x v="1666"/>
    <x v="578"/>
    <x v="1674"/>
    <x v="209"/>
  </r>
  <r>
    <x v="19"/>
    <x v="102"/>
    <x v="2819"/>
    <x v="0"/>
    <x v="0"/>
    <x v="2275"/>
    <x v="80"/>
    <x v="1675"/>
    <x v="209"/>
  </r>
  <r>
    <x v="19"/>
    <x v="103"/>
    <x v="2820"/>
    <x v="0"/>
    <x v="0"/>
    <x v="2276"/>
    <x v="576"/>
    <x v="1676"/>
    <x v="209"/>
  </r>
  <r>
    <x v="19"/>
    <x v="104"/>
    <x v="2821"/>
    <x v="0"/>
    <x v="0"/>
    <x v="2"/>
    <x v="134"/>
    <x v="1677"/>
    <x v="209"/>
  </r>
  <r>
    <x v="19"/>
    <x v="105"/>
    <x v="2822"/>
    <x v="0"/>
    <x v="1"/>
    <x v="2277"/>
    <x v="193"/>
    <x v="1678"/>
    <x v="209"/>
  </r>
  <r>
    <x v="19"/>
    <x v="106"/>
    <x v="2823"/>
    <x v="0"/>
    <x v="0"/>
    <x v="2278"/>
    <x v="667"/>
    <x v="1679"/>
    <x v="209"/>
  </r>
  <r>
    <x v="19"/>
    <x v="107"/>
    <x v="2824"/>
    <x v="0"/>
    <x v="0"/>
    <x v="1009"/>
    <x v="668"/>
    <x v="1680"/>
    <x v="209"/>
  </r>
  <r>
    <x v="19"/>
    <x v="108"/>
    <x v="2825"/>
    <x v="0"/>
    <x v="0"/>
    <x v="1954"/>
    <x v="669"/>
    <x v="1681"/>
    <x v="209"/>
  </r>
  <r>
    <x v="19"/>
    <x v="109"/>
    <x v="2826"/>
    <x v="0"/>
    <x v="0"/>
    <x v="549"/>
    <x v="670"/>
    <x v="1682"/>
    <x v="209"/>
  </r>
  <r>
    <x v="19"/>
    <x v="110"/>
    <x v="2827"/>
    <x v="0"/>
    <x v="0"/>
    <x v="2279"/>
    <x v="671"/>
    <x v="1683"/>
    <x v="209"/>
  </r>
  <r>
    <x v="19"/>
    <x v="111"/>
    <x v="2828"/>
    <x v="0"/>
    <x v="0"/>
    <x v="2280"/>
    <x v="672"/>
    <x v="1684"/>
    <x v="209"/>
  </r>
  <r>
    <x v="19"/>
    <x v="112"/>
    <x v="2829"/>
    <x v="0"/>
    <x v="0"/>
    <x v="2281"/>
    <x v="673"/>
    <x v="1685"/>
    <x v="209"/>
  </r>
  <r>
    <x v="19"/>
    <x v="113"/>
    <x v="2830"/>
    <x v="0"/>
    <x v="0"/>
    <x v="2282"/>
    <x v="674"/>
    <x v="1686"/>
    <x v="210"/>
  </r>
  <r>
    <x v="19"/>
    <x v="114"/>
    <x v="2831"/>
    <x v="0"/>
    <x v="0"/>
    <x v="2283"/>
    <x v="675"/>
    <x v="1687"/>
    <x v="210"/>
  </r>
  <r>
    <x v="19"/>
    <x v="115"/>
    <x v="2832"/>
    <x v="0"/>
    <x v="0"/>
    <x v="2284"/>
    <x v="676"/>
    <x v="1688"/>
    <x v="210"/>
  </r>
  <r>
    <x v="19"/>
    <x v="116"/>
    <x v="2833"/>
    <x v="0"/>
    <x v="0"/>
    <x v="2285"/>
    <x v="677"/>
    <x v="1689"/>
    <x v="210"/>
  </r>
  <r>
    <x v="19"/>
    <x v="117"/>
    <x v="2834"/>
    <x v="0"/>
    <x v="0"/>
    <x v="2286"/>
    <x v="678"/>
    <x v="1690"/>
    <x v="210"/>
  </r>
  <r>
    <x v="19"/>
    <x v="118"/>
    <x v="2835"/>
    <x v="0"/>
    <x v="0"/>
    <x v="178"/>
    <x v="679"/>
    <x v="1691"/>
    <x v="210"/>
  </r>
  <r>
    <x v="19"/>
    <x v="119"/>
    <x v="2836"/>
    <x v="0"/>
    <x v="0"/>
    <x v="1961"/>
    <x v="670"/>
    <x v="1692"/>
    <x v="210"/>
  </r>
  <r>
    <x v="19"/>
    <x v="120"/>
    <x v="2837"/>
    <x v="0"/>
    <x v="0"/>
    <x v="2287"/>
    <x v="424"/>
    <x v="1693"/>
    <x v="210"/>
  </r>
  <r>
    <x v="19"/>
    <x v="121"/>
    <x v="2838"/>
    <x v="0"/>
    <x v="0"/>
    <x v="2027"/>
    <x v="659"/>
    <x v="1694"/>
    <x v="210"/>
  </r>
  <r>
    <x v="19"/>
    <x v="122"/>
    <x v="2839"/>
    <x v="0"/>
    <x v="0"/>
    <x v="235"/>
    <x v="604"/>
    <x v="1695"/>
    <x v="210"/>
  </r>
  <r>
    <x v="19"/>
    <x v="123"/>
    <x v="2840"/>
    <x v="0"/>
    <x v="0"/>
    <x v="2288"/>
    <x v="129"/>
    <x v="1696"/>
    <x v="210"/>
  </r>
  <r>
    <x v="19"/>
    <x v="124"/>
    <x v="2841"/>
    <x v="0"/>
    <x v="0"/>
    <x v="2289"/>
    <x v="680"/>
    <x v="1697"/>
    <x v="210"/>
  </r>
  <r>
    <x v="19"/>
    <x v="125"/>
    <x v="2842"/>
    <x v="0"/>
    <x v="0"/>
    <x v="2290"/>
    <x v="136"/>
    <x v="1698"/>
    <x v="210"/>
  </r>
  <r>
    <x v="19"/>
    <x v="126"/>
    <x v="2843"/>
    <x v="0"/>
    <x v="0"/>
    <x v="2291"/>
    <x v="681"/>
    <x v="1699"/>
    <x v="211"/>
  </r>
  <r>
    <x v="19"/>
    <x v="127"/>
    <x v="2844"/>
    <x v="0"/>
    <x v="0"/>
    <x v="2292"/>
    <x v="79"/>
    <x v="1700"/>
    <x v="211"/>
  </r>
  <r>
    <x v="19"/>
    <x v="128"/>
    <x v="2845"/>
    <x v="0"/>
    <x v="0"/>
    <x v="2293"/>
    <x v="576"/>
    <x v="1701"/>
    <x v="211"/>
  </r>
  <r>
    <x v="19"/>
    <x v="129"/>
    <x v="2846"/>
    <x v="0"/>
    <x v="0"/>
    <x v="2124"/>
    <x v="682"/>
    <x v="1702"/>
    <x v="211"/>
  </r>
  <r>
    <x v="19"/>
    <x v="130"/>
    <x v="2847"/>
    <x v="0"/>
    <x v="0"/>
    <x v="2294"/>
    <x v="683"/>
    <x v="1703"/>
    <x v="211"/>
  </r>
  <r>
    <x v="19"/>
    <x v="131"/>
    <x v="2848"/>
    <x v="0"/>
    <x v="0"/>
    <x v="2295"/>
    <x v="439"/>
    <x v="1704"/>
    <x v="211"/>
  </r>
  <r>
    <x v="19"/>
    <x v="132"/>
    <x v="2849"/>
    <x v="0"/>
    <x v="0"/>
    <x v="1272"/>
    <x v="62"/>
    <x v="1705"/>
    <x v="211"/>
  </r>
  <r>
    <x v="19"/>
    <x v="133"/>
    <x v="2850"/>
    <x v="0"/>
    <x v="0"/>
    <x v="1423"/>
    <x v="684"/>
    <x v="1706"/>
    <x v="211"/>
  </r>
  <r>
    <x v="19"/>
    <x v="134"/>
    <x v="2851"/>
    <x v="0"/>
    <x v="0"/>
    <x v="774"/>
    <x v="685"/>
    <x v="1707"/>
    <x v="211"/>
  </r>
  <r>
    <x v="19"/>
    <x v="135"/>
    <x v="2852"/>
    <x v="0"/>
    <x v="1"/>
    <x v="1440"/>
    <x v="686"/>
    <x v="1708"/>
    <x v="211"/>
  </r>
  <r>
    <x v="19"/>
    <x v="136"/>
    <x v="2853"/>
    <x v="0"/>
    <x v="0"/>
    <x v="11"/>
    <x v="687"/>
    <x v="1709"/>
    <x v="211"/>
  </r>
  <r>
    <x v="19"/>
    <x v="137"/>
    <x v="2854"/>
    <x v="0"/>
    <x v="0"/>
    <x v="2031"/>
    <x v="511"/>
    <x v="1710"/>
    <x v="211"/>
  </r>
  <r>
    <x v="19"/>
    <x v="138"/>
    <x v="2855"/>
    <x v="0"/>
    <x v="0"/>
    <x v="2296"/>
    <x v="688"/>
    <x v="1711"/>
    <x v="211"/>
  </r>
  <r>
    <x v="19"/>
    <x v="139"/>
    <x v="2856"/>
    <x v="0"/>
    <x v="0"/>
    <x v="2297"/>
    <x v="651"/>
    <x v="1712"/>
    <x v="212"/>
  </r>
  <r>
    <x v="19"/>
    <x v="140"/>
    <x v="2857"/>
    <x v="0"/>
    <x v="0"/>
    <x v="2298"/>
    <x v="689"/>
    <x v="1713"/>
    <x v="212"/>
  </r>
  <r>
    <x v="19"/>
    <x v="141"/>
    <x v="2858"/>
    <x v="0"/>
    <x v="0"/>
    <x v="1459"/>
    <x v="690"/>
    <x v="1714"/>
    <x v="212"/>
  </r>
  <r>
    <x v="19"/>
    <x v="142"/>
    <x v="2859"/>
    <x v="0"/>
    <x v="0"/>
    <x v="2299"/>
    <x v="441"/>
    <x v="1715"/>
    <x v="212"/>
  </r>
  <r>
    <x v="20"/>
    <x v="0"/>
    <x v="2860"/>
    <x v="1"/>
    <x v="0"/>
    <x v="2300"/>
    <x v="0"/>
    <x v="143"/>
    <x v="12"/>
  </r>
  <r>
    <x v="20"/>
    <x v="1"/>
    <x v="2861"/>
    <x v="1"/>
    <x v="1"/>
    <x v="1850"/>
    <x v="1"/>
    <x v="144"/>
    <x v="12"/>
  </r>
  <r>
    <x v="20"/>
    <x v="2"/>
    <x v="2862"/>
    <x v="1"/>
    <x v="0"/>
    <x v="2301"/>
    <x v="2"/>
    <x v="145"/>
    <x v="12"/>
  </r>
  <r>
    <x v="20"/>
    <x v="3"/>
    <x v="2863"/>
    <x v="1"/>
    <x v="0"/>
    <x v="2302"/>
    <x v="3"/>
    <x v="146"/>
    <x v="12"/>
  </r>
  <r>
    <x v="20"/>
    <x v="4"/>
    <x v="2864"/>
    <x v="1"/>
    <x v="0"/>
    <x v="2303"/>
    <x v="4"/>
    <x v="147"/>
    <x v="12"/>
  </r>
  <r>
    <x v="20"/>
    <x v="5"/>
    <x v="2865"/>
    <x v="1"/>
    <x v="0"/>
    <x v="2304"/>
    <x v="5"/>
    <x v="148"/>
    <x v="12"/>
  </r>
  <r>
    <x v="20"/>
    <x v="6"/>
    <x v="2866"/>
    <x v="1"/>
    <x v="0"/>
    <x v="2305"/>
    <x v="6"/>
    <x v="149"/>
    <x v="12"/>
  </r>
  <r>
    <x v="20"/>
    <x v="7"/>
    <x v="2867"/>
    <x v="1"/>
    <x v="0"/>
    <x v="2306"/>
    <x v="7"/>
    <x v="150"/>
    <x v="12"/>
  </r>
  <r>
    <x v="20"/>
    <x v="8"/>
    <x v="2868"/>
    <x v="1"/>
    <x v="0"/>
    <x v="2307"/>
    <x v="8"/>
    <x v="151"/>
    <x v="13"/>
  </r>
  <r>
    <x v="20"/>
    <x v="9"/>
    <x v="2869"/>
    <x v="1"/>
    <x v="0"/>
    <x v="1510"/>
    <x v="9"/>
    <x v="152"/>
    <x v="13"/>
  </r>
  <r>
    <x v="20"/>
    <x v="10"/>
    <x v="2870"/>
    <x v="1"/>
    <x v="0"/>
    <x v="292"/>
    <x v="10"/>
    <x v="153"/>
    <x v="13"/>
  </r>
  <r>
    <x v="20"/>
    <x v="11"/>
    <x v="2871"/>
    <x v="1"/>
    <x v="0"/>
    <x v="913"/>
    <x v="11"/>
    <x v="154"/>
    <x v="13"/>
  </r>
  <r>
    <x v="20"/>
    <x v="12"/>
    <x v="2872"/>
    <x v="1"/>
    <x v="0"/>
    <x v="2308"/>
    <x v="12"/>
    <x v="155"/>
    <x v="13"/>
  </r>
  <r>
    <x v="20"/>
    <x v="13"/>
    <x v="2873"/>
    <x v="1"/>
    <x v="0"/>
    <x v="1619"/>
    <x v="13"/>
    <x v="156"/>
    <x v="13"/>
  </r>
  <r>
    <x v="20"/>
    <x v="14"/>
    <x v="2874"/>
    <x v="1"/>
    <x v="0"/>
    <x v="2309"/>
    <x v="14"/>
    <x v="157"/>
    <x v="13"/>
  </r>
  <r>
    <x v="20"/>
    <x v="15"/>
    <x v="2875"/>
    <x v="1"/>
    <x v="0"/>
    <x v="727"/>
    <x v="15"/>
    <x v="158"/>
    <x v="13"/>
  </r>
  <r>
    <x v="20"/>
    <x v="16"/>
    <x v="2876"/>
    <x v="1"/>
    <x v="0"/>
    <x v="33"/>
    <x v="16"/>
    <x v="159"/>
    <x v="13"/>
  </r>
  <r>
    <x v="20"/>
    <x v="17"/>
    <x v="2877"/>
    <x v="1"/>
    <x v="0"/>
    <x v="2310"/>
    <x v="17"/>
    <x v="160"/>
    <x v="13"/>
  </r>
  <r>
    <x v="20"/>
    <x v="18"/>
    <x v="2878"/>
    <x v="1"/>
    <x v="0"/>
    <x v="481"/>
    <x v="18"/>
    <x v="161"/>
    <x v="13"/>
  </r>
  <r>
    <x v="20"/>
    <x v="19"/>
    <x v="2879"/>
    <x v="1"/>
    <x v="0"/>
    <x v="2311"/>
    <x v="19"/>
    <x v="162"/>
    <x v="13"/>
  </r>
  <r>
    <x v="20"/>
    <x v="20"/>
    <x v="2880"/>
    <x v="1"/>
    <x v="0"/>
    <x v="1395"/>
    <x v="20"/>
    <x v="163"/>
    <x v="13"/>
  </r>
  <r>
    <x v="20"/>
    <x v="21"/>
    <x v="2881"/>
    <x v="1"/>
    <x v="0"/>
    <x v="2312"/>
    <x v="21"/>
    <x v="164"/>
    <x v="14"/>
  </r>
  <r>
    <x v="20"/>
    <x v="22"/>
    <x v="2882"/>
    <x v="1"/>
    <x v="0"/>
    <x v="1356"/>
    <x v="22"/>
    <x v="165"/>
    <x v="14"/>
  </r>
  <r>
    <x v="20"/>
    <x v="23"/>
    <x v="2883"/>
    <x v="1"/>
    <x v="0"/>
    <x v="1215"/>
    <x v="23"/>
    <x v="166"/>
    <x v="14"/>
  </r>
  <r>
    <x v="20"/>
    <x v="24"/>
    <x v="2884"/>
    <x v="1"/>
    <x v="0"/>
    <x v="1317"/>
    <x v="24"/>
    <x v="167"/>
    <x v="14"/>
  </r>
  <r>
    <x v="20"/>
    <x v="25"/>
    <x v="2885"/>
    <x v="1"/>
    <x v="0"/>
    <x v="2313"/>
    <x v="25"/>
    <x v="168"/>
    <x v="14"/>
  </r>
  <r>
    <x v="20"/>
    <x v="26"/>
    <x v="2886"/>
    <x v="1"/>
    <x v="0"/>
    <x v="1322"/>
    <x v="26"/>
    <x v="169"/>
    <x v="14"/>
  </r>
  <r>
    <x v="20"/>
    <x v="27"/>
    <x v="2887"/>
    <x v="1"/>
    <x v="0"/>
    <x v="2314"/>
    <x v="27"/>
    <x v="170"/>
    <x v="14"/>
  </r>
  <r>
    <x v="20"/>
    <x v="28"/>
    <x v="2888"/>
    <x v="1"/>
    <x v="0"/>
    <x v="2315"/>
    <x v="28"/>
    <x v="171"/>
    <x v="14"/>
  </r>
  <r>
    <x v="20"/>
    <x v="29"/>
    <x v="2889"/>
    <x v="1"/>
    <x v="0"/>
    <x v="2316"/>
    <x v="29"/>
    <x v="172"/>
    <x v="14"/>
  </r>
  <r>
    <x v="20"/>
    <x v="30"/>
    <x v="2890"/>
    <x v="1"/>
    <x v="0"/>
    <x v="2317"/>
    <x v="30"/>
    <x v="173"/>
    <x v="14"/>
  </r>
  <r>
    <x v="20"/>
    <x v="31"/>
    <x v="2891"/>
    <x v="1"/>
    <x v="1"/>
    <x v="2318"/>
    <x v="31"/>
    <x v="174"/>
    <x v="14"/>
  </r>
  <r>
    <x v="20"/>
    <x v="32"/>
    <x v="2892"/>
    <x v="1"/>
    <x v="0"/>
    <x v="2319"/>
    <x v="32"/>
    <x v="175"/>
    <x v="14"/>
  </r>
  <r>
    <x v="20"/>
    <x v="33"/>
    <x v="2893"/>
    <x v="1"/>
    <x v="0"/>
    <x v="2320"/>
    <x v="33"/>
    <x v="176"/>
    <x v="14"/>
  </r>
  <r>
    <x v="20"/>
    <x v="34"/>
    <x v="2894"/>
    <x v="1"/>
    <x v="0"/>
    <x v="1245"/>
    <x v="34"/>
    <x v="177"/>
    <x v="15"/>
  </r>
  <r>
    <x v="20"/>
    <x v="35"/>
    <x v="2895"/>
    <x v="1"/>
    <x v="0"/>
    <x v="2321"/>
    <x v="35"/>
    <x v="178"/>
    <x v="15"/>
  </r>
  <r>
    <x v="20"/>
    <x v="36"/>
    <x v="2896"/>
    <x v="1"/>
    <x v="0"/>
    <x v="2322"/>
    <x v="6"/>
    <x v="179"/>
    <x v="15"/>
  </r>
  <r>
    <x v="20"/>
    <x v="37"/>
    <x v="2897"/>
    <x v="1"/>
    <x v="0"/>
    <x v="2323"/>
    <x v="36"/>
    <x v="180"/>
    <x v="15"/>
  </r>
  <r>
    <x v="20"/>
    <x v="38"/>
    <x v="2898"/>
    <x v="1"/>
    <x v="0"/>
    <x v="1860"/>
    <x v="37"/>
    <x v="181"/>
    <x v="15"/>
  </r>
  <r>
    <x v="20"/>
    <x v="39"/>
    <x v="2899"/>
    <x v="1"/>
    <x v="0"/>
    <x v="2324"/>
    <x v="38"/>
    <x v="182"/>
    <x v="15"/>
  </r>
  <r>
    <x v="20"/>
    <x v="40"/>
    <x v="2900"/>
    <x v="1"/>
    <x v="0"/>
    <x v="2325"/>
    <x v="39"/>
    <x v="183"/>
    <x v="15"/>
  </r>
  <r>
    <x v="20"/>
    <x v="41"/>
    <x v="2901"/>
    <x v="1"/>
    <x v="0"/>
    <x v="2326"/>
    <x v="40"/>
    <x v="184"/>
    <x v="15"/>
  </r>
  <r>
    <x v="20"/>
    <x v="42"/>
    <x v="2902"/>
    <x v="0"/>
    <x v="1"/>
    <x v="2327"/>
    <x v="41"/>
    <x v="185"/>
    <x v="15"/>
  </r>
  <r>
    <x v="20"/>
    <x v="43"/>
    <x v="2903"/>
    <x v="1"/>
    <x v="0"/>
    <x v="1453"/>
    <x v="42"/>
    <x v="186"/>
    <x v="15"/>
  </r>
  <r>
    <x v="20"/>
    <x v="44"/>
    <x v="2904"/>
    <x v="1"/>
    <x v="0"/>
    <x v="2328"/>
    <x v="43"/>
    <x v="187"/>
    <x v="15"/>
  </r>
  <r>
    <x v="20"/>
    <x v="45"/>
    <x v="2905"/>
    <x v="0"/>
    <x v="0"/>
    <x v="1741"/>
    <x v="44"/>
    <x v="188"/>
    <x v="15"/>
  </r>
  <r>
    <x v="20"/>
    <x v="46"/>
    <x v="2906"/>
    <x v="0"/>
    <x v="0"/>
    <x v="974"/>
    <x v="45"/>
    <x v="189"/>
    <x v="15"/>
  </r>
  <r>
    <x v="20"/>
    <x v="47"/>
    <x v="2907"/>
    <x v="1"/>
    <x v="1"/>
    <x v="2329"/>
    <x v="46"/>
    <x v="190"/>
    <x v="15"/>
  </r>
  <r>
    <x v="20"/>
    <x v="48"/>
    <x v="2908"/>
    <x v="1"/>
    <x v="0"/>
    <x v="2330"/>
    <x v="47"/>
    <x v="191"/>
    <x v="16"/>
  </r>
  <r>
    <x v="20"/>
    <x v="49"/>
    <x v="2909"/>
    <x v="1"/>
    <x v="0"/>
    <x v="926"/>
    <x v="48"/>
    <x v="192"/>
    <x v="16"/>
  </r>
  <r>
    <x v="20"/>
    <x v="50"/>
    <x v="2910"/>
    <x v="1"/>
    <x v="0"/>
    <x v="2331"/>
    <x v="49"/>
    <x v="193"/>
    <x v="16"/>
  </r>
  <r>
    <x v="20"/>
    <x v="51"/>
    <x v="2911"/>
    <x v="1"/>
    <x v="0"/>
    <x v="50"/>
    <x v="50"/>
    <x v="194"/>
    <x v="16"/>
  </r>
  <r>
    <x v="20"/>
    <x v="52"/>
    <x v="2912"/>
    <x v="1"/>
    <x v="0"/>
    <x v="1011"/>
    <x v="51"/>
    <x v="195"/>
    <x v="16"/>
  </r>
  <r>
    <x v="20"/>
    <x v="53"/>
    <x v="2913"/>
    <x v="1"/>
    <x v="1"/>
    <x v="463"/>
    <x v="52"/>
    <x v="196"/>
    <x v="16"/>
  </r>
  <r>
    <x v="20"/>
    <x v="54"/>
    <x v="2914"/>
    <x v="1"/>
    <x v="0"/>
    <x v="2332"/>
    <x v="53"/>
    <x v="197"/>
    <x v="16"/>
  </r>
  <r>
    <x v="20"/>
    <x v="55"/>
    <x v="2915"/>
    <x v="1"/>
    <x v="0"/>
    <x v="2333"/>
    <x v="54"/>
    <x v="198"/>
    <x v="16"/>
  </r>
  <r>
    <x v="20"/>
    <x v="56"/>
    <x v="2916"/>
    <x v="1"/>
    <x v="0"/>
    <x v="2334"/>
    <x v="55"/>
    <x v="199"/>
    <x v="16"/>
  </r>
  <r>
    <x v="20"/>
    <x v="57"/>
    <x v="2917"/>
    <x v="1"/>
    <x v="0"/>
    <x v="2335"/>
    <x v="56"/>
    <x v="200"/>
    <x v="16"/>
  </r>
  <r>
    <x v="20"/>
    <x v="58"/>
    <x v="2918"/>
    <x v="1"/>
    <x v="0"/>
    <x v="2336"/>
    <x v="57"/>
    <x v="201"/>
    <x v="16"/>
  </r>
  <r>
    <x v="20"/>
    <x v="59"/>
    <x v="2919"/>
    <x v="1"/>
    <x v="0"/>
    <x v="119"/>
    <x v="58"/>
    <x v="202"/>
    <x v="16"/>
  </r>
  <r>
    <x v="20"/>
    <x v="60"/>
    <x v="2920"/>
    <x v="1"/>
    <x v="0"/>
    <x v="236"/>
    <x v="59"/>
    <x v="203"/>
    <x v="17"/>
  </r>
  <r>
    <x v="20"/>
    <x v="61"/>
    <x v="2921"/>
    <x v="1"/>
    <x v="0"/>
    <x v="2337"/>
    <x v="60"/>
    <x v="204"/>
    <x v="17"/>
  </r>
  <r>
    <x v="20"/>
    <x v="62"/>
    <x v="2922"/>
    <x v="1"/>
    <x v="0"/>
    <x v="2338"/>
    <x v="61"/>
    <x v="205"/>
    <x v="17"/>
  </r>
  <r>
    <x v="20"/>
    <x v="63"/>
    <x v="2923"/>
    <x v="1"/>
    <x v="0"/>
    <x v="2339"/>
    <x v="62"/>
    <x v="206"/>
    <x v="17"/>
  </r>
  <r>
    <x v="20"/>
    <x v="64"/>
    <x v="2924"/>
    <x v="1"/>
    <x v="0"/>
    <x v="1550"/>
    <x v="63"/>
    <x v="207"/>
    <x v="17"/>
  </r>
  <r>
    <x v="20"/>
    <x v="65"/>
    <x v="2925"/>
    <x v="1"/>
    <x v="0"/>
    <x v="2340"/>
    <x v="64"/>
    <x v="208"/>
    <x v="17"/>
  </r>
  <r>
    <x v="20"/>
    <x v="66"/>
    <x v="2926"/>
    <x v="1"/>
    <x v="0"/>
    <x v="2341"/>
    <x v="65"/>
    <x v="209"/>
    <x v="17"/>
  </r>
  <r>
    <x v="20"/>
    <x v="67"/>
    <x v="2927"/>
    <x v="1"/>
    <x v="0"/>
    <x v="2342"/>
    <x v="66"/>
    <x v="210"/>
    <x v="17"/>
  </r>
  <r>
    <x v="20"/>
    <x v="68"/>
    <x v="2928"/>
    <x v="1"/>
    <x v="0"/>
    <x v="534"/>
    <x v="67"/>
    <x v="211"/>
    <x v="17"/>
  </r>
  <r>
    <x v="20"/>
    <x v="69"/>
    <x v="2929"/>
    <x v="1"/>
    <x v="0"/>
    <x v="2343"/>
    <x v="68"/>
    <x v="212"/>
    <x v="17"/>
  </r>
  <r>
    <x v="20"/>
    <x v="70"/>
    <x v="2930"/>
    <x v="1"/>
    <x v="0"/>
    <x v="2344"/>
    <x v="69"/>
    <x v="213"/>
    <x v="17"/>
  </r>
  <r>
    <x v="20"/>
    <x v="71"/>
    <x v="2931"/>
    <x v="1"/>
    <x v="0"/>
    <x v="2345"/>
    <x v="70"/>
    <x v="214"/>
    <x v="17"/>
  </r>
  <r>
    <x v="20"/>
    <x v="72"/>
    <x v="2932"/>
    <x v="1"/>
    <x v="0"/>
    <x v="2346"/>
    <x v="71"/>
    <x v="215"/>
    <x v="17"/>
  </r>
  <r>
    <x v="20"/>
    <x v="73"/>
    <x v="2933"/>
    <x v="1"/>
    <x v="0"/>
    <x v="2347"/>
    <x v="59"/>
    <x v="216"/>
    <x v="18"/>
  </r>
  <r>
    <x v="20"/>
    <x v="74"/>
    <x v="2934"/>
    <x v="1"/>
    <x v="0"/>
    <x v="2348"/>
    <x v="72"/>
    <x v="217"/>
    <x v="18"/>
  </r>
  <r>
    <x v="20"/>
    <x v="75"/>
    <x v="2935"/>
    <x v="1"/>
    <x v="0"/>
    <x v="2349"/>
    <x v="73"/>
    <x v="218"/>
    <x v="18"/>
  </r>
  <r>
    <x v="20"/>
    <x v="76"/>
    <x v="2936"/>
    <x v="1"/>
    <x v="0"/>
    <x v="2350"/>
    <x v="74"/>
    <x v="219"/>
    <x v="18"/>
  </r>
  <r>
    <x v="20"/>
    <x v="77"/>
    <x v="2937"/>
    <x v="1"/>
    <x v="0"/>
    <x v="2351"/>
    <x v="75"/>
    <x v="220"/>
    <x v="18"/>
  </r>
  <r>
    <x v="20"/>
    <x v="78"/>
    <x v="2938"/>
    <x v="1"/>
    <x v="0"/>
    <x v="2352"/>
    <x v="76"/>
    <x v="221"/>
    <x v="18"/>
  </r>
  <r>
    <x v="20"/>
    <x v="79"/>
    <x v="2939"/>
    <x v="1"/>
    <x v="0"/>
    <x v="2353"/>
    <x v="77"/>
    <x v="222"/>
    <x v="18"/>
  </r>
  <r>
    <x v="20"/>
    <x v="80"/>
    <x v="2940"/>
    <x v="1"/>
    <x v="0"/>
    <x v="2354"/>
    <x v="78"/>
    <x v="223"/>
    <x v="18"/>
  </r>
  <r>
    <x v="20"/>
    <x v="81"/>
    <x v="2941"/>
    <x v="1"/>
    <x v="0"/>
    <x v="2355"/>
    <x v="79"/>
    <x v="224"/>
    <x v="18"/>
  </r>
  <r>
    <x v="20"/>
    <x v="82"/>
    <x v="2942"/>
    <x v="1"/>
    <x v="0"/>
    <x v="2356"/>
    <x v="80"/>
    <x v="225"/>
    <x v="18"/>
  </r>
  <r>
    <x v="20"/>
    <x v="83"/>
    <x v="2943"/>
    <x v="1"/>
    <x v="1"/>
    <x v="2357"/>
    <x v="81"/>
    <x v="226"/>
    <x v="18"/>
  </r>
  <r>
    <x v="20"/>
    <x v="84"/>
    <x v="2944"/>
    <x v="1"/>
    <x v="0"/>
    <x v="2358"/>
    <x v="82"/>
    <x v="227"/>
    <x v="18"/>
  </r>
  <r>
    <x v="20"/>
    <x v="85"/>
    <x v="2945"/>
    <x v="1"/>
    <x v="0"/>
    <x v="2359"/>
    <x v="83"/>
    <x v="228"/>
    <x v="18"/>
  </r>
  <r>
    <x v="20"/>
    <x v="86"/>
    <x v="2946"/>
    <x v="1"/>
    <x v="0"/>
    <x v="1136"/>
    <x v="84"/>
    <x v="229"/>
    <x v="18"/>
  </r>
  <r>
    <x v="20"/>
    <x v="87"/>
    <x v="2947"/>
    <x v="1"/>
    <x v="0"/>
    <x v="318"/>
    <x v="85"/>
    <x v="230"/>
    <x v="19"/>
  </r>
  <r>
    <x v="20"/>
    <x v="88"/>
    <x v="2948"/>
    <x v="1"/>
    <x v="0"/>
    <x v="281"/>
    <x v="86"/>
    <x v="231"/>
    <x v="19"/>
  </r>
  <r>
    <x v="20"/>
    <x v="89"/>
    <x v="2949"/>
    <x v="1"/>
    <x v="0"/>
    <x v="1857"/>
    <x v="87"/>
    <x v="232"/>
    <x v="19"/>
  </r>
  <r>
    <x v="20"/>
    <x v="90"/>
    <x v="2950"/>
    <x v="1"/>
    <x v="0"/>
    <x v="1108"/>
    <x v="88"/>
    <x v="233"/>
    <x v="19"/>
  </r>
  <r>
    <x v="20"/>
    <x v="91"/>
    <x v="2951"/>
    <x v="1"/>
    <x v="0"/>
    <x v="2360"/>
    <x v="89"/>
    <x v="234"/>
    <x v="19"/>
  </r>
  <r>
    <x v="20"/>
    <x v="92"/>
    <x v="2952"/>
    <x v="1"/>
    <x v="0"/>
    <x v="2361"/>
    <x v="90"/>
    <x v="235"/>
    <x v="19"/>
  </r>
  <r>
    <x v="20"/>
    <x v="93"/>
    <x v="2953"/>
    <x v="1"/>
    <x v="0"/>
    <x v="2362"/>
    <x v="91"/>
    <x v="236"/>
    <x v="19"/>
  </r>
  <r>
    <x v="20"/>
    <x v="94"/>
    <x v="2954"/>
    <x v="0"/>
    <x v="1"/>
    <x v="1341"/>
    <x v="92"/>
    <x v="237"/>
    <x v="19"/>
  </r>
  <r>
    <x v="20"/>
    <x v="95"/>
    <x v="2955"/>
    <x v="1"/>
    <x v="0"/>
    <x v="2363"/>
    <x v="93"/>
    <x v="238"/>
    <x v="19"/>
  </r>
  <r>
    <x v="20"/>
    <x v="96"/>
    <x v="2956"/>
    <x v="1"/>
    <x v="0"/>
    <x v="2364"/>
    <x v="94"/>
    <x v="239"/>
    <x v="19"/>
  </r>
  <r>
    <x v="20"/>
    <x v="97"/>
    <x v="2957"/>
    <x v="1"/>
    <x v="0"/>
    <x v="1004"/>
    <x v="95"/>
    <x v="240"/>
    <x v="19"/>
  </r>
  <r>
    <x v="20"/>
    <x v="98"/>
    <x v="2958"/>
    <x v="0"/>
    <x v="0"/>
    <x v="1705"/>
    <x v="96"/>
    <x v="241"/>
    <x v="19"/>
  </r>
  <r>
    <x v="20"/>
    <x v="99"/>
    <x v="2959"/>
    <x v="1"/>
    <x v="1"/>
    <x v="2365"/>
    <x v="97"/>
    <x v="242"/>
    <x v="19"/>
  </r>
  <r>
    <x v="20"/>
    <x v="100"/>
    <x v="2960"/>
    <x v="1"/>
    <x v="0"/>
    <x v="2366"/>
    <x v="98"/>
    <x v="243"/>
    <x v="20"/>
  </r>
  <r>
    <x v="20"/>
    <x v="101"/>
    <x v="2961"/>
    <x v="1"/>
    <x v="0"/>
    <x v="1823"/>
    <x v="99"/>
    <x v="244"/>
    <x v="20"/>
  </r>
  <r>
    <x v="20"/>
    <x v="102"/>
    <x v="2962"/>
    <x v="1"/>
    <x v="0"/>
    <x v="2367"/>
    <x v="100"/>
    <x v="245"/>
    <x v="20"/>
  </r>
  <r>
    <x v="20"/>
    <x v="103"/>
    <x v="2963"/>
    <x v="1"/>
    <x v="0"/>
    <x v="2368"/>
    <x v="101"/>
    <x v="246"/>
    <x v="20"/>
  </r>
  <r>
    <x v="20"/>
    <x v="104"/>
    <x v="2964"/>
    <x v="1"/>
    <x v="0"/>
    <x v="2071"/>
    <x v="102"/>
    <x v="247"/>
    <x v="20"/>
  </r>
  <r>
    <x v="20"/>
    <x v="105"/>
    <x v="2965"/>
    <x v="1"/>
    <x v="1"/>
    <x v="2369"/>
    <x v="103"/>
    <x v="248"/>
    <x v="20"/>
  </r>
  <r>
    <x v="20"/>
    <x v="106"/>
    <x v="2966"/>
    <x v="1"/>
    <x v="0"/>
    <x v="965"/>
    <x v="104"/>
    <x v="249"/>
    <x v="20"/>
  </r>
  <r>
    <x v="20"/>
    <x v="107"/>
    <x v="2967"/>
    <x v="1"/>
    <x v="0"/>
    <x v="2370"/>
    <x v="105"/>
    <x v="250"/>
    <x v="20"/>
  </r>
  <r>
    <x v="20"/>
    <x v="108"/>
    <x v="2968"/>
    <x v="1"/>
    <x v="0"/>
    <x v="2371"/>
    <x v="106"/>
    <x v="251"/>
    <x v="20"/>
  </r>
  <r>
    <x v="20"/>
    <x v="109"/>
    <x v="2969"/>
    <x v="1"/>
    <x v="0"/>
    <x v="327"/>
    <x v="107"/>
    <x v="252"/>
    <x v="20"/>
  </r>
  <r>
    <x v="20"/>
    <x v="110"/>
    <x v="2970"/>
    <x v="1"/>
    <x v="0"/>
    <x v="2372"/>
    <x v="108"/>
    <x v="253"/>
    <x v="20"/>
  </r>
  <r>
    <x v="20"/>
    <x v="111"/>
    <x v="2971"/>
    <x v="1"/>
    <x v="0"/>
    <x v="2327"/>
    <x v="109"/>
    <x v="254"/>
    <x v="20"/>
  </r>
  <r>
    <x v="20"/>
    <x v="112"/>
    <x v="2972"/>
    <x v="1"/>
    <x v="0"/>
    <x v="292"/>
    <x v="110"/>
    <x v="255"/>
    <x v="20"/>
  </r>
  <r>
    <x v="20"/>
    <x v="113"/>
    <x v="2973"/>
    <x v="1"/>
    <x v="0"/>
    <x v="2373"/>
    <x v="111"/>
    <x v="256"/>
    <x v="21"/>
  </r>
  <r>
    <x v="20"/>
    <x v="114"/>
    <x v="2974"/>
    <x v="1"/>
    <x v="0"/>
    <x v="365"/>
    <x v="111"/>
    <x v="257"/>
    <x v="21"/>
  </r>
  <r>
    <x v="20"/>
    <x v="115"/>
    <x v="2975"/>
    <x v="1"/>
    <x v="0"/>
    <x v="2374"/>
    <x v="112"/>
    <x v="258"/>
    <x v="21"/>
  </r>
  <r>
    <x v="20"/>
    <x v="116"/>
    <x v="2976"/>
    <x v="1"/>
    <x v="0"/>
    <x v="207"/>
    <x v="113"/>
    <x v="259"/>
    <x v="21"/>
  </r>
  <r>
    <x v="20"/>
    <x v="117"/>
    <x v="2977"/>
    <x v="1"/>
    <x v="0"/>
    <x v="2375"/>
    <x v="114"/>
    <x v="260"/>
    <x v="21"/>
  </r>
  <r>
    <x v="20"/>
    <x v="118"/>
    <x v="2978"/>
    <x v="1"/>
    <x v="0"/>
    <x v="2376"/>
    <x v="115"/>
    <x v="261"/>
    <x v="21"/>
  </r>
  <r>
    <x v="20"/>
    <x v="119"/>
    <x v="2979"/>
    <x v="1"/>
    <x v="0"/>
    <x v="2377"/>
    <x v="106"/>
    <x v="262"/>
    <x v="21"/>
  </r>
  <r>
    <x v="20"/>
    <x v="120"/>
    <x v="2980"/>
    <x v="1"/>
    <x v="0"/>
    <x v="2378"/>
    <x v="116"/>
    <x v="263"/>
    <x v="21"/>
  </r>
  <r>
    <x v="20"/>
    <x v="121"/>
    <x v="2981"/>
    <x v="1"/>
    <x v="0"/>
    <x v="2379"/>
    <x v="117"/>
    <x v="264"/>
    <x v="21"/>
  </r>
  <r>
    <x v="20"/>
    <x v="122"/>
    <x v="2982"/>
    <x v="1"/>
    <x v="0"/>
    <x v="2380"/>
    <x v="118"/>
    <x v="265"/>
    <x v="21"/>
  </r>
  <r>
    <x v="20"/>
    <x v="123"/>
    <x v="2983"/>
    <x v="1"/>
    <x v="0"/>
    <x v="2381"/>
    <x v="119"/>
    <x v="266"/>
    <x v="21"/>
  </r>
  <r>
    <x v="20"/>
    <x v="124"/>
    <x v="2984"/>
    <x v="1"/>
    <x v="0"/>
    <x v="700"/>
    <x v="120"/>
    <x v="267"/>
    <x v="21"/>
  </r>
  <r>
    <x v="20"/>
    <x v="125"/>
    <x v="2985"/>
    <x v="1"/>
    <x v="0"/>
    <x v="2382"/>
    <x v="121"/>
    <x v="268"/>
    <x v="21"/>
  </r>
  <r>
    <x v="20"/>
    <x v="126"/>
    <x v="2986"/>
    <x v="1"/>
    <x v="0"/>
    <x v="2383"/>
    <x v="122"/>
    <x v="269"/>
    <x v="22"/>
  </r>
  <r>
    <x v="20"/>
    <x v="127"/>
    <x v="2987"/>
    <x v="1"/>
    <x v="0"/>
    <x v="745"/>
    <x v="123"/>
    <x v="270"/>
    <x v="22"/>
  </r>
  <r>
    <x v="20"/>
    <x v="128"/>
    <x v="2988"/>
    <x v="1"/>
    <x v="0"/>
    <x v="668"/>
    <x v="124"/>
    <x v="271"/>
    <x v="22"/>
  </r>
  <r>
    <x v="20"/>
    <x v="129"/>
    <x v="2989"/>
    <x v="1"/>
    <x v="0"/>
    <x v="2384"/>
    <x v="125"/>
    <x v="272"/>
    <x v="22"/>
  </r>
  <r>
    <x v="20"/>
    <x v="130"/>
    <x v="2990"/>
    <x v="1"/>
    <x v="0"/>
    <x v="2385"/>
    <x v="126"/>
    <x v="273"/>
    <x v="22"/>
  </r>
  <r>
    <x v="20"/>
    <x v="131"/>
    <x v="2991"/>
    <x v="1"/>
    <x v="0"/>
    <x v="2386"/>
    <x v="127"/>
    <x v="274"/>
    <x v="22"/>
  </r>
  <r>
    <x v="20"/>
    <x v="132"/>
    <x v="2992"/>
    <x v="1"/>
    <x v="0"/>
    <x v="73"/>
    <x v="128"/>
    <x v="275"/>
    <x v="22"/>
  </r>
  <r>
    <x v="20"/>
    <x v="133"/>
    <x v="2993"/>
    <x v="1"/>
    <x v="0"/>
    <x v="68"/>
    <x v="129"/>
    <x v="276"/>
    <x v="22"/>
  </r>
  <r>
    <x v="20"/>
    <x v="134"/>
    <x v="2994"/>
    <x v="1"/>
    <x v="0"/>
    <x v="72"/>
    <x v="77"/>
    <x v="277"/>
    <x v="22"/>
  </r>
  <r>
    <x v="20"/>
    <x v="135"/>
    <x v="2995"/>
    <x v="1"/>
    <x v="1"/>
    <x v="2387"/>
    <x v="130"/>
    <x v="278"/>
    <x v="22"/>
  </r>
  <r>
    <x v="20"/>
    <x v="136"/>
    <x v="2996"/>
    <x v="1"/>
    <x v="0"/>
    <x v="2388"/>
    <x v="131"/>
    <x v="279"/>
    <x v="22"/>
  </r>
  <r>
    <x v="20"/>
    <x v="137"/>
    <x v="2997"/>
    <x v="1"/>
    <x v="0"/>
    <x v="2389"/>
    <x v="132"/>
    <x v="280"/>
    <x v="22"/>
  </r>
  <r>
    <x v="20"/>
    <x v="138"/>
    <x v="2998"/>
    <x v="1"/>
    <x v="0"/>
    <x v="2390"/>
    <x v="133"/>
    <x v="281"/>
    <x v="22"/>
  </r>
  <r>
    <x v="20"/>
    <x v="139"/>
    <x v="2999"/>
    <x v="1"/>
    <x v="0"/>
    <x v="1245"/>
    <x v="134"/>
    <x v="282"/>
    <x v="23"/>
  </r>
  <r>
    <x v="20"/>
    <x v="140"/>
    <x v="3000"/>
    <x v="1"/>
    <x v="0"/>
    <x v="2391"/>
    <x v="135"/>
    <x v="283"/>
    <x v="23"/>
  </r>
  <r>
    <x v="20"/>
    <x v="141"/>
    <x v="3001"/>
    <x v="1"/>
    <x v="0"/>
    <x v="2099"/>
    <x v="71"/>
    <x v="284"/>
    <x v="23"/>
  </r>
  <r>
    <x v="20"/>
    <x v="142"/>
    <x v="3002"/>
    <x v="1"/>
    <x v="0"/>
    <x v="775"/>
    <x v="136"/>
    <x v="285"/>
    <x v="23"/>
  </r>
  <r>
    <x v="21"/>
    <x v="0"/>
    <x v="3003"/>
    <x v="1"/>
    <x v="0"/>
    <x v="1948"/>
    <x v="258"/>
    <x v="1716"/>
    <x v="213"/>
  </r>
  <r>
    <x v="21"/>
    <x v="1"/>
    <x v="3004"/>
    <x v="1"/>
    <x v="1"/>
    <x v="2392"/>
    <x v="40"/>
    <x v="1717"/>
    <x v="213"/>
  </r>
  <r>
    <x v="21"/>
    <x v="2"/>
    <x v="3005"/>
    <x v="1"/>
    <x v="0"/>
    <x v="2393"/>
    <x v="769"/>
    <x v="1718"/>
    <x v="213"/>
  </r>
  <r>
    <x v="21"/>
    <x v="3"/>
    <x v="3006"/>
    <x v="1"/>
    <x v="0"/>
    <x v="2394"/>
    <x v="770"/>
    <x v="1719"/>
    <x v="213"/>
  </r>
  <r>
    <x v="21"/>
    <x v="4"/>
    <x v="3007"/>
    <x v="1"/>
    <x v="0"/>
    <x v="2395"/>
    <x v="257"/>
    <x v="1720"/>
    <x v="213"/>
  </r>
  <r>
    <x v="21"/>
    <x v="5"/>
    <x v="3008"/>
    <x v="1"/>
    <x v="0"/>
    <x v="1189"/>
    <x v="148"/>
    <x v="1721"/>
    <x v="213"/>
  </r>
  <r>
    <x v="21"/>
    <x v="6"/>
    <x v="3009"/>
    <x v="1"/>
    <x v="0"/>
    <x v="2396"/>
    <x v="771"/>
    <x v="1722"/>
    <x v="213"/>
  </r>
  <r>
    <x v="21"/>
    <x v="7"/>
    <x v="3010"/>
    <x v="1"/>
    <x v="0"/>
    <x v="824"/>
    <x v="544"/>
    <x v="1723"/>
    <x v="213"/>
  </r>
  <r>
    <x v="21"/>
    <x v="8"/>
    <x v="3011"/>
    <x v="0"/>
    <x v="0"/>
    <x v="2397"/>
    <x v="15"/>
    <x v="1724"/>
    <x v="214"/>
  </r>
  <r>
    <x v="21"/>
    <x v="9"/>
    <x v="3012"/>
    <x v="1"/>
    <x v="0"/>
    <x v="289"/>
    <x v="543"/>
    <x v="1725"/>
    <x v="214"/>
  </r>
  <r>
    <x v="21"/>
    <x v="10"/>
    <x v="3013"/>
    <x v="1"/>
    <x v="0"/>
    <x v="632"/>
    <x v="709"/>
    <x v="1726"/>
    <x v="214"/>
  </r>
  <r>
    <x v="21"/>
    <x v="11"/>
    <x v="3014"/>
    <x v="1"/>
    <x v="0"/>
    <x v="1301"/>
    <x v="772"/>
    <x v="1727"/>
    <x v="214"/>
  </r>
  <r>
    <x v="21"/>
    <x v="12"/>
    <x v="3015"/>
    <x v="1"/>
    <x v="0"/>
    <x v="2398"/>
    <x v="374"/>
    <x v="1728"/>
    <x v="214"/>
  </r>
  <r>
    <x v="21"/>
    <x v="13"/>
    <x v="3016"/>
    <x v="0"/>
    <x v="0"/>
    <x v="2399"/>
    <x v="773"/>
    <x v="1729"/>
    <x v="214"/>
  </r>
  <r>
    <x v="21"/>
    <x v="14"/>
    <x v="3017"/>
    <x v="1"/>
    <x v="0"/>
    <x v="2400"/>
    <x v="48"/>
    <x v="1730"/>
    <x v="214"/>
  </r>
  <r>
    <x v="21"/>
    <x v="15"/>
    <x v="3018"/>
    <x v="1"/>
    <x v="0"/>
    <x v="2401"/>
    <x v="382"/>
    <x v="1731"/>
    <x v="214"/>
  </r>
  <r>
    <x v="21"/>
    <x v="16"/>
    <x v="3019"/>
    <x v="0"/>
    <x v="0"/>
    <x v="2019"/>
    <x v="774"/>
    <x v="1732"/>
    <x v="214"/>
  </r>
  <r>
    <x v="21"/>
    <x v="17"/>
    <x v="3020"/>
    <x v="0"/>
    <x v="0"/>
    <x v="2058"/>
    <x v="775"/>
    <x v="1733"/>
    <x v="214"/>
  </r>
  <r>
    <x v="21"/>
    <x v="18"/>
    <x v="3021"/>
    <x v="0"/>
    <x v="0"/>
    <x v="2402"/>
    <x v="545"/>
    <x v="1734"/>
    <x v="214"/>
  </r>
  <r>
    <x v="21"/>
    <x v="19"/>
    <x v="3022"/>
    <x v="0"/>
    <x v="0"/>
    <x v="2403"/>
    <x v="148"/>
    <x v="1735"/>
    <x v="214"/>
  </r>
  <r>
    <x v="21"/>
    <x v="20"/>
    <x v="3023"/>
    <x v="0"/>
    <x v="0"/>
    <x v="2404"/>
    <x v="147"/>
    <x v="1736"/>
    <x v="214"/>
  </r>
  <r>
    <x v="21"/>
    <x v="21"/>
    <x v="3024"/>
    <x v="0"/>
    <x v="0"/>
    <x v="2405"/>
    <x v="622"/>
    <x v="1737"/>
    <x v="215"/>
  </r>
  <r>
    <x v="21"/>
    <x v="22"/>
    <x v="3025"/>
    <x v="0"/>
    <x v="0"/>
    <x v="2406"/>
    <x v="776"/>
    <x v="1738"/>
    <x v="215"/>
  </r>
  <r>
    <x v="21"/>
    <x v="23"/>
    <x v="3026"/>
    <x v="1"/>
    <x v="0"/>
    <x v="2407"/>
    <x v="777"/>
    <x v="1739"/>
    <x v="215"/>
  </r>
  <r>
    <x v="21"/>
    <x v="24"/>
    <x v="3027"/>
    <x v="1"/>
    <x v="0"/>
    <x v="273"/>
    <x v="609"/>
    <x v="1740"/>
    <x v="215"/>
  </r>
  <r>
    <x v="21"/>
    <x v="25"/>
    <x v="3028"/>
    <x v="1"/>
    <x v="0"/>
    <x v="2408"/>
    <x v="778"/>
    <x v="1741"/>
    <x v="215"/>
  </r>
  <r>
    <x v="21"/>
    <x v="26"/>
    <x v="3029"/>
    <x v="1"/>
    <x v="0"/>
    <x v="2404"/>
    <x v="778"/>
    <x v="1742"/>
    <x v="215"/>
  </r>
  <r>
    <x v="21"/>
    <x v="27"/>
    <x v="3030"/>
    <x v="1"/>
    <x v="0"/>
    <x v="605"/>
    <x v="147"/>
    <x v="1743"/>
    <x v="215"/>
  </r>
  <r>
    <x v="21"/>
    <x v="28"/>
    <x v="3031"/>
    <x v="1"/>
    <x v="0"/>
    <x v="2409"/>
    <x v="777"/>
    <x v="1744"/>
    <x v="215"/>
  </r>
  <r>
    <x v="21"/>
    <x v="29"/>
    <x v="3032"/>
    <x v="0"/>
    <x v="0"/>
    <x v="2410"/>
    <x v="9"/>
    <x v="1745"/>
    <x v="215"/>
  </r>
  <r>
    <x v="21"/>
    <x v="30"/>
    <x v="3033"/>
    <x v="0"/>
    <x v="0"/>
    <x v="2411"/>
    <x v="41"/>
    <x v="1746"/>
    <x v="215"/>
  </r>
  <r>
    <x v="21"/>
    <x v="31"/>
    <x v="3034"/>
    <x v="1"/>
    <x v="1"/>
    <x v="524"/>
    <x v="253"/>
    <x v="1747"/>
    <x v="215"/>
  </r>
  <r>
    <x v="21"/>
    <x v="32"/>
    <x v="3035"/>
    <x v="1"/>
    <x v="0"/>
    <x v="2412"/>
    <x v="37"/>
    <x v="1748"/>
    <x v="215"/>
  </r>
  <r>
    <x v="21"/>
    <x v="33"/>
    <x v="3036"/>
    <x v="1"/>
    <x v="0"/>
    <x v="2413"/>
    <x v="166"/>
    <x v="1749"/>
    <x v="215"/>
  </r>
  <r>
    <x v="21"/>
    <x v="34"/>
    <x v="3037"/>
    <x v="1"/>
    <x v="0"/>
    <x v="87"/>
    <x v="253"/>
    <x v="1750"/>
    <x v="216"/>
  </r>
  <r>
    <x v="21"/>
    <x v="35"/>
    <x v="3038"/>
    <x v="1"/>
    <x v="0"/>
    <x v="2414"/>
    <x v="256"/>
    <x v="1751"/>
    <x v="216"/>
  </r>
  <r>
    <x v="21"/>
    <x v="36"/>
    <x v="3039"/>
    <x v="1"/>
    <x v="0"/>
    <x v="2415"/>
    <x v="779"/>
    <x v="1752"/>
    <x v="216"/>
  </r>
  <r>
    <x v="21"/>
    <x v="37"/>
    <x v="3040"/>
    <x v="1"/>
    <x v="0"/>
    <x v="1576"/>
    <x v="695"/>
    <x v="1753"/>
    <x v="216"/>
  </r>
  <r>
    <x v="21"/>
    <x v="38"/>
    <x v="3041"/>
    <x v="1"/>
    <x v="0"/>
    <x v="2416"/>
    <x v="696"/>
    <x v="1754"/>
    <x v="216"/>
  </r>
  <r>
    <x v="21"/>
    <x v="39"/>
    <x v="3042"/>
    <x v="1"/>
    <x v="0"/>
    <x v="2417"/>
    <x v="696"/>
    <x v="1755"/>
    <x v="216"/>
  </r>
  <r>
    <x v="21"/>
    <x v="40"/>
    <x v="3043"/>
    <x v="1"/>
    <x v="0"/>
    <x v="1496"/>
    <x v="382"/>
    <x v="1756"/>
    <x v="216"/>
  </r>
  <r>
    <x v="21"/>
    <x v="41"/>
    <x v="3044"/>
    <x v="1"/>
    <x v="0"/>
    <x v="2418"/>
    <x v="780"/>
    <x v="1757"/>
    <x v="216"/>
  </r>
  <r>
    <x v="21"/>
    <x v="42"/>
    <x v="3045"/>
    <x v="0"/>
    <x v="1"/>
    <x v="1302"/>
    <x v="781"/>
    <x v="1758"/>
    <x v="216"/>
  </r>
  <r>
    <x v="21"/>
    <x v="43"/>
    <x v="3046"/>
    <x v="0"/>
    <x v="0"/>
    <x v="2419"/>
    <x v="54"/>
    <x v="1759"/>
    <x v="216"/>
  </r>
  <r>
    <x v="21"/>
    <x v="44"/>
    <x v="3047"/>
    <x v="0"/>
    <x v="0"/>
    <x v="2420"/>
    <x v="782"/>
    <x v="1760"/>
    <x v="216"/>
  </r>
  <r>
    <x v="21"/>
    <x v="45"/>
    <x v="3048"/>
    <x v="0"/>
    <x v="0"/>
    <x v="2421"/>
    <x v="783"/>
    <x v="1761"/>
    <x v="216"/>
  </r>
  <r>
    <x v="21"/>
    <x v="46"/>
    <x v="3049"/>
    <x v="0"/>
    <x v="0"/>
    <x v="2422"/>
    <x v="784"/>
    <x v="1762"/>
    <x v="216"/>
  </r>
  <r>
    <x v="21"/>
    <x v="47"/>
    <x v="3050"/>
    <x v="1"/>
    <x v="1"/>
    <x v="2048"/>
    <x v="785"/>
    <x v="1763"/>
    <x v="216"/>
  </r>
  <r>
    <x v="21"/>
    <x v="48"/>
    <x v="3051"/>
    <x v="1"/>
    <x v="0"/>
    <x v="2423"/>
    <x v="638"/>
    <x v="1764"/>
    <x v="217"/>
  </r>
  <r>
    <x v="21"/>
    <x v="49"/>
    <x v="3052"/>
    <x v="1"/>
    <x v="0"/>
    <x v="1564"/>
    <x v="786"/>
    <x v="1765"/>
    <x v="217"/>
  </r>
  <r>
    <x v="21"/>
    <x v="50"/>
    <x v="3053"/>
    <x v="1"/>
    <x v="0"/>
    <x v="2424"/>
    <x v="288"/>
    <x v="1766"/>
    <x v="217"/>
  </r>
  <r>
    <x v="21"/>
    <x v="51"/>
    <x v="3054"/>
    <x v="1"/>
    <x v="0"/>
    <x v="2425"/>
    <x v="787"/>
    <x v="1767"/>
    <x v="217"/>
  </r>
  <r>
    <x v="21"/>
    <x v="52"/>
    <x v="3055"/>
    <x v="1"/>
    <x v="0"/>
    <x v="2426"/>
    <x v="788"/>
    <x v="1768"/>
    <x v="217"/>
  </r>
  <r>
    <x v="21"/>
    <x v="53"/>
    <x v="3056"/>
    <x v="1"/>
    <x v="1"/>
    <x v="2427"/>
    <x v="714"/>
    <x v="1769"/>
    <x v="217"/>
  </r>
  <r>
    <x v="21"/>
    <x v="54"/>
    <x v="3057"/>
    <x v="1"/>
    <x v="0"/>
    <x v="2428"/>
    <x v="217"/>
    <x v="1770"/>
    <x v="217"/>
  </r>
  <r>
    <x v="21"/>
    <x v="55"/>
    <x v="3058"/>
    <x v="1"/>
    <x v="0"/>
    <x v="2429"/>
    <x v="789"/>
    <x v="1771"/>
    <x v="217"/>
  </r>
  <r>
    <x v="21"/>
    <x v="56"/>
    <x v="3059"/>
    <x v="1"/>
    <x v="0"/>
    <x v="2430"/>
    <x v="790"/>
    <x v="1772"/>
    <x v="217"/>
  </r>
  <r>
    <x v="21"/>
    <x v="57"/>
    <x v="3060"/>
    <x v="1"/>
    <x v="0"/>
    <x v="2431"/>
    <x v="505"/>
    <x v="1773"/>
    <x v="217"/>
  </r>
  <r>
    <x v="21"/>
    <x v="58"/>
    <x v="3061"/>
    <x v="1"/>
    <x v="0"/>
    <x v="2432"/>
    <x v="791"/>
    <x v="1774"/>
    <x v="217"/>
  </r>
  <r>
    <x v="21"/>
    <x v="59"/>
    <x v="3062"/>
    <x v="1"/>
    <x v="0"/>
    <x v="2433"/>
    <x v="603"/>
    <x v="1775"/>
    <x v="217"/>
  </r>
  <r>
    <x v="21"/>
    <x v="60"/>
    <x v="3063"/>
    <x v="1"/>
    <x v="0"/>
    <x v="2434"/>
    <x v="77"/>
    <x v="1776"/>
    <x v="218"/>
  </r>
  <r>
    <x v="21"/>
    <x v="61"/>
    <x v="3064"/>
    <x v="1"/>
    <x v="0"/>
    <x v="1496"/>
    <x v="646"/>
    <x v="1777"/>
    <x v="218"/>
  </r>
  <r>
    <x v="21"/>
    <x v="62"/>
    <x v="3065"/>
    <x v="1"/>
    <x v="0"/>
    <x v="2435"/>
    <x v="792"/>
    <x v="1778"/>
    <x v="218"/>
  </r>
  <r>
    <x v="21"/>
    <x v="63"/>
    <x v="3066"/>
    <x v="0"/>
    <x v="0"/>
    <x v="2436"/>
    <x v="793"/>
    <x v="1779"/>
    <x v="218"/>
  </r>
  <r>
    <x v="21"/>
    <x v="64"/>
    <x v="3067"/>
    <x v="1"/>
    <x v="0"/>
    <x v="1126"/>
    <x v="794"/>
    <x v="1780"/>
    <x v="218"/>
  </r>
  <r>
    <x v="21"/>
    <x v="65"/>
    <x v="3068"/>
    <x v="1"/>
    <x v="0"/>
    <x v="518"/>
    <x v="795"/>
    <x v="1781"/>
    <x v="218"/>
  </r>
  <r>
    <x v="21"/>
    <x v="66"/>
    <x v="3069"/>
    <x v="1"/>
    <x v="0"/>
    <x v="723"/>
    <x v="796"/>
    <x v="1782"/>
    <x v="218"/>
  </r>
  <r>
    <x v="21"/>
    <x v="67"/>
    <x v="3070"/>
    <x v="1"/>
    <x v="0"/>
    <x v="2437"/>
    <x v="797"/>
    <x v="1783"/>
    <x v="218"/>
  </r>
  <r>
    <x v="21"/>
    <x v="68"/>
    <x v="3071"/>
    <x v="1"/>
    <x v="0"/>
    <x v="957"/>
    <x v="798"/>
    <x v="1784"/>
    <x v="218"/>
  </r>
  <r>
    <x v="21"/>
    <x v="69"/>
    <x v="3072"/>
    <x v="0"/>
    <x v="0"/>
    <x v="2100"/>
    <x v="799"/>
    <x v="1785"/>
    <x v="218"/>
  </r>
  <r>
    <x v="21"/>
    <x v="70"/>
    <x v="3073"/>
    <x v="0"/>
    <x v="0"/>
    <x v="2438"/>
    <x v="800"/>
    <x v="1786"/>
    <x v="218"/>
  </r>
  <r>
    <x v="21"/>
    <x v="71"/>
    <x v="3074"/>
    <x v="1"/>
    <x v="0"/>
    <x v="2439"/>
    <x v="801"/>
    <x v="1787"/>
    <x v="218"/>
  </r>
  <r>
    <x v="21"/>
    <x v="72"/>
    <x v="3075"/>
    <x v="1"/>
    <x v="0"/>
    <x v="748"/>
    <x v="802"/>
    <x v="1788"/>
    <x v="218"/>
  </r>
  <r>
    <x v="21"/>
    <x v="73"/>
    <x v="3076"/>
    <x v="0"/>
    <x v="0"/>
    <x v="2440"/>
    <x v="606"/>
    <x v="1789"/>
    <x v="219"/>
  </r>
  <r>
    <x v="21"/>
    <x v="74"/>
    <x v="3077"/>
    <x v="1"/>
    <x v="0"/>
    <x v="1685"/>
    <x v="425"/>
    <x v="1790"/>
    <x v="219"/>
  </r>
  <r>
    <x v="21"/>
    <x v="75"/>
    <x v="3078"/>
    <x v="1"/>
    <x v="0"/>
    <x v="562"/>
    <x v="426"/>
    <x v="1791"/>
    <x v="219"/>
  </r>
  <r>
    <x v="21"/>
    <x v="76"/>
    <x v="3079"/>
    <x v="1"/>
    <x v="0"/>
    <x v="1504"/>
    <x v="441"/>
    <x v="1792"/>
    <x v="219"/>
  </r>
  <r>
    <x v="21"/>
    <x v="77"/>
    <x v="3080"/>
    <x v="1"/>
    <x v="0"/>
    <x v="954"/>
    <x v="496"/>
    <x v="1793"/>
    <x v="219"/>
  </r>
  <r>
    <x v="21"/>
    <x v="78"/>
    <x v="3081"/>
    <x v="1"/>
    <x v="0"/>
    <x v="1037"/>
    <x v="338"/>
    <x v="1794"/>
    <x v="219"/>
  </r>
  <r>
    <x v="21"/>
    <x v="79"/>
    <x v="3082"/>
    <x v="1"/>
    <x v="0"/>
    <x v="2128"/>
    <x v="803"/>
    <x v="1795"/>
    <x v="219"/>
  </r>
  <r>
    <x v="21"/>
    <x v="80"/>
    <x v="3083"/>
    <x v="1"/>
    <x v="0"/>
    <x v="2441"/>
    <x v="227"/>
    <x v="1796"/>
    <x v="219"/>
  </r>
  <r>
    <x v="21"/>
    <x v="81"/>
    <x v="3084"/>
    <x v="0"/>
    <x v="0"/>
    <x v="2126"/>
    <x v="724"/>
    <x v="1797"/>
    <x v="219"/>
  </r>
  <r>
    <x v="21"/>
    <x v="82"/>
    <x v="3085"/>
    <x v="1"/>
    <x v="0"/>
    <x v="142"/>
    <x v="425"/>
    <x v="1798"/>
    <x v="219"/>
  </r>
  <r>
    <x v="21"/>
    <x v="83"/>
    <x v="3086"/>
    <x v="1"/>
    <x v="1"/>
    <x v="2442"/>
    <x v="592"/>
    <x v="1799"/>
    <x v="219"/>
  </r>
  <r>
    <x v="21"/>
    <x v="84"/>
    <x v="3087"/>
    <x v="1"/>
    <x v="0"/>
    <x v="256"/>
    <x v="592"/>
    <x v="1800"/>
    <x v="219"/>
  </r>
  <r>
    <x v="21"/>
    <x v="85"/>
    <x v="3088"/>
    <x v="1"/>
    <x v="0"/>
    <x v="1718"/>
    <x v="804"/>
    <x v="1801"/>
    <x v="219"/>
  </r>
  <r>
    <x v="21"/>
    <x v="86"/>
    <x v="3089"/>
    <x v="1"/>
    <x v="0"/>
    <x v="2443"/>
    <x v="76"/>
    <x v="1802"/>
    <x v="219"/>
  </r>
  <r>
    <x v="21"/>
    <x v="87"/>
    <x v="3090"/>
    <x v="1"/>
    <x v="0"/>
    <x v="2444"/>
    <x v="805"/>
    <x v="1803"/>
    <x v="220"/>
  </r>
  <r>
    <x v="21"/>
    <x v="88"/>
    <x v="3091"/>
    <x v="1"/>
    <x v="0"/>
    <x v="1814"/>
    <x v="661"/>
    <x v="1804"/>
    <x v="220"/>
  </r>
  <r>
    <x v="21"/>
    <x v="89"/>
    <x v="3092"/>
    <x v="1"/>
    <x v="0"/>
    <x v="2371"/>
    <x v="194"/>
    <x v="1805"/>
    <x v="220"/>
  </r>
  <r>
    <x v="21"/>
    <x v="90"/>
    <x v="3093"/>
    <x v="0"/>
    <x v="0"/>
    <x v="2445"/>
    <x v="806"/>
    <x v="1806"/>
    <x v="220"/>
  </r>
  <r>
    <x v="21"/>
    <x v="91"/>
    <x v="3094"/>
    <x v="0"/>
    <x v="0"/>
    <x v="2446"/>
    <x v="807"/>
    <x v="1807"/>
    <x v="220"/>
  </r>
  <r>
    <x v="21"/>
    <x v="92"/>
    <x v="3095"/>
    <x v="0"/>
    <x v="0"/>
    <x v="2447"/>
    <x v="195"/>
    <x v="1808"/>
    <x v="220"/>
  </r>
  <r>
    <x v="21"/>
    <x v="93"/>
    <x v="3096"/>
    <x v="1"/>
    <x v="0"/>
    <x v="2448"/>
    <x v="128"/>
    <x v="1809"/>
    <x v="220"/>
  </r>
  <r>
    <x v="21"/>
    <x v="94"/>
    <x v="3097"/>
    <x v="0"/>
    <x v="1"/>
    <x v="2449"/>
    <x v="808"/>
    <x v="1810"/>
    <x v="220"/>
  </r>
  <r>
    <x v="21"/>
    <x v="95"/>
    <x v="3098"/>
    <x v="0"/>
    <x v="0"/>
    <x v="2450"/>
    <x v="117"/>
    <x v="1811"/>
    <x v="220"/>
  </r>
  <r>
    <x v="21"/>
    <x v="96"/>
    <x v="3099"/>
    <x v="0"/>
    <x v="0"/>
    <x v="2086"/>
    <x v="809"/>
    <x v="1812"/>
    <x v="220"/>
  </r>
  <r>
    <x v="21"/>
    <x v="97"/>
    <x v="3100"/>
    <x v="0"/>
    <x v="0"/>
    <x v="2451"/>
    <x v="579"/>
    <x v="1813"/>
    <x v="220"/>
  </r>
  <r>
    <x v="21"/>
    <x v="98"/>
    <x v="3101"/>
    <x v="0"/>
    <x v="0"/>
    <x v="2452"/>
    <x v="665"/>
    <x v="1814"/>
    <x v="220"/>
  </r>
  <r>
    <x v="21"/>
    <x v="99"/>
    <x v="3102"/>
    <x v="1"/>
    <x v="1"/>
    <x v="2453"/>
    <x v="720"/>
    <x v="1815"/>
    <x v="220"/>
  </r>
  <r>
    <x v="21"/>
    <x v="100"/>
    <x v="3103"/>
    <x v="1"/>
    <x v="0"/>
    <x v="463"/>
    <x v="810"/>
    <x v="1816"/>
    <x v="221"/>
  </r>
  <r>
    <x v="21"/>
    <x v="101"/>
    <x v="3104"/>
    <x v="1"/>
    <x v="0"/>
    <x v="2454"/>
    <x v="79"/>
    <x v="1817"/>
    <x v="221"/>
  </r>
  <r>
    <x v="21"/>
    <x v="102"/>
    <x v="3105"/>
    <x v="1"/>
    <x v="0"/>
    <x v="2455"/>
    <x v="305"/>
    <x v="1818"/>
    <x v="221"/>
  </r>
  <r>
    <x v="21"/>
    <x v="103"/>
    <x v="3106"/>
    <x v="1"/>
    <x v="0"/>
    <x v="2456"/>
    <x v="811"/>
    <x v="1819"/>
    <x v="221"/>
  </r>
  <r>
    <x v="21"/>
    <x v="104"/>
    <x v="3107"/>
    <x v="1"/>
    <x v="0"/>
    <x v="2457"/>
    <x v="805"/>
    <x v="1820"/>
    <x v="221"/>
  </r>
  <r>
    <x v="21"/>
    <x v="105"/>
    <x v="3108"/>
    <x v="1"/>
    <x v="1"/>
    <x v="2456"/>
    <x v="559"/>
    <x v="1821"/>
    <x v="221"/>
  </r>
  <r>
    <x v="21"/>
    <x v="106"/>
    <x v="3109"/>
    <x v="1"/>
    <x v="0"/>
    <x v="2458"/>
    <x v="657"/>
    <x v="1822"/>
    <x v="221"/>
  </r>
  <r>
    <x v="21"/>
    <x v="107"/>
    <x v="3110"/>
    <x v="1"/>
    <x v="0"/>
    <x v="2454"/>
    <x v="812"/>
    <x v="1823"/>
    <x v="221"/>
  </r>
  <r>
    <x v="21"/>
    <x v="108"/>
    <x v="3111"/>
    <x v="1"/>
    <x v="0"/>
    <x v="2459"/>
    <x v="426"/>
    <x v="1824"/>
    <x v="221"/>
  </r>
  <r>
    <x v="21"/>
    <x v="109"/>
    <x v="3112"/>
    <x v="1"/>
    <x v="0"/>
    <x v="1533"/>
    <x v="813"/>
    <x v="1825"/>
    <x v="221"/>
  </r>
  <r>
    <x v="21"/>
    <x v="110"/>
    <x v="3113"/>
    <x v="1"/>
    <x v="0"/>
    <x v="2460"/>
    <x v="685"/>
    <x v="1826"/>
    <x v="221"/>
  </r>
  <r>
    <x v="21"/>
    <x v="111"/>
    <x v="3114"/>
    <x v="1"/>
    <x v="0"/>
    <x v="2305"/>
    <x v="679"/>
    <x v="1827"/>
    <x v="221"/>
  </r>
  <r>
    <x v="21"/>
    <x v="112"/>
    <x v="3115"/>
    <x v="1"/>
    <x v="0"/>
    <x v="454"/>
    <x v="814"/>
    <x v="1828"/>
    <x v="221"/>
  </r>
  <r>
    <x v="21"/>
    <x v="113"/>
    <x v="3116"/>
    <x v="0"/>
    <x v="0"/>
    <x v="2269"/>
    <x v="815"/>
    <x v="1829"/>
    <x v="222"/>
  </r>
  <r>
    <x v="21"/>
    <x v="114"/>
    <x v="3117"/>
    <x v="1"/>
    <x v="0"/>
    <x v="1074"/>
    <x v="731"/>
    <x v="1830"/>
    <x v="222"/>
  </r>
  <r>
    <x v="21"/>
    <x v="115"/>
    <x v="3118"/>
    <x v="1"/>
    <x v="0"/>
    <x v="2189"/>
    <x v="648"/>
    <x v="1831"/>
    <x v="222"/>
  </r>
  <r>
    <x v="21"/>
    <x v="116"/>
    <x v="3119"/>
    <x v="1"/>
    <x v="0"/>
    <x v="2461"/>
    <x v="816"/>
    <x v="1832"/>
    <x v="222"/>
  </r>
  <r>
    <x v="21"/>
    <x v="117"/>
    <x v="3120"/>
    <x v="1"/>
    <x v="0"/>
    <x v="2462"/>
    <x v="817"/>
    <x v="1833"/>
    <x v="222"/>
  </r>
  <r>
    <x v="21"/>
    <x v="118"/>
    <x v="3121"/>
    <x v="1"/>
    <x v="0"/>
    <x v="2185"/>
    <x v="818"/>
    <x v="1834"/>
    <x v="222"/>
  </r>
  <r>
    <x v="21"/>
    <x v="119"/>
    <x v="3122"/>
    <x v="1"/>
    <x v="0"/>
    <x v="2362"/>
    <x v="65"/>
    <x v="1835"/>
    <x v="222"/>
  </r>
  <r>
    <x v="21"/>
    <x v="120"/>
    <x v="3123"/>
    <x v="0"/>
    <x v="0"/>
    <x v="1581"/>
    <x v="819"/>
    <x v="1836"/>
    <x v="222"/>
  </r>
  <r>
    <x v="21"/>
    <x v="121"/>
    <x v="3124"/>
    <x v="0"/>
    <x v="0"/>
    <x v="2463"/>
    <x v="424"/>
    <x v="1837"/>
    <x v="222"/>
  </r>
  <r>
    <x v="21"/>
    <x v="122"/>
    <x v="3125"/>
    <x v="0"/>
    <x v="0"/>
    <x v="2464"/>
    <x v="820"/>
    <x v="1838"/>
    <x v="222"/>
  </r>
  <r>
    <x v="21"/>
    <x v="123"/>
    <x v="3126"/>
    <x v="0"/>
    <x v="0"/>
    <x v="2465"/>
    <x v="192"/>
    <x v="1839"/>
    <x v="222"/>
  </r>
  <r>
    <x v="21"/>
    <x v="124"/>
    <x v="3127"/>
    <x v="0"/>
    <x v="0"/>
    <x v="1710"/>
    <x v="821"/>
    <x v="1840"/>
    <x v="222"/>
  </r>
  <r>
    <x v="21"/>
    <x v="125"/>
    <x v="3128"/>
    <x v="0"/>
    <x v="0"/>
    <x v="2466"/>
    <x v="822"/>
    <x v="1841"/>
    <x v="222"/>
  </r>
  <r>
    <x v="21"/>
    <x v="126"/>
    <x v="3129"/>
    <x v="0"/>
    <x v="0"/>
    <x v="529"/>
    <x v="312"/>
    <x v="1842"/>
    <x v="223"/>
  </r>
  <r>
    <x v="21"/>
    <x v="127"/>
    <x v="3130"/>
    <x v="1"/>
    <x v="0"/>
    <x v="296"/>
    <x v="116"/>
    <x v="1843"/>
    <x v="223"/>
  </r>
  <r>
    <x v="21"/>
    <x v="128"/>
    <x v="3131"/>
    <x v="1"/>
    <x v="0"/>
    <x v="2467"/>
    <x v="242"/>
    <x v="1844"/>
    <x v="223"/>
  </r>
  <r>
    <x v="21"/>
    <x v="129"/>
    <x v="3132"/>
    <x v="1"/>
    <x v="0"/>
    <x v="2262"/>
    <x v="430"/>
    <x v="1845"/>
    <x v="223"/>
  </r>
  <r>
    <x v="21"/>
    <x v="130"/>
    <x v="3133"/>
    <x v="1"/>
    <x v="0"/>
    <x v="63"/>
    <x v="427"/>
    <x v="1846"/>
    <x v="223"/>
  </r>
  <r>
    <x v="21"/>
    <x v="131"/>
    <x v="3134"/>
    <x v="1"/>
    <x v="0"/>
    <x v="2468"/>
    <x v="407"/>
    <x v="1847"/>
    <x v="223"/>
  </r>
  <r>
    <x v="21"/>
    <x v="132"/>
    <x v="3135"/>
    <x v="1"/>
    <x v="0"/>
    <x v="952"/>
    <x v="823"/>
    <x v="1848"/>
    <x v="223"/>
  </r>
  <r>
    <x v="21"/>
    <x v="133"/>
    <x v="3136"/>
    <x v="0"/>
    <x v="0"/>
    <x v="2469"/>
    <x v="749"/>
    <x v="1849"/>
    <x v="223"/>
  </r>
  <r>
    <x v="21"/>
    <x v="134"/>
    <x v="3137"/>
    <x v="1"/>
    <x v="0"/>
    <x v="1684"/>
    <x v="824"/>
    <x v="1850"/>
    <x v="223"/>
  </r>
  <r>
    <x v="21"/>
    <x v="135"/>
    <x v="3138"/>
    <x v="1"/>
    <x v="1"/>
    <x v="2470"/>
    <x v="814"/>
    <x v="1851"/>
    <x v="223"/>
  </r>
  <r>
    <x v="21"/>
    <x v="136"/>
    <x v="3139"/>
    <x v="1"/>
    <x v="0"/>
    <x v="1159"/>
    <x v="794"/>
    <x v="1852"/>
    <x v="223"/>
  </r>
  <r>
    <x v="21"/>
    <x v="137"/>
    <x v="3140"/>
    <x v="1"/>
    <x v="0"/>
    <x v="2471"/>
    <x v="825"/>
    <x v="1853"/>
    <x v="223"/>
  </r>
  <r>
    <x v="21"/>
    <x v="138"/>
    <x v="3141"/>
    <x v="1"/>
    <x v="0"/>
    <x v="2472"/>
    <x v="826"/>
    <x v="1854"/>
    <x v="223"/>
  </r>
  <r>
    <x v="21"/>
    <x v="139"/>
    <x v="3142"/>
    <x v="1"/>
    <x v="0"/>
    <x v="2473"/>
    <x v="676"/>
    <x v="1855"/>
    <x v="224"/>
  </r>
  <r>
    <x v="21"/>
    <x v="140"/>
    <x v="3143"/>
    <x v="1"/>
    <x v="0"/>
    <x v="2474"/>
    <x v="758"/>
    <x v="1856"/>
    <x v="224"/>
  </r>
  <r>
    <x v="21"/>
    <x v="141"/>
    <x v="3144"/>
    <x v="1"/>
    <x v="0"/>
    <x v="1225"/>
    <x v="689"/>
    <x v="1857"/>
    <x v="224"/>
  </r>
  <r>
    <x v="21"/>
    <x v="142"/>
    <x v="3145"/>
    <x v="0"/>
    <x v="0"/>
    <x v="2475"/>
    <x v="410"/>
    <x v="1858"/>
    <x v="224"/>
  </r>
  <r>
    <x v="22"/>
    <x v="0"/>
    <x v="3146"/>
    <x v="0"/>
    <x v="0"/>
    <x v="2476"/>
    <x v="258"/>
    <x v="1430"/>
    <x v="225"/>
  </r>
  <r>
    <x v="22"/>
    <x v="1"/>
    <x v="3147"/>
    <x v="0"/>
    <x v="1"/>
    <x v="2477"/>
    <x v="40"/>
    <x v="1431"/>
    <x v="225"/>
  </r>
  <r>
    <x v="22"/>
    <x v="2"/>
    <x v="3148"/>
    <x v="0"/>
    <x v="0"/>
    <x v="2478"/>
    <x v="769"/>
    <x v="1432"/>
    <x v="225"/>
  </r>
  <r>
    <x v="22"/>
    <x v="3"/>
    <x v="3149"/>
    <x v="0"/>
    <x v="0"/>
    <x v="2479"/>
    <x v="770"/>
    <x v="1433"/>
    <x v="225"/>
  </r>
  <r>
    <x v="22"/>
    <x v="4"/>
    <x v="3150"/>
    <x v="0"/>
    <x v="0"/>
    <x v="2480"/>
    <x v="257"/>
    <x v="1434"/>
    <x v="225"/>
  </r>
  <r>
    <x v="22"/>
    <x v="5"/>
    <x v="3151"/>
    <x v="0"/>
    <x v="0"/>
    <x v="2481"/>
    <x v="148"/>
    <x v="1435"/>
    <x v="225"/>
  </r>
  <r>
    <x v="22"/>
    <x v="6"/>
    <x v="3152"/>
    <x v="0"/>
    <x v="0"/>
    <x v="924"/>
    <x v="771"/>
    <x v="1436"/>
    <x v="225"/>
  </r>
  <r>
    <x v="22"/>
    <x v="7"/>
    <x v="3153"/>
    <x v="0"/>
    <x v="0"/>
    <x v="2482"/>
    <x v="544"/>
    <x v="1437"/>
    <x v="225"/>
  </r>
  <r>
    <x v="22"/>
    <x v="8"/>
    <x v="3154"/>
    <x v="0"/>
    <x v="0"/>
    <x v="2483"/>
    <x v="15"/>
    <x v="1438"/>
    <x v="226"/>
  </r>
  <r>
    <x v="22"/>
    <x v="9"/>
    <x v="3155"/>
    <x v="0"/>
    <x v="0"/>
    <x v="2484"/>
    <x v="543"/>
    <x v="1439"/>
    <x v="226"/>
  </r>
  <r>
    <x v="22"/>
    <x v="10"/>
    <x v="3156"/>
    <x v="0"/>
    <x v="0"/>
    <x v="2485"/>
    <x v="709"/>
    <x v="1440"/>
    <x v="226"/>
  </r>
  <r>
    <x v="22"/>
    <x v="11"/>
    <x v="3157"/>
    <x v="0"/>
    <x v="0"/>
    <x v="454"/>
    <x v="772"/>
    <x v="1441"/>
    <x v="226"/>
  </r>
  <r>
    <x v="22"/>
    <x v="12"/>
    <x v="3158"/>
    <x v="0"/>
    <x v="0"/>
    <x v="2486"/>
    <x v="374"/>
    <x v="1442"/>
    <x v="226"/>
  </r>
  <r>
    <x v="22"/>
    <x v="13"/>
    <x v="3159"/>
    <x v="0"/>
    <x v="0"/>
    <x v="1711"/>
    <x v="773"/>
    <x v="1443"/>
    <x v="226"/>
  </r>
  <r>
    <x v="22"/>
    <x v="14"/>
    <x v="3160"/>
    <x v="0"/>
    <x v="0"/>
    <x v="2487"/>
    <x v="48"/>
    <x v="1444"/>
    <x v="226"/>
  </r>
  <r>
    <x v="22"/>
    <x v="15"/>
    <x v="3161"/>
    <x v="0"/>
    <x v="0"/>
    <x v="1719"/>
    <x v="382"/>
    <x v="1445"/>
    <x v="226"/>
  </r>
  <r>
    <x v="22"/>
    <x v="16"/>
    <x v="3162"/>
    <x v="0"/>
    <x v="0"/>
    <x v="2488"/>
    <x v="774"/>
    <x v="1446"/>
    <x v="226"/>
  </r>
  <r>
    <x v="22"/>
    <x v="17"/>
    <x v="3163"/>
    <x v="0"/>
    <x v="0"/>
    <x v="681"/>
    <x v="775"/>
    <x v="1447"/>
    <x v="226"/>
  </r>
  <r>
    <x v="22"/>
    <x v="18"/>
    <x v="3164"/>
    <x v="0"/>
    <x v="0"/>
    <x v="2489"/>
    <x v="545"/>
    <x v="1448"/>
    <x v="226"/>
  </r>
  <r>
    <x v="22"/>
    <x v="19"/>
    <x v="3165"/>
    <x v="0"/>
    <x v="0"/>
    <x v="2490"/>
    <x v="148"/>
    <x v="1449"/>
    <x v="226"/>
  </r>
  <r>
    <x v="22"/>
    <x v="20"/>
    <x v="3166"/>
    <x v="0"/>
    <x v="0"/>
    <x v="2200"/>
    <x v="147"/>
    <x v="1450"/>
    <x v="226"/>
  </r>
  <r>
    <x v="22"/>
    <x v="21"/>
    <x v="3167"/>
    <x v="0"/>
    <x v="0"/>
    <x v="2491"/>
    <x v="622"/>
    <x v="1451"/>
    <x v="227"/>
  </r>
  <r>
    <x v="22"/>
    <x v="22"/>
    <x v="3168"/>
    <x v="0"/>
    <x v="0"/>
    <x v="2492"/>
    <x v="776"/>
    <x v="1452"/>
    <x v="227"/>
  </r>
  <r>
    <x v="22"/>
    <x v="23"/>
    <x v="3169"/>
    <x v="0"/>
    <x v="0"/>
    <x v="2493"/>
    <x v="777"/>
    <x v="1453"/>
    <x v="227"/>
  </r>
  <r>
    <x v="22"/>
    <x v="24"/>
    <x v="3170"/>
    <x v="0"/>
    <x v="0"/>
    <x v="2494"/>
    <x v="609"/>
    <x v="1454"/>
    <x v="227"/>
  </r>
  <r>
    <x v="22"/>
    <x v="25"/>
    <x v="3171"/>
    <x v="0"/>
    <x v="0"/>
    <x v="317"/>
    <x v="778"/>
    <x v="1455"/>
    <x v="227"/>
  </r>
  <r>
    <x v="22"/>
    <x v="26"/>
    <x v="3172"/>
    <x v="0"/>
    <x v="0"/>
    <x v="1335"/>
    <x v="778"/>
    <x v="1456"/>
    <x v="227"/>
  </r>
  <r>
    <x v="22"/>
    <x v="27"/>
    <x v="3173"/>
    <x v="0"/>
    <x v="0"/>
    <x v="1749"/>
    <x v="147"/>
    <x v="1457"/>
    <x v="227"/>
  </r>
  <r>
    <x v="22"/>
    <x v="28"/>
    <x v="3174"/>
    <x v="0"/>
    <x v="0"/>
    <x v="2495"/>
    <x v="777"/>
    <x v="1458"/>
    <x v="227"/>
  </r>
  <r>
    <x v="22"/>
    <x v="29"/>
    <x v="3175"/>
    <x v="0"/>
    <x v="0"/>
    <x v="2496"/>
    <x v="9"/>
    <x v="1459"/>
    <x v="227"/>
  </r>
  <r>
    <x v="22"/>
    <x v="30"/>
    <x v="3176"/>
    <x v="0"/>
    <x v="0"/>
    <x v="2497"/>
    <x v="41"/>
    <x v="1460"/>
    <x v="227"/>
  </r>
  <r>
    <x v="22"/>
    <x v="31"/>
    <x v="3177"/>
    <x v="0"/>
    <x v="1"/>
    <x v="2498"/>
    <x v="253"/>
    <x v="1461"/>
    <x v="227"/>
  </r>
  <r>
    <x v="22"/>
    <x v="32"/>
    <x v="3178"/>
    <x v="0"/>
    <x v="0"/>
    <x v="2499"/>
    <x v="37"/>
    <x v="1462"/>
    <x v="227"/>
  </r>
  <r>
    <x v="22"/>
    <x v="33"/>
    <x v="3179"/>
    <x v="0"/>
    <x v="0"/>
    <x v="643"/>
    <x v="166"/>
    <x v="1463"/>
    <x v="227"/>
  </r>
  <r>
    <x v="22"/>
    <x v="34"/>
    <x v="3180"/>
    <x v="0"/>
    <x v="0"/>
    <x v="1893"/>
    <x v="253"/>
    <x v="1464"/>
    <x v="228"/>
  </r>
  <r>
    <x v="22"/>
    <x v="35"/>
    <x v="3181"/>
    <x v="0"/>
    <x v="0"/>
    <x v="2462"/>
    <x v="256"/>
    <x v="1465"/>
    <x v="228"/>
  </r>
  <r>
    <x v="22"/>
    <x v="36"/>
    <x v="3182"/>
    <x v="0"/>
    <x v="0"/>
    <x v="2500"/>
    <x v="779"/>
    <x v="1466"/>
    <x v="228"/>
  </r>
  <r>
    <x v="22"/>
    <x v="37"/>
    <x v="3183"/>
    <x v="0"/>
    <x v="0"/>
    <x v="2501"/>
    <x v="695"/>
    <x v="1467"/>
    <x v="228"/>
  </r>
  <r>
    <x v="22"/>
    <x v="38"/>
    <x v="3184"/>
    <x v="0"/>
    <x v="0"/>
    <x v="2502"/>
    <x v="696"/>
    <x v="1468"/>
    <x v="228"/>
  </r>
  <r>
    <x v="22"/>
    <x v="39"/>
    <x v="3185"/>
    <x v="0"/>
    <x v="0"/>
    <x v="2503"/>
    <x v="696"/>
    <x v="1469"/>
    <x v="228"/>
  </r>
  <r>
    <x v="22"/>
    <x v="40"/>
    <x v="3186"/>
    <x v="0"/>
    <x v="0"/>
    <x v="1908"/>
    <x v="382"/>
    <x v="1470"/>
    <x v="228"/>
  </r>
  <r>
    <x v="22"/>
    <x v="41"/>
    <x v="3187"/>
    <x v="0"/>
    <x v="0"/>
    <x v="2156"/>
    <x v="780"/>
    <x v="1471"/>
    <x v="228"/>
  </r>
  <r>
    <x v="22"/>
    <x v="42"/>
    <x v="3188"/>
    <x v="0"/>
    <x v="1"/>
    <x v="2504"/>
    <x v="781"/>
    <x v="1472"/>
    <x v="228"/>
  </r>
  <r>
    <x v="22"/>
    <x v="43"/>
    <x v="3189"/>
    <x v="0"/>
    <x v="0"/>
    <x v="2505"/>
    <x v="54"/>
    <x v="1473"/>
    <x v="228"/>
  </r>
  <r>
    <x v="22"/>
    <x v="44"/>
    <x v="3190"/>
    <x v="0"/>
    <x v="0"/>
    <x v="2506"/>
    <x v="782"/>
    <x v="1474"/>
    <x v="228"/>
  </r>
  <r>
    <x v="22"/>
    <x v="45"/>
    <x v="3191"/>
    <x v="0"/>
    <x v="0"/>
    <x v="2507"/>
    <x v="783"/>
    <x v="1475"/>
    <x v="228"/>
  </r>
  <r>
    <x v="22"/>
    <x v="46"/>
    <x v="3192"/>
    <x v="0"/>
    <x v="0"/>
    <x v="2508"/>
    <x v="784"/>
    <x v="1476"/>
    <x v="228"/>
  </r>
  <r>
    <x v="22"/>
    <x v="47"/>
    <x v="3193"/>
    <x v="0"/>
    <x v="1"/>
    <x v="2509"/>
    <x v="785"/>
    <x v="1477"/>
    <x v="228"/>
  </r>
  <r>
    <x v="22"/>
    <x v="48"/>
    <x v="3194"/>
    <x v="0"/>
    <x v="0"/>
    <x v="2510"/>
    <x v="638"/>
    <x v="1478"/>
    <x v="229"/>
  </r>
  <r>
    <x v="22"/>
    <x v="49"/>
    <x v="3195"/>
    <x v="1"/>
    <x v="0"/>
    <x v="2511"/>
    <x v="786"/>
    <x v="1479"/>
    <x v="229"/>
  </r>
  <r>
    <x v="22"/>
    <x v="50"/>
    <x v="3196"/>
    <x v="0"/>
    <x v="0"/>
    <x v="2512"/>
    <x v="288"/>
    <x v="1480"/>
    <x v="229"/>
  </r>
  <r>
    <x v="22"/>
    <x v="51"/>
    <x v="3197"/>
    <x v="0"/>
    <x v="0"/>
    <x v="2513"/>
    <x v="787"/>
    <x v="1481"/>
    <x v="229"/>
  </r>
  <r>
    <x v="22"/>
    <x v="52"/>
    <x v="3198"/>
    <x v="0"/>
    <x v="0"/>
    <x v="2514"/>
    <x v="788"/>
    <x v="1482"/>
    <x v="229"/>
  </r>
  <r>
    <x v="22"/>
    <x v="53"/>
    <x v="3199"/>
    <x v="0"/>
    <x v="1"/>
    <x v="2515"/>
    <x v="714"/>
    <x v="1483"/>
    <x v="229"/>
  </r>
  <r>
    <x v="22"/>
    <x v="54"/>
    <x v="3200"/>
    <x v="0"/>
    <x v="0"/>
    <x v="2516"/>
    <x v="217"/>
    <x v="1484"/>
    <x v="229"/>
  </r>
  <r>
    <x v="22"/>
    <x v="55"/>
    <x v="3201"/>
    <x v="0"/>
    <x v="0"/>
    <x v="2517"/>
    <x v="789"/>
    <x v="1485"/>
    <x v="229"/>
  </r>
  <r>
    <x v="22"/>
    <x v="56"/>
    <x v="3202"/>
    <x v="0"/>
    <x v="0"/>
    <x v="2518"/>
    <x v="790"/>
    <x v="1486"/>
    <x v="229"/>
  </r>
  <r>
    <x v="22"/>
    <x v="57"/>
    <x v="3203"/>
    <x v="1"/>
    <x v="0"/>
    <x v="1843"/>
    <x v="505"/>
    <x v="1487"/>
    <x v="229"/>
  </r>
  <r>
    <x v="22"/>
    <x v="58"/>
    <x v="3204"/>
    <x v="0"/>
    <x v="0"/>
    <x v="2519"/>
    <x v="791"/>
    <x v="1488"/>
    <x v="229"/>
  </r>
  <r>
    <x v="22"/>
    <x v="59"/>
    <x v="3205"/>
    <x v="0"/>
    <x v="0"/>
    <x v="2520"/>
    <x v="603"/>
    <x v="1489"/>
    <x v="229"/>
  </r>
  <r>
    <x v="22"/>
    <x v="60"/>
    <x v="3206"/>
    <x v="0"/>
    <x v="0"/>
    <x v="2521"/>
    <x v="77"/>
    <x v="1490"/>
    <x v="230"/>
  </r>
  <r>
    <x v="22"/>
    <x v="61"/>
    <x v="3207"/>
    <x v="0"/>
    <x v="0"/>
    <x v="2522"/>
    <x v="646"/>
    <x v="1491"/>
    <x v="230"/>
  </r>
  <r>
    <x v="22"/>
    <x v="62"/>
    <x v="3208"/>
    <x v="0"/>
    <x v="0"/>
    <x v="2523"/>
    <x v="792"/>
    <x v="1492"/>
    <x v="230"/>
  </r>
  <r>
    <x v="22"/>
    <x v="63"/>
    <x v="3209"/>
    <x v="0"/>
    <x v="0"/>
    <x v="2524"/>
    <x v="793"/>
    <x v="1493"/>
    <x v="230"/>
  </r>
  <r>
    <x v="22"/>
    <x v="64"/>
    <x v="3210"/>
    <x v="0"/>
    <x v="0"/>
    <x v="1446"/>
    <x v="794"/>
    <x v="1494"/>
    <x v="230"/>
  </r>
  <r>
    <x v="22"/>
    <x v="65"/>
    <x v="3211"/>
    <x v="0"/>
    <x v="0"/>
    <x v="2525"/>
    <x v="795"/>
    <x v="1495"/>
    <x v="230"/>
  </r>
  <r>
    <x v="22"/>
    <x v="66"/>
    <x v="3212"/>
    <x v="0"/>
    <x v="0"/>
    <x v="2526"/>
    <x v="796"/>
    <x v="1496"/>
    <x v="230"/>
  </r>
  <r>
    <x v="22"/>
    <x v="67"/>
    <x v="3213"/>
    <x v="0"/>
    <x v="0"/>
    <x v="1994"/>
    <x v="797"/>
    <x v="1497"/>
    <x v="230"/>
  </r>
  <r>
    <x v="22"/>
    <x v="68"/>
    <x v="3214"/>
    <x v="0"/>
    <x v="0"/>
    <x v="151"/>
    <x v="798"/>
    <x v="1498"/>
    <x v="230"/>
  </r>
  <r>
    <x v="22"/>
    <x v="69"/>
    <x v="3215"/>
    <x v="0"/>
    <x v="0"/>
    <x v="1039"/>
    <x v="799"/>
    <x v="1499"/>
    <x v="230"/>
  </r>
  <r>
    <x v="22"/>
    <x v="70"/>
    <x v="3216"/>
    <x v="0"/>
    <x v="0"/>
    <x v="2527"/>
    <x v="800"/>
    <x v="1500"/>
    <x v="230"/>
  </r>
  <r>
    <x v="22"/>
    <x v="71"/>
    <x v="3217"/>
    <x v="0"/>
    <x v="0"/>
    <x v="2528"/>
    <x v="801"/>
    <x v="1501"/>
    <x v="230"/>
  </r>
  <r>
    <x v="22"/>
    <x v="72"/>
    <x v="3218"/>
    <x v="0"/>
    <x v="0"/>
    <x v="2529"/>
    <x v="802"/>
    <x v="1502"/>
    <x v="230"/>
  </r>
  <r>
    <x v="22"/>
    <x v="73"/>
    <x v="3219"/>
    <x v="0"/>
    <x v="0"/>
    <x v="2530"/>
    <x v="606"/>
    <x v="1503"/>
    <x v="231"/>
  </r>
  <r>
    <x v="22"/>
    <x v="74"/>
    <x v="3220"/>
    <x v="0"/>
    <x v="0"/>
    <x v="229"/>
    <x v="425"/>
    <x v="1504"/>
    <x v="231"/>
  </r>
  <r>
    <x v="22"/>
    <x v="75"/>
    <x v="3221"/>
    <x v="0"/>
    <x v="0"/>
    <x v="1746"/>
    <x v="426"/>
    <x v="1505"/>
    <x v="231"/>
  </r>
  <r>
    <x v="22"/>
    <x v="76"/>
    <x v="3222"/>
    <x v="0"/>
    <x v="0"/>
    <x v="2468"/>
    <x v="441"/>
    <x v="1506"/>
    <x v="231"/>
  </r>
  <r>
    <x v="22"/>
    <x v="77"/>
    <x v="3223"/>
    <x v="0"/>
    <x v="0"/>
    <x v="2531"/>
    <x v="496"/>
    <x v="1507"/>
    <x v="231"/>
  </r>
  <r>
    <x v="22"/>
    <x v="78"/>
    <x v="3224"/>
    <x v="0"/>
    <x v="0"/>
    <x v="2438"/>
    <x v="338"/>
    <x v="1508"/>
    <x v="231"/>
  </r>
  <r>
    <x v="22"/>
    <x v="79"/>
    <x v="3225"/>
    <x v="0"/>
    <x v="0"/>
    <x v="37"/>
    <x v="803"/>
    <x v="1509"/>
    <x v="231"/>
  </r>
  <r>
    <x v="22"/>
    <x v="80"/>
    <x v="3226"/>
    <x v="0"/>
    <x v="0"/>
    <x v="1859"/>
    <x v="227"/>
    <x v="1510"/>
    <x v="231"/>
  </r>
  <r>
    <x v="22"/>
    <x v="81"/>
    <x v="3227"/>
    <x v="0"/>
    <x v="0"/>
    <x v="1924"/>
    <x v="724"/>
    <x v="1511"/>
    <x v="231"/>
  </r>
  <r>
    <x v="22"/>
    <x v="82"/>
    <x v="3228"/>
    <x v="0"/>
    <x v="0"/>
    <x v="2532"/>
    <x v="425"/>
    <x v="1512"/>
    <x v="231"/>
  </r>
  <r>
    <x v="22"/>
    <x v="83"/>
    <x v="3229"/>
    <x v="0"/>
    <x v="1"/>
    <x v="2533"/>
    <x v="592"/>
    <x v="1513"/>
    <x v="231"/>
  </r>
  <r>
    <x v="22"/>
    <x v="84"/>
    <x v="3230"/>
    <x v="0"/>
    <x v="0"/>
    <x v="2534"/>
    <x v="592"/>
    <x v="1514"/>
    <x v="231"/>
  </r>
  <r>
    <x v="22"/>
    <x v="85"/>
    <x v="3231"/>
    <x v="0"/>
    <x v="0"/>
    <x v="1918"/>
    <x v="804"/>
    <x v="1515"/>
    <x v="231"/>
  </r>
  <r>
    <x v="22"/>
    <x v="86"/>
    <x v="3232"/>
    <x v="0"/>
    <x v="0"/>
    <x v="2491"/>
    <x v="76"/>
    <x v="1516"/>
    <x v="231"/>
  </r>
  <r>
    <x v="22"/>
    <x v="87"/>
    <x v="3233"/>
    <x v="0"/>
    <x v="0"/>
    <x v="466"/>
    <x v="805"/>
    <x v="1517"/>
    <x v="232"/>
  </r>
  <r>
    <x v="22"/>
    <x v="88"/>
    <x v="3234"/>
    <x v="0"/>
    <x v="0"/>
    <x v="2535"/>
    <x v="661"/>
    <x v="1518"/>
    <x v="232"/>
  </r>
  <r>
    <x v="22"/>
    <x v="89"/>
    <x v="3235"/>
    <x v="0"/>
    <x v="0"/>
    <x v="1537"/>
    <x v="194"/>
    <x v="1519"/>
    <x v="232"/>
  </r>
  <r>
    <x v="22"/>
    <x v="90"/>
    <x v="3236"/>
    <x v="0"/>
    <x v="0"/>
    <x v="2536"/>
    <x v="806"/>
    <x v="1520"/>
    <x v="232"/>
  </r>
  <r>
    <x v="22"/>
    <x v="91"/>
    <x v="3237"/>
    <x v="0"/>
    <x v="0"/>
    <x v="2537"/>
    <x v="807"/>
    <x v="1521"/>
    <x v="232"/>
  </r>
  <r>
    <x v="22"/>
    <x v="92"/>
    <x v="3238"/>
    <x v="0"/>
    <x v="0"/>
    <x v="50"/>
    <x v="195"/>
    <x v="1522"/>
    <x v="232"/>
  </r>
  <r>
    <x v="22"/>
    <x v="93"/>
    <x v="3239"/>
    <x v="0"/>
    <x v="0"/>
    <x v="2538"/>
    <x v="128"/>
    <x v="1523"/>
    <x v="232"/>
  </r>
  <r>
    <x v="22"/>
    <x v="94"/>
    <x v="3240"/>
    <x v="0"/>
    <x v="1"/>
    <x v="2539"/>
    <x v="808"/>
    <x v="1524"/>
    <x v="232"/>
  </r>
  <r>
    <x v="22"/>
    <x v="95"/>
    <x v="3241"/>
    <x v="0"/>
    <x v="0"/>
    <x v="2540"/>
    <x v="117"/>
    <x v="1525"/>
    <x v="232"/>
  </r>
  <r>
    <x v="22"/>
    <x v="96"/>
    <x v="3242"/>
    <x v="0"/>
    <x v="0"/>
    <x v="2541"/>
    <x v="809"/>
    <x v="1526"/>
    <x v="232"/>
  </r>
  <r>
    <x v="22"/>
    <x v="97"/>
    <x v="3243"/>
    <x v="0"/>
    <x v="0"/>
    <x v="2542"/>
    <x v="579"/>
    <x v="1527"/>
    <x v="232"/>
  </r>
  <r>
    <x v="22"/>
    <x v="98"/>
    <x v="3244"/>
    <x v="0"/>
    <x v="0"/>
    <x v="2543"/>
    <x v="665"/>
    <x v="1528"/>
    <x v="232"/>
  </r>
  <r>
    <x v="22"/>
    <x v="99"/>
    <x v="3245"/>
    <x v="0"/>
    <x v="1"/>
    <x v="2544"/>
    <x v="720"/>
    <x v="1529"/>
    <x v="232"/>
  </r>
  <r>
    <x v="22"/>
    <x v="100"/>
    <x v="3246"/>
    <x v="0"/>
    <x v="0"/>
    <x v="2545"/>
    <x v="810"/>
    <x v="1530"/>
    <x v="233"/>
  </r>
  <r>
    <x v="22"/>
    <x v="101"/>
    <x v="3247"/>
    <x v="1"/>
    <x v="0"/>
    <x v="2048"/>
    <x v="79"/>
    <x v="1531"/>
    <x v="233"/>
  </r>
  <r>
    <x v="22"/>
    <x v="102"/>
    <x v="3248"/>
    <x v="0"/>
    <x v="0"/>
    <x v="2546"/>
    <x v="305"/>
    <x v="1532"/>
    <x v="233"/>
  </r>
  <r>
    <x v="22"/>
    <x v="103"/>
    <x v="3249"/>
    <x v="1"/>
    <x v="0"/>
    <x v="2547"/>
    <x v="811"/>
    <x v="1533"/>
    <x v="233"/>
  </r>
  <r>
    <x v="22"/>
    <x v="104"/>
    <x v="3250"/>
    <x v="0"/>
    <x v="0"/>
    <x v="1906"/>
    <x v="805"/>
    <x v="1534"/>
    <x v="233"/>
  </r>
  <r>
    <x v="22"/>
    <x v="105"/>
    <x v="3251"/>
    <x v="0"/>
    <x v="1"/>
    <x v="2516"/>
    <x v="559"/>
    <x v="1535"/>
    <x v="233"/>
  </r>
  <r>
    <x v="22"/>
    <x v="106"/>
    <x v="3252"/>
    <x v="0"/>
    <x v="0"/>
    <x v="2548"/>
    <x v="657"/>
    <x v="1536"/>
    <x v="233"/>
  </r>
  <r>
    <x v="22"/>
    <x v="107"/>
    <x v="3253"/>
    <x v="0"/>
    <x v="0"/>
    <x v="2549"/>
    <x v="812"/>
    <x v="1537"/>
    <x v="233"/>
  </r>
  <r>
    <x v="22"/>
    <x v="108"/>
    <x v="3254"/>
    <x v="0"/>
    <x v="0"/>
    <x v="2550"/>
    <x v="426"/>
    <x v="1538"/>
    <x v="233"/>
  </r>
  <r>
    <x v="22"/>
    <x v="109"/>
    <x v="3255"/>
    <x v="0"/>
    <x v="0"/>
    <x v="2551"/>
    <x v="813"/>
    <x v="1539"/>
    <x v="233"/>
  </r>
  <r>
    <x v="22"/>
    <x v="110"/>
    <x v="3256"/>
    <x v="0"/>
    <x v="0"/>
    <x v="2552"/>
    <x v="685"/>
    <x v="1540"/>
    <x v="233"/>
  </r>
  <r>
    <x v="22"/>
    <x v="111"/>
    <x v="3257"/>
    <x v="0"/>
    <x v="0"/>
    <x v="2553"/>
    <x v="679"/>
    <x v="1541"/>
    <x v="233"/>
  </r>
  <r>
    <x v="22"/>
    <x v="112"/>
    <x v="3258"/>
    <x v="0"/>
    <x v="0"/>
    <x v="1952"/>
    <x v="814"/>
    <x v="1542"/>
    <x v="233"/>
  </r>
  <r>
    <x v="22"/>
    <x v="113"/>
    <x v="3259"/>
    <x v="0"/>
    <x v="0"/>
    <x v="1811"/>
    <x v="815"/>
    <x v="1543"/>
    <x v="234"/>
  </r>
  <r>
    <x v="22"/>
    <x v="114"/>
    <x v="3260"/>
    <x v="0"/>
    <x v="0"/>
    <x v="513"/>
    <x v="731"/>
    <x v="1544"/>
    <x v="234"/>
  </r>
  <r>
    <x v="22"/>
    <x v="115"/>
    <x v="3261"/>
    <x v="0"/>
    <x v="0"/>
    <x v="104"/>
    <x v="648"/>
    <x v="1545"/>
    <x v="234"/>
  </r>
  <r>
    <x v="22"/>
    <x v="116"/>
    <x v="3262"/>
    <x v="0"/>
    <x v="0"/>
    <x v="2554"/>
    <x v="816"/>
    <x v="1546"/>
    <x v="234"/>
  </r>
  <r>
    <x v="22"/>
    <x v="117"/>
    <x v="3263"/>
    <x v="0"/>
    <x v="0"/>
    <x v="2234"/>
    <x v="817"/>
    <x v="1547"/>
    <x v="234"/>
  </r>
  <r>
    <x v="22"/>
    <x v="118"/>
    <x v="3264"/>
    <x v="0"/>
    <x v="0"/>
    <x v="1021"/>
    <x v="818"/>
    <x v="1548"/>
    <x v="234"/>
  </r>
  <r>
    <x v="22"/>
    <x v="119"/>
    <x v="3265"/>
    <x v="0"/>
    <x v="0"/>
    <x v="2555"/>
    <x v="65"/>
    <x v="1549"/>
    <x v="234"/>
  </r>
  <r>
    <x v="22"/>
    <x v="120"/>
    <x v="3266"/>
    <x v="0"/>
    <x v="0"/>
    <x v="2556"/>
    <x v="819"/>
    <x v="1550"/>
    <x v="234"/>
  </r>
  <r>
    <x v="22"/>
    <x v="121"/>
    <x v="3267"/>
    <x v="0"/>
    <x v="0"/>
    <x v="2557"/>
    <x v="424"/>
    <x v="1551"/>
    <x v="234"/>
  </r>
  <r>
    <x v="22"/>
    <x v="122"/>
    <x v="3268"/>
    <x v="0"/>
    <x v="0"/>
    <x v="2484"/>
    <x v="820"/>
    <x v="1552"/>
    <x v="234"/>
  </r>
  <r>
    <x v="22"/>
    <x v="123"/>
    <x v="3269"/>
    <x v="0"/>
    <x v="0"/>
    <x v="2558"/>
    <x v="192"/>
    <x v="1553"/>
    <x v="234"/>
  </r>
  <r>
    <x v="22"/>
    <x v="124"/>
    <x v="3270"/>
    <x v="0"/>
    <x v="0"/>
    <x v="1402"/>
    <x v="821"/>
    <x v="1554"/>
    <x v="234"/>
  </r>
  <r>
    <x v="22"/>
    <x v="125"/>
    <x v="3271"/>
    <x v="0"/>
    <x v="0"/>
    <x v="2559"/>
    <x v="822"/>
    <x v="1555"/>
    <x v="234"/>
  </r>
  <r>
    <x v="22"/>
    <x v="126"/>
    <x v="3272"/>
    <x v="0"/>
    <x v="0"/>
    <x v="2560"/>
    <x v="312"/>
    <x v="1556"/>
    <x v="235"/>
  </r>
  <r>
    <x v="22"/>
    <x v="127"/>
    <x v="3273"/>
    <x v="0"/>
    <x v="0"/>
    <x v="1129"/>
    <x v="116"/>
    <x v="1557"/>
    <x v="235"/>
  </r>
  <r>
    <x v="22"/>
    <x v="128"/>
    <x v="3274"/>
    <x v="0"/>
    <x v="0"/>
    <x v="1275"/>
    <x v="242"/>
    <x v="1558"/>
    <x v="235"/>
  </r>
  <r>
    <x v="22"/>
    <x v="129"/>
    <x v="3275"/>
    <x v="0"/>
    <x v="0"/>
    <x v="87"/>
    <x v="430"/>
    <x v="1559"/>
    <x v="235"/>
  </r>
  <r>
    <x v="22"/>
    <x v="130"/>
    <x v="3276"/>
    <x v="0"/>
    <x v="0"/>
    <x v="2288"/>
    <x v="427"/>
    <x v="1560"/>
    <x v="235"/>
  </r>
  <r>
    <x v="22"/>
    <x v="131"/>
    <x v="3277"/>
    <x v="0"/>
    <x v="0"/>
    <x v="2561"/>
    <x v="407"/>
    <x v="1561"/>
    <x v="235"/>
  </r>
  <r>
    <x v="22"/>
    <x v="132"/>
    <x v="3278"/>
    <x v="0"/>
    <x v="0"/>
    <x v="59"/>
    <x v="823"/>
    <x v="1562"/>
    <x v="235"/>
  </r>
  <r>
    <x v="22"/>
    <x v="133"/>
    <x v="3279"/>
    <x v="0"/>
    <x v="0"/>
    <x v="2562"/>
    <x v="749"/>
    <x v="1563"/>
    <x v="235"/>
  </r>
  <r>
    <x v="22"/>
    <x v="134"/>
    <x v="3280"/>
    <x v="0"/>
    <x v="0"/>
    <x v="2563"/>
    <x v="824"/>
    <x v="1564"/>
    <x v="235"/>
  </r>
  <r>
    <x v="22"/>
    <x v="135"/>
    <x v="3281"/>
    <x v="0"/>
    <x v="1"/>
    <x v="2214"/>
    <x v="814"/>
    <x v="1565"/>
    <x v="235"/>
  </r>
  <r>
    <x v="22"/>
    <x v="136"/>
    <x v="3282"/>
    <x v="0"/>
    <x v="0"/>
    <x v="2564"/>
    <x v="794"/>
    <x v="1566"/>
    <x v="235"/>
  </r>
  <r>
    <x v="22"/>
    <x v="137"/>
    <x v="3283"/>
    <x v="0"/>
    <x v="0"/>
    <x v="2565"/>
    <x v="825"/>
    <x v="1567"/>
    <x v="235"/>
  </r>
  <r>
    <x v="22"/>
    <x v="138"/>
    <x v="3284"/>
    <x v="0"/>
    <x v="0"/>
    <x v="2566"/>
    <x v="826"/>
    <x v="1568"/>
    <x v="235"/>
  </r>
  <r>
    <x v="22"/>
    <x v="139"/>
    <x v="3285"/>
    <x v="0"/>
    <x v="0"/>
    <x v="2567"/>
    <x v="676"/>
    <x v="1569"/>
    <x v="236"/>
  </r>
  <r>
    <x v="22"/>
    <x v="140"/>
    <x v="3286"/>
    <x v="0"/>
    <x v="0"/>
    <x v="2366"/>
    <x v="758"/>
    <x v="1570"/>
    <x v="236"/>
  </r>
  <r>
    <x v="22"/>
    <x v="141"/>
    <x v="3287"/>
    <x v="0"/>
    <x v="0"/>
    <x v="2568"/>
    <x v="689"/>
    <x v="1571"/>
    <x v="236"/>
  </r>
  <r>
    <x v="22"/>
    <x v="142"/>
    <x v="3288"/>
    <x v="0"/>
    <x v="0"/>
    <x v="1004"/>
    <x v="410"/>
    <x v="1572"/>
    <x v="236"/>
  </r>
  <r>
    <x v="23"/>
    <x v="0"/>
    <x v="3289"/>
    <x v="0"/>
    <x v="0"/>
    <x v="2569"/>
    <x v="691"/>
    <x v="1430"/>
    <x v="237"/>
  </r>
  <r>
    <x v="23"/>
    <x v="1"/>
    <x v="3290"/>
    <x v="0"/>
    <x v="1"/>
    <x v="2570"/>
    <x v="692"/>
    <x v="1431"/>
    <x v="237"/>
  </r>
  <r>
    <x v="23"/>
    <x v="2"/>
    <x v="3291"/>
    <x v="0"/>
    <x v="0"/>
    <x v="2571"/>
    <x v="693"/>
    <x v="1432"/>
    <x v="237"/>
  </r>
  <r>
    <x v="23"/>
    <x v="3"/>
    <x v="3292"/>
    <x v="0"/>
    <x v="0"/>
    <x v="2572"/>
    <x v="694"/>
    <x v="1433"/>
    <x v="237"/>
  </r>
  <r>
    <x v="23"/>
    <x v="4"/>
    <x v="3293"/>
    <x v="0"/>
    <x v="0"/>
    <x v="2573"/>
    <x v="695"/>
    <x v="1434"/>
    <x v="237"/>
  </r>
  <r>
    <x v="23"/>
    <x v="5"/>
    <x v="3294"/>
    <x v="0"/>
    <x v="0"/>
    <x v="0"/>
    <x v="696"/>
    <x v="1435"/>
    <x v="237"/>
  </r>
  <r>
    <x v="23"/>
    <x v="6"/>
    <x v="3295"/>
    <x v="0"/>
    <x v="0"/>
    <x v="2574"/>
    <x v="552"/>
    <x v="1436"/>
    <x v="237"/>
  </r>
  <r>
    <x v="23"/>
    <x v="7"/>
    <x v="3296"/>
    <x v="0"/>
    <x v="0"/>
    <x v="2575"/>
    <x v="697"/>
    <x v="1437"/>
    <x v="237"/>
  </r>
  <r>
    <x v="23"/>
    <x v="8"/>
    <x v="3297"/>
    <x v="0"/>
    <x v="0"/>
    <x v="1911"/>
    <x v="698"/>
    <x v="1438"/>
    <x v="238"/>
  </r>
  <r>
    <x v="23"/>
    <x v="9"/>
    <x v="3298"/>
    <x v="0"/>
    <x v="0"/>
    <x v="2576"/>
    <x v="175"/>
    <x v="1439"/>
    <x v="238"/>
  </r>
  <r>
    <x v="23"/>
    <x v="10"/>
    <x v="3299"/>
    <x v="0"/>
    <x v="0"/>
    <x v="2577"/>
    <x v="50"/>
    <x v="1440"/>
    <x v="238"/>
  </r>
  <r>
    <x v="23"/>
    <x v="11"/>
    <x v="3300"/>
    <x v="0"/>
    <x v="0"/>
    <x v="962"/>
    <x v="699"/>
    <x v="1441"/>
    <x v="238"/>
  </r>
  <r>
    <x v="23"/>
    <x v="12"/>
    <x v="3301"/>
    <x v="0"/>
    <x v="0"/>
    <x v="2578"/>
    <x v="700"/>
    <x v="1442"/>
    <x v="238"/>
  </r>
  <r>
    <x v="23"/>
    <x v="13"/>
    <x v="3302"/>
    <x v="0"/>
    <x v="0"/>
    <x v="2579"/>
    <x v="324"/>
    <x v="1443"/>
    <x v="238"/>
  </r>
  <r>
    <x v="23"/>
    <x v="14"/>
    <x v="3303"/>
    <x v="0"/>
    <x v="0"/>
    <x v="587"/>
    <x v="96"/>
    <x v="1444"/>
    <x v="238"/>
  </r>
  <r>
    <x v="23"/>
    <x v="15"/>
    <x v="3304"/>
    <x v="0"/>
    <x v="0"/>
    <x v="2069"/>
    <x v="701"/>
    <x v="1445"/>
    <x v="238"/>
  </r>
  <r>
    <x v="23"/>
    <x v="16"/>
    <x v="3305"/>
    <x v="0"/>
    <x v="0"/>
    <x v="2580"/>
    <x v="634"/>
    <x v="1446"/>
    <x v="238"/>
  </r>
  <r>
    <x v="23"/>
    <x v="17"/>
    <x v="3306"/>
    <x v="0"/>
    <x v="0"/>
    <x v="2581"/>
    <x v="702"/>
    <x v="1447"/>
    <x v="238"/>
  </r>
  <r>
    <x v="23"/>
    <x v="18"/>
    <x v="3307"/>
    <x v="0"/>
    <x v="0"/>
    <x v="11"/>
    <x v="703"/>
    <x v="1448"/>
    <x v="238"/>
  </r>
  <r>
    <x v="23"/>
    <x v="19"/>
    <x v="3308"/>
    <x v="0"/>
    <x v="0"/>
    <x v="2582"/>
    <x v="704"/>
    <x v="1449"/>
    <x v="238"/>
  </r>
  <r>
    <x v="23"/>
    <x v="20"/>
    <x v="3309"/>
    <x v="0"/>
    <x v="0"/>
    <x v="2583"/>
    <x v="619"/>
    <x v="1450"/>
    <x v="238"/>
  </r>
  <r>
    <x v="23"/>
    <x v="21"/>
    <x v="3310"/>
    <x v="0"/>
    <x v="0"/>
    <x v="2561"/>
    <x v="619"/>
    <x v="1451"/>
    <x v="239"/>
  </r>
  <r>
    <x v="23"/>
    <x v="22"/>
    <x v="3311"/>
    <x v="0"/>
    <x v="0"/>
    <x v="2584"/>
    <x v="692"/>
    <x v="1452"/>
    <x v="239"/>
  </r>
  <r>
    <x v="23"/>
    <x v="23"/>
    <x v="3312"/>
    <x v="0"/>
    <x v="0"/>
    <x v="2585"/>
    <x v="705"/>
    <x v="1453"/>
    <x v="239"/>
  </r>
  <r>
    <x v="23"/>
    <x v="24"/>
    <x v="3313"/>
    <x v="0"/>
    <x v="0"/>
    <x v="728"/>
    <x v="386"/>
    <x v="1454"/>
    <x v="239"/>
  </r>
  <r>
    <x v="23"/>
    <x v="25"/>
    <x v="3314"/>
    <x v="0"/>
    <x v="0"/>
    <x v="2586"/>
    <x v="706"/>
    <x v="1455"/>
    <x v="239"/>
  </r>
  <r>
    <x v="23"/>
    <x v="26"/>
    <x v="3315"/>
    <x v="0"/>
    <x v="0"/>
    <x v="2587"/>
    <x v="704"/>
    <x v="1456"/>
    <x v="239"/>
  </r>
  <r>
    <x v="23"/>
    <x v="27"/>
    <x v="3316"/>
    <x v="0"/>
    <x v="0"/>
    <x v="2588"/>
    <x v="707"/>
    <x v="1457"/>
    <x v="239"/>
  </r>
  <r>
    <x v="23"/>
    <x v="28"/>
    <x v="3317"/>
    <x v="0"/>
    <x v="0"/>
    <x v="1717"/>
    <x v="708"/>
    <x v="1458"/>
    <x v="239"/>
  </r>
  <r>
    <x v="23"/>
    <x v="29"/>
    <x v="3318"/>
    <x v="0"/>
    <x v="0"/>
    <x v="204"/>
    <x v="709"/>
    <x v="1459"/>
    <x v="239"/>
  </r>
  <r>
    <x v="23"/>
    <x v="30"/>
    <x v="3319"/>
    <x v="0"/>
    <x v="0"/>
    <x v="2262"/>
    <x v="170"/>
    <x v="1460"/>
    <x v="239"/>
  </r>
  <r>
    <x v="23"/>
    <x v="31"/>
    <x v="3320"/>
    <x v="0"/>
    <x v="1"/>
    <x v="2589"/>
    <x v="536"/>
    <x v="1461"/>
    <x v="239"/>
  </r>
  <r>
    <x v="23"/>
    <x v="32"/>
    <x v="3321"/>
    <x v="0"/>
    <x v="0"/>
    <x v="2590"/>
    <x v="548"/>
    <x v="1462"/>
    <x v="239"/>
  </r>
  <r>
    <x v="23"/>
    <x v="33"/>
    <x v="3322"/>
    <x v="0"/>
    <x v="0"/>
    <x v="1683"/>
    <x v="536"/>
    <x v="1463"/>
    <x v="239"/>
  </r>
  <r>
    <x v="23"/>
    <x v="34"/>
    <x v="3323"/>
    <x v="0"/>
    <x v="0"/>
    <x v="2591"/>
    <x v="710"/>
    <x v="1464"/>
    <x v="240"/>
  </r>
  <r>
    <x v="23"/>
    <x v="35"/>
    <x v="3324"/>
    <x v="0"/>
    <x v="0"/>
    <x v="2592"/>
    <x v="550"/>
    <x v="1465"/>
    <x v="240"/>
  </r>
  <r>
    <x v="23"/>
    <x v="36"/>
    <x v="3325"/>
    <x v="0"/>
    <x v="0"/>
    <x v="2593"/>
    <x v="711"/>
    <x v="1466"/>
    <x v="240"/>
  </r>
  <r>
    <x v="23"/>
    <x v="37"/>
    <x v="3326"/>
    <x v="0"/>
    <x v="0"/>
    <x v="2594"/>
    <x v="380"/>
    <x v="1467"/>
    <x v="240"/>
  </r>
  <r>
    <x v="23"/>
    <x v="38"/>
    <x v="3327"/>
    <x v="0"/>
    <x v="0"/>
    <x v="1228"/>
    <x v="326"/>
    <x v="1468"/>
    <x v="240"/>
  </r>
  <r>
    <x v="23"/>
    <x v="39"/>
    <x v="3328"/>
    <x v="0"/>
    <x v="0"/>
    <x v="2595"/>
    <x v="380"/>
    <x v="1469"/>
    <x v="240"/>
  </r>
  <r>
    <x v="23"/>
    <x v="40"/>
    <x v="3329"/>
    <x v="0"/>
    <x v="0"/>
    <x v="238"/>
    <x v="54"/>
    <x v="1470"/>
    <x v="240"/>
  </r>
  <r>
    <x v="23"/>
    <x v="41"/>
    <x v="3330"/>
    <x v="0"/>
    <x v="0"/>
    <x v="2014"/>
    <x v="712"/>
    <x v="1471"/>
    <x v="240"/>
  </r>
  <r>
    <x v="23"/>
    <x v="42"/>
    <x v="3331"/>
    <x v="0"/>
    <x v="1"/>
    <x v="2596"/>
    <x v="583"/>
    <x v="1472"/>
    <x v="240"/>
  </r>
  <r>
    <x v="23"/>
    <x v="43"/>
    <x v="3332"/>
    <x v="0"/>
    <x v="0"/>
    <x v="1044"/>
    <x v="713"/>
    <x v="1473"/>
    <x v="240"/>
  </r>
  <r>
    <x v="23"/>
    <x v="44"/>
    <x v="3333"/>
    <x v="0"/>
    <x v="0"/>
    <x v="2597"/>
    <x v="714"/>
    <x v="1474"/>
    <x v="240"/>
  </r>
  <r>
    <x v="23"/>
    <x v="45"/>
    <x v="3334"/>
    <x v="0"/>
    <x v="0"/>
    <x v="2598"/>
    <x v="715"/>
    <x v="1475"/>
    <x v="240"/>
  </r>
  <r>
    <x v="23"/>
    <x v="46"/>
    <x v="3335"/>
    <x v="0"/>
    <x v="0"/>
    <x v="2599"/>
    <x v="716"/>
    <x v="1476"/>
    <x v="240"/>
  </r>
  <r>
    <x v="23"/>
    <x v="47"/>
    <x v="3336"/>
    <x v="0"/>
    <x v="1"/>
    <x v="797"/>
    <x v="398"/>
    <x v="1477"/>
    <x v="240"/>
  </r>
  <r>
    <x v="23"/>
    <x v="48"/>
    <x v="3337"/>
    <x v="0"/>
    <x v="0"/>
    <x v="2600"/>
    <x v="717"/>
    <x v="1478"/>
    <x v="218"/>
  </r>
  <r>
    <x v="23"/>
    <x v="49"/>
    <x v="3338"/>
    <x v="0"/>
    <x v="0"/>
    <x v="2601"/>
    <x v="718"/>
    <x v="1479"/>
    <x v="218"/>
  </r>
  <r>
    <x v="23"/>
    <x v="50"/>
    <x v="3339"/>
    <x v="0"/>
    <x v="0"/>
    <x v="1880"/>
    <x v="719"/>
    <x v="1480"/>
    <x v="218"/>
  </r>
  <r>
    <x v="23"/>
    <x v="51"/>
    <x v="3340"/>
    <x v="0"/>
    <x v="0"/>
    <x v="2602"/>
    <x v="720"/>
    <x v="1481"/>
    <x v="218"/>
  </r>
  <r>
    <x v="23"/>
    <x v="52"/>
    <x v="3341"/>
    <x v="0"/>
    <x v="0"/>
    <x v="2603"/>
    <x v="721"/>
    <x v="1482"/>
    <x v="218"/>
  </r>
  <r>
    <x v="23"/>
    <x v="53"/>
    <x v="3342"/>
    <x v="0"/>
    <x v="1"/>
    <x v="2604"/>
    <x v="722"/>
    <x v="1483"/>
    <x v="218"/>
  </r>
  <r>
    <x v="23"/>
    <x v="54"/>
    <x v="3343"/>
    <x v="0"/>
    <x v="0"/>
    <x v="1827"/>
    <x v="723"/>
    <x v="1484"/>
    <x v="218"/>
  </r>
  <r>
    <x v="23"/>
    <x v="55"/>
    <x v="3344"/>
    <x v="0"/>
    <x v="0"/>
    <x v="2605"/>
    <x v="118"/>
    <x v="1485"/>
    <x v="218"/>
  </r>
  <r>
    <x v="23"/>
    <x v="56"/>
    <x v="3345"/>
    <x v="0"/>
    <x v="0"/>
    <x v="2606"/>
    <x v="185"/>
    <x v="1486"/>
    <x v="218"/>
  </r>
  <r>
    <x v="23"/>
    <x v="57"/>
    <x v="3346"/>
    <x v="0"/>
    <x v="0"/>
    <x v="2607"/>
    <x v="564"/>
    <x v="1487"/>
    <x v="218"/>
  </r>
  <r>
    <x v="23"/>
    <x v="58"/>
    <x v="3347"/>
    <x v="0"/>
    <x v="0"/>
    <x v="1760"/>
    <x v="724"/>
    <x v="1488"/>
    <x v="218"/>
  </r>
  <r>
    <x v="23"/>
    <x v="59"/>
    <x v="3348"/>
    <x v="0"/>
    <x v="0"/>
    <x v="2608"/>
    <x v="353"/>
    <x v="1489"/>
    <x v="218"/>
  </r>
  <r>
    <x v="23"/>
    <x v="60"/>
    <x v="3349"/>
    <x v="0"/>
    <x v="0"/>
    <x v="2609"/>
    <x v="462"/>
    <x v="1490"/>
    <x v="241"/>
  </r>
  <r>
    <x v="23"/>
    <x v="61"/>
    <x v="3350"/>
    <x v="0"/>
    <x v="0"/>
    <x v="2610"/>
    <x v="725"/>
    <x v="1491"/>
    <x v="241"/>
  </r>
  <r>
    <x v="23"/>
    <x v="62"/>
    <x v="3351"/>
    <x v="0"/>
    <x v="0"/>
    <x v="2611"/>
    <x v="417"/>
    <x v="1492"/>
    <x v="241"/>
  </r>
  <r>
    <x v="23"/>
    <x v="63"/>
    <x v="3352"/>
    <x v="0"/>
    <x v="0"/>
    <x v="2612"/>
    <x v="726"/>
    <x v="1493"/>
    <x v="241"/>
  </r>
  <r>
    <x v="23"/>
    <x v="64"/>
    <x v="3353"/>
    <x v="0"/>
    <x v="0"/>
    <x v="2613"/>
    <x v="727"/>
    <x v="1494"/>
    <x v="241"/>
  </r>
  <r>
    <x v="23"/>
    <x v="65"/>
    <x v="3354"/>
    <x v="0"/>
    <x v="0"/>
    <x v="1798"/>
    <x v="728"/>
    <x v="1495"/>
    <x v="241"/>
  </r>
  <r>
    <x v="23"/>
    <x v="66"/>
    <x v="3355"/>
    <x v="0"/>
    <x v="0"/>
    <x v="2614"/>
    <x v="729"/>
    <x v="1496"/>
    <x v="241"/>
  </r>
  <r>
    <x v="23"/>
    <x v="67"/>
    <x v="3356"/>
    <x v="0"/>
    <x v="0"/>
    <x v="1380"/>
    <x v="413"/>
    <x v="1497"/>
    <x v="241"/>
  </r>
  <r>
    <x v="23"/>
    <x v="68"/>
    <x v="3357"/>
    <x v="0"/>
    <x v="0"/>
    <x v="1510"/>
    <x v="492"/>
    <x v="1498"/>
    <x v="241"/>
  </r>
  <r>
    <x v="23"/>
    <x v="69"/>
    <x v="3358"/>
    <x v="0"/>
    <x v="0"/>
    <x v="2061"/>
    <x v="730"/>
    <x v="1499"/>
    <x v="241"/>
  </r>
  <r>
    <x v="23"/>
    <x v="70"/>
    <x v="3359"/>
    <x v="0"/>
    <x v="0"/>
    <x v="2615"/>
    <x v="731"/>
    <x v="1500"/>
    <x v="241"/>
  </r>
  <r>
    <x v="23"/>
    <x v="71"/>
    <x v="3360"/>
    <x v="0"/>
    <x v="0"/>
    <x v="2616"/>
    <x v="732"/>
    <x v="1501"/>
    <x v="241"/>
  </r>
  <r>
    <x v="23"/>
    <x v="72"/>
    <x v="3361"/>
    <x v="0"/>
    <x v="0"/>
    <x v="2120"/>
    <x v="733"/>
    <x v="1502"/>
    <x v="241"/>
  </r>
  <r>
    <x v="23"/>
    <x v="73"/>
    <x v="3362"/>
    <x v="0"/>
    <x v="0"/>
    <x v="279"/>
    <x v="734"/>
    <x v="1503"/>
    <x v="242"/>
  </r>
  <r>
    <x v="23"/>
    <x v="74"/>
    <x v="3363"/>
    <x v="0"/>
    <x v="0"/>
    <x v="2617"/>
    <x v="465"/>
    <x v="1504"/>
    <x v="242"/>
  </r>
  <r>
    <x v="23"/>
    <x v="75"/>
    <x v="3364"/>
    <x v="0"/>
    <x v="0"/>
    <x v="2197"/>
    <x v="735"/>
    <x v="1505"/>
    <x v="242"/>
  </r>
  <r>
    <x v="23"/>
    <x v="76"/>
    <x v="3365"/>
    <x v="0"/>
    <x v="0"/>
    <x v="2618"/>
    <x v="736"/>
    <x v="1506"/>
    <x v="242"/>
  </r>
  <r>
    <x v="23"/>
    <x v="77"/>
    <x v="3366"/>
    <x v="0"/>
    <x v="0"/>
    <x v="2619"/>
    <x v="677"/>
    <x v="1507"/>
    <x v="242"/>
  </r>
  <r>
    <x v="23"/>
    <x v="78"/>
    <x v="3367"/>
    <x v="0"/>
    <x v="0"/>
    <x v="1786"/>
    <x v="737"/>
    <x v="1508"/>
    <x v="242"/>
  </r>
  <r>
    <x v="23"/>
    <x v="79"/>
    <x v="3368"/>
    <x v="0"/>
    <x v="0"/>
    <x v="2215"/>
    <x v="738"/>
    <x v="1509"/>
    <x v="242"/>
  </r>
  <r>
    <x v="23"/>
    <x v="80"/>
    <x v="3369"/>
    <x v="0"/>
    <x v="0"/>
    <x v="2620"/>
    <x v="739"/>
    <x v="1510"/>
    <x v="242"/>
  </r>
  <r>
    <x v="23"/>
    <x v="81"/>
    <x v="3370"/>
    <x v="0"/>
    <x v="0"/>
    <x v="1370"/>
    <x v="64"/>
    <x v="1511"/>
    <x v="242"/>
  </r>
  <r>
    <x v="23"/>
    <x v="82"/>
    <x v="3371"/>
    <x v="0"/>
    <x v="0"/>
    <x v="2621"/>
    <x v="740"/>
    <x v="1512"/>
    <x v="242"/>
  </r>
  <r>
    <x v="23"/>
    <x v="83"/>
    <x v="3372"/>
    <x v="0"/>
    <x v="1"/>
    <x v="2622"/>
    <x v="741"/>
    <x v="1513"/>
    <x v="242"/>
  </r>
  <r>
    <x v="23"/>
    <x v="84"/>
    <x v="3373"/>
    <x v="0"/>
    <x v="0"/>
    <x v="290"/>
    <x v="742"/>
    <x v="1514"/>
    <x v="242"/>
  </r>
  <r>
    <x v="23"/>
    <x v="85"/>
    <x v="3374"/>
    <x v="0"/>
    <x v="0"/>
    <x v="2623"/>
    <x v="65"/>
    <x v="1515"/>
    <x v="242"/>
  </r>
  <r>
    <x v="23"/>
    <x v="86"/>
    <x v="3375"/>
    <x v="0"/>
    <x v="0"/>
    <x v="291"/>
    <x v="743"/>
    <x v="1516"/>
    <x v="242"/>
  </r>
  <r>
    <x v="23"/>
    <x v="87"/>
    <x v="3376"/>
    <x v="0"/>
    <x v="0"/>
    <x v="2624"/>
    <x v="744"/>
    <x v="1517"/>
    <x v="243"/>
  </r>
  <r>
    <x v="23"/>
    <x v="88"/>
    <x v="3377"/>
    <x v="0"/>
    <x v="0"/>
    <x v="2625"/>
    <x v="560"/>
    <x v="1518"/>
    <x v="243"/>
  </r>
  <r>
    <x v="23"/>
    <x v="89"/>
    <x v="3378"/>
    <x v="0"/>
    <x v="0"/>
    <x v="2626"/>
    <x v="745"/>
    <x v="1519"/>
    <x v="243"/>
  </r>
  <r>
    <x v="23"/>
    <x v="90"/>
    <x v="3379"/>
    <x v="0"/>
    <x v="0"/>
    <x v="2627"/>
    <x v="745"/>
    <x v="1520"/>
    <x v="243"/>
  </r>
  <r>
    <x v="23"/>
    <x v="91"/>
    <x v="3380"/>
    <x v="0"/>
    <x v="0"/>
    <x v="1933"/>
    <x v="658"/>
    <x v="1521"/>
    <x v="243"/>
  </r>
  <r>
    <x v="23"/>
    <x v="92"/>
    <x v="3381"/>
    <x v="0"/>
    <x v="0"/>
    <x v="2628"/>
    <x v="746"/>
    <x v="1522"/>
    <x v="243"/>
  </r>
  <r>
    <x v="23"/>
    <x v="93"/>
    <x v="3382"/>
    <x v="0"/>
    <x v="0"/>
    <x v="465"/>
    <x v="131"/>
    <x v="1523"/>
    <x v="243"/>
  </r>
  <r>
    <x v="23"/>
    <x v="94"/>
    <x v="3383"/>
    <x v="0"/>
    <x v="1"/>
    <x v="2629"/>
    <x v="604"/>
    <x v="1524"/>
    <x v="243"/>
  </r>
  <r>
    <x v="23"/>
    <x v="95"/>
    <x v="3384"/>
    <x v="0"/>
    <x v="0"/>
    <x v="2630"/>
    <x v="133"/>
    <x v="1525"/>
    <x v="243"/>
  </r>
  <r>
    <x v="23"/>
    <x v="96"/>
    <x v="3385"/>
    <x v="0"/>
    <x v="0"/>
    <x v="2631"/>
    <x v="199"/>
    <x v="1526"/>
    <x v="243"/>
  </r>
  <r>
    <x v="23"/>
    <x v="97"/>
    <x v="3386"/>
    <x v="0"/>
    <x v="0"/>
    <x v="1726"/>
    <x v="291"/>
    <x v="1527"/>
    <x v="243"/>
  </r>
  <r>
    <x v="23"/>
    <x v="98"/>
    <x v="3387"/>
    <x v="0"/>
    <x v="0"/>
    <x v="2632"/>
    <x v="747"/>
    <x v="1528"/>
    <x v="243"/>
  </r>
  <r>
    <x v="23"/>
    <x v="99"/>
    <x v="3388"/>
    <x v="0"/>
    <x v="1"/>
    <x v="1804"/>
    <x v="309"/>
    <x v="1529"/>
    <x v="243"/>
  </r>
  <r>
    <x v="23"/>
    <x v="100"/>
    <x v="3389"/>
    <x v="0"/>
    <x v="0"/>
    <x v="2633"/>
    <x v="347"/>
    <x v="1530"/>
    <x v="244"/>
  </r>
  <r>
    <x v="23"/>
    <x v="101"/>
    <x v="3390"/>
    <x v="0"/>
    <x v="0"/>
    <x v="1844"/>
    <x v="133"/>
    <x v="1531"/>
    <x v="244"/>
  </r>
  <r>
    <x v="23"/>
    <x v="102"/>
    <x v="3391"/>
    <x v="0"/>
    <x v="0"/>
    <x v="2634"/>
    <x v="497"/>
    <x v="1532"/>
    <x v="244"/>
  </r>
  <r>
    <x v="23"/>
    <x v="103"/>
    <x v="3392"/>
    <x v="0"/>
    <x v="0"/>
    <x v="2635"/>
    <x v="598"/>
    <x v="1533"/>
    <x v="244"/>
  </r>
  <r>
    <x v="23"/>
    <x v="104"/>
    <x v="3393"/>
    <x v="0"/>
    <x v="0"/>
    <x v="2636"/>
    <x v="724"/>
    <x v="1534"/>
    <x v="244"/>
  </r>
  <r>
    <x v="23"/>
    <x v="105"/>
    <x v="3394"/>
    <x v="0"/>
    <x v="1"/>
    <x v="2637"/>
    <x v="748"/>
    <x v="1535"/>
    <x v="244"/>
  </r>
  <r>
    <x v="23"/>
    <x v="106"/>
    <x v="3395"/>
    <x v="0"/>
    <x v="0"/>
    <x v="2638"/>
    <x v="749"/>
    <x v="1536"/>
    <x v="244"/>
  </r>
  <r>
    <x v="23"/>
    <x v="107"/>
    <x v="3396"/>
    <x v="0"/>
    <x v="0"/>
    <x v="2639"/>
    <x v="410"/>
    <x v="1537"/>
    <x v="244"/>
  </r>
  <r>
    <x v="23"/>
    <x v="108"/>
    <x v="3397"/>
    <x v="0"/>
    <x v="0"/>
    <x v="2640"/>
    <x v="750"/>
    <x v="1538"/>
    <x v="244"/>
  </r>
  <r>
    <x v="23"/>
    <x v="109"/>
    <x v="3398"/>
    <x v="0"/>
    <x v="0"/>
    <x v="2641"/>
    <x v="751"/>
    <x v="1539"/>
    <x v="244"/>
  </r>
  <r>
    <x v="23"/>
    <x v="110"/>
    <x v="3399"/>
    <x v="0"/>
    <x v="0"/>
    <x v="2502"/>
    <x v="751"/>
    <x v="1540"/>
    <x v="244"/>
  </r>
  <r>
    <x v="23"/>
    <x v="111"/>
    <x v="3400"/>
    <x v="0"/>
    <x v="0"/>
    <x v="2642"/>
    <x v="752"/>
    <x v="1541"/>
    <x v="244"/>
  </r>
  <r>
    <x v="23"/>
    <x v="112"/>
    <x v="3401"/>
    <x v="0"/>
    <x v="0"/>
    <x v="1914"/>
    <x v="753"/>
    <x v="1542"/>
    <x v="244"/>
  </r>
  <r>
    <x v="23"/>
    <x v="113"/>
    <x v="3402"/>
    <x v="0"/>
    <x v="0"/>
    <x v="2643"/>
    <x v="754"/>
    <x v="1543"/>
    <x v="245"/>
  </r>
  <r>
    <x v="23"/>
    <x v="114"/>
    <x v="3403"/>
    <x v="0"/>
    <x v="0"/>
    <x v="2644"/>
    <x v="755"/>
    <x v="1544"/>
    <x v="245"/>
  </r>
  <r>
    <x v="23"/>
    <x v="115"/>
    <x v="3404"/>
    <x v="0"/>
    <x v="0"/>
    <x v="1201"/>
    <x v="756"/>
    <x v="1545"/>
    <x v="245"/>
  </r>
  <r>
    <x v="23"/>
    <x v="116"/>
    <x v="3405"/>
    <x v="0"/>
    <x v="0"/>
    <x v="371"/>
    <x v="757"/>
    <x v="1546"/>
    <x v="245"/>
  </r>
  <r>
    <x v="23"/>
    <x v="117"/>
    <x v="3406"/>
    <x v="0"/>
    <x v="0"/>
    <x v="2645"/>
    <x v="466"/>
    <x v="1547"/>
    <x v="245"/>
  </r>
  <r>
    <x v="23"/>
    <x v="118"/>
    <x v="3407"/>
    <x v="0"/>
    <x v="0"/>
    <x v="2646"/>
    <x v="464"/>
    <x v="1548"/>
    <x v="245"/>
  </r>
  <r>
    <x v="23"/>
    <x v="119"/>
    <x v="3408"/>
    <x v="0"/>
    <x v="0"/>
    <x v="2647"/>
    <x v="758"/>
    <x v="1549"/>
    <x v="245"/>
  </r>
  <r>
    <x v="23"/>
    <x v="120"/>
    <x v="3409"/>
    <x v="0"/>
    <x v="0"/>
    <x v="497"/>
    <x v="759"/>
    <x v="1550"/>
    <x v="245"/>
  </r>
  <r>
    <x v="23"/>
    <x v="121"/>
    <x v="3410"/>
    <x v="0"/>
    <x v="0"/>
    <x v="2648"/>
    <x v="735"/>
    <x v="1551"/>
    <x v="245"/>
  </r>
  <r>
    <x v="23"/>
    <x v="122"/>
    <x v="3411"/>
    <x v="0"/>
    <x v="0"/>
    <x v="2649"/>
    <x v="760"/>
    <x v="1552"/>
    <x v="245"/>
  </r>
  <r>
    <x v="23"/>
    <x v="123"/>
    <x v="3412"/>
    <x v="0"/>
    <x v="0"/>
    <x v="1553"/>
    <x v="67"/>
    <x v="1553"/>
    <x v="245"/>
  </r>
  <r>
    <x v="23"/>
    <x v="124"/>
    <x v="3413"/>
    <x v="0"/>
    <x v="0"/>
    <x v="2650"/>
    <x v="439"/>
    <x v="1554"/>
    <x v="245"/>
  </r>
  <r>
    <x v="23"/>
    <x v="125"/>
    <x v="3414"/>
    <x v="0"/>
    <x v="0"/>
    <x v="649"/>
    <x v="224"/>
    <x v="1555"/>
    <x v="245"/>
  </r>
  <r>
    <x v="23"/>
    <x v="126"/>
    <x v="3415"/>
    <x v="0"/>
    <x v="0"/>
    <x v="295"/>
    <x v="243"/>
    <x v="1556"/>
    <x v="246"/>
  </r>
  <r>
    <x v="23"/>
    <x v="127"/>
    <x v="3416"/>
    <x v="0"/>
    <x v="0"/>
    <x v="2651"/>
    <x v="604"/>
    <x v="1557"/>
    <x v="246"/>
  </r>
  <r>
    <x v="23"/>
    <x v="128"/>
    <x v="3417"/>
    <x v="0"/>
    <x v="0"/>
    <x v="211"/>
    <x v="565"/>
    <x v="1558"/>
    <x v="246"/>
  </r>
  <r>
    <x v="23"/>
    <x v="129"/>
    <x v="3418"/>
    <x v="0"/>
    <x v="0"/>
    <x v="2652"/>
    <x v="227"/>
    <x v="1559"/>
    <x v="246"/>
  </r>
  <r>
    <x v="23"/>
    <x v="130"/>
    <x v="3419"/>
    <x v="0"/>
    <x v="0"/>
    <x v="2653"/>
    <x v="761"/>
    <x v="1560"/>
    <x v="246"/>
  </r>
  <r>
    <x v="23"/>
    <x v="131"/>
    <x v="3420"/>
    <x v="0"/>
    <x v="0"/>
    <x v="2654"/>
    <x v="762"/>
    <x v="1561"/>
    <x v="246"/>
  </r>
  <r>
    <x v="23"/>
    <x v="132"/>
    <x v="3421"/>
    <x v="0"/>
    <x v="0"/>
    <x v="2655"/>
    <x v="442"/>
    <x v="1562"/>
    <x v="246"/>
  </r>
  <r>
    <x v="23"/>
    <x v="133"/>
    <x v="3422"/>
    <x v="0"/>
    <x v="0"/>
    <x v="2656"/>
    <x v="688"/>
    <x v="1563"/>
    <x v="246"/>
  </r>
  <r>
    <x v="23"/>
    <x v="134"/>
    <x v="3423"/>
    <x v="0"/>
    <x v="0"/>
    <x v="2657"/>
    <x v="763"/>
    <x v="1564"/>
    <x v="246"/>
  </r>
  <r>
    <x v="23"/>
    <x v="135"/>
    <x v="3424"/>
    <x v="0"/>
    <x v="1"/>
    <x v="2658"/>
    <x v="764"/>
    <x v="1565"/>
    <x v="246"/>
  </r>
  <r>
    <x v="23"/>
    <x v="136"/>
    <x v="3425"/>
    <x v="0"/>
    <x v="0"/>
    <x v="1462"/>
    <x v="449"/>
    <x v="1566"/>
    <x v="246"/>
  </r>
  <r>
    <x v="23"/>
    <x v="137"/>
    <x v="3426"/>
    <x v="0"/>
    <x v="0"/>
    <x v="2659"/>
    <x v="765"/>
    <x v="1567"/>
    <x v="246"/>
  </r>
  <r>
    <x v="23"/>
    <x v="138"/>
    <x v="3427"/>
    <x v="0"/>
    <x v="0"/>
    <x v="2660"/>
    <x v="766"/>
    <x v="1568"/>
    <x v="246"/>
  </r>
  <r>
    <x v="23"/>
    <x v="139"/>
    <x v="3428"/>
    <x v="0"/>
    <x v="0"/>
    <x v="598"/>
    <x v="411"/>
    <x v="1569"/>
    <x v="247"/>
  </r>
  <r>
    <x v="23"/>
    <x v="140"/>
    <x v="3429"/>
    <x v="0"/>
    <x v="0"/>
    <x v="2661"/>
    <x v="451"/>
    <x v="1570"/>
    <x v="247"/>
  </r>
  <r>
    <x v="23"/>
    <x v="141"/>
    <x v="3430"/>
    <x v="0"/>
    <x v="0"/>
    <x v="2662"/>
    <x v="767"/>
    <x v="1571"/>
    <x v="247"/>
  </r>
  <r>
    <x v="23"/>
    <x v="142"/>
    <x v="3431"/>
    <x v="0"/>
    <x v="0"/>
    <x v="2663"/>
    <x v="768"/>
    <x v="1572"/>
    <x v="247"/>
  </r>
  <r>
    <x v="24"/>
    <x v="0"/>
    <x v="3432"/>
    <x v="1"/>
    <x v="0"/>
    <x v="2664"/>
    <x v="609"/>
    <x v="1573"/>
    <x v="202"/>
  </r>
  <r>
    <x v="24"/>
    <x v="1"/>
    <x v="3433"/>
    <x v="1"/>
    <x v="1"/>
    <x v="2665"/>
    <x v="146"/>
    <x v="1574"/>
    <x v="202"/>
  </r>
  <r>
    <x v="24"/>
    <x v="2"/>
    <x v="3434"/>
    <x v="1"/>
    <x v="0"/>
    <x v="2666"/>
    <x v="270"/>
    <x v="1575"/>
    <x v="202"/>
  </r>
  <r>
    <x v="24"/>
    <x v="3"/>
    <x v="3435"/>
    <x v="1"/>
    <x v="0"/>
    <x v="2455"/>
    <x v="610"/>
    <x v="1576"/>
    <x v="202"/>
  </r>
  <r>
    <x v="24"/>
    <x v="4"/>
    <x v="3436"/>
    <x v="1"/>
    <x v="0"/>
    <x v="2667"/>
    <x v="611"/>
    <x v="1577"/>
    <x v="202"/>
  </r>
  <r>
    <x v="24"/>
    <x v="5"/>
    <x v="3437"/>
    <x v="1"/>
    <x v="0"/>
    <x v="2668"/>
    <x v="612"/>
    <x v="1578"/>
    <x v="202"/>
  </r>
  <r>
    <x v="24"/>
    <x v="6"/>
    <x v="3438"/>
    <x v="1"/>
    <x v="0"/>
    <x v="1823"/>
    <x v="613"/>
    <x v="1579"/>
    <x v="202"/>
  </r>
  <r>
    <x v="24"/>
    <x v="7"/>
    <x v="3439"/>
    <x v="1"/>
    <x v="0"/>
    <x v="2085"/>
    <x v="14"/>
    <x v="1580"/>
    <x v="202"/>
  </r>
  <r>
    <x v="24"/>
    <x v="8"/>
    <x v="3440"/>
    <x v="1"/>
    <x v="0"/>
    <x v="2298"/>
    <x v="537"/>
    <x v="1581"/>
    <x v="203"/>
  </r>
  <r>
    <x v="24"/>
    <x v="9"/>
    <x v="3441"/>
    <x v="1"/>
    <x v="0"/>
    <x v="2669"/>
    <x v="44"/>
    <x v="1582"/>
    <x v="203"/>
  </r>
  <r>
    <x v="24"/>
    <x v="10"/>
    <x v="3442"/>
    <x v="1"/>
    <x v="0"/>
    <x v="2670"/>
    <x v="614"/>
    <x v="1583"/>
    <x v="203"/>
  </r>
  <r>
    <x v="24"/>
    <x v="11"/>
    <x v="3443"/>
    <x v="1"/>
    <x v="0"/>
    <x v="2671"/>
    <x v="615"/>
    <x v="1584"/>
    <x v="203"/>
  </r>
  <r>
    <x v="24"/>
    <x v="12"/>
    <x v="3444"/>
    <x v="1"/>
    <x v="0"/>
    <x v="2106"/>
    <x v="616"/>
    <x v="1585"/>
    <x v="203"/>
  </r>
  <r>
    <x v="24"/>
    <x v="13"/>
    <x v="3445"/>
    <x v="1"/>
    <x v="0"/>
    <x v="2672"/>
    <x v="617"/>
    <x v="1586"/>
    <x v="203"/>
  </r>
  <r>
    <x v="24"/>
    <x v="14"/>
    <x v="3446"/>
    <x v="1"/>
    <x v="0"/>
    <x v="2673"/>
    <x v="618"/>
    <x v="1587"/>
    <x v="203"/>
  </r>
  <r>
    <x v="24"/>
    <x v="15"/>
    <x v="3447"/>
    <x v="1"/>
    <x v="0"/>
    <x v="2674"/>
    <x v="619"/>
    <x v="1588"/>
    <x v="203"/>
  </r>
  <r>
    <x v="24"/>
    <x v="16"/>
    <x v="3448"/>
    <x v="1"/>
    <x v="0"/>
    <x v="87"/>
    <x v="614"/>
    <x v="1589"/>
    <x v="203"/>
  </r>
  <r>
    <x v="24"/>
    <x v="17"/>
    <x v="3449"/>
    <x v="1"/>
    <x v="0"/>
    <x v="2675"/>
    <x v="620"/>
    <x v="1590"/>
    <x v="203"/>
  </r>
  <r>
    <x v="24"/>
    <x v="18"/>
    <x v="3450"/>
    <x v="1"/>
    <x v="0"/>
    <x v="252"/>
    <x v="621"/>
    <x v="1591"/>
    <x v="203"/>
  </r>
  <r>
    <x v="24"/>
    <x v="19"/>
    <x v="3451"/>
    <x v="1"/>
    <x v="0"/>
    <x v="2676"/>
    <x v="12"/>
    <x v="1592"/>
    <x v="203"/>
  </r>
  <r>
    <x v="24"/>
    <x v="20"/>
    <x v="3452"/>
    <x v="1"/>
    <x v="0"/>
    <x v="1717"/>
    <x v="10"/>
    <x v="1593"/>
    <x v="203"/>
  </r>
  <r>
    <x v="24"/>
    <x v="21"/>
    <x v="3453"/>
    <x v="1"/>
    <x v="0"/>
    <x v="1159"/>
    <x v="622"/>
    <x v="1594"/>
    <x v="204"/>
  </r>
  <r>
    <x v="24"/>
    <x v="22"/>
    <x v="3454"/>
    <x v="1"/>
    <x v="0"/>
    <x v="2677"/>
    <x v="269"/>
    <x v="1595"/>
    <x v="204"/>
  </r>
  <r>
    <x v="24"/>
    <x v="23"/>
    <x v="3455"/>
    <x v="1"/>
    <x v="0"/>
    <x v="2678"/>
    <x v="623"/>
    <x v="1596"/>
    <x v="204"/>
  </r>
  <r>
    <x v="24"/>
    <x v="24"/>
    <x v="3456"/>
    <x v="1"/>
    <x v="0"/>
    <x v="2679"/>
    <x v="40"/>
    <x v="1597"/>
    <x v="204"/>
  </r>
  <r>
    <x v="24"/>
    <x v="25"/>
    <x v="3457"/>
    <x v="1"/>
    <x v="0"/>
    <x v="2581"/>
    <x v="278"/>
    <x v="1598"/>
    <x v="204"/>
  </r>
  <r>
    <x v="24"/>
    <x v="26"/>
    <x v="3458"/>
    <x v="1"/>
    <x v="0"/>
    <x v="2648"/>
    <x v="609"/>
    <x v="1599"/>
    <x v="204"/>
  </r>
  <r>
    <x v="24"/>
    <x v="27"/>
    <x v="3459"/>
    <x v="1"/>
    <x v="0"/>
    <x v="2680"/>
    <x v="148"/>
    <x v="1600"/>
    <x v="204"/>
  </r>
  <r>
    <x v="24"/>
    <x v="28"/>
    <x v="3460"/>
    <x v="1"/>
    <x v="0"/>
    <x v="1427"/>
    <x v="624"/>
    <x v="1601"/>
    <x v="204"/>
  </r>
  <r>
    <x v="24"/>
    <x v="29"/>
    <x v="3461"/>
    <x v="1"/>
    <x v="0"/>
    <x v="2681"/>
    <x v="625"/>
    <x v="1602"/>
    <x v="204"/>
  </r>
  <r>
    <x v="24"/>
    <x v="30"/>
    <x v="3462"/>
    <x v="1"/>
    <x v="0"/>
    <x v="672"/>
    <x v="262"/>
    <x v="1603"/>
    <x v="204"/>
  </r>
  <r>
    <x v="24"/>
    <x v="31"/>
    <x v="3463"/>
    <x v="1"/>
    <x v="1"/>
    <x v="2682"/>
    <x v="167"/>
    <x v="1604"/>
    <x v="204"/>
  </r>
  <r>
    <x v="24"/>
    <x v="32"/>
    <x v="3464"/>
    <x v="1"/>
    <x v="0"/>
    <x v="820"/>
    <x v="626"/>
    <x v="1605"/>
    <x v="204"/>
  </r>
  <r>
    <x v="24"/>
    <x v="33"/>
    <x v="3465"/>
    <x v="1"/>
    <x v="0"/>
    <x v="2683"/>
    <x v="627"/>
    <x v="1606"/>
    <x v="204"/>
  </r>
  <r>
    <x v="24"/>
    <x v="34"/>
    <x v="3466"/>
    <x v="1"/>
    <x v="0"/>
    <x v="148"/>
    <x v="628"/>
    <x v="1607"/>
    <x v="205"/>
  </r>
  <r>
    <x v="24"/>
    <x v="35"/>
    <x v="3467"/>
    <x v="1"/>
    <x v="0"/>
    <x v="711"/>
    <x v="629"/>
    <x v="1608"/>
    <x v="205"/>
  </r>
  <r>
    <x v="24"/>
    <x v="36"/>
    <x v="3468"/>
    <x v="1"/>
    <x v="0"/>
    <x v="2684"/>
    <x v="538"/>
    <x v="1609"/>
    <x v="205"/>
  </r>
  <r>
    <x v="24"/>
    <x v="37"/>
    <x v="3469"/>
    <x v="1"/>
    <x v="0"/>
    <x v="2685"/>
    <x v="630"/>
    <x v="1610"/>
    <x v="205"/>
  </r>
  <r>
    <x v="24"/>
    <x v="38"/>
    <x v="3470"/>
    <x v="1"/>
    <x v="0"/>
    <x v="2686"/>
    <x v="616"/>
    <x v="1611"/>
    <x v="205"/>
  </r>
  <r>
    <x v="24"/>
    <x v="39"/>
    <x v="3471"/>
    <x v="1"/>
    <x v="0"/>
    <x v="2687"/>
    <x v="630"/>
    <x v="1612"/>
    <x v="205"/>
  </r>
  <r>
    <x v="24"/>
    <x v="40"/>
    <x v="3472"/>
    <x v="1"/>
    <x v="0"/>
    <x v="2688"/>
    <x v="631"/>
    <x v="1613"/>
    <x v="205"/>
  </r>
  <r>
    <x v="24"/>
    <x v="41"/>
    <x v="3473"/>
    <x v="1"/>
    <x v="0"/>
    <x v="2331"/>
    <x v="632"/>
    <x v="1614"/>
    <x v="205"/>
  </r>
  <r>
    <x v="24"/>
    <x v="42"/>
    <x v="3474"/>
    <x v="0"/>
    <x v="1"/>
    <x v="1189"/>
    <x v="633"/>
    <x v="1615"/>
    <x v="205"/>
  </r>
  <r>
    <x v="24"/>
    <x v="43"/>
    <x v="3475"/>
    <x v="1"/>
    <x v="0"/>
    <x v="2178"/>
    <x v="634"/>
    <x v="1616"/>
    <x v="205"/>
  </r>
  <r>
    <x v="24"/>
    <x v="44"/>
    <x v="3476"/>
    <x v="1"/>
    <x v="0"/>
    <x v="2689"/>
    <x v="366"/>
    <x v="1617"/>
    <x v="205"/>
  </r>
  <r>
    <x v="24"/>
    <x v="45"/>
    <x v="3477"/>
    <x v="0"/>
    <x v="0"/>
    <x v="2690"/>
    <x v="635"/>
    <x v="1618"/>
    <x v="205"/>
  </r>
  <r>
    <x v="24"/>
    <x v="46"/>
    <x v="3478"/>
    <x v="0"/>
    <x v="0"/>
    <x v="2691"/>
    <x v="636"/>
    <x v="1619"/>
    <x v="205"/>
  </r>
  <r>
    <x v="24"/>
    <x v="47"/>
    <x v="3479"/>
    <x v="1"/>
    <x v="1"/>
    <x v="2692"/>
    <x v="637"/>
    <x v="1620"/>
    <x v="205"/>
  </r>
  <r>
    <x v="24"/>
    <x v="48"/>
    <x v="3480"/>
    <x v="1"/>
    <x v="0"/>
    <x v="2693"/>
    <x v="638"/>
    <x v="1621"/>
    <x v="25"/>
  </r>
  <r>
    <x v="24"/>
    <x v="49"/>
    <x v="3481"/>
    <x v="1"/>
    <x v="0"/>
    <x v="2694"/>
    <x v="639"/>
    <x v="1622"/>
    <x v="25"/>
  </r>
  <r>
    <x v="24"/>
    <x v="50"/>
    <x v="3482"/>
    <x v="1"/>
    <x v="0"/>
    <x v="2243"/>
    <x v="640"/>
    <x v="1623"/>
    <x v="25"/>
  </r>
  <r>
    <x v="24"/>
    <x v="51"/>
    <x v="3483"/>
    <x v="1"/>
    <x v="0"/>
    <x v="2695"/>
    <x v="641"/>
    <x v="1624"/>
    <x v="25"/>
  </r>
  <r>
    <x v="24"/>
    <x v="52"/>
    <x v="3484"/>
    <x v="1"/>
    <x v="0"/>
    <x v="2696"/>
    <x v="399"/>
    <x v="1625"/>
    <x v="25"/>
  </r>
  <r>
    <x v="24"/>
    <x v="53"/>
    <x v="3485"/>
    <x v="1"/>
    <x v="1"/>
    <x v="2697"/>
    <x v="642"/>
    <x v="1626"/>
    <x v="25"/>
  </r>
  <r>
    <x v="24"/>
    <x v="54"/>
    <x v="3486"/>
    <x v="1"/>
    <x v="0"/>
    <x v="2698"/>
    <x v="643"/>
    <x v="1627"/>
    <x v="25"/>
  </r>
  <r>
    <x v="24"/>
    <x v="55"/>
    <x v="3487"/>
    <x v="1"/>
    <x v="0"/>
    <x v="2699"/>
    <x v="86"/>
    <x v="1628"/>
    <x v="25"/>
  </r>
  <r>
    <x v="24"/>
    <x v="56"/>
    <x v="3488"/>
    <x v="1"/>
    <x v="0"/>
    <x v="2047"/>
    <x v="233"/>
    <x v="1629"/>
    <x v="25"/>
  </r>
  <r>
    <x v="24"/>
    <x v="57"/>
    <x v="3489"/>
    <x v="1"/>
    <x v="0"/>
    <x v="2573"/>
    <x v="602"/>
    <x v="1630"/>
    <x v="25"/>
  </r>
  <r>
    <x v="24"/>
    <x v="58"/>
    <x v="3490"/>
    <x v="1"/>
    <x v="0"/>
    <x v="1740"/>
    <x v="644"/>
    <x v="1631"/>
    <x v="25"/>
  </r>
  <r>
    <x v="24"/>
    <x v="59"/>
    <x v="3491"/>
    <x v="1"/>
    <x v="0"/>
    <x v="1"/>
    <x v="645"/>
    <x v="1632"/>
    <x v="25"/>
  </r>
  <r>
    <x v="24"/>
    <x v="60"/>
    <x v="3492"/>
    <x v="1"/>
    <x v="0"/>
    <x v="2700"/>
    <x v="77"/>
    <x v="1633"/>
    <x v="206"/>
  </r>
  <r>
    <x v="24"/>
    <x v="61"/>
    <x v="3493"/>
    <x v="1"/>
    <x v="0"/>
    <x v="2701"/>
    <x v="646"/>
    <x v="1634"/>
    <x v="206"/>
  </r>
  <r>
    <x v="24"/>
    <x v="62"/>
    <x v="3494"/>
    <x v="1"/>
    <x v="0"/>
    <x v="2702"/>
    <x v="605"/>
    <x v="1635"/>
    <x v="206"/>
  </r>
  <r>
    <x v="24"/>
    <x v="63"/>
    <x v="3495"/>
    <x v="1"/>
    <x v="0"/>
    <x v="2703"/>
    <x v="405"/>
    <x v="1636"/>
    <x v="206"/>
  </r>
  <r>
    <x v="24"/>
    <x v="64"/>
    <x v="3496"/>
    <x v="1"/>
    <x v="0"/>
    <x v="2003"/>
    <x v="647"/>
    <x v="1637"/>
    <x v="206"/>
  </r>
  <r>
    <x v="24"/>
    <x v="65"/>
    <x v="3497"/>
    <x v="1"/>
    <x v="0"/>
    <x v="2704"/>
    <x v="648"/>
    <x v="1638"/>
    <x v="206"/>
  </r>
  <r>
    <x v="24"/>
    <x v="66"/>
    <x v="3498"/>
    <x v="1"/>
    <x v="0"/>
    <x v="2705"/>
    <x v="649"/>
    <x v="1639"/>
    <x v="206"/>
  </r>
  <r>
    <x v="24"/>
    <x v="67"/>
    <x v="3499"/>
    <x v="1"/>
    <x v="0"/>
    <x v="2706"/>
    <x v="650"/>
    <x v="1640"/>
    <x v="206"/>
  </r>
  <r>
    <x v="24"/>
    <x v="68"/>
    <x v="3500"/>
    <x v="1"/>
    <x v="0"/>
    <x v="36"/>
    <x v="651"/>
    <x v="1641"/>
    <x v="206"/>
  </r>
  <r>
    <x v="24"/>
    <x v="69"/>
    <x v="3501"/>
    <x v="1"/>
    <x v="0"/>
    <x v="702"/>
    <x v="652"/>
    <x v="1642"/>
    <x v="206"/>
  </r>
  <r>
    <x v="24"/>
    <x v="70"/>
    <x v="3502"/>
    <x v="1"/>
    <x v="0"/>
    <x v="2707"/>
    <x v="190"/>
    <x v="1643"/>
    <x v="206"/>
  </r>
  <r>
    <x v="24"/>
    <x v="71"/>
    <x v="3503"/>
    <x v="1"/>
    <x v="0"/>
    <x v="2708"/>
    <x v="419"/>
    <x v="1644"/>
    <x v="206"/>
  </r>
  <r>
    <x v="24"/>
    <x v="72"/>
    <x v="3504"/>
    <x v="1"/>
    <x v="0"/>
    <x v="601"/>
    <x v="341"/>
    <x v="1645"/>
    <x v="206"/>
  </r>
  <r>
    <x v="24"/>
    <x v="73"/>
    <x v="3505"/>
    <x v="1"/>
    <x v="0"/>
    <x v="1147"/>
    <x v="653"/>
    <x v="1646"/>
    <x v="207"/>
  </r>
  <r>
    <x v="24"/>
    <x v="74"/>
    <x v="3506"/>
    <x v="1"/>
    <x v="0"/>
    <x v="318"/>
    <x v="654"/>
    <x v="1647"/>
    <x v="207"/>
  </r>
  <r>
    <x v="24"/>
    <x v="75"/>
    <x v="3507"/>
    <x v="1"/>
    <x v="0"/>
    <x v="2097"/>
    <x v="355"/>
    <x v="1648"/>
    <x v="207"/>
  </r>
  <r>
    <x v="24"/>
    <x v="76"/>
    <x v="3508"/>
    <x v="1"/>
    <x v="0"/>
    <x v="2709"/>
    <x v="462"/>
    <x v="1649"/>
    <x v="207"/>
  </r>
  <r>
    <x v="24"/>
    <x v="77"/>
    <x v="3509"/>
    <x v="1"/>
    <x v="0"/>
    <x v="2710"/>
    <x v="655"/>
    <x v="1650"/>
    <x v="207"/>
  </r>
  <r>
    <x v="24"/>
    <x v="78"/>
    <x v="3510"/>
    <x v="1"/>
    <x v="0"/>
    <x v="2711"/>
    <x v="419"/>
    <x v="1651"/>
    <x v="207"/>
  </r>
  <r>
    <x v="24"/>
    <x v="79"/>
    <x v="3511"/>
    <x v="1"/>
    <x v="0"/>
    <x v="1425"/>
    <x v="656"/>
    <x v="1652"/>
    <x v="207"/>
  </r>
  <r>
    <x v="24"/>
    <x v="80"/>
    <x v="3512"/>
    <x v="1"/>
    <x v="0"/>
    <x v="2712"/>
    <x v="229"/>
    <x v="1653"/>
    <x v="207"/>
  </r>
  <r>
    <x v="24"/>
    <x v="81"/>
    <x v="3513"/>
    <x v="1"/>
    <x v="0"/>
    <x v="2713"/>
    <x v="566"/>
    <x v="1654"/>
    <x v="207"/>
  </r>
  <r>
    <x v="24"/>
    <x v="82"/>
    <x v="3514"/>
    <x v="1"/>
    <x v="0"/>
    <x v="258"/>
    <x v="657"/>
    <x v="1655"/>
    <x v="207"/>
  </r>
  <r>
    <x v="24"/>
    <x v="83"/>
    <x v="3515"/>
    <x v="1"/>
    <x v="1"/>
    <x v="1860"/>
    <x v="658"/>
    <x v="1656"/>
    <x v="207"/>
  </r>
  <r>
    <x v="24"/>
    <x v="84"/>
    <x v="3516"/>
    <x v="1"/>
    <x v="0"/>
    <x v="2714"/>
    <x v="659"/>
    <x v="1657"/>
    <x v="207"/>
  </r>
  <r>
    <x v="24"/>
    <x v="85"/>
    <x v="3517"/>
    <x v="1"/>
    <x v="0"/>
    <x v="2715"/>
    <x v="654"/>
    <x v="1658"/>
    <x v="207"/>
  </r>
  <r>
    <x v="24"/>
    <x v="86"/>
    <x v="3518"/>
    <x v="1"/>
    <x v="0"/>
    <x v="2716"/>
    <x v="660"/>
    <x v="1659"/>
    <x v="207"/>
  </r>
  <r>
    <x v="24"/>
    <x v="87"/>
    <x v="3519"/>
    <x v="1"/>
    <x v="0"/>
    <x v="759"/>
    <x v="661"/>
    <x v="1660"/>
    <x v="208"/>
  </r>
  <r>
    <x v="24"/>
    <x v="88"/>
    <x v="3520"/>
    <x v="1"/>
    <x v="0"/>
    <x v="2717"/>
    <x v="222"/>
    <x v="1661"/>
    <x v="208"/>
  </r>
  <r>
    <x v="24"/>
    <x v="89"/>
    <x v="3521"/>
    <x v="1"/>
    <x v="0"/>
    <x v="2718"/>
    <x v="195"/>
    <x v="1662"/>
    <x v="208"/>
  </r>
  <r>
    <x v="24"/>
    <x v="90"/>
    <x v="3522"/>
    <x v="1"/>
    <x v="0"/>
    <x v="2449"/>
    <x v="662"/>
    <x v="1663"/>
    <x v="208"/>
  </r>
  <r>
    <x v="24"/>
    <x v="91"/>
    <x v="3523"/>
    <x v="1"/>
    <x v="0"/>
    <x v="2719"/>
    <x v="231"/>
    <x v="1664"/>
    <x v="208"/>
  </r>
  <r>
    <x v="24"/>
    <x v="92"/>
    <x v="3524"/>
    <x v="1"/>
    <x v="0"/>
    <x v="2720"/>
    <x v="487"/>
    <x v="1665"/>
    <x v="208"/>
  </r>
  <r>
    <x v="24"/>
    <x v="93"/>
    <x v="3525"/>
    <x v="1"/>
    <x v="0"/>
    <x v="2721"/>
    <x v="487"/>
    <x v="1666"/>
    <x v="208"/>
  </r>
  <r>
    <x v="24"/>
    <x v="94"/>
    <x v="3526"/>
    <x v="0"/>
    <x v="1"/>
    <x v="420"/>
    <x v="663"/>
    <x v="1667"/>
    <x v="208"/>
  </r>
  <r>
    <x v="24"/>
    <x v="95"/>
    <x v="3527"/>
    <x v="1"/>
    <x v="0"/>
    <x v="963"/>
    <x v="118"/>
    <x v="1668"/>
    <x v="208"/>
  </r>
  <r>
    <x v="24"/>
    <x v="96"/>
    <x v="3528"/>
    <x v="1"/>
    <x v="0"/>
    <x v="2722"/>
    <x v="664"/>
    <x v="1669"/>
    <x v="208"/>
  </r>
  <r>
    <x v="24"/>
    <x v="97"/>
    <x v="3529"/>
    <x v="1"/>
    <x v="0"/>
    <x v="2723"/>
    <x v="665"/>
    <x v="1670"/>
    <x v="208"/>
  </r>
  <r>
    <x v="24"/>
    <x v="98"/>
    <x v="3530"/>
    <x v="0"/>
    <x v="0"/>
    <x v="2724"/>
    <x v="580"/>
    <x v="1671"/>
    <x v="208"/>
  </r>
  <r>
    <x v="24"/>
    <x v="99"/>
    <x v="3531"/>
    <x v="1"/>
    <x v="1"/>
    <x v="1950"/>
    <x v="580"/>
    <x v="1672"/>
    <x v="208"/>
  </r>
  <r>
    <x v="24"/>
    <x v="100"/>
    <x v="3532"/>
    <x v="1"/>
    <x v="0"/>
    <x v="2429"/>
    <x v="666"/>
    <x v="1673"/>
    <x v="209"/>
  </r>
  <r>
    <x v="24"/>
    <x v="101"/>
    <x v="3533"/>
    <x v="1"/>
    <x v="0"/>
    <x v="2725"/>
    <x v="578"/>
    <x v="1674"/>
    <x v="209"/>
  </r>
  <r>
    <x v="24"/>
    <x v="102"/>
    <x v="3534"/>
    <x v="1"/>
    <x v="0"/>
    <x v="2726"/>
    <x v="80"/>
    <x v="1675"/>
    <x v="209"/>
  </r>
  <r>
    <x v="24"/>
    <x v="103"/>
    <x v="3535"/>
    <x v="1"/>
    <x v="0"/>
    <x v="2727"/>
    <x v="576"/>
    <x v="1676"/>
    <x v="209"/>
  </r>
  <r>
    <x v="24"/>
    <x v="104"/>
    <x v="3536"/>
    <x v="1"/>
    <x v="0"/>
    <x v="2728"/>
    <x v="134"/>
    <x v="1677"/>
    <x v="209"/>
  </r>
  <r>
    <x v="24"/>
    <x v="105"/>
    <x v="3537"/>
    <x v="1"/>
    <x v="1"/>
    <x v="2729"/>
    <x v="193"/>
    <x v="1678"/>
    <x v="209"/>
  </r>
  <r>
    <x v="24"/>
    <x v="106"/>
    <x v="3538"/>
    <x v="1"/>
    <x v="0"/>
    <x v="2730"/>
    <x v="667"/>
    <x v="1679"/>
    <x v="209"/>
  </r>
  <r>
    <x v="24"/>
    <x v="107"/>
    <x v="3539"/>
    <x v="1"/>
    <x v="0"/>
    <x v="2731"/>
    <x v="668"/>
    <x v="1680"/>
    <x v="209"/>
  </r>
  <r>
    <x v="24"/>
    <x v="108"/>
    <x v="3540"/>
    <x v="1"/>
    <x v="0"/>
    <x v="2732"/>
    <x v="669"/>
    <x v="1681"/>
    <x v="209"/>
  </r>
  <r>
    <x v="24"/>
    <x v="109"/>
    <x v="3541"/>
    <x v="1"/>
    <x v="0"/>
    <x v="2733"/>
    <x v="670"/>
    <x v="1682"/>
    <x v="209"/>
  </r>
  <r>
    <x v="24"/>
    <x v="110"/>
    <x v="3542"/>
    <x v="1"/>
    <x v="0"/>
    <x v="923"/>
    <x v="671"/>
    <x v="1683"/>
    <x v="209"/>
  </r>
  <r>
    <x v="24"/>
    <x v="111"/>
    <x v="3543"/>
    <x v="1"/>
    <x v="0"/>
    <x v="2734"/>
    <x v="672"/>
    <x v="1684"/>
    <x v="209"/>
  </r>
  <r>
    <x v="24"/>
    <x v="112"/>
    <x v="3544"/>
    <x v="1"/>
    <x v="0"/>
    <x v="2735"/>
    <x v="673"/>
    <x v="1685"/>
    <x v="209"/>
  </r>
  <r>
    <x v="24"/>
    <x v="113"/>
    <x v="3545"/>
    <x v="1"/>
    <x v="0"/>
    <x v="2736"/>
    <x v="674"/>
    <x v="1686"/>
    <x v="210"/>
  </r>
  <r>
    <x v="24"/>
    <x v="114"/>
    <x v="3546"/>
    <x v="1"/>
    <x v="0"/>
    <x v="2737"/>
    <x v="675"/>
    <x v="1687"/>
    <x v="210"/>
  </r>
  <r>
    <x v="24"/>
    <x v="115"/>
    <x v="3547"/>
    <x v="1"/>
    <x v="0"/>
    <x v="2304"/>
    <x v="676"/>
    <x v="1688"/>
    <x v="210"/>
  </r>
  <r>
    <x v="24"/>
    <x v="116"/>
    <x v="3548"/>
    <x v="1"/>
    <x v="0"/>
    <x v="2738"/>
    <x v="677"/>
    <x v="1689"/>
    <x v="210"/>
  </r>
  <r>
    <x v="24"/>
    <x v="117"/>
    <x v="3549"/>
    <x v="1"/>
    <x v="0"/>
    <x v="109"/>
    <x v="678"/>
    <x v="1690"/>
    <x v="210"/>
  </r>
  <r>
    <x v="24"/>
    <x v="118"/>
    <x v="3550"/>
    <x v="1"/>
    <x v="0"/>
    <x v="2739"/>
    <x v="679"/>
    <x v="1691"/>
    <x v="210"/>
  </r>
  <r>
    <x v="24"/>
    <x v="119"/>
    <x v="3551"/>
    <x v="1"/>
    <x v="0"/>
    <x v="1645"/>
    <x v="670"/>
    <x v="1692"/>
    <x v="210"/>
  </r>
  <r>
    <x v="24"/>
    <x v="120"/>
    <x v="3552"/>
    <x v="1"/>
    <x v="0"/>
    <x v="522"/>
    <x v="424"/>
    <x v="1693"/>
    <x v="210"/>
  </r>
  <r>
    <x v="24"/>
    <x v="121"/>
    <x v="3553"/>
    <x v="1"/>
    <x v="0"/>
    <x v="2740"/>
    <x v="659"/>
    <x v="1694"/>
    <x v="210"/>
  </r>
  <r>
    <x v="24"/>
    <x v="122"/>
    <x v="3554"/>
    <x v="1"/>
    <x v="0"/>
    <x v="2055"/>
    <x v="604"/>
    <x v="1695"/>
    <x v="210"/>
  </r>
  <r>
    <x v="24"/>
    <x v="123"/>
    <x v="3555"/>
    <x v="1"/>
    <x v="0"/>
    <x v="2563"/>
    <x v="129"/>
    <x v="1696"/>
    <x v="210"/>
  </r>
  <r>
    <x v="24"/>
    <x v="124"/>
    <x v="3556"/>
    <x v="1"/>
    <x v="0"/>
    <x v="2262"/>
    <x v="680"/>
    <x v="1697"/>
    <x v="210"/>
  </r>
  <r>
    <x v="24"/>
    <x v="125"/>
    <x v="3557"/>
    <x v="1"/>
    <x v="0"/>
    <x v="2741"/>
    <x v="136"/>
    <x v="1698"/>
    <x v="210"/>
  </r>
  <r>
    <x v="24"/>
    <x v="126"/>
    <x v="3558"/>
    <x v="1"/>
    <x v="0"/>
    <x v="2742"/>
    <x v="681"/>
    <x v="1699"/>
    <x v="211"/>
  </r>
  <r>
    <x v="24"/>
    <x v="127"/>
    <x v="3559"/>
    <x v="1"/>
    <x v="0"/>
    <x v="260"/>
    <x v="79"/>
    <x v="1700"/>
    <x v="211"/>
  </r>
  <r>
    <x v="24"/>
    <x v="128"/>
    <x v="3560"/>
    <x v="1"/>
    <x v="0"/>
    <x v="2743"/>
    <x v="576"/>
    <x v="1701"/>
    <x v="211"/>
  </r>
  <r>
    <x v="24"/>
    <x v="129"/>
    <x v="3561"/>
    <x v="1"/>
    <x v="0"/>
    <x v="1655"/>
    <x v="682"/>
    <x v="1702"/>
    <x v="211"/>
  </r>
  <r>
    <x v="24"/>
    <x v="130"/>
    <x v="3562"/>
    <x v="1"/>
    <x v="0"/>
    <x v="2744"/>
    <x v="683"/>
    <x v="1703"/>
    <x v="211"/>
  </r>
  <r>
    <x v="24"/>
    <x v="131"/>
    <x v="3563"/>
    <x v="1"/>
    <x v="0"/>
    <x v="1684"/>
    <x v="439"/>
    <x v="1704"/>
    <x v="211"/>
  </r>
  <r>
    <x v="24"/>
    <x v="132"/>
    <x v="3564"/>
    <x v="1"/>
    <x v="0"/>
    <x v="316"/>
    <x v="62"/>
    <x v="1705"/>
    <x v="211"/>
  </r>
  <r>
    <x v="24"/>
    <x v="133"/>
    <x v="3565"/>
    <x v="1"/>
    <x v="0"/>
    <x v="231"/>
    <x v="684"/>
    <x v="1706"/>
    <x v="211"/>
  </r>
  <r>
    <x v="24"/>
    <x v="134"/>
    <x v="3566"/>
    <x v="1"/>
    <x v="0"/>
    <x v="139"/>
    <x v="685"/>
    <x v="1707"/>
    <x v="211"/>
  </r>
  <r>
    <x v="24"/>
    <x v="135"/>
    <x v="3567"/>
    <x v="1"/>
    <x v="1"/>
    <x v="1223"/>
    <x v="686"/>
    <x v="1708"/>
    <x v="211"/>
  </r>
  <r>
    <x v="24"/>
    <x v="136"/>
    <x v="3568"/>
    <x v="1"/>
    <x v="0"/>
    <x v="2745"/>
    <x v="687"/>
    <x v="1709"/>
    <x v="211"/>
  </r>
  <r>
    <x v="24"/>
    <x v="137"/>
    <x v="3569"/>
    <x v="1"/>
    <x v="0"/>
    <x v="870"/>
    <x v="511"/>
    <x v="1710"/>
    <x v="211"/>
  </r>
  <r>
    <x v="24"/>
    <x v="138"/>
    <x v="3570"/>
    <x v="1"/>
    <x v="0"/>
    <x v="149"/>
    <x v="688"/>
    <x v="1711"/>
    <x v="211"/>
  </r>
  <r>
    <x v="24"/>
    <x v="139"/>
    <x v="3571"/>
    <x v="1"/>
    <x v="0"/>
    <x v="2475"/>
    <x v="651"/>
    <x v="1712"/>
    <x v="212"/>
  </r>
  <r>
    <x v="24"/>
    <x v="140"/>
    <x v="3572"/>
    <x v="1"/>
    <x v="0"/>
    <x v="2115"/>
    <x v="689"/>
    <x v="1713"/>
    <x v="212"/>
  </r>
  <r>
    <x v="24"/>
    <x v="141"/>
    <x v="3573"/>
    <x v="1"/>
    <x v="0"/>
    <x v="1958"/>
    <x v="690"/>
    <x v="1714"/>
    <x v="212"/>
  </r>
  <r>
    <x v="24"/>
    <x v="142"/>
    <x v="3574"/>
    <x v="1"/>
    <x v="0"/>
    <x v="1895"/>
    <x v="441"/>
    <x v="1715"/>
    <x v="212"/>
  </r>
  <r>
    <x v="25"/>
    <x v="0"/>
    <x v="3575"/>
    <x v="1"/>
    <x v="0"/>
    <x v="2746"/>
    <x v="258"/>
    <x v="1430"/>
    <x v="248"/>
  </r>
  <r>
    <x v="25"/>
    <x v="1"/>
    <x v="3576"/>
    <x v="1"/>
    <x v="1"/>
    <x v="2747"/>
    <x v="40"/>
    <x v="1431"/>
    <x v="248"/>
  </r>
  <r>
    <x v="25"/>
    <x v="2"/>
    <x v="3577"/>
    <x v="1"/>
    <x v="0"/>
    <x v="2748"/>
    <x v="769"/>
    <x v="1432"/>
    <x v="248"/>
  </r>
  <r>
    <x v="25"/>
    <x v="3"/>
    <x v="3578"/>
    <x v="1"/>
    <x v="0"/>
    <x v="2749"/>
    <x v="770"/>
    <x v="1433"/>
    <x v="248"/>
  </r>
  <r>
    <x v="25"/>
    <x v="4"/>
    <x v="3579"/>
    <x v="1"/>
    <x v="0"/>
    <x v="1836"/>
    <x v="257"/>
    <x v="1434"/>
    <x v="248"/>
  </r>
  <r>
    <x v="25"/>
    <x v="5"/>
    <x v="3580"/>
    <x v="1"/>
    <x v="0"/>
    <x v="2750"/>
    <x v="148"/>
    <x v="1435"/>
    <x v="248"/>
  </r>
  <r>
    <x v="25"/>
    <x v="6"/>
    <x v="3581"/>
    <x v="1"/>
    <x v="0"/>
    <x v="2428"/>
    <x v="771"/>
    <x v="1436"/>
    <x v="248"/>
  </r>
  <r>
    <x v="25"/>
    <x v="7"/>
    <x v="3582"/>
    <x v="1"/>
    <x v="0"/>
    <x v="2751"/>
    <x v="544"/>
    <x v="1437"/>
    <x v="248"/>
  </r>
  <r>
    <x v="25"/>
    <x v="8"/>
    <x v="3583"/>
    <x v="1"/>
    <x v="0"/>
    <x v="2752"/>
    <x v="15"/>
    <x v="1438"/>
    <x v="249"/>
  </r>
  <r>
    <x v="25"/>
    <x v="9"/>
    <x v="3584"/>
    <x v="1"/>
    <x v="0"/>
    <x v="239"/>
    <x v="543"/>
    <x v="1439"/>
    <x v="249"/>
  </r>
  <r>
    <x v="25"/>
    <x v="10"/>
    <x v="3585"/>
    <x v="1"/>
    <x v="0"/>
    <x v="2503"/>
    <x v="709"/>
    <x v="1440"/>
    <x v="249"/>
  </r>
  <r>
    <x v="25"/>
    <x v="11"/>
    <x v="3586"/>
    <x v="1"/>
    <x v="0"/>
    <x v="2753"/>
    <x v="772"/>
    <x v="1441"/>
    <x v="249"/>
  </r>
  <r>
    <x v="25"/>
    <x v="12"/>
    <x v="3587"/>
    <x v="1"/>
    <x v="0"/>
    <x v="2754"/>
    <x v="374"/>
    <x v="1442"/>
    <x v="249"/>
  </r>
  <r>
    <x v="25"/>
    <x v="13"/>
    <x v="3588"/>
    <x v="0"/>
    <x v="0"/>
    <x v="2755"/>
    <x v="773"/>
    <x v="1443"/>
    <x v="249"/>
  </r>
  <r>
    <x v="25"/>
    <x v="14"/>
    <x v="3589"/>
    <x v="1"/>
    <x v="0"/>
    <x v="2756"/>
    <x v="48"/>
    <x v="1444"/>
    <x v="249"/>
  </r>
  <r>
    <x v="25"/>
    <x v="15"/>
    <x v="3590"/>
    <x v="1"/>
    <x v="0"/>
    <x v="184"/>
    <x v="382"/>
    <x v="1445"/>
    <x v="249"/>
  </r>
  <r>
    <x v="25"/>
    <x v="16"/>
    <x v="3591"/>
    <x v="0"/>
    <x v="0"/>
    <x v="382"/>
    <x v="774"/>
    <x v="1446"/>
    <x v="249"/>
  </r>
  <r>
    <x v="25"/>
    <x v="17"/>
    <x v="3592"/>
    <x v="1"/>
    <x v="0"/>
    <x v="2757"/>
    <x v="775"/>
    <x v="1447"/>
    <x v="249"/>
  </r>
  <r>
    <x v="25"/>
    <x v="18"/>
    <x v="3593"/>
    <x v="0"/>
    <x v="0"/>
    <x v="2758"/>
    <x v="545"/>
    <x v="1448"/>
    <x v="249"/>
  </r>
  <r>
    <x v="25"/>
    <x v="19"/>
    <x v="3594"/>
    <x v="1"/>
    <x v="0"/>
    <x v="2759"/>
    <x v="148"/>
    <x v="1449"/>
    <x v="249"/>
  </r>
  <r>
    <x v="25"/>
    <x v="20"/>
    <x v="3595"/>
    <x v="1"/>
    <x v="0"/>
    <x v="2760"/>
    <x v="147"/>
    <x v="1450"/>
    <x v="249"/>
  </r>
  <r>
    <x v="25"/>
    <x v="21"/>
    <x v="3596"/>
    <x v="0"/>
    <x v="0"/>
    <x v="2761"/>
    <x v="622"/>
    <x v="1451"/>
    <x v="250"/>
  </r>
  <r>
    <x v="25"/>
    <x v="22"/>
    <x v="3597"/>
    <x v="0"/>
    <x v="0"/>
    <x v="2762"/>
    <x v="776"/>
    <x v="1452"/>
    <x v="250"/>
  </r>
  <r>
    <x v="25"/>
    <x v="23"/>
    <x v="3598"/>
    <x v="1"/>
    <x v="0"/>
    <x v="2763"/>
    <x v="777"/>
    <x v="1453"/>
    <x v="250"/>
  </r>
  <r>
    <x v="25"/>
    <x v="24"/>
    <x v="3599"/>
    <x v="1"/>
    <x v="0"/>
    <x v="2764"/>
    <x v="609"/>
    <x v="1454"/>
    <x v="250"/>
  </r>
  <r>
    <x v="25"/>
    <x v="25"/>
    <x v="3600"/>
    <x v="1"/>
    <x v="0"/>
    <x v="2765"/>
    <x v="778"/>
    <x v="1455"/>
    <x v="250"/>
  </r>
  <r>
    <x v="25"/>
    <x v="26"/>
    <x v="3601"/>
    <x v="0"/>
    <x v="0"/>
    <x v="2766"/>
    <x v="778"/>
    <x v="1456"/>
    <x v="250"/>
  </r>
  <r>
    <x v="25"/>
    <x v="27"/>
    <x v="3602"/>
    <x v="1"/>
    <x v="0"/>
    <x v="335"/>
    <x v="147"/>
    <x v="1457"/>
    <x v="250"/>
  </r>
  <r>
    <x v="25"/>
    <x v="28"/>
    <x v="3603"/>
    <x v="1"/>
    <x v="0"/>
    <x v="939"/>
    <x v="777"/>
    <x v="1458"/>
    <x v="250"/>
  </r>
  <r>
    <x v="25"/>
    <x v="29"/>
    <x v="3604"/>
    <x v="1"/>
    <x v="0"/>
    <x v="2767"/>
    <x v="9"/>
    <x v="1459"/>
    <x v="250"/>
  </r>
  <r>
    <x v="25"/>
    <x v="30"/>
    <x v="3605"/>
    <x v="1"/>
    <x v="0"/>
    <x v="2308"/>
    <x v="41"/>
    <x v="1460"/>
    <x v="250"/>
  </r>
  <r>
    <x v="25"/>
    <x v="31"/>
    <x v="3606"/>
    <x v="1"/>
    <x v="1"/>
    <x v="2592"/>
    <x v="253"/>
    <x v="1461"/>
    <x v="250"/>
  </r>
  <r>
    <x v="25"/>
    <x v="32"/>
    <x v="3607"/>
    <x v="1"/>
    <x v="0"/>
    <x v="2768"/>
    <x v="37"/>
    <x v="1462"/>
    <x v="250"/>
  </r>
  <r>
    <x v="25"/>
    <x v="33"/>
    <x v="3608"/>
    <x v="1"/>
    <x v="0"/>
    <x v="554"/>
    <x v="166"/>
    <x v="1463"/>
    <x v="250"/>
  </r>
  <r>
    <x v="25"/>
    <x v="34"/>
    <x v="3609"/>
    <x v="1"/>
    <x v="0"/>
    <x v="2769"/>
    <x v="253"/>
    <x v="1464"/>
    <x v="251"/>
  </r>
  <r>
    <x v="25"/>
    <x v="35"/>
    <x v="3610"/>
    <x v="1"/>
    <x v="0"/>
    <x v="1014"/>
    <x v="256"/>
    <x v="1465"/>
    <x v="251"/>
  </r>
  <r>
    <x v="25"/>
    <x v="36"/>
    <x v="3611"/>
    <x v="1"/>
    <x v="0"/>
    <x v="2"/>
    <x v="779"/>
    <x v="1466"/>
    <x v="251"/>
  </r>
  <r>
    <x v="25"/>
    <x v="37"/>
    <x v="3612"/>
    <x v="1"/>
    <x v="0"/>
    <x v="2770"/>
    <x v="695"/>
    <x v="1467"/>
    <x v="251"/>
  </r>
  <r>
    <x v="25"/>
    <x v="38"/>
    <x v="3613"/>
    <x v="1"/>
    <x v="0"/>
    <x v="2135"/>
    <x v="696"/>
    <x v="1468"/>
    <x v="251"/>
  </r>
  <r>
    <x v="25"/>
    <x v="39"/>
    <x v="3614"/>
    <x v="1"/>
    <x v="0"/>
    <x v="1008"/>
    <x v="696"/>
    <x v="1469"/>
    <x v="251"/>
  </r>
  <r>
    <x v="25"/>
    <x v="40"/>
    <x v="3615"/>
    <x v="1"/>
    <x v="0"/>
    <x v="858"/>
    <x v="382"/>
    <x v="1470"/>
    <x v="251"/>
  </r>
  <r>
    <x v="25"/>
    <x v="41"/>
    <x v="3616"/>
    <x v="1"/>
    <x v="0"/>
    <x v="2573"/>
    <x v="780"/>
    <x v="1471"/>
    <x v="251"/>
  </r>
  <r>
    <x v="25"/>
    <x v="42"/>
    <x v="3617"/>
    <x v="0"/>
    <x v="1"/>
    <x v="2771"/>
    <x v="781"/>
    <x v="1472"/>
    <x v="251"/>
  </r>
  <r>
    <x v="25"/>
    <x v="43"/>
    <x v="3618"/>
    <x v="1"/>
    <x v="0"/>
    <x v="1599"/>
    <x v="54"/>
    <x v="1473"/>
    <x v="251"/>
  </r>
  <r>
    <x v="25"/>
    <x v="44"/>
    <x v="3619"/>
    <x v="0"/>
    <x v="0"/>
    <x v="2772"/>
    <x v="782"/>
    <x v="1474"/>
    <x v="251"/>
  </r>
  <r>
    <x v="25"/>
    <x v="45"/>
    <x v="3620"/>
    <x v="0"/>
    <x v="0"/>
    <x v="2425"/>
    <x v="783"/>
    <x v="1475"/>
    <x v="251"/>
  </r>
  <r>
    <x v="25"/>
    <x v="46"/>
    <x v="3621"/>
    <x v="0"/>
    <x v="0"/>
    <x v="2773"/>
    <x v="784"/>
    <x v="1476"/>
    <x v="251"/>
  </r>
  <r>
    <x v="25"/>
    <x v="47"/>
    <x v="3622"/>
    <x v="1"/>
    <x v="1"/>
    <x v="2774"/>
    <x v="785"/>
    <x v="1477"/>
    <x v="251"/>
  </r>
  <r>
    <x v="25"/>
    <x v="48"/>
    <x v="3623"/>
    <x v="1"/>
    <x v="0"/>
    <x v="1800"/>
    <x v="638"/>
    <x v="1478"/>
    <x v="252"/>
  </r>
  <r>
    <x v="25"/>
    <x v="49"/>
    <x v="3624"/>
    <x v="1"/>
    <x v="0"/>
    <x v="2775"/>
    <x v="786"/>
    <x v="1479"/>
    <x v="252"/>
  </r>
  <r>
    <x v="25"/>
    <x v="50"/>
    <x v="3625"/>
    <x v="1"/>
    <x v="0"/>
    <x v="2776"/>
    <x v="288"/>
    <x v="1480"/>
    <x v="252"/>
  </r>
  <r>
    <x v="25"/>
    <x v="51"/>
    <x v="3626"/>
    <x v="1"/>
    <x v="0"/>
    <x v="2777"/>
    <x v="787"/>
    <x v="1481"/>
    <x v="252"/>
  </r>
  <r>
    <x v="25"/>
    <x v="52"/>
    <x v="3627"/>
    <x v="1"/>
    <x v="0"/>
    <x v="884"/>
    <x v="788"/>
    <x v="1482"/>
    <x v="252"/>
  </r>
  <r>
    <x v="25"/>
    <x v="53"/>
    <x v="3628"/>
    <x v="1"/>
    <x v="1"/>
    <x v="2778"/>
    <x v="714"/>
    <x v="1483"/>
    <x v="252"/>
  </r>
  <r>
    <x v="25"/>
    <x v="54"/>
    <x v="3629"/>
    <x v="1"/>
    <x v="0"/>
    <x v="2779"/>
    <x v="217"/>
    <x v="1484"/>
    <x v="252"/>
  </r>
  <r>
    <x v="25"/>
    <x v="55"/>
    <x v="3630"/>
    <x v="1"/>
    <x v="0"/>
    <x v="2780"/>
    <x v="789"/>
    <x v="1485"/>
    <x v="252"/>
  </r>
  <r>
    <x v="25"/>
    <x v="56"/>
    <x v="3631"/>
    <x v="1"/>
    <x v="0"/>
    <x v="2781"/>
    <x v="790"/>
    <x v="1486"/>
    <x v="252"/>
  </r>
  <r>
    <x v="25"/>
    <x v="57"/>
    <x v="3632"/>
    <x v="1"/>
    <x v="0"/>
    <x v="2782"/>
    <x v="505"/>
    <x v="1487"/>
    <x v="252"/>
  </r>
  <r>
    <x v="25"/>
    <x v="58"/>
    <x v="3633"/>
    <x v="1"/>
    <x v="0"/>
    <x v="2783"/>
    <x v="791"/>
    <x v="1488"/>
    <x v="252"/>
  </r>
  <r>
    <x v="25"/>
    <x v="59"/>
    <x v="3634"/>
    <x v="1"/>
    <x v="0"/>
    <x v="2784"/>
    <x v="603"/>
    <x v="1489"/>
    <x v="252"/>
  </r>
  <r>
    <x v="25"/>
    <x v="60"/>
    <x v="3635"/>
    <x v="1"/>
    <x v="0"/>
    <x v="2784"/>
    <x v="77"/>
    <x v="1490"/>
    <x v="253"/>
  </r>
  <r>
    <x v="25"/>
    <x v="61"/>
    <x v="3636"/>
    <x v="1"/>
    <x v="0"/>
    <x v="2785"/>
    <x v="646"/>
    <x v="1491"/>
    <x v="253"/>
  </r>
  <r>
    <x v="25"/>
    <x v="62"/>
    <x v="3637"/>
    <x v="1"/>
    <x v="0"/>
    <x v="2786"/>
    <x v="792"/>
    <x v="1492"/>
    <x v="253"/>
  </r>
  <r>
    <x v="25"/>
    <x v="63"/>
    <x v="3638"/>
    <x v="1"/>
    <x v="0"/>
    <x v="2787"/>
    <x v="793"/>
    <x v="1493"/>
    <x v="253"/>
  </r>
  <r>
    <x v="25"/>
    <x v="64"/>
    <x v="3639"/>
    <x v="1"/>
    <x v="0"/>
    <x v="147"/>
    <x v="794"/>
    <x v="1494"/>
    <x v="253"/>
  </r>
  <r>
    <x v="25"/>
    <x v="65"/>
    <x v="3640"/>
    <x v="1"/>
    <x v="0"/>
    <x v="1823"/>
    <x v="795"/>
    <x v="1495"/>
    <x v="253"/>
  </r>
  <r>
    <x v="25"/>
    <x v="66"/>
    <x v="3641"/>
    <x v="1"/>
    <x v="0"/>
    <x v="2184"/>
    <x v="796"/>
    <x v="1496"/>
    <x v="253"/>
  </r>
  <r>
    <x v="25"/>
    <x v="67"/>
    <x v="3642"/>
    <x v="1"/>
    <x v="0"/>
    <x v="638"/>
    <x v="797"/>
    <x v="1497"/>
    <x v="253"/>
  </r>
  <r>
    <x v="25"/>
    <x v="68"/>
    <x v="3643"/>
    <x v="1"/>
    <x v="0"/>
    <x v="1890"/>
    <x v="798"/>
    <x v="1498"/>
    <x v="253"/>
  </r>
  <r>
    <x v="25"/>
    <x v="69"/>
    <x v="3644"/>
    <x v="0"/>
    <x v="0"/>
    <x v="2788"/>
    <x v="799"/>
    <x v="1499"/>
    <x v="253"/>
  </r>
  <r>
    <x v="25"/>
    <x v="70"/>
    <x v="3645"/>
    <x v="0"/>
    <x v="0"/>
    <x v="1233"/>
    <x v="800"/>
    <x v="1500"/>
    <x v="253"/>
  </r>
  <r>
    <x v="25"/>
    <x v="71"/>
    <x v="3646"/>
    <x v="1"/>
    <x v="0"/>
    <x v="2789"/>
    <x v="801"/>
    <x v="1501"/>
    <x v="253"/>
  </r>
  <r>
    <x v="25"/>
    <x v="72"/>
    <x v="3647"/>
    <x v="1"/>
    <x v="0"/>
    <x v="449"/>
    <x v="802"/>
    <x v="1502"/>
    <x v="253"/>
  </r>
  <r>
    <x v="25"/>
    <x v="73"/>
    <x v="3648"/>
    <x v="0"/>
    <x v="0"/>
    <x v="2790"/>
    <x v="606"/>
    <x v="1503"/>
    <x v="254"/>
  </r>
  <r>
    <x v="25"/>
    <x v="74"/>
    <x v="3649"/>
    <x v="0"/>
    <x v="0"/>
    <x v="2791"/>
    <x v="425"/>
    <x v="1504"/>
    <x v="254"/>
  </r>
  <r>
    <x v="25"/>
    <x v="75"/>
    <x v="3650"/>
    <x v="1"/>
    <x v="0"/>
    <x v="1070"/>
    <x v="426"/>
    <x v="1505"/>
    <x v="254"/>
  </r>
  <r>
    <x v="25"/>
    <x v="76"/>
    <x v="3651"/>
    <x v="1"/>
    <x v="0"/>
    <x v="1134"/>
    <x v="441"/>
    <x v="1506"/>
    <x v="254"/>
  </r>
  <r>
    <x v="25"/>
    <x v="77"/>
    <x v="3652"/>
    <x v="1"/>
    <x v="0"/>
    <x v="2792"/>
    <x v="496"/>
    <x v="1507"/>
    <x v="254"/>
  </r>
  <r>
    <x v="25"/>
    <x v="78"/>
    <x v="3653"/>
    <x v="0"/>
    <x v="0"/>
    <x v="1707"/>
    <x v="338"/>
    <x v="1508"/>
    <x v="254"/>
  </r>
  <r>
    <x v="25"/>
    <x v="79"/>
    <x v="3654"/>
    <x v="0"/>
    <x v="0"/>
    <x v="140"/>
    <x v="803"/>
    <x v="1509"/>
    <x v="254"/>
  </r>
  <r>
    <x v="25"/>
    <x v="80"/>
    <x v="3655"/>
    <x v="1"/>
    <x v="0"/>
    <x v="2793"/>
    <x v="227"/>
    <x v="1510"/>
    <x v="254"/>
  </r>
  <r>
    <x v="25"/>
    <x v="81"/>
    <x v="3656"/>
    <x v="0"/>
    <x v="0"/>
    <x v="2794"/>
    <x v="724"/>
    <x v="1511"/>
    <x v="254"/>
  </r>
  <r>
    <x v="25"/>
    <x v="82"/>
    <x v="3657"/>
    <x v="1"/>
    <x v="0"/>
    <x v="1991"/>
    <x v="425"/>
    <x v="1512"/>
    <x v="254"/>
  </r>
  <r>
    <x v="25"/>
    <x v="83"/>
    <x v="3658"/>
    <x v="0"/>
    <x v="1"/>
    <x v="2795"/>
    <x v="592"/>
    <x v="1513"/>
    <x v="254"/>
  </r>
  <r>
    <x v="25"/>
    <x v="84"/>
    <x v="3659"/>
    <x v="1"/>
    <x v="0"/>
    <x v="422"/>
    <x v="592"/>
    <x v="1514"/>
    <x v="254"/>
  </r>
  <r>
    <x v="25"/>
    <x v="85"/>
    <x v="3660"/>
    <x v="1"/>
    <x v="0"/>
    <x v="2796"/>
    <x v="804"/>
    <x v="1515"/>
    <x v="254"/>
  </r>
  <r>
    <x v="25"/>
    <x v="86"/>
    <x v="3661"/>
    <x v="1"/>
    <x v="0"/>
    <x v="2797"/>
    <x v="76"/>
    <x v="1516"/>
    <x v="254"/>
  </r>
  <r>
    <x v="25"/>
    <x v="87"/>
    <x v="3662"/>
    <x v="0"/>
    <x v="0"/>
    <x v="1113"/>
    <x v="805"/>
    <x v="1517"/>
    <x v="255"/>
  </r>
  <r>
    <x v="25"/>
    <x v="88"/>
    <x v="3663"/>
    <x v="1"/>
    <x v="0"/>
    <x v="2798"/>
    <x v="661"/>
    <x v="1518"/>
    <x v="255"/>
  </r>
  <r>
    <x v="25"/>
    <x v="89"/>
    <x v="3664"/>
    <x v="1"/>
    <x v="0"/>
    <x v="2799"/>
    <x v="194"/>
    <x v="1519"/>
    <x v="255"/>
  </r>
  <r>
    <x v="25"/>
    <x v="90"/>
    <x v="3665"/>
    <x v="1"/>
    <x v="0"/>
    <x v="899"/>
    <x v="806"/>
    <x v="1520"/>
    <x v="255"/>
  </r>
  <r>
    <x v="25"/>
    <x v="91"/>
    <x v="3666"/>
    <x v="1"/>
    <x v="0"/>
    <x v="2800"/>
    <x v="807"/>
    <x v="1521"/>
    <x v="255"/>
  </r>
  <r>
    <x v="25"/>
    <x v="92"/>
    <x v="3667"/>
    <x v="0"/>
    <x v="0"/>
    <x v="2801"/>
    <x v="195"/>
    <x v="1522"/>
    <x v="255"/>
  </r>
  <r>
    <x v="25"/>
    <x v="93"/>
    <x v="3668"/>
    <x v="1"/>
    <x v="0"/>
    <x v="2802"/>
    <x v="128"/>
    <x v="1523"/>
    <x v="255"/>
  </r>
  <r>
    <x v="25"/>
    <x v="94"/>
    <x v="3669"/>
    <x v="0"/>
    <x v="1"/>
    <x v="2803"/>
    <x v="808"/>
    <x v="1524"/>
    <x v="255"/>
  </r>
  <r>
    <x v="25"/>
    <x v="95"/>
    <x v="3670"/>
    <x v="1"/>
    <x v="0"/>
    <x v="2522"/>
    <x v="117"/>
    <x v="1525"/>
    <x v="255"/>
  </r>
  <r>
    <x v="25"/>
    <x v="96"/>
    <x v="3671"/>
    <x v="0"/>
    <x v="0"/>
    <x v="2804"/>
    <x v="809"/>
    <x v="1526"/>
    <x v="255"/>
  </r>
  <r>
    <x v="25"/>
    <x v="97"/>
    <x v="3672"/>
    <x v="0"/>
    <x v="0"/>
    <x v="2805"/>
    <x v="579"/>
    <x v="1527"/>
    <x v="255"/>
  </r>
  <r>
    <x v="25"/>
    <x v="98"/>
    <x v="3673"/>
    <x v="0"/>
    <x v="0"/>
    <x v="2806"/>
    <x v="665"/>
    <x v="1528"/>
    <x v="255"/>
  </r>
  <r>
    <x v="25"/>
    <x v="99"/>
    <x v="3674"/>
    <x v="1"/>
    <x v="1"/>
    <x v="2807"/>
    <x v="720"/>
    <x v="1529"/>
    <x v="255"/>
  </r>
  <r>
    <x v="25"/>
    <x v="100"/>
    <x v="3675"/>
    <x v="1"/>
    <x v="0"/>
    <x v="2691"/>
    <x v="810"/>
    <x v="1530"/>
    <x v="256"/>
  </r>
  <r>
    <x v="25"/>
    <x v="101"/>
    <x v="3676"/>
    <x v="1"/>
    <x v="0"/>
    <x v="2808"/>
    <x v="79"/>
    <x v="1531"/>
    <x v="256"/>
  </r>
  <r>
    <x v="25"/>
    <x v="102"/>
    <x v="3677"/>
    <x v="1"/>
    <x v="0"/>
    <x v="2809"/>
    <x v="305"/>
    <x v="1532"/>
    <x v="256"/>
  </r>
  <r>
    <x v="25"/>
    <x v="103"/>
    <x v="3678"/>
    <x v="1"/>
    <x v="0"/>
    <x v="2666"/>
    <x v="811"/>
    <x v="1533"/>
    <x v="256"/>
  </r>
  <r>
    <x v="25"/>
    <x v="104"/>
    <x v="3679"/>
    <x v="1"/>
    <x v="0"/>
    <x v="2810"/>
    <x v="805"/>
    <x v="1534"/>
    <x v="256"/>
  </r>
  <r>
    <x v="25"/>
    <x v="105"/>
    <x v="3680"/>
    <x v="0"/>
    <x v="1"/>
    <x v="2811"/>
    <x v="559"/>
    <x v="1535"/>
    <x v="256"/>
  </r>
  <r>
    <x v="25"/>
    <x v="106"/>
    <x v="3681"/>
    <x v="1"/>
    <x v="0"/>
    <x v="2812"/>
    <x v="657"/>
    <x v="1536"/>
    <x v="256"/>
  </r>
  <r>
    <x v="25"/>
    <x v="107"/>
    <x v="3682"/>
    <x v="1"/>
    <x v="0"/>
    <x v="2813"/>
    <x v="812"/>
    <x v="1537"/>
    <x v="256"/>
  </r>
  <r>
    <x v="25"/>
    <x v="108"/>
    <x v="3683"/>
    <x v="1"/>
    <x v="0"/>
    <x v="2814"/>
    <x v="426"/>
    <x v="1538"/>
    <x v="256"/>
  </r>
  <r>
    <x v="25"/>
    <x v="109"/>
    <x v="3684"/>
    <x v="1"/>
    <x v="0"/>
    <x v="2815"/>
    <x v="813"/>
    <x v="1539"/>
    <x v="256"/>
  </r>
  <r>
    <x v="25"/>
    <x v="110"/>
    <x v="3685"/>
    <x v="1"/>
    <x v="0"/>
    <x v="899"/>
    <x v="685"/>
    <x v="1540"/>
    <x v="256"/>
  </r>
  <r>
    <x v="25"/>
    <x v="111"/>
    <x v="3686"/>
    <x v="1"/>
    <x v="0"/>
    <x v="189"/>
    <x v="679"/>
    <x v="1541"/>
    <x v="256"/>
  </r>
  <r>
    <x v="25"/>
    <x v="112"/>
    <x v="3687"/>
    <x v="1"/>
    <x v="0"/>
    <x v="2816"/>
    <x v="814"/>
    <x v="1542"/>
    <x v="256"/>
  </r>
  <r>
    <x v="25"/>
    <x v="113"/>
    <x v="3688"/>
    <x v="0"/>
    <x v="0"/>
    <x v="2817"/>
    <x v="815"/>
    <x v="1543"/>
    <x v="257"/>
  </r>
  <r>
    <x v="25"/>
    <x v="114"/>
    <x v="3689"/>
    <x v="1"/>
    <x v="0"/>
    <x v="2818"/>
    <x v="731"/>
    <x v="1544"/>
    <x v="257"/>
  </r>
  <r>
    <x v="25"/>
    <x v="115"/>
    <x v="3690"/>
    <x v="1"/>
    <x v="0"/>
    <x v="184"/>
    <x v="648"/>
    <x v="1545"/>
    <x v="257"/>
  </r>
  <r>
    <x v="25"/>
    <x v="116"/>
    <x v="3691"/>
    <x v="1"/>
    <x v="0"/>
    <x v="2540"/>
    <x v="816"/>
    <x v="1546"/>
    <x v="257"/>
  </r>
  <r>
    <x v="25"/>
    <x v="117"/>
    <x v="3692"/>
    <x v="1"/>
    <x v="0"/>
    <x v="1722"/>
    <x v="817"/>
    <x v="1547"/>
    <x v="257"/>
  </r>
  <r>
    <x v="25"/>
    <x v="118"/>
    <x v="3693"/>
    <x v="0"/>
    <x v="0"/>
    <x v="2819"/>
    <x v="818"/>
    <x v="1548"/>
    <x v="257"/>
  </r>
  <r>
    <x v="25"/>
    <x v="119"/>
    <x v="3694"/>
    <x v="1"/>
    <x v="0"/>
    <x v="2820"/>
    <x v="65"/>
    <x v="1549"/>
    <x v="257"/>
  </r>
  <r>
    <x v="25"/>
    <x v="120"/>
    <x v="3695"/>
    <x v="0"/>
    <x v="0"/>
    <x v="2821"/>
    <x v="819"/>
    <x v="1550"/>
    <x v="257"/>
  </r>
  <r>
    <x v="25"/>
    <x v="121"/>
    <x v="3696"/>
    <x v="1"/>
    <x v="0"/>
    <x v="2822"/>
    <x v="424"/>
    <x v="1551"/>
    <x v="257"/>
  </r>
  <r>
    <x v="25"/>
    <x v="122"/>
    <x v="3697"/>
    <x v="0"/>
    <x v="0"/>
    <x v="2823"/>
    <x v="820"/>
    <x v="1552"/>
    <x v="257"/>
  </r>
  <r>
    <x v="25"/>
    <x v="123"/>
    <x v="3698"/>
    <x v="1"/>
    <x v="0"/>
    <x v="920"/>
    <x v="192"/>
    <x v="1553"/>
    <x v="257"/>
  </r>
  <r>
    <x v="25"/>
    <x v="124"/>
    <x v="3699"/>
    <x v="0"/>
    <x v="0"/>
    <x v="2824"/>
    <x v="821"/>
    <x v="1554"/>
    <x v="257"/>
  </r>
  <r>
    <x v="25"/>
    <x v="125"/>
    <x v="3700"/>
    <x v="0"/>
    <x v="0"/>
    <x v="383"/>
    <x v="822"/>
    <x v="1555"/>
    <x v="257"/>
  </r>
  <r>
    <x v="25"/>
    <x v="126"/>
    <x v="3701"/>
    <x v="0"/>
    <x v="0"/>
    <x v="681"/>
    <x v="312"/>
    <x v="1556"/>
    <x v="258"/>
  </r>
  <r>
    <x v="25"/>
    <x v="127"/>
    <x v="3702"/>
    <x v="0"/>
    <x v="0"/>
    <x v="1420"/>
    <x v="116"/>
    <x v="1557"/>
    <x v="258"/>
  </r>
  <r>
    <x v="25"/>
    <x v="128"/>
    <x v="3703"/>
    <x v="0"/>
    <x v="0"/>
    <x v="2825"/>
    <x v="242"/>
    <x v="1558"/>
    <x v="258"/>
  </r>
  <r>
    <x v="25"/>
    <x v="129"/>
    <x v="3704"/>
    <x v="1"/>
    <x v="0"/>
    <x v="2307"/>
    <x v="430"/>
    <x v="1559"/>
    <x v="258"/>
  </r>
  <r>
    <x v="25"/>
    <x v="130"/>
    <x v="3705"/>
    <x v="0"/>
    <x v="0"/>
    <x v="2826"/>
    <x v="427"/>
    <x v="1560"/>
    <x v="258"/>
  </r>
  <r>
    <x v="25"/>
    <x v="131"/>
    <x v="3706"/>
    <x v="0"/>
    <x v="0"/>
    <x v="2827"/>
    <x v="407"/>
    <x v="1561"/>
    <x v="258"/>
  </r>
  <r>
    <x v="25"/>
    <x v="132"/>
    <x v="3707"/>
    <x v="0"/>
    <x v="0"/>
    <x v="982"/>
    <x v="823"/>
    <x v="1562"/>
    <x v="258"/>
  </r>
  <r>
    <x v="25"/>
    <x v="133"/>
    <x v="3708"/>
    <x v="1"/>
    <x v="0"/>
    <x v="2828"/>
    <x v="749"/>
    <x v="1563"/>
    <x v="258"/>
  </r>
  <r>
    <x v="25"/>
    <x v="134"/>
    <x v="3709"/>
    <x v="0"/>
    <x v="0"/>
    <x v="910"/>
    <x v="824"/>
    <x v="1564"/>
    <x v="258"/>
  </r>
  <r>
    <x v="25"/>
    <x v="135"/>
    <x v="3710"/>
    <x v="0"/>
    <x v="1"/>
    <x v="335"/>
    <x v="814"/>
    <x v="1565"/>
    <x v="258"/>
  </r>
  <r>
    <x v="25"/>
    <x v="136"/>
    <x v="3711"/>
    <x v="1"/>
    <x v="0"/>
    <x v="645"/>
    <x v="794"/>
    <x v="1566"/>
    <x v="258"/>
  </r>
  <r>
    <x v="25"/>
    <x v="137"/>
    <x v="3712"/>
    <x v="1"/>
    <x v="0"/>
    <x v="2829"/>
    <x v="825"/>
    <x v="1567"/>
    <x v="258"/>
  </r>
  <r>
    <x v="25"/>
    <x v="138"/>
    <x v="3713"/>
    <x v="1"/>
    <x v="0"/>
    <x v="2830"/>
    <x v="826"/>
    <x v="1568"/>
    <x v="258"/>
  </r>
  <r>
    <x v="25"/>
    <x v="139"/>
    <x v="3714"/>
    <x v="0"/>
    <x v="0"/>
    <x v="2831"/>
    <x v="676"/>
    <x v="1569"/>
    <x v="259"/>
  </r>
  <r>
    <x v="25"/>
    <x v="140"/>
    <x v="3715"/>
    <x v="1"/>
    <x v="0"/>
    <x v="2832"/>
    <x v="758"/>
    <x v="1570"/>
    <x v="259"/>
  </r>
  <r>
    <x v="25"/>
    <x v="141"/>
    <x v="3716"/>
    <x v="1"/>
    <x v="0"/>
    <x v="1558"/>
    <x v="689"/>
    <x v="1571"/>
    <x v="259"/>
  </r>
  <r>
    <x v="25"/>
    <x v="142"/>
    <x v="3717"/>
    <x v="1"/>
    <x v="0"/>
    <x v="2833"/>
    <x v="410"/>
    <x v="1572"/>
    <x v="259"/>
  </r>
  <r>
    <x v="26"/>
    <x v="0"/>
    <x v="3718"/>
    <x v="0"/>
    <x v="0"/>
    <x v="2834"/>
    <x v="691"/>
    <x v="1716"/>
    <x v="260"/>
  </r>
  <r>
    <x v="26"/>
    <x v="1"/>
    <x v="3719"/>
    <x v="0"/>
    <x v="1"/>
    <x v="2835"/>
    <x v="692"/>
    <x v="1717"/>
    <x v="260"/>
  </r>
  <r>
    <x v="26"/>
    <x v="2"/>
    <x v="3720"/>
    <x v="0"/>
    <x v="0"/>
    <x v="2836"/>
    <x v="693"/>
    <x v="1718"/>
    <x v="260"/>
  </r>
  <r>
    <x v="26"/>
    <x v="3"/>
    <x v="3721"/>
    <x v="0"/>
    <x v="0"/>
    <x v="1726"/>
    <x v="694"/>
    <x v="1719"/>
    <x v="260"/>
  </r>
  <r>
    <x v="26"/>
    <x v="4"/>
    <x v="3722"/>
    <x v="0"/>
    <x v="0"/>
    <x v="2837"/>
    <x v="695"/>
    <x v="1720"/>
    <x v="260"/>
  </r>
  <r>
    <x v="26"/>
    <x v="5"/>
    <x v="3723"/>
    <x v="0"/>
    <x v="0"/>
    <x v="2838"/>
    <x v="696"/>
    <x v="1721"/>
    <x v="260"/>
  </r>
  <r>
    <x v="26"/>
    <x v="6"/>
    <x v="3724"/>
    <x v="0"/>
    <x v="0"/>
    <x v="2839"/>
    <x v="552"/>
    <x v="1722"/>
    <x v="260"/>
  </r>
  <r>
    <x v="26"/>
    <x v="7"/>
    <x v="3725"/>
    <x v="0"/>
    <x v="0"/>
    <x v="2840"/>
    <x v="697"/>
    <x v="1723"/>
    <x v="260"/>
  </r>
  <r>
    <x v="26"/>
    <x v="8"/>
    <x v="3726"/>
    <x v="0"/>
    <x v="0"/>
    <x v="2841"/>
    <x v="698"/>
    <x v="1724"/>
    <x v="261"/>
  </r>
  <r>
    <x v="26"/>
    <x v="9"/>
    <x v="3727"/>
    <x v="0"/>
    <x v="0"/>
    <x v="1610"/>
    <x v="175"/>
    <x v="1725"/>
    <x v="261"/>
  </r>
  <r>
    <x v="26"/>
    <x v="10"/>
    <x v="3728"/>
    <x v="0"/>
    <x v="0"/>
    <x v="2842"/>
    <x v="50"/>
    <x v="1726"/>
    <x v="261"/>
  </r>
  <r>
    <x v="26"/>
    <x v="11"/>
    <x v="3729"/>
    <x v="0"/>
    <x v="0"/>
    <x v="2798"/>
    <x v="699"/>
    <x v="1727"/>
    <x v="261"/>
  </r>
  <r>
    <x v="26"/>
    <x v="12"/>
    <x v="3730"/>
    <x v="0"/>
    <x v="0"/>
    <x v="2843"/>
    <x v="700"/>
    <x v="1728"/>
    <x v="261"/>
  </r>
  <r>
    <x v="26"/>
    <x v="13"/>
    <x v="3731"/>
    <x v="0"/>
    <x v="0"/>
    <x v="2373"/>
    <x v="324"/>
    <x v="1729"/>
    <x v="261"/>
  </r>
  <r>
    <x v="26"/>
    <x v="14"/>
    <x v="3732"/>
    <x v="0"/>
    <x v="0"/>
    <x v="2844"/>
    <x v="96"/>
    <x v="1730"/>
    <x v="261"/>
  </r>
  <r>
    <x v="26"/>
    <x v="15"/>
    <x v="3733"/>
    <x v="0"/>
    <x v="0"/>
    <x v="2845"/>
    <x v="701"/>
    <x v="1731"/>
    <x v="261"/>
  </r>
  <r>
    <x v="26"/>
    <x v="16"/>
    <x v="3734"/>
    <x v="0"/>
    <x v="0"/>
    <x v="2846"/>
    <x v="634"/>
    <x v="1732"/>
    <x v="261"/>
  </r>
  <r>
    <x v="26"/>
    <x v="17"/>
    <x v="3735"/>
    <x v="0"/>
    <x v="0"/>
    <x v="1542"/>
    <x v="702"/>
    <x v="1733"/>
    <x v="261"/>
  </r>
  <r>
    <x v="26"/>
    <x v="18"/>
    <x v="3736"/>
    <x v="0"/>
    <x v="0"/>
    <x v="2847"/>
    <x v="703"/>
    <x v="1734"/>
    <x v="261"/>
  </r>
  <r>
    <x v="26"/>
    <x v="19"/>
    <x v="3737"/>
    <x v="0"/>
    <x v="0"/>
    <x v="2848"/>
    <x v="704"/>
    <x v="1735"/>
    <x v="261"/>
  </r>
  <r>
    <x v="26"/>
    <x v="20"/>
    <x v="3738"/>
    <x v="0"/>
    <x v="0"/>
    <x v="2849"/>
    <x v="619"/>
    <x v="1736"/>
    <x v="261"/>
  </r>
  <r>
    <x v="26"/>
    <x v="21"/>
    <x v="3739"/>
    <x v="0"/>
    <x v="0"/>
    <x v="2850"/>
    <x v="619"/>
    <x v="1737"/>
    <x v="262"/>
  </r>
  <r>
    <x v="26"/>
    <x v="22"/>
    <x v="3740"/>
    <x v="0"/>
    <x v="0"/>
    <x v="2851"/>
    <x v="692"/>
    <x v="1738"/>
    <x v="262"/>
  </r>
  <r>
    <x v="26"/>
    <x v="23"/>
    <x v="3741"/>
    <x v="0"/>
    <x v="0"/>
    <x v="479"/>
    <x v="705"/>
    <x v="1739"/>
    <x v="262"/>
  </r>
  <r>
    <x v="26"/>
    <x v="24"/>
    <x v="3742"/>
    <x v="0"/>
    <x v="0"/>
    <x v="2852"/>
    <x v="386"/>
    <x v="1740"/>
    <x v="262"/>
  </r>
  <r>
    <x v="26"/>
    <x v="25"/>
    <x v="3743"/>
    <x v="0"/>
    <x v="0"/>
    <x v="437"/>
    <x v="706"/>
    <x v="1741"/>
    <x v="262"/>
  </r>
  <r>
    <x v="26"/>
    <x v="26"/>
    <x v="3744"/>
    <x v="0"/>
    <x v="0"/>
    <x v="2853"/>
    <x v="704"/>
    <x v="1742"/>
    <x v="262"/>
  </r>
  <r>
    <x v="26"/>
    <x v="27"/>
    <x v="3745"/>
    <x v="0"/>
    <x v="0"/>
    <x v="1289"/>
    <x v="707"/>
    <x v="1743"/>
    <x v="262"/>
  </r>
  <r>
    <x v="26"/>
    <x v="28"/>
    <x v="3746"/>
    <x v="0"/>
    <x v="0"/>
    <x v="2854"/>
    <x v="708"/>
    <x v="1744"/>
    <x v="262"/>
  </r>
  <r>
    <x v="26"/>
    <x v="29"/>
    <x v="3747"/>
    <x v="0"/>
    <x v="0"/>
    <x v="413"/>
    <x v="709"/>
    <x v="1745"/>
    <x v="262"/>
  </r>
  <r>
    <x v="26"/>
    <x v="30"/>
    <x v="3748"/>
    <x v="0"/>
    <x v="0"/>
    <x v="2855"/>
    <x v="170"/>
    <x v="1746"/>
    <x v="262"/>
  </r>
  <r>
    <x v="26"/>
    <x v="31"/>
    <x v="3749"/>
    <x v="0"/>
    <x v="1"/>
    <x v="2856"/>
    <x v="536"/>
    <x v="1747"/>
    <x v="262"/>
  </r>
  <r>
    <x v="26"/>
    <x v="32"/>
    <x v="3750"/>
    <x v="0"/>
    <x v="0"/>
    <x v="2857"/>
    <x v="548"/>
    <x v="1748"/>
    <x v="262"/>
  </r>
  <r>
    <x v="26"/>
    <x v="33"/>
    <x v="3751"/>
    <x v="0"/>
    <x v="0"/>
    <x v="2858"/>
    <x v="536"/>
    <x v="1749"/>
    <x v="262"/>
  </r>
  <r>
    <x v="26"/>
    <x v="34"/>
    <x v="3752"/>
    <x v="0"/>
    <x v="0"/>
    <x v="1550"/>
    <x v="710"/>
    <x v="1750"/>
    <x v="263"/>
  </r>
  <r>
    <x v="26"/>
    <x v="35"/>
    <x v="3753"/>
    <x v="0"/>
    <x v="0"/>
    <x v="2859"/>
    <x v="550"/>
    <x v="1751"/>
    <x v="263"/>
  </r>
  <r>
    <x v="26"/>
    <x v="36"/>
    <x v="3754"/>
    <x v="0"/>
    <x v="0"/>
    <x v="2860"/>
    <x v="711"/>
    <x v="1752"/>
    <x v="263"/>
  </r>
  <r>
    <x v="26"/>
    <x v="37"/>
    <x v="3755"/>
    <x v="0"/>
    <x v="0"/>
    <x v="2861"/>
    <x v="380"/>
    <x v="1753"/>
    <x v="263"/>
  </r>
  <r>
    <x v="26"/>
    <x v="38"/>
    <x v="3756"/>
    <x v="0"/>
    <x v="0"/>
    <x v="2862"/>
    <x v="326"/>
    <x v="1754"/>
    <x v="263"/>
  </r>
  <r>
    <x v="26"/>
    <x v="39"/>
    <x v="3757"/>
    <x v="0"/>
    <x v="0"/>
    <x v="2863"/>
    <x v="380"/>
    <x v="1755"/>
    <x v="263"/>
  </r>
  <r>
    <x v="26"/>
    <x v="40"/>
    <x v="3758"/>
    <x v="0"/>
    <x v="0"/>
    <x v="2864"/>
    <x v="54"/>
    <x v="1756"/>
    <x v="263"/>
  </r>
  <r>
    <x v="26"/>
    <x v="41"/>
    <x v="3759"/>
    <x v="0"/>
    <x v="0"/>
    <x v="184"/>
    <x v="712"/>
    <x v="1757"/>
    <x v="263"/>
  </r>
  <r>
    <x v="26"/>
    <x v="42"/>
    <x v="3760"/>
    <x v="0"/>
    <x v="1"/>
    <x v="2865"/>
    <x v="583"/>
    <x v="1758"/>
    <x v="263"/>
  </r>
  <r>
    <x v="26"/>
    <x v="43"/>
    <x v="3761"/>
    <x v="0"/>
    <x v="0"/>
    <x v="513"/>
    <x v="713"/>
    <x v="1759"/>
    <x v="263"/>
  </r>
  <r>
    <x v="26"/>
    <x v="44"/>
    <x v="3762"/>
    <x v="0"/>
    <x v="0"/>
    <x v="1526"/>
    <x v="714"/>
    <x v="1760"/>
    <x v="263"/>
  </r>
  <r>
    <x v="26"/>
    <x v="45"/>
    <x v="3763"/>
    <x v="0"/>
    <x v="0"/>
    <x v="969"/>
    <x v="715"/>
    <x v="1761"/>
    <x v="263"/>
  </r>
  <r>
    <x v="26"/>
    <x v="46"/>
    <x v="3764"/>
    <x v="0"/>
    <x v="0"/>
    <x v="2143"/>
    <x v="716"/>
    <x v="1762"/>
    <x v="263"/>
  </r>
  <r>
    <x v="26"/>
    <x v="47"/>
    <x v="3765"/>
    <x v="0"/>
    <x v="1"/>
    <x v="2866"/>
    <x v="398"/>
    <x v="1763"/>
    <x v="263"/>
  </r>
  <r>
    <x v="26"/>
    <x v="48"/>
    <x v="3766"/>
    <x v="0"/>
    <x v="0"/>
    <x v="2867"/>
    <x v="717"/>
    <x v="1764"/>
    <x v="264"/>
  </r>
  <r>
    <x v="26"/>
    <x v="49"/>
    <x v="3767"/>
    <x v="0"/>
    <x v="0"/>
    <x v="2868"/>
    <x v="718"/>
    <x v="1765"/>
    <x v="264"/>
  </r>
  <r>
    <x v="26"/>
    <x v="50"/>
    <x v="3768"/>
    <x v="0"/>
    <x v="0"/>
    <x v="2869"/>
    <x v="719"/>
    <x v="1766"/>
    <x v="264"/>
  </r>
  <r>
    <x v="26"/>
    <x v="51"/>
    <x v="3769"/>
    <x v="0"/>
    <x v="0"/>
    <x v="2870"/>
    <x v="720"/>
    <x v="1767"/>
    <x v="264"/>
  </r>
  <r>
    <x v="26"/>
    <x v="52"/>
    <x v="3770"/>
    <x v="0"/>
    <x v="0"/>
    <x v="2871"/>
    <x v="721"/>
    <x v="1768"/>
    <x v="264"/>
  </r>
  <r>
    <x v="26"/>
    <x v="53"/>
    <x v="3771"/>
    <x v="0"/>
    <x v="1"/>
    <x v="2872"/>
    <x v="722"/>
    <x v="1769"/>
    <x v="264"/>
  </r>
  <r>
    <x v="26"/>
    <x v="54"/>
    <x v="3772"/>
    <x v="0"/>
    <x v="0"/>
    <x v="2873"/>
    <x v="723"/>
    <x v="1770"/>
    <x v="264"/>
  </r>
  <r>
    <x v="26"/>
    <x v="55"/>
    <x v="3773"/>
    <x v="0"/>
    <x v="0"/>
    <x v="2874"/>
    <x v="118"/>
    <x v="1771"/>
    <x v="264"/>
  </r>
  <r>
    <x v="26"/>
    <x v="56"/>
    <x v="3774"/>
    <x v="0"/>
    <x v="0"/>
    <x v="2875"/>
    <x v="185"/>
    <x v="1772"/>
    <x v="264"/>
  </r>
  <r>
    <x v="26"/>
    <x v="57"/>
    <x v="3775"/>
    <x v="0"/>
    <x v="0"/>
    <x v="755"/>
    <x v="564"/>
    <x v="1773"/>
    <x v="264"/>
  </r>
  <r>
    <x v="26"/>
    <x v="58"/>
    <x v="3776"/>
    <x v="0"/>
    <x v="0"/>
    <x v="2876"/>
    <x v="724"/>
    <x v="1774"/>
    <x v="264"/>
  </r>
  <r>
    <x v="26"/>
    <x v="59"/>
    <x v="3777"/>
    <x v="0"/>
    <x v="0"/>
    <x v="2877"/>
    <x v="353"/>
    <x v="1775"/>
    <x v="264"/>
  </r>
  <r>
    <x v="26"/>
    <x v="60"/>
    <x v="3778"/>
    <x v="0"/>
    <x v="0"/>
    <x v="1642"/>
    <x v="462"/>
    <x v="1776"/>
    <x v="265"/>
  </r>
  <r>
    <x v="26"/>
    <x v="61"/>
    <x v="3779"/>
    <x v="0"/>
    <x v="0"/>
    <x v="2117"/>
    <x v="725"/>
    <x v="1777"/>
    <x v="265"/>
  </r>
  <r>
    <x v="26"/>
    <x v="62"/>
    <x v="3780"/>
    <x v="0"/>
    <x v="0"/>
    <x v="712"/>
    <x v="417"/>
    <x v="1778"/>
    <x v="265"/>
  </r>
  <r>
    <x v="26"/>
    <x v="63"/>
    <x v="3781"/>
    <x v="0"/>
    <x v="0"/>
    <x v="1627"/>
    <x v="726"/>
    <x v="1779"/>
    <x v="265"/>
  </r>
  <r>
    <x v="26"/>
    <x v="64"/>
    <x v="3782"/>
    <x v="0"/>
    <x v="0"/>
    <x v="2464"/>
    <x v="727"/>
    <x v="1780"/>
    <x v="265"/>
  </r>
  <r>
    <x v="26"/>
    <x v="65"/>
    <x v="3783"/>
    <x v="0"/>
    <x v="0"/>
    <x v="1896"/>
    <x v="728"/>
    <x v="1781"/>
    <x v="265"/>
  </r>
  <r>
    <x v="26"/>
    <x v="66"/>
    <x v="3784"/>
    <x v="0"/>
    <x v="0"/>
    <x v="1930"/>
    <x v="729"/>
    <x v="1782"/>
    <x v="265"/>
  </r>
  <r>
    <x v="26"/>
    <x v="67"/>
    <x v="3785"/>
    <x v="0"/>
    <x v="0"/>
    <x v="2878"/>
    <x v="413"/>
    <x v="1783"/>
    <x v="265"/>
  </r>
  <r>
    <x v="26"/>
    <x v="68"/>
    <x v="3786"/>
    <x v="0"/>
    <x v="0"/>
    <x v="2556"/>
    <x v="492"/>
    <x v="1784"/>
    <x v="265"/>
  </r>
  <r>
    <x v="26"/>
    <x v="69"/>
    <x v="3787"/>
    <x v="0"/>
    <x v="0"/>
    <x v="2588"/>
    <x v="730"/>
    <x v="1785"/>
    <x v="265"/>
  </r>
  <r>
    <x v="26"/>
    <x v="70"/>
    <x v="3788"/>
    <x v="0"/>
    <x v="0"/>
    <x v="2653"/>
    <x v="731"/>
    <x v="1786"/>
    <x v="265"/>
  </r>
  <r>
    <x v="26"/>
    <x v="71"/>
    <x v="3789"/>
    <x v="0"/>
    <x v="0"/>
    <x v="2879"/>
    <x v="732"/>
    <x v="1787"/>
    <x v="265"/>
  </r>
  <r>
    <x v="26"/>
    <x v="72"/>
    <x v="3790"/>
    <x v="0"/>
    <x v="0"/>
    <x v="603"/>
    <x v="733"/>
    <x v="1788"/>
    <x v="265"/>
  </r>
  <r>
    <x v="26"/>
    <x v="73"/>
    <x v="3791"/>
    <x v="0"/>
    <x v="0"/>
    <x v="2880"/>
    <x v="734"/>
    <x v="1789"/>
    <x v="266"/>
  </r>
  <r>
    <x v="26"/>
    <x v="74"/>
    <x v="3792"/>
    <x v="0"/>
    <x v="0"/>
    <x v="2881"/>
    <x v="465"/>
    <x v="1790"/>
    <x v="266"/>
  </r>
  <r>
    <x v="26"/>
    <x v="75"/>
    <x v="3793"/>
    <x v="0"/>
    <x v="0"/>
    <x v="2882"/>
    <x v="735"/>
    <x v="1791"/>
    <x v="266"/>
  </r>
  <r>
    <x v="26"/>
    <x v="76"/>
    <x v="3794"/>
    <x v="0"/>
    <x v="0"/>
    <x v="401"/>
    <x v="736"/>
    <x v="1792"/>
    <x v="266"/>
  </r>
  <r>
    <x v="26"/>
    <x v="77"/>
    <x v="3795"/>
    <x v="0"/>
    <x v="0"/>
    <x v="2883"/>
    <x v="677"/>
    <x v="1793"/>
    <x v="266"/>
  </r>
  <r>
    <x v="26"/>
    <x v="78"/>
    <x v="3796"/>
    <x v="0"/>
    <x v="0"/>
    <x v="228"/>
    <x v="737"/>
    <x v="1794"/>
    <x v="266"/>
  </r>
  <r>
    <x v="26"/>
    <x v="79"/>
    <x v="3797"/>
    <x v="0"/>
    <x v="0"/>
    <x v="1164"/>
    <x v="738"/>
    <x v="1795"/>
    <x v="266"/>
  </r>
  <r>
    <x v="26"/>
    <x v="80"/>
    <x v="3798"/>
    <x v="0"/>
    <x v="0"/>
    <x v="2096"/>
    <x v="739"/>
    <x v="1796"/>
    <x v="266"/>
  </r>
  <r>
    <x v="26"/>
    <x v="81"/>
    <x v="3799"/>
    <x v="0"/>
    <x v="0"/>
    <x v="2405"/>
    <x v="64"/>
    <x v="1797"/>
    <x v="266"/>
  </r>
  <r>
    <x v="26"/>
    <x v="82"/>
    <x v="3800"/>
    <x v="0"/>
    <x v="0"/>
    <x v="2884"/>
    <x v="740"/>
    <x v="1798"/>
    <x v="266"/>
  </r>
  <r>
    <x v="26"/>
    <x v="83"/>
    <x v="3801"/>
    <x v="0"/>
    <x v="1"/>
    <x v="1425"/>
    <x v="741"/>
    <x v="1799"/>
    <x v="266"/>
  </r>
  <r>
    <x v="26"/>
    <x v="84"/>
    <x v="3802"/>
    <x v="0"/>
    <x v="0"/>
    <x v="2885"/>
    <x v="742"/>
    <x v="1800"/>
    <x v="266"/>
  </r>
  <r>
    <x v="26"/>
    <x v="85"/>
    <x v="3803"/>
    <x v="0"/>
    <x v="0"/>
    <x v="2886"/>
    <x v="65"/>
    <x v="1801"/>
    <x v="266"/>
  </r>
  <r>
    <x v="26"/>
    <x v="86"/>
    <x v="3804"/>
    <x v="0"/>
    <x v="0"/>
    <x v="2094"/>
    <x v="743"/>
    <x v="1802"/>
    <x v="266"/>
  </r>
  <r>
    <x v="26"/>
    <x v="87"/>
    <x v="3805"/>
    <x v="0"/>
    <x v="0"/>
    <x v="2887"/>
    <x v="744"/>
    <x v="1803"/>
    <x v="267"/>
  </r>
  <r>
    <x v="26"/>
    <x v="88"/>
    <x v="3806"/>
    <x v="0"/>
    <x v="0"/>
    <x v="2888"/>
    <x v="560"/>
    <x v="1804"/>
    <x v="267"/>
  </r>
  <r>
    <x v="26"/>
    <x v="89"/>
    <x v="3807"/>
    <x v="0"/>
    <x v="0"/>
    <x v="2889"/>
    <x v="745"/>
    <x v="1805"/>
    <x v="267"/>
  </r>
  <r>
    <x v="26"/>
    <x v="90"/>
    <x v="3808"/>
    <x v="0"/>
    <x v="0"/>
    <x v="2890"/>
    <x v="745"/>
    <x v="1806"/>
    <x v="267"/>
  </r>
  <r>
    <x v="26"/>
    <x v="91"/>
    <x v="3809"/>
    <x v="0"/>
    <x v="0"/>
    <x v="2891"/>
    <x v="658"/>
    <x v="1807"/>
    <x v="267"/>
  </r>
  <r>
    <x v="26"/>
    <x v="92"/>
    <x v="3810"/>
    <x v="0"/>
    <x v="0"/>
    <x v="2892"/>
    <x v="746"/>
    <x v="1808"/>
    <x v="267"/>
  </r>
  <r>
    <x v="26"/>
    <x v="93"/>
    <x v="3811"/>
    <x v="0"/>
    <x v="0"/>
    <x v="2461"/>
    <x v="131"/>
    <x v="1809"/>
    <x v="267"/>
  </r>
  <r>
    <x v="26"/>
    <x v="94"/>
    <x v="3812"/>
    <x v="0"/>
    <x v="1"/>
    <x v="2073"/>
    <x v="604"/>
    <x v="1810"/>
    <x v="267"/>
  </r>
  <r>
    <x v="26"/>
    <x v="95"/>
    <x v="3813"/>
    <x v="0"/>
    <x v="0"/>
    <x v="2893"/>
    <x v="133"/>
    <x v="1811"/>
    <x v="267"/>
  </r>
  <r>
    <x v="26"/>
    <x v="96"/>
    <x v="3814"/>
    <x v="0"/>
    <x v="0"/>
    <x v="2449"/>
    <x v="199"/>
    <x v="1812"/>
    <x v="267"/>
  </r>
  <r>
    <x v="26"/>
    <x v="97"/>
    <x v="3815"/>
    <x v="0"/>
    <x v="0"/>
    <x v="2688"/>
    <x v="291"/>
    <x v="1813"/>
    <x v="267"/>
  </r>
  <r>
    <x v="26"/>
    <x v="98"/>
    <x v="3816"/>
    <x v="0"/>
    <x v="0"/>
    <x v="2894"/>
    <x v="747"/>
    <x v="1814"/>
    <x v="267"/>
  </r>
  <r>
    <x v="26"/>
    <x v="99"/>
    <x v="3817"/>
    <x v="0"/>
    <x v="1"/>
    <x v="2895"/>
    <x v="309"/>
    <x v="1815"/>
    <x v="267"/>
  </r>
  <r>
    <x v="26"/>
    <x v="100"/>
    <x v="3818"/>
    <x v="0"/>
    <x v="0"/>
    <x v="2896"/>
    <x v="347"/>
    <x v="1816"/>
    <x v="268"/>
  </r>
  <r>
    <x v="26"/>
    <x v="101"/>
    <x v="3819"/>
    <x v="0"/>
    <x v="0"/>
    <x v="2897"/>
    <x v="133"/>
    <x v="1817"/>
    <x v="268"/>
  </r>
  <r>
    <x v="26"/>
    <x v="102"/>
    <x v="3820"/>
    <x v="0"/>
    <x v="0"/>
    <x v="2898"/>
    <x v="497"/>
    <x v="1818"/>
    <x v="268"/>
  </r>
  <r>
    <x v="26"/>
    <x v="103"/>
    <x v="3821"/>
    <x v="0"/>
    <x v="0"/>
    <x v="2899"/>
    <x v="598"/>
    <x v="1819"/>
    <x v="268"/>
  </r>
  <r>
    <x v="26"/>
    <x v="104"/>
    <x v="3822"/>
    <x v="0"/>
    <x v="0"/>
    <x v="2900"/>
    <x v="724"/>
    <x v="1820"/>
    <x v="268"/>
  </r>
  <r>
    <x v="26"/>
    <x v="105"/>
    <x v="3823"/>
    <x v="0"/>
    <x v="1"/>
    <x v="2901"/>
    <x v="748"/>
    <x v="1821"/>
    <x v="268"/>
  </r>
  <r>
    <x v="26"/>
    <x v="106"/>
    <x v="3824"/>
    <x v="0"/>
    <x v="0"/>
    <x v="2902"/>
    <x v="749"/>
    <x v="1822"/>
    <x v="268"/>
  </r>
  <r>
    <x v="26"/>
    <x v="107"/>
    <x v="3825"/>
    <x v="0"/>
    <x v="0"/>
    <x v="2903"/>
    <x v="410"/>
    <x v="1823"/>
    <x v="268"/>
  </r>
  <r>
    <x v="26"/>
    <x v="108"/>
    <x v="3826"/>
    <x v="0"/>
    <x v="0"/>
    <x v="809"/>
    <x v="750"/>
    <x v="1824"/>
    <x v="268"/>
  </r>
  <r>
    <x v="26"/>
    <x v="109"/>
    <x v="3827"/>
    <x v="0"/>
    <x v="0"/>
    <x v="2904"/>
    <x v="751"/>
    <x v="1825"/>
    <x v="268"/>
  </r>
  <r>
    <x v="26"/>
    <x v="110"/>
    <x v="3828"/>
    <x v="0"/>
    <x v="0"/>
    <x v="2905"/>
    <x v="751"/>
    <x v="1826"/>
    <x v="268"/>
  </r>
  <r>
    <x v="26"/>
    <x v="111"/>
    <x v="3829"/>
    <x v="0"/>
    <x v="0"/>
    <x v="2906"/>
    <x v="752"/>
    <x v="1827"/>
    <x v="268"/>
  </r>
  <r>
    <x v="26"/>
    <x v="112"/>
    <x v="3830"/>
    <x v="0"/>
    <x v="0"/>
    <x v="2907"/>
    <x v="753"/>
    <x v="1828"/>
    <x v="268"/>
  </r>
  <r>
    <x v="26"/>
    <x v="113"/>
    <x v="3831"/>
    <x v="0"/>
    <x v="0"/>
    <x v="2908"/>
    <x v="754"/>
    <x v="1829"/>
    <x v="269"/>
  </r>
  <r>
    <x v="26"/>
    <x v="114"/>
    <x v="3832"/>
    <x v="0"/>
    <x v="0"/>
    <x v="2909"/>
    <x v="755"/>
    <x v="1830"/>
    <x v="269"/>
  </r>
  <r>
    <x v="26"/>
    <x v="115"/>
    <x v="3833"/>
    <x v="0"/>
    <x v="0"/>
    <x v="1610"/>
    <x v="756"/>
    <x v="1831"/>
    <x v="269"/>
  </r>
  <r>
    <x v="26"/>
    <x v="116"/>
    <x v="3834"/>
    <x v="0"/>
    <x v="0"/>
    <x v="46"/>
    <x v="757"/>
    <x v="1832"/>
    <x v="269"/>
  </r>
  <r>
    <x v="26"/>
    <x v="117"/>
    <x v="3835"/>
    <x v="0"/>
    <x v="0"/>
    <x v="1862"/>
    <x v="466"/>
    <x v="1833"/>
    <x v="269"/>
  </r>
  <r>
    <x v="26"/>
    <x v="118"/>
    <x v="3836"/>
    <x v="0"/>
    <x v="0"/>
    <x v="1226"/>
    <x v="464"/>
    <x v="1834"/>
    <x v="269"/>
  </r>
  <r>
    <x v="26"/>
    <x v="119"/>
    <x v="3837"/>
    <x v="0"/>
    <x v="0"/>
    <x v="2910"/>
    <x v="758"/>
    <x v="1835"/>
    <x v="269"/>
  </r>
  <r>
    <x v="26"/>
    <x v="120"/>
    <x v="3838"/>
    <x v="0"/>
    <x v="0"/>
    <x v="2911"/>
    <x v="759"/>
    <x v="1836"/>
    <x v="269"/>
  </r>
  <r>
    <x v="26"/>
    <x v="121"/>
    <x v="3839"/>
    <x v="0"/>
    <x v="0"/>
    <x v="1351"/>
    <x v="735"/>
    <x v="1837"/>
    <x v="269"/>
  </r>
  <r>
    <x v="26"/>
    <x v="122"/>
    <x v="3840"/>
    <x v="0"/>
    <x v="0"/>
    <x v="1461"/>
    <x v="760"/>
    <x v="1838"/>
    <x v="269"/>
  </r>
  <r>
    <x v="26"/>
    <x v="123"/>
    <x v="3841"/>
    <x v="0"/>
    <x v="0"/>
    <x v="1134"/>
    <x v="67"/>
    <x v="1839"/>
    <x v="269"/>
  </r>
  <r>
    <x v="26"/>
    <x v="124"/>
    <x v="3842"/>
    <x v="0"/>
    <x v="0"/>
    <x v="2912"/>
    <x v="439"/>
    <x v="1840"/>
    <x v="269"/>
  </r>
  <r>
    <x v="26"/>
    <x v="125"/>
    <x v="3843"/>
    <x v="0"/>
    <x v="0"/>
    <x v="2493"/>
    <x v="224"/>
    <x v="1841"/>
    <x v="269"/>
  </r>
  <r>
    <x v="26"/>
    <x v="126"/>
    <x v="3844"/>
    <x v="0"/>
    <x v="0"/>
    <x v="2913"/>
    <x v="243"/>
    <x v="1842"/>
    <x v="270"/>
  </r>
  <r>
    <x v="26"/>
    <x v="127"/>
    <x v="3845"/>
    <x v="0"/>
    <x v="0"/>
    <x v="2914"/>
    <x v="604"/>
    <x v="1843"/>
    <x v="270"/>
  </r>
  <r>
    <x v="26"/>
    <x v="128"/>
    <x v="3846"/>
    <x v="0"/>
    <x v="0"/>
    <x v="2915"/>
    <x v="565"/>
    <x v="1844"/>
    <x v="270"/>
  </r>
  <r>
    <x v="26"/>
    <x v="129"/>
    <x v="3847"/>
    <x v="0"/>
    <x v="0"/>
    <x v="1616"/>
    <x v="227"/>
    <x v="1845"/>
    <x v="270"/>
  </r>
  <r>
    <x v="26"/>
    <x v="130"/>
    <x v="3848"/>
    <x v="0"/>
    <x v="0"/>
    <x v="1686"/>
    <x v="761"/>
    <x v="1846"/>
    <x v="270"/>
  </r>
  <r>
    <x v="26"/>
    <x v="131"/>
    <x v="3849"/>
    <x v="0"/>
    <x v="0"/>
    <x v="1355"/>
    <x v="762"/>
    <x v="1847"/>
    <x v="270"/>
  </r>
  <r>
    <x v="26"/>
    <x v="132"/>
    <x v="3850"/>
    <x v="0"/>
    <x v="0"/>
    <x v="2289"/>
    <x v="442"/>
    <x v="1848"/>
    <x v="270"/>
  </r>
  <r>
    <x v="26"/>
    <x v="133"/>
    <x v="3851"/>
    <x v="0"/>
    <x v="0"/>
    <x v="2916"/>
    <x v="688"/>
    <x v="1849"/>
    <x v="270"/>
  </r>
  <r>
    <x v="26"/>
    <x v="134"/>
    <x v="3852"/>
    <x v="0"/>
    <x v="0"/>
    <x v="1403"/>
    <x v="763"/>
    <x v="1850"/>
    <x v="270"/>
  </r>
  <r>
    <x v="26"/>
    <x v="135"/>
    <x v="3853"/>
    <x v="0"/>
    <x v="1"/>
    <x v="83"/>
    <x v="764"/>
    <x v="1851"/>
    <x v="270"/>
  </r>
  <r>
    <x v="26"/>
    <x v="136"/>
    <x v="3854"/>
    <x v="0"/>
    <x v="0"/>
    <x v="998"/>
    <x v="449"/>
    <x v="1852"/>
    <x v="270"/>
  </r>
  <r>
    <x v="26"/>
    <x v="137"/>
    <x v="3855"/>
    <x v="0"/>
    <x v="0"/>
    <x v="2917"/>
    <x v="765"/>
    <x v="1853"/>
    <x v="270"/>
  </r>
  <r>
    <x v="26"/>
    <x v="138"/>
    <x v="3856"/>
    <x v="0"/>
    <x v="0"/>
    <x v="2918"/>
    <x v="766"/>
    <x v="1854"/>
    <x v="270"/>
  </r>
  <r>
    <x v="26"/>
    <x v="139"/>
    <x v="3857"/>
    <x v="0"/>
    <x v="0"/>
    <x v="2857"/>
    <x v="411"/>
    <x v="1855"/>
    <x v="271"/>
  </r>
  <r>
    <x v="26"/>
    <x v="140"/>
    <x v="3858"/>
    <x v="0"/>
    <x v="0"/>
    <x v="2919"/>
    <x v="451"/>
    <x v="1856"/>
    <x v="271"/>
  </r>
  <r>
    <x v="26"/>
    <x v="141"/>
    <x v="3859"/>
    <x v="0"/>
    <x v="0"/>
    <x v="2920"/>
    <x v="767"/>
    <x v="1857"/>
    <x v="271"/>
  </r>
  <r>
    <x v="26"/>
    <x v="142"/>
    <x v="3860"/>
    <x v="0"/>
    <x v="0"/>
    <x v="2921"/>
    <x v="768"/>
    <x v="1858"/>
    <x v="271"/>
  </r>
  <r>
    <x v="27"/>
    <x v="0"/>
    <x v="3861"/>
    <x v="0"/>
    <x v="0"/>
    <x v="1372"/>
    <x v="357"/>
    <x v="429"/>
    <x v="120"/>
  </r>
  <r>
    <x v="27"/>
    <x v="1"/>
    <x v="3862"/>
    <x v="0"/>
    <x v="1"/>
    <x v="1373"/>
    <x v="473"/>
    <x v="430"/>
    <x v="120"/>
  </r>
  <r>
    <x v="27"/>
    <x v="2"/>
    <x v="3863"/>
    <x v="0"/>
    <x v="0"/>
    <x v="1374"/>
    <x v="359"/>
    <x v="431"/>
    <x v="120"/>
  </r>
  <r>
    <x v="27"/>
    <x v="3"/>
    <x v="3864"/>
    <x v="0"/>
    <x v="0"/>
    <x v="1375"/>
    <x v="360"/>
    <x v="432"/>
    <x v="120"/>
  </r>
  <r>
    <x v="27"/>
    <x v="4"/>
    <x v="3865"/>
    <x v="0"/>
    <x v="0"/>
    <x v="1376"/>
    <x v="474"/>
    <x v="433"/>
    <x v="120"/>
  </r>
  <r>
    <x v="27"/>
    <x v="5"/>
    <x v="3866"/>
    <x v="0"/>
    <x v="0"/>
    <x v="1377"/>
    <x v="475"/>
    <x v="434"/>
    <x v="120"/>
  </r>
  <r>
    <x v="27"/>
    <x v="6"/>
    <x v="3867"/>
    <x v="0"/>
    <x v="0"/>
    <x v="1378"/>
    <x v="363"/>
    <x v="435"/>
    <x v="120"/>
  </r>
  <r>
    <x v="27"/>
    <x v="7"/>
    <x v="3868"/>
    <x v="0"/>
    <x v="0"/>
    <x v="1379"/>
    <x v="476"/>
    <x v="436"/>
    <x v="120"/>
  </r>
  <r>
    <x v="27"/>
    <x v="8"/>
    <x v="3869"/>
    <x v="0"/>
    <x v="0"/>
    <x v="1380"/>
    <x v="364"/>
    <x v="437"/>
    <x v="121"/>
  </r>
  <r>
    <x v="27"/>
    <x v="9"/>
    <x v="3870"/>
    <x v="0"/>
    <x v="0"/>
    <x v="935"/>
    <x v="477"/>
    <x v="438"/>
    <x v="121"/>
  </r>
  <r>
    <x v="27"/>
    <x v="10"/>
    <x v="3871"/>
    <x v="0"/>
    <x v="0"/>
    <x v="1048"/>
    <x v="366"/>
    <x v="439"/>
    <x v="121"/>
  </r>
  <r>
    <x v="27"/>
    <x v="11"/>
    <x v="3872"/>
    <x v="0"/>
    <x v="0"/>
    <x v="1381"/>
    <x v="367"/>
    <x v="440"/>
    <x v="121"/>
  </r>
  <r>
    <x v="27"/>
    <x v="12"/>
    <x v="3873"/>
    <x v="0"/>
    <x v="0"/>
    <x v="1382"/>
    <x v="368"/>
    <x v="441"/>
    <x v="121"/>
  </r>
  <r>
    <x v="27"/>
    <x v="13"/>
    <x v="3874"/>
    <x v="0"/>
    <x v="0"/>
    <x v="1383"/>
    <x v="369"/>
    <x v="442"/>
    <x v="121"/>
  </r>
  <r>
    <x v="27"/>
    <x v="14"/>
    <x v="3875"/>
    <x v="0"/>
    <x v="0"/>
    <x v="1384"/>
    <x v="370"/>
    <x v="443"/>
    <x v="121"/>
  </r>
  <r>
    <x v="27"/>
    <x v="15"/>
    <x v="3876"/>
    <x v="0"/>
    <x v="0"/>
    <x v="1385"/>
    <x v="371"/>
    <x v="444"/>
    <x v="121"/>
  </r>
  <r>
    <x v="27"/>
    <x v="16"/>
    <x v="3877"/>
    <x v="0"/>
    <x v="0"/>
    <x v="61"/>
    <x v="179"/>
    <x v="445"/>
    <x v="121"/>
  </r>
  <r>
    <x v="27"/>
    <x v="17"/>
    <x v="3878"/>
    <x v="0"/>
    <x v="0"/>
    <x v="1386"/>
    <x v="372"/>
    <x v="446"/>
    <x v="121"/>
  </r>
  <r>
    <x v="27"/>
    <x v="18"/>
    <x v="3879"/>
    <x v="0"/>
    <x v="0"/>
    <x v="1387"/>
    <x v="478"/>
    <x v="447"/>
    <x v="121"/>
  </r>
  <r>
    <x v="27"/>
    <x v="19"/>
    <x v="3880"/>
    <x v="0"/>
    <x v="0"/>
    <x v="536"/>
    <x v="479"/>
    <x v="448"/>
    <x v="121"/>
  </r>
  <r>
    <x v="27"/>
    <x v="20"/>
    <x v="3881"/>
    <x v="0"/>
    <x v="0"/>
    <x v="1388"/>
    <x v="375"/>
    <x v="449"/>
    <x v="121"/>
  </r>
  <r>
    <x v="27"/>
    <x v="21"/>
    <x v="3882"/>
    <x v="0"/>
    <x v="0"/>
    <x v="1389"/>
    <x v="368"/>
    <x v="450"/>
    <x v="122"/>
  </r>
  <r>
    <x v="27"/>
    <x v="22"/>
    <x v="3883"/>
    <x v="0"/>
    <x v="0"/>
    <x v="1390"/>
    <x v="377"/>
    <x v="451"/>
    <x v="122"/>
  </r>
  <r>
    <x v="27"/>
    <x v="23"/>
    <x v="3884"/>
    <x v="0"/>
    <x v="0"/>
    <x v="1391"/>
    <x v="480"/>
    <x v="452"/>
    <x v="122"/>
  </r>
  <r>
    <x v="27"/>
    <x v="24"/>
    <x v="3885"/>
    <x v="0"/>
    <x v="0"/>
    <x v="1392"/>
    <x v="96"/>
    <x v="453"/>
    <x v="122"/>
  </r>
  <r>
    <x v="27"/>
    <x v="25"/>
    <x v="3886"/>
    <x v="0"/>
    <x v="0"/>
    <x v="1393"/>
    <x v="176"/>
    <x v="454"/>
    <x v="122"/>
  </r>
  <r>
    <x v="27"/>
    <x v="26"/>
    <x v="3887"/>
    <x v="0"/>
    <x v="0"/>
    <x v="1394"/>
    <x v="379"/>
    <x v="455"/>
    <x v="122"/>
  </r>
  <r>
    <x v="27"/>
    <x v="27"/>
    <x v="3888"/>
    <x v="0"/>
    <x v="0"/>
    <x v="1395"/>
    <x v="95"/>
    <x v="456"/>
    <x v="122"/>
  </r>
  <r>
    <x v="27"/>
    <x v="28"/>
    <x v="3889"/>
    <x v="0"/>
    <x v="0"/>
    <x v="1396"/>
    <x v="381"/>
    <x v="457"/>
    <x v="122"/>
  </r>
  <r>
    <x v="27"/>
    <x v="29"/>
    <x v="3890"/>
    <x v="0"/>
    <x v="0"/>
    <x v="1397"/>
    <x v="97"/>
    <x v="458"/>
    <x v="122"/>
  </r>
  <r>
    <x v="27"/>
    <x v="30"/>
    <x v="3891"/>
    <x v="0"/>
    <x v="0"/>
    <x v="1398"/>
    <x v="180"/>
    <x v="459"/>
    <x v="122"/>
  </r>
  <r>
    <x v="27"/>
    <x v="31"/>
    <x v="3892"/>
    <x v="0"/>
    <x v="1"/>
    <x v="360"/>
    <x v="481"/>
    <x v="460"/>
    <x v="122"/>
  </r>
  <r>
    <x v="27"/>
    <x v="32"/>
    <x v="3893"/>
    <x v="0"/>
    <x v="0"/>
    <x v="1399"/>
    <x v="383"/>
    <x v="461"/>
    <x v="122"/>
  </r>
  <r>
    <x v="27"/>
    <x v="33"/>
    <x v="3894"/>
    <x v="0"/>
    <x v="0"/>
    <x v="1400"/>
    <x v="384"/>
    <x v="462"/>
    <x v="122"/>
  </r>
  <r>
    <x v="27"/>
    <x v="34"/>
    <x v="3895"/>
    <x v="0"/>
    <x v="0"/>
    <x v="1401"/>
    <x v="385"/>
    <x v="463"/>
    <x v="123"/>
  </r>
  <r>
    <x v="27"/>
    <x v="35"/>
    <x v="3896"/>
    <x v="0"/>
    <x v="0"/>
    <x v="1402"/>
    <x v="482"/>
    <x v="464"/>
    <x v="123"/>
  </r>
  <r>
    <x v="27"/>
    <x v="36"/>
    <x v="3897"/>
    <x v="0"/>
    <x v="0"/>
    <x v="1403"/>
    <x v="47"/>
    <x v="465"/>
    <x v="123"/>
  </r>
  <r>
    <x v="27"/>
    <x v="37"/>
    <x v="3898"/>
    <x v="0"/>
    <x v="0"/>
    <x v="1404"/>
    <x v="388"/>
    <x v="466"/>
    <x v="123"/>
  </r>
  <r>
    <x v="27"/>
    <x v="38"/>
    <x v="3899"/>
    <x v="0"/>
    <x v="0"/>
    <x v="1405"/>
    <x v="49"/>
    <x v="467"/>
    <x v="123"/>
  </r>
  <r>
    <x v="27"/>
    <x v="39"/>
    <x v="3900"/>
    <x v="0"/>
    <x v="0"/>
    <x v="1406"/>
    <x v="97"/>
    <x v="468"/>
    <x v="123"/>
  </r>
  <r>
    <x v="27"/>
    <x v="40"/>
    <x v="3901"/>
    <x v="0"/>
    <x v="0"/>
    <x v="5"/>
    <x v="389"/>
    <x v="469"/>
    <x v="123"/>
  </r>
  <r>
    <x v="27"/>
    <x v="41"/>
    <x v="3902"/>
    <x v="0"/>
    <x v="0"/>
    <x v="1407"/>
    <x v="483"/>
    <x v="470"/>
    <x v="123"/>
  </r>
  <r>
    <x v="27"/>
    <x v="42"/>
    <x v="3903"/>
    <x v="0"/>
    <x v="1"/>
    <x v="1408"/>
    <x v="392"/>
    <x v="471"/>
    <x v="123"/>
  </r>
  <r>
    <x v="27"/>
    <x v="43"/>
    <x v="3904"/>
    <x v="0"/>
    <x v="0"/>
    <x v="1409"/>
    <x v="381"/>
    <x v="472"/>
    <x v="123"/>
  </r>
  <r>
    <x v="27"/>
    <x v="44"/>
    <x v="3905"/>
    <x v="0"/>
    <x v="0"/>
    <x v="1410"/>
    <x v="484"/>
    <x v="473"/>
    <x v="123"/>
  </r>
  <r>
    <x v="27"/>
    <x v="45"/>
    <x v="3906"/>
    <x v="0"/>
    <x v="0"/>
    <x v="1152"/>
    <x v="92"/>
    <x v="474"/>
    <x v="123"/>
  </r>
  <r>
    <x v="27"/>
    <x v="46"/>
    <x v="3907"/>
    <x v="0"/>
    <x v="0"/>
    <x v="1411"/>
    <x v="92"/>
    <x v="475"/>
    <x v="123"/>
  </r>
  <r>
    <x v="27"/>
    <x v="47"/>
    <x v="3908"/>
    <x v="0"/>
    <x v="1"/>
    <x v="930"/>
    <x v="395"/>
    <x v="476"/>
    <x v="123"/>
  </r>
  <r>
    <x v="27"/>
    <x v="48"/>
    <x v="3909"/>
    <x v="0"/>
    <x v="0"/>
    <x v="1412"/>
    <x v="396"/>
    <x v="477"/>
    <x v="124"/>
  </r>
  <r>
    <x v="27"/>
    <x v="49"/>
    <x v="3910"/>
    <x v="0"/>
    <x v="0"/>
    <x v="1413"/>
    <x v="397"/>
    <x v="478"/>
    <x v="124"/>
  </r>
  <r>
    <x v="27"/>
    <x v="50"/>
    <x v="3911"/>
    <x v="0"/>
    <x v="0"/>
    <x v="1414"/>
    <x v="485"/>
    <x v="479"/>
    <x v="124"/>
  </r>
  <r>
    <x v="27"/>
    <x v="51"/>
    <x v="3912"/>
    <x v="0"/>
    <x v="0"/>
    <x v="331"/>
    <x v="486"/>
    <x v="480"/>
    <x v="124"/>
  </r>
  <r>
    <x v="27"/>
    <x v="52"/>
    <x v="3913"/>
    <x v="0"/>
    <x v="0"/>
    <x v="1415"/>
    <x v="400"/>
    <x v="481"/>
    <x v="124"/>
  </r>
  <r>
    <x v="27"/>
    <x v="53"/>
    <x v="3914"/>
    <x v="0"/>
    <x v="1"/>
    <x v="1416"/>
    <x v="401"/>
    <x v="482"/>
    <x v="124"/>
  </r>
  <r>
    <x v="27"/>
    <x v="54"/>
    <x v="3915"/>
    <x v="0"/>
    <x v="0"/>
    <x v="329"/>
    <x v="402"/>
    <x v="483"/>
    <x v="124"/>
  </r>
  <r>
    <x v="27"/>
    <x v="55"/>
    <x v="3916"/>
    <x v="0"/>
    <x v="0"/>
    <x v="1417"/>
    <x v="487"/>
    <x v="484"/>
    <x v="124"/>
  </r>
  <r>
    <x v="27"/>
    <x v="56"/>
    <x v="3917"/>
    <x v="0"/>
    <x v="0"/>
    <x v="1005"/>
    <x v="404"/>
    <x v="485"/>
    <x v="124"/>
  </r>
  <r>
    <x v="27"/>
    <x v="57"/>
    <x v="3918"/>
    <x v="0"/>
    <x v="0"/>
    <x v="643"/>
    <x v="408"/>
    <x v="486"/>
    <x v="124"/>
  </r>
  <r>
    <x v="27"/>
    <x v="58"/>
    <x v="3919"/>
    <x v="0"/>
    <x v="0"/>
    <x v="913"/>
    <x v="488"/>
    <x v="487"/>
    <x v="124"/>
  </r>
  <r>
    <x v="27"/>
    <x v="59"/>
    <x v="3920"/>
    <x v="0"/>
    <x v="0"/>
    <x v="1418"/>
    <x v="489"/>
    <x v="488"/>
    <x v="124"/>
  </r>
  <r>
    <x v="27"/>
    <x v="60"/>
    <x v="3921"/>
    <x v="0"/>
    <x v="0"/>
    <x v="1419"/>
    <x v="407"/>
    <x v="489"/>
    <x v="125"/>
  </r>
  <r>
    <x v="27"/>
    <x v="61"/>
    <x v="3922"/>
    <x v="0"/>
    <x v="0"/>
    <x v="1420"/>
    <x v="490"/>
    <x v="490"/>
    <x v="125"/>
  </r>
  <r>
    <x v="27"/>
    <x v="62"/>
    <x v="3923"/>
    <x v="0"/>
    <x v="0"/>
    <x v="1421"/>
    <x v="491"/>
    <x v="491"/>
    <x v="125"/>
  </r>
  <r>
    <x v="27"/>
    <x v="63"/>
    <x v="3924"/>
    <x v="0"/>
    <x v="0"/>
    <x v="1422"/>
    <x v="492"/>
    <x v="492"/>
    <x v="125"/>
  </r>
  <r>
    <x v="27"/>
    <x v="64"/>
    <x v="3925"/>
    <x v="0"/>
    <x v="0"/>
    <x v="1423"/>
    <x v="411"/>
    <x v="493"/>
    <x v="125"/>
  </r>
  <r>
    <x v="27"/>
    <x v="65"/>
    <x v="3926"/>
    <x v="0"/>
    <x v="0"/>
    <x v="1424"/>
    <x v="412"/>
    <x v="494"/>
    <x v="125"/>
  </r>
  <r>
    <x v="27"/>
    <x v="66"/>
    <x v="3927"/>
    <x v="0"/>
    <x v="0"/>
    <x v="1425"/>
    <x v="413"/>
    <x v="495"/>
    <x v="125"/>
  </r>
  <r>
    <x v="27"/>
    <x v="67"/>
    <x v="3928"/>
    <x v="0"/>
    <x v="0"/>
    <x v="1426"/>
    <x v="493"/>
    <x v="496"/>
    <x v="125"/>
  </r>
  <r>
    <x v="27"/>
    <x v="68"/>
    <x v="3929"/>
    <x v="0"/>
    <x v="0"/>
    <x v="1164"/>
    <x v="494"/>
    <x v="497"/>
    <x v="125"/>
  </r>
  <r>
    <x v="27"/>
    <x v="69"/>
    <x v="3930"/>
    <x v="0"/>
    <x v="0"/>
    <x v="1427"/>
    <x v="495"/>
    <x v="498"/>
    <x v="125"/>
  </r>
  <r>
    <x v="27"/>
    <x v="70"/>
    <x v="3931"/>
    <x v="0"/>
    <x v="0"/>
    <x v="1428"/>
    <x v="417"/>
    <x v="499"/>
    <x v="125"/>
  </r>
  <r>
    <x v="27"/>
    <x v="71"/>
    <x v="3932"/>
    <x v="0"/>
    <x v="0"/>
    <x v="611"/>
    <x v="418"/>
    <x v="500"/>
    <x v="125"/>
  </r>
  <r>
    <x v="27"/>
    <x v="72"/>
    <x v="3933"/>
    <x v="0"/>
    <x v="0"/>
    <x v="1102"/>
    <x v="496"/>
    <x v="501"/>
    <x v="125"/>
  </r>
  <r>
    <x v="27"/>
    <x v="73"/>
    <x v="3934"/>
    <x v="0"/>
    <x v="0"/>
    <x v="1429"/>
    <x v="419"/>
    <x v="502"/>
    <x v="126"/>
  </r>
  <r>
    <x v="27"/>
    <x v="74"/>
    <x v="3935"/>
    <x v="0"/>
    <x v="0"/>
    <x v="1430"/>
    <x v="497"/>
    <x v="503"/>
    <x v="126"/>
  </r>
  <r>
    <x v="27"/>
    <x v="75"/>
    <x v="3936"/>
    <x v="0"/>
    <x v="0"/>
    <x v="1431"/>
    <x v="488"/>
    <x v="504"/>
    <x v="126"/>
  </r>
  <r>
    <x v="27"/>
    <x v="76"/>
    <x v="3937"/>
    <x v="0"/>
    <x v="0"/>
    <x v="1432"/>
    <x v="423"/>
    <x v="505"/>
    <x v="126"/>
  </r>
  <r>
    <x v="27"/>
    <x v="77"/>
    <x v="3938"/>
    <x v="0"/>
    <x v="0"/>
    <x v="1433"/>
    <x v="498"/>
    <x v="506"/>
    <x v="126"/>
  </r>
  <r>
    <x v="27"/>
    <x v="78"/>
    <x v="3939"/>
    <x v="0"/>
    <x v="0"/>
    <x v="1434"/>
    <x v="422"/>
    <x v="507"/>
    <x v="126"/>
  </r>
  <r>
    <x v="27"/>
    <x v="79"/>
    <x v="3940"/>
    <x v="0"/>
    <x v="0"/>
    <x v="1435"/>
    <x v="430"/>
    <x v="508"/>
    <x v="126"/>
  </r>
  <r>
    <x v="27"/>
    <x v="80"/>
    <x v="3941"/>
    <x v="0"/>
    <x v="0"/>
    <x v="1436"/>
    <x v="61"/>
    <x v="509"/>
    <x v="126"/>
  </r>
  <r>
    <x v="27"/>
    <x v="81"/>
    <x v="3942"/>
    <x v="0"/>
    <x v="0"/>
    <x v="1437"/>
    <x v="499"/>
    <x v="510"/>
    <x v="126"/>
  </r>
  <r>
    <x v="27"/>
    <x v="82"/>
    <x v="3943"/>
    <x v="0"/>
    <x v="0"/>
    <x v="1438"/>
    <x v="424"/>
    <x v="511"/>
    <x v="126"/>
  </r>
  <r>
    <x v="27"/>
    <x v="83"/>
    <x v="3944"/>
    <x v="0"/>
    <x v="1"/>
    <x v="1439"/>
    <x v="500"/>
    <x v="512"/>
    <x v="126"/>
  </r>
  <r>
    <x v="27"/>
    <x v="84"/>
    <x v="3945"/>
    <x v="0"/>
    <x v="0"/>
    <x v="1440"/>
    <x v="501"/>
    <x v="513"/>
    <x v="126"/>
  </r>
  <r>
    <x v="27"/>
    <x v="85"/>
    <x v="3946"/>
    <x v="0"/>
    <x v="0"/>
    <x v="781"/>
    <x v="353"/>
    <x v="514"/>
    <x v="126"/>
  </r>
  <r>
    <x v="27"/>
    <x v="86"/>
    <x v="3947"/>
    <x v="0"/>
    <x v="0"/>
    <x v="1285"/>
    <x v="112"/>
    <x v="515"/>
    <x v="126"/>
  </r>
  <r>
    <x v="27"/>
    <x v="87"/>
    <x v="3948"/>
    <x v="0"/>
    <x v="0"/>
    <x v="1441"/>
    <x v="426"/>
    <x v="516"/>
    <x v="127"/>
  </r>
  <r>
    <x v="27"/>
    <x v="88"/>
    <x v="3949"/>
    <x v="0"/>
    <x v="0"/>
    <x v="1442"/>
    <x v="498"/>
    <x v="517"/>
    <x v="127"/>
  </r>
  <r>
    <x v="27"/>
    <x v="89"/>
    <x v="3950"/>
    <x v="0"/>
    <x v="0"/>
    <x v="1443"/>
    <x v="419"/>
    <x v="518"/>
    <x v="127"/>
  </r>
  <r>
    <x v="27"/>
    <x v="90"/>
    <x v="3951"/>
    <x v="0"/>
    <x v="0"/>
    <x v="12"/>
    <x v="502"/>
    <x v="519"/>
    <x v="127"/>
  </r>
  <r>
    <x v="27"/>
    <x v="91"/>
    <x v="3952"/>
    <x v="0"/>
    <x v="0"/>
    <x v="1444"/>
    <x v="296"/>
    <x v="520"/>
    <x v="127"/>
  </r>
  <r>
    <x v="27"/>
    <x v="92"/>
    <x v="3953"/>
    <x v="0"/>
    <x v="0"/>
    <x v="1445"/>
    <x v="503"/>
    <x v="521"/>
    <x v="127"/>
  </r>
  <r>
    <x v="27"/>
    <x v="93"/>
    <x v="3954"/>
    <x v="0"/>
    <x v="0"/>
    <x v="1446"/>
    <x v="504"/>
    <x v="522"/>
    <x v="127"/>
  </r>
  <r>
    <x v="27"/>
    <x v="94"/>
    <x v="3955"/>
    <x v="0"/>
    <x v="1"/>
    <x v="1447"/>
    <x v="60"/>
    <x v="523"/>
    <x v="127"/>
  </r>
  <r>
    <x v="27"/>
    <x v="95"/>
    <x v="3956"/>
    <x v="0"/>
    <x v="0"/>
    <x v="1448"/>
    <x v="430"/>
    <x v="524"/>
    <x v="127"/>
  </r>
  <r>
    <x v="27"/>
    <x v="96"/>
    <x v="3957"/>
    <x v="0"/>
    <x v="0"/>
    <x v="1449"/>
    <x v="431"/>
    <x v="525"/>
    <x v="127"/>
  </r>
  <r>
    <x v="27"/>
    <x v="97"/>
    <x v="3958"/>
    <x v="0"/>
    <x v="0"/>
    <x v="1450"/>
    <x v="505"/>
    <x v="526"/>
    <x v="127"/>
  </r>
  <r>
    <x v="27"/>
    <x v="98"/>
    <x v="3959"/>
    <x v="0"/>
    <x v="0"/>
    <x v="1451"/>
    <x v="222"/>
    <x v="527"/>
    <x v="127"/>
  </r>
  <r>
    <x v="27"/>
    <x v="99"/>
    <x v="3960"/>
    <x v="0"/>
    <x v="1"/>
    <x v="1452"/>
    <x v="433"/>
    <x v="528"/>
    <x v="127"/>
  </r>
  <r>
    <x v="27"/>
    <x v="100"/>
    <x v="3961"/>
    <x v="0"/>
    <x v="0"/>
    <x v="1453"/>
    <x v="506"/>
    <x v="529"/>
    <x v="128"/>
  </r>
  <r>
    <x v="27"/>
    <x v="101"/>
    <x v="3962"/>
    <x v="0"/>
    <x v="0"/>
    <x v="1454"/>
    <x v="507"/>
    <x v="530"/>
    <x v="128"/>
  </r>
  <r>
    <x v="27"/>
    <x v="102"/>
    <x v="3963"/>
    <x v="0"/>
    <x v="0"/>
    <x v="717"/>
    <x v="436"/>
    <x v="531"/>
    <x v="128"/>
  </r>
  <r>
    <x v="27"/>
    <x v="103"/>
    <x v="3964"/>
    <x v="0"/>
    <x v="0"/>
    <x v="1453"/>
    <x v="437"/>
    <x v="532"/>
    <x v="128"/>
  </r>
  <r>
    <x v="27"/>
    <x v="104"/>
    <x v="3965"/>
    <x v="0"/>
    <x v="0"/>
    <x v="1455"/>
    <x v="508"/>
    <x v="533"/>
    <x v="128"/>
  </r>
  <r>
    <x v="27"/>
    <x v="105"/>
    <x v="3966"/>
    <x v="0"/>
    <x v="1"/>
    <x v="1456"/>
    <x v="439"/>
    <x v="534"/>
    <x v="128"/>
  </r>
  <r>
    <x v="27"/>
    <x v="106"/>
    <x v="3967"/>
    <x v="0"/>
    <x v="0"/>
    <x v="1047"/>
    <x v="187"/>
    <x v="535"/>
    <x v="128"/>
  </r>
  <r>
    <x v="27"/>
    <x v="107"/>
    <x v="3968"/>
    <x v="0"/>
    <x v="0"/>
    <x v="1457"/>
    <x v="440"/>
    <x v="536"/>
    <x v="128"/>
  </r>
  <r>
    <x v="27"/>
    <x v="108"/>
    <x v="3969"/>
    <x v="0"/>
    <x v="0"/>
    <x v="1456"/>
    <x v="509"/>
    <x v="537"/>
    <x v="128"/>
  </r>
  <r>
    <x v="27"/>
    <x v="109"/>
    <x v="3970"/>
    <x v="0"/>
    <x v="0"/>
    <x v="1458"/>
    <x v="510"/>
    <x v="538"/>
    <x v="128"/>
  </r>
  <r>
    <x v="27"/>
    <x v="110"/>
    <x v="3971"/>
    <x v="0"/>
    <x v="0"/>
    <x v="647"/>
    <x v="443"/>
    <x v="539"/>
    <x v="128"/>
  </r>
  <r>
    <x v="27"/>
    <x v="111"/>
    <x v="3972"/>
    <x v="0"/>
    <x v="0"/>
    <x v="1459"/>
    <x v="511"/>
    <x v="540"/>
    <x v="128"/>
  </r>
  <r>
    <x v="27"/>
    <x v="112"/>
    <x v="3973"/>
    <x v="0"/>
    <x v="0"/>
    <x v="1460"/>
    <x v="445"/>
    <x v="541"/>
    <x v="128"/>
  </r>
  <r>
    <x v="27"/>
    <x v="113"/>
    <x v="3974"/>
    <x v="0"/>
    <x v="0"/>
    <x v="1461"/>
    <x v="512"/>
    <x v="542"/>
    <x v="129"/>
  </r>
  <r>
    <x v="27"/>
    <x v="114"/>
    <x v="3975"/>
    <x v="0"/>
    <x v="0"/>
    <x v="1462"/>
    <x v="447"/>
    <x v="543"/>
    <x v="129"/>
  </r>
  <r>
    <x v="27"/>
    <x v="115"/>
    <x v="3976"/>
    <x v="0"/>
    <x v="0"/>
    <x v="1463"/>
    <x v="513"/>
    <x v="544"/>
    <x v="129"/>
  </r>
  <r>
    <x v="27"/>
    <x v="116"/>
    <x v="3977"/>
    <x v="0"/>
    <x v="0"/>
    <x v="492"/>
    <x v="412"/>
    <x v="545"/>
    <x v="129"/>
  </r>
  <r>
    <x v="27"/>
    <x v="117"/>
    <x v="3978"/>
    <x v="0"/>
    <x v="0"/>
    <x v="1248"/>
    <x v="514"/>
    <x v="546"/>
    <x v="129"/>
  </r>
  <r>
    <x v="27"/>
    <x v="118"/>
    <x v="3979"/>
    <x v="0"/>
    <x v="0"/>
    <x v="1464"/>
    <x v="451"/>
    <x v="547"/>
    <x v="129"/>
  </r>
  <r>
    <x v="27"/>
    <x v="119"/>
    <x v="3980"/>
    <x v="0"/>
    <x v="0"/>
    <x v="1465"/>
    <x v="515"/>
    <x v="548"/>
    <x v="129"/>
  </r>
  <r>
    <x v="27"/>
    <x v="120"/>
    <x v="3981"/>
    <x v="0"/>
    <x v="0"/>
    <x v="1466"/>
    <x v="516"/>
    <x v="549"/>
    <x v="129"/>
  </r>
  <r>
    <x v="27"/>
    <x v="121"/>
    <x v="3982"/>
    <x v="0"/>
    <x v="0"/>
    <x v="530"/>
    <x v="454"/>
    <x v="550"/>
    <x v="129"/>
  </r>
  <r>
    <x v="27"/>
    <x v="122"/>
    <x v="3983"/>
    <x v="0"/>
    <x v="0"/>
    <x v="1467"/>
    <x v="455"/>
    <x v="551"/>
    <x v="129"/>
  </r>
  <r>
    <x v="27"/>
    <x v="123"/>
    <x v="3984"/>
    <x v="0"/>
    <x v="0"/>
    <x v="1468"/>
    <x v="456"/>
    <x v="552"/>
    <x v="129"/>
  </r>
  <r>
    <x v="27"/>
    <x v="124"/>
    <x v="3985"/>
    <x v="0"/>
    <x v="0"/>
    <x v="1218"/>
    <x v="457"/>
    <x v="553"/>
    <x v="129"/>
  </r>
  <r>
    <x v="27"/>
    <x v="125"/>
    <x v="3986"/>
    <x v="0"/>
    <x v="0"/>
    <x v="1469"/>
    <x v="458"/>
    <x v="554"/>
    <x v="129"/>
  </r>
  <r>
    <x v="27"/>
    <x v="126"/>
    <x v="3987"/>
    <x v="0"/>
    <x v="0"/>
    <x v="1470"/>
    <x v="352"/>
    <x v="555"/>
    <x v="130"/>
  </r>
  <r>
    <x v="27"/>
    <x v="127"/>
    <x v="3988"/>
    <x v="0"/>
    <x v="0"/>
    <x v="1471"/>
    <x v="344"/>
    <x v="556"/>
    <x v="130"/>
  </r>
  <r>
    <x v="27"/>
    <x v="128"/>
    <x v="3989"/>
    <x v="0"/>
    <x v="0"/>
    <x v="1472"/>
    <x v="517"/>
    <x v="557"/>
    <x v="130"/>
  </r>
  <r>
    <x v="27"/>
    <x v="129"/>
    <x v="3990"/>
    <x v="0"/>
    <x v="0"/>
    <x v="1473"/>
    <x v="460"/>
    <x v="558"/>
    <x v="130"/>
  </r>
  <r>
    <x v="27"/>
    <x v="130"/>
    <x v="3991"/>
    <x v="0"/>
    <x v="0"/>
    <x v="1474"/>
    <x v="355"/>
    <x v="559"/>
    <x v="130"/>
  </r>
  <r>
    <x v="27"/>
    <x v="131"/>
    <x v="3992"/>
    <x v="0"/>
    <x v="0"/>
    <x v="1475"/>
    <x v="462"/>
    <x v="560"/>
    <x v="130"/>
  </r>
  <r>
    <x v="27"/>
    <x v="132"/>
    <x v="3993"/>
    <x v="0"/>
    <x v="0"/>
    <x v="1476"/>
    <x v="463"/>
    <x v="561"/>
    <x v="130"/>
  </r>
  <r>
    <x v="27"/>
    <x v="133"/>
    <x v="3994"/>
    <x v="0"/>
    <x v="0"/>
    <x v="166"/>
    <x v="464"/>
    <x v="562"/>
    <x v="130"/>
  </r>
  <r>
    <x v="27"/>
    <x v="134"/>
    <x v="3995"/>
    <x v="0"/>
    <x v="0"/>
    <x v="1477"/>
    <x v="518"/>
    <x v="563"/>
    <x v="130"/>
  </r>
  <r>
    <x v="27"/>
    <x v="135"/>
    <x v="3996"/>
    <x v="0"/>
    <x v="1"/>
    <x v="1478"/>
    <x v="466"/>
    <x v="564"/>
    <x v="130"/>
  </r>
  <r>
    <x v="27"/>
    <x v="136"/>
    <x v="3997"/>
    <x v="0"/>
    <x v="0"/>
    <x v="1479"/>
    <x v="519"/>
    <x v="565"/>
    <x v="130"/>
  </r>
  <r>
    <x v="27"/>
    <x v="137"/>
    <x v="3998"/>
    <x v="0"/>
    <x v="0"/>
    <x v="1480"/>
    <x v="468"/>
    <x v="566"/>
    <x v="130"/>
  </r>
  <r>
    <x v="27"/>
    <x v="138"/>
    <x v="3999"/>
    <x v="0"/>
    <x v="0"/>
    <x v="1481"/>
    <x v="467"/>
    <x v="567"/>
    <x v="130"/>
  </r>
  <r>
    <x v="27"/>
    <x v="139"/>
    <x v="4000"/>
    <x v="0"/>
    <x v="0"/>
    <x v="1482"/>
    <x v="467"/>
    <x v="568"/>
    <x v="131"/>
  </r>
  <r>
    <x v="27"/>
    <x v="140"/>
    <x v="4001"/>
    <x v="0"/>
    <x v="0"/>
    <x v="88"/>
    <x v="470"/>
    <x v="569"/>
    <x v="131"/>
  </r>
  <r>
    <x v="27"/>
    <x v="141"/>
    <x v="4002"/>
    <x v="0"/>
    <x v="0"/>
    <x v="1483"/>
    <x v="471"/>
    <x v="570"/>
    <x v="131"/>
  </r>
  <r>
    <x v="27"/>
    <x v="142"/>
    <x v="4003"/>
    <x v="0"/>
    <x v="0"/>
    <x v="1484"/>
    <x v="472"/>
    <x v="571"/>
    <x v="131"/>
  </r>
  <r>
    <x v="28"/>
    <x v="0"/>
    <x v="4004"/>
    <x v="1"/>
    <x v="0"/>
    <x v="1948"/>
    <x v="258"/>
    <x v="1430"/>
    <x v="272"/>
  </r>
  <r>
    <x v="28"/>
    <x v="1"/>
    <x v="4005"/>
    <x v="1"/>
    <x v="1"/>
    <x v="2392"/>
    <x v="40"/>
    <x v="1431"/>
    <x v="272"/>
  </r>
  <r>
    <x v="28"/>
    <x v="2"/>
    <x v="4006"/>
    <x v="1"/>
    <x v="0"/>
    <x v="2393"/>
    <x v="769"/>
    <x v="1432"/>
    <x v="272"/>
  </r>
  <r>
    <x v="28"/>
    <x v="3"/>
    <x v="4007"/>
    <x v="1"/>
    <x v="0"/>
    <x v="2394"/>
    <x v="770"/>
    <x v="1433"/>
    <x v="272"/>
  </r>
  <r>
    <x v="28"/>
    <x v="4"/>
    <x v="4008"/>
    <x v="1"/>
    <x v="0"/>
    <x v="2395"/>
    <x v="257"/>
    <x v="1434"/>
    <x v="272"/>
  </r>
  <r>
    <x v="28"/>
    <x v="5"/>
    <x v="4009"/>
    <x v="1"/>
    <x v="0"/>
    <x v="1189"/>
    <x v="148"/>
    <x v="1435"/>
    <x v="272"/>
  </r>
  <r>
    <x v="28"/>
    <x v="6"/>
    <x v="4010"/>
    <x v="1"/>
    <x v="0"/>
    <x v="2396"/>
    <x v="771"/>
    <x v="1436"/>
    <x v="272"/>
  </r>
  <r>
    <x v="28"/>
    <x v="7"/>
    <x v="4011"/>
    <x v="1"/>
    <x v="0"/>
    <x v="824"/>
    <x v="544"/>
    <x v="1437"/>
    <x v="272"/>
  </r>
  <r>
    <x v="28"/>
    <x v="8"/>
    <x v="4012"/>
    <x v="1"/>
    <x v="0"/>
    <x v="2397"/>
    <x v="15"/>
    <x v="1438"/>
    <x v="273"/>
  </r>
  <r>
    <x v="28"/>
    <x v="9"/>
    <x v="4013"/>
    <x v="1"/>
    <x v="0"/>
    <x v="289"/>
    <x v="543"/>
    <x v="1439"/>
    <x v="273"/>
  </r>
  <r>
    <x v="28"/>
    <x v="10"/>
    <x v="4014"/>
    <x v="1"/>
    <x v="0"/>
    <x v="632"/>
    <x v="709"/>
    <x v="1440"/>
    <x v="273"/>
  </r>
  <r>
    <x v="28"/>
    <x v="11"/>
    <x v="4015"/>
    <x v="1"/>
    <x v="0"/>
    <x v="1301"/>
    <x v="772"/>
    <x v="1441"/>
    <x v="273"/>
  </r>
  <r>
    <x v="28"/>
    <x v="12"/>
    <x v="4016"/>
    <x v="1"/>
    <x v="0"/>
    <x v="2398"/>
    <x v="374"/>
    <x v="1442"/>
    <x v="273"/>
  </r>
  <r>
    <x v="28"/>
    <x v="13"/>
    <x v="4017"/>
    <x v="1"/>
    <x v="0"/>
    <x v="2399"/>
    <x v="773"/>
    <x v="1443"/>
    <x v="273"/>
  </r>
  <r>
    <x v="28"/>
    <x v="14"/>
    <x v="4018"/>
    <x v="1"/>
    <x v="0"/>
    <x v="2400"/>
    <x v="48"/>
    <x v="1444"/>
    <x v="273"/>
  </r>
  <r>
    <x v="28"/>
    <x v="15"/>
    <x v="4019"/>
    <x v="1"/>
    <x v="0"/>
    <x v="2401"/>
    <x v="382"/>
    <x v="1445"/>
    <x v="273"/>
  </r>
  <r>
    <x v="28"/>
    <x v="16"/>
    <x v="4020"/>
    <x v="1"/>
    <x v="0"/>
    <x v="2019"/>
    <x v="774"/>
    <x v="1446"/>
    <x v="273"/>
  </r>
  <r>
    <x v="28"/>
    <x v="17"/>
    <x v="4021"/>
    <x v="1"/>
    <x v="0"/>
    <x v="2058"/>
    <x v="775"/>
    <x v="1447"/>
    <x v="273"/>
  </r>
  <r>
    <x v="28"/>
    <x v="18"/>
    <x v="4022"/>
    <x v="1"/>
    <x v="0"/>
    <x v="2402"/>
    <x v="545"/>
    <x v="1448"/>
    <x v="273"/>
  </r>
  <r>
    <x v="28"/>
    <x v="19"/>
    <x v="4023"/>
    <x v="1"/>
    <x v="0"/>
    <x v="2403"/>
    <x v="148"/>
    <x v="1449"/>
    <x v="273"/>
  </r>
  <r>
    <x v="28"/>
    <x v="20"/>
    <x v="4024"/>
    <x v="1"/>
    <x v="0"/>
    <x v="2404"/>
    <x v="147"/>
    <x v="1450"/>
    <x v="273"/>
  </r>
  <r>
    <x v="28"/>
    <x v="21"/>
    <x v="4025"/>
    <x v="1"/>
    <x v="0"/>
    <x v="2405"/>
    <x v="622"/>
    <x v="1451"/>
    <x v="274"/>
  </r>
  <r>
    <x v="28"/>
    <x v="22"/>
    <x v="4026"/>
    <x v="1"/>
    <x v="0"/>
    <x v="2406"/>
    <x v="776"/>
    <x v="1452"/>
    <x v="274"/>
  </r>
  <r>
    <x v="28"/>
    <x v="23"/>
    <x v="4027"/>
    <x v="1"/>
    <x v="0"/>
    <x v="2407"/>
    <x v="777"/>
    <x v="1453"/>
    <x v="274"/>
  </r>
  <r>
    <x v="28"/>
    <x v="24"/>
    <x v="4028"/>
    <x v="1"/>
    <x v="0"/>
    <x v="273"/>
    <x v="609"/>
    <x v="1454"/>
    <x v="274"/>
  </r>
  <r>
    <x v="28"/>
    <x v="25"/>
    <x v="4029"/>
    <x v="1"/>
    <x v="0"/>
    <x v="2408"/>
    <x v="778"/>
    <x v="1455"/>
    <x v="274"/>
  </r>
  <r>
    <x v="28"/>
    <x v="26"/>
    <x v="4030"/>
    <x v="1"/>
    <x v="0"/>
    <x v="2404"/>
    <x v="778"/>
    <x v="1456"/>
    <x v="274"/>
  </r>
  <r>
    <x v="28"/>
    <x v="27"/>
    <x v="4031"/>
    <x v="1"/>
    <x v="0"/>
    <x v="605"/>
    <x v="147"/>
    <x v="1457"/>
    <x v="274"/>
  </r>
  <r>
    <x v="28"/>
    <x v="28"/>
    <x v="4032"/>
    <x v="1"/>
    <x v="0"/>
    <x v="2409"/>
    <x v="777"/>
    <x v="1458"/>
    <x v="274"/>
  </r>
  <r>
    <x v="28"/>
    <x v="29"/>
    <x v="4033"/>
    <x v="1"/>
    <x v="0"/>
    <x v="2410"/>
    <x v="9"/>
    <x v="1459"/>
    <x v="274"/>
  </r>
  <r>
    <x v="28"/>
    <x v="30"/>
    <x v="4034"/>
    <x v="1"/>
    <x v="0"/>
    <x v="2411"/>
    <x v="41"/>
    <x v="1460"/>
    <x v="274"/>
  </r>
  <r>
    <x v="28"/>
    <x v="31"/>
    <x v="4035"/>
    <x v="1"/>
    <x v="1"/>
    <x v="524"/>
    <x v="253"/>
    <x v="1461"/>
    <x v="274"/>
  </r>
  <r>
    <x v="28"/>
    <x v="32"/>
    <x v="4036"/>
    <x v="1"/>
    <x v="0"/>
    <x v="2412"/>
    <x v="37"/>
    <x v="1462"/>
    <x v="274"/>
  </r>
  <r>
    <x v="28"/>
    <x v="33"/>
    <x v="4037"/>
    <x v="1"/>
    <x v="0"/>
    <x v="2413"/>
    <x v="166"/>
    <x v="1463"/>
    <x v="274"/>
  </r>
  <r>
    <x v="28"/>
    <x v="34"/>
    <x v="4038"/>
    <x v="1"/>
    <x v="0"/>
    <x v="87"/>
    <x v="253"/>
    <x v="1464"/>
    <x v="275"/>
  </r>
  <r>
    <x v="28"/>
    <x v="35"/>
    <x v="4039"/>
    <x v="1"/>
    <x v="0"/>
    <x v="2414"/>
    <x v="256"/>
    <x v="1465"/>
    <x v="275"/>
  </r>
  <r>
    <x v="28"/>
    <x v="36"/>
    <x v="4040"/>
    <x v="1"/>
    <x v="0"/>
    <x v="2415"/>
    <x v="779"/>
    <x v="1466"/>
    <x v="275"/>
  </r>
  <r>
    <x v="28"/>
    <x v="37"/>
    <x v="4041"/>
    <x v="1"/>
    <x v="0"/>
    <x v="1576"/>
    <x v="695"/>
    <x v="1467"/>
    <x v="275"/>
  </r>
  <r>
    <x v="28"/>
    <x v="38"/>
    <x v="4042"/>
    <x v="1"/>
    <x v="0"/>
    <x v="2416"/>
    <x v="696"/>
    <x v="1468"/>
    <x v="275"/>
  </r>
  <r>
    <x v="28"/>
    <x v="39"/>
    <x v="4043"/>
    <x v="1"/>
    <x v="0"/>
    <x v="2417"/>
    <x v="696"/>
    <x v="1469"/>
    <x v="275"/>
  </r>
  <r>
    <x v="28"/>
    <x v="40"/>
    <x v="4044"/>
    <x v="1"/>
    <x v="0"/>
    <x v="1496"/>
    <x v="382"/>
    <x v="1470"/>
    <x v="275"/>
  </r>
  <r>
    <x v="28"/>
    <x v="41"/>
    <x v="4045"/>
    <x v="1"/>
    <x v="0"/>
    <x v="2418"/>
    <x v="780"/>
    <x v="1471"/>
    <x v="275"/>
  </r>
  <r>
    <x v="28"/>
    <x v="42"/>
    <x v="4046"/>
    <x v="1"/>
    <x v="1"/>
    <x v="1302"/>
    <x v="781"/>
    <x v="1472"/>
    <x v="275"/>
  </r>
  <r>
    <x v="28"/>
    <x v="43"/>
    <x v="4047"/>
    <x v="1"/>
    <x v="0"/>
    <x v="2419"/>
    <x v="54"/>
    <x v="1473"/>
    <x v="275"/>
  </r>
  <r>
    <x v="28"/>
    <x v="44"/>
    <x v="4048"/>
    <x v="1"/>
    <x v="0"/>
    <x v="2420"/>
    <x v="782"/>
    <x v="1474"/>
    <x v="275"/>
  </r>
  <r>
    <x v="28"/>
    <x v="45"/>
    <x v="4049"/>
    <x v="1"/>
    <x v="0"/>
    <x v="2421"/>
    <x v="783"/>
    <x v="1475"/>
    <x v="275"/>
  </r>
  <r>
    <x v="28"/>
    <x v="46"/>
    <x v="4050"/>
    <x v="0"/>
    <x v="0"/>
    <x v="2422"/>
    <x v="784"/>
    <x v="1476"/>
    <x v="275"/>
  </r>
  <r>
    <x v="28"/>
    <x v="47"/>
    <x v="4051"/>
    <x v="1"/>
    <x v="1"/>
    <x v="2048"/>
    <x v="785"/>
    <x v="1477"/>
    <x v="275"/>
  </r>
  <r>
    <x v="28"/>
    <x v="48"/>
    <x v="4052"/>
    <x v="1"/>
    <x v="0"/>
    <x v="2423"/>
    <x v="638"/>
    <x v="1478"/>
    <x v="276"/>
  </r>
  <r>
    <x v="28"/>
    <x v="49"/>
    <x v="4053"/>
    <x v="1"/>
    <x v="0"/>
    <x v="1564"/>
    <x v="786"/>
    <x v="1479"/>
    <x v="276"/>
  </r>
  <r>
    <x v="28"/>
    <x v="50"/>
    <x v="4054"/>
    <x v="1"/>
    <x v="0"/>
    <x v="2424"/>
    <x v="288"/>
    <x v="1480"/>
    <x v="276"/>
  </r>
  <r>
    <x v="28"/>
    <x v="51"/>
    <x v="4055"/>
    <x v="1"/>
    <x v="0"/>
    <x v="2425"/>
    <x v="787"/>
    <x v="1481"/>
    <x v="276"/>
  </r>
  <r>
    <x v="28"/>
    <x v="52"/>
    <x v="4056"/>
    <x v="1"/>
    <x v="0"/>
    <x v="2426"/>
    <x v="788"/>
    <x v="1482"/>
    <x v="276"/>
  </r>
  <r>
    <x v="28"/>
    <x v="53"/>
    <x v="4057"/>
    <x v="1"/>
    <x v="1"/>
    <x v="2427"/>
    <x v="714"/>
    <x v="1483"/>
    <x v="276"/>
  </r>
  <r>
    <x v="28"/>
    <x v="54"/>
    <x v="4058"/>
    <x v="1"/>
    <x v="0"/>
    <x v="2428"/>
    <x v="217"/>
    <x v="1484"/>
    <x v="276"/>
  </r>
  <r>
    <x v="28"/>
    <x v="55"/>
    <x v="4059"/>
    <x v="1"/>
    <x v="0"/>
    <x v="2429"/>
    <x v="789"/>
    <x v="1485"/>
    <x v="276"/>
  </r>
  <r>
    <x v="28"/>
    <x v="56"/>
    <x v="4060"/>
    <x v="1"/>
    <x v="0"/>
    <x v="2430"/>
    <x v="790"/>
    <x v="1486"/>
    <x v="276"/>
  </r>
  <r>
    <x v="28"/>
    <x v="57"/>
    <x v="4061"/>
    <x v="1"/>
    <x v="0"/>
    <x v="2431"/>
    <x v="505"/>
    <x v="1487"/>
    <x v="276"/>
  </r>
  <r>
    <x v="28"/>
    <x v="58"/>
    <x v="4062"/>
    <x v="1"/>
    <x v="0"/>
    <x v="2432"/>
    <x v="791"/>
    <x v="1488"/>
    <x v="276"/>
  </r>
  <r>
    <x v="28"/>
    <x v="59"/>
    <x v="4063"/>
    <x v="1"/>
    <x v="0"/>
    <x v="2433"/>
    <x v="603"/>
    <x v="1489"/>
    <x v="276"/>
  </r>
  <r>
    <x v="28"/>
    <x v="60"/>
    <x v="4064"/>
    <x v="1"/>
    <x v="0"/>
    <x v="2434"/>
    <x v="77"/>
    <x v="1490"/>
    <x v="277"/>
  </r>
  <r>
    <x v="28"/>
    <x v="61"/>
    <x v="4065"/>
    <x v="1"/>
    <x v="0"/>
    <x v="1496"/>
    <x v="646"/>
    <x v="1491"/>
    <x v="277"/>
  </r>
  <r>
    <x v="28"/>
    <x v="62"/>
    <x v="4066"/>
    <x v="1"/>
    <x v="0"/>
    <x v="2435"/>
    <x v="792"/>
    <x v="1492"/>
    <x v="277"/>
  </r>
  <r>
    <x v="28"/>
    <x v="63"/>
    <x v="4067"/>
    <x v="1"/>
    <x v="0"/>
    <x v="2436"/>
    <x v="793"/>
    <x v="1493"/>
    <x v="277"/>
  </r>
  <r>
    <x v="28"/>
    <x v="64"/>
    <x v="4068"/>
    <x v="1"/>
    <x v="0"/>
    <x v="1126"/>
    <x v="794"/>
    <x v="1494"/>
    <x v="277"/>
  </r>
  <r>
    <x v="28"/>
    <x v="65"/>
    <x v="4069"/>
    <x v="1"/>
    <x v="0"/>
    <x v="518"/>
    <x v="795"/>
    <x v="1495"/>
    <x v="277"/>
  </r>
  <r>
    <x v="28"/>
    <x v="66"/>
    <x v="4070"/>
    <x v="1"/>
    <x v="0"/>
    <x v="723"/>
    <x v="796"/>
    <x v="1496"/>
    <x v="277"/>
  </r>
  <r>
    <x v="28"/>
    <x v="67"/>
    <x v="4071"/>
    <x v="1"/>
    <x v="0"/>
    <x v="2437"/>
    <x v="797"/>
    <x v="1497"/>
    <x v="277"/>
  </r>
  <r>
    <x v="28"/>
    <x v="68"/>
    <x v="4072"/>
    <x v="1"/>
    <x v="0"/>
    <x v="957"/>
    <x v="798"/>
    <x v="1498"/>
    <x v="277"/>
  </r>
  <r>
    <x v="28"/>
    <x v="69"/>
    <x v="4073"/>
    <x v="1"/>
    <x v="0"/>
    <x v="2100"/>
    <x v="799"/>
    <x v="1499"/>
    <x v="277"/>
  </r>
  <r>
    <x v="28"/>
    <x v="70"/>
    <x v="4074"/>
    <x v="1"/>
    <x v="0"/>
    <x v="2438"/>
    <x v="800"/>
    <x v="1500"/>
    <x v="277"/>
  </r>
  <r>
    <x v="28"/>
    <x v="71"/>
    <x v="4075"/>
    <x v="1"/>
    <x v="0"/>
    <x v="2439"/>
    <x v="801"/>
    <x v="1501"/>
    <x v="277"/>
  </r>
  <r>
    <x v="28"/>
    <x v="72"/>
    <x v="4076"/>
    <x v="1"/>
    <x v="0"/>
    <x v="748"/>
    <x v="802"/>
    <x v="1502"/>
    <x v="277"/>
  </r>
  <r>
    <x v="28"/>
    <x v="73"/>
    <x v="4077"/>
    <x v="1"/>
    <x v="0"/>
    <x v="2440"/>
    <x v="606"/>
    <x v="1503"/>
    <x v="278"/>
  </r>
  <r>
    <x v="28"/>
    <x v="74"/>
    <x v="4078"/>
    <x v="1"/>
    <x v="0"/>
    <x v="1685"/>
    <x v="425"/>
    <x v="1504"/>
    <x v="278"/>
  </r>
  <r>
    <x v="28"/>
    <x v="75"/>
    <x v="4079"/>
    <x v="1"/>
    <x v="0"/>
    <x v="562"/>
    <x v="426"/>
    <x v="1505"/>
    <x v="278"/>
  </r>
  <r>
    <x v="28"/>
    <x v="76"/>
    <x v="4080"/>
    <x v="1"/>
    <x v="0"/>
    <x v="1504"/>
    <x v="441"/>
    <x v="1506"/>
    <x v="278"/>
  </r>
  <r>
    <x v="28"/>
    <x v="77"/>
    <x v="4081"/>
    <x v="1"/>
    <x v="0"/>
    <x v="954"/>
    <x v="496"/>
    <x v="1507"/>
    <x v="278"/>
  </r>
  <r>
    <x v="28"/>
    <x v="78"/>
    <x v="4082"/>
    <x v="1"/>
    <x v="0"/>
    <x v="1037"/>
    <x v="338"/>
    <x v="1508"/>
    <x v="278"/>
  </r>
  <r>
    <x v="28"/>
    <x v="79"/>
    <x v="4083"/>
    <x v="1"/>
    <x v="0"/>
    <x v="2128"/>
    <x v="803"/>
    <x v="1509"/>
    <x v="278"/>
  </r>
  <r>
    <x v="28"/>
    <x v="80"/>
    <x v="4084"/>
    <x v="1"/>
    <x v="0"/>
    <x v="2441"/>
    <x v="227"/>
    <x v="1510"/>
    <x v="278"/>
  </r>
  <r>
    <x v="28"/>
    <x v="81"/>
    <x v="4085"/>
    <x v="1"/>
    <x v="0"/>
    <x v="2126"/>
    <x v="724"/>
    <x v="1511"/>
    <x v="278"/>
  </r>
  <r>
    <x v="28"/>
    <x v="82"/>
    <x v="4086"/>
    <x v="1"/>
    <x v="0"/>
    <x v="142"/>
    <x v="425"/>
    <x v="1512"/>
    <x v="278"/>
  </r>
  <r>
    <x v="28"/>
    <x v="83"/>
    <x v="4087"/>
    <x v="1"/>
    <x v="1"/>
    <x v="2442"/>
    <x v="592"/>
    <x v="1513"/>
    <x v="278"/>
  </r>
  <r>
    <x v="28"/>
    <x v="84"/>
    <x v="4088"/>
    <x v="1"/>
    <x v="0"/>
    <x v="256"/>
    <x v="592"/>
    <x v="1514"/>
    <x v="278"/>
  </r>
  <r>
    <x v="28"/>
    <x v="85"/>
    <x v="4089"/>
    <x v="1"/>
    <x v="0"/>
    <x v="1718"/>
    <x v="804"/>
    <x v="1515"/>
    <x v="278"/>
  </r>
  <r>
    <x v="28"/>
    <x v="86"/>
    <x v="4090"/>
    <x v="1"/>
    <x v="0"/>
    <x v="2443"/>
    <x v="76"/>
    <x v="1516"/>
    <x v="278"/>
  </r>
  <r>
    <x v="28"/>
    <x v="87"/>
    <x v="4091"/>
    <x v="1"/>
    <x v="0"/>
    <x v="2444"/>
    <x v="805"/>
    <x v="1517"/>
    <x v="279"/>
  </r>
  <r>
    <x v="28"/>
    <x v="88"/>
    <x v="4092"/>
    <x v="1"/>
    <x v="0"/>
    <x v="1814"/>
    <x v="661"/>
    <x v="1518"/>
    <x v="279"/>
  </r>
  <r>
    <x v="28"/>
    <x v="89"/>
    <x v="4093"/>
    <x v="1"/>
    <x v="0"/>
    <x v="2371"/>
    <x v="194"/>
    <x v="1519"/>
    <x v="279"/>
  </r>
  <r>
    <x v="28"/>
    <x v="90"/>
    <x v="4094"/>
    <x v="1"/>
    <x v="0"/>
    <x v="2445"/>
    <x v="806"/>
    <x v="1520"/>
    <x v="279"/>
  </r>
  <r>
    <x v="28"/>
    <x v="91"/>
    <x v="4095"/>
    <x v="1"/>
    <x v="0"/>
    <x v="2446"/>
    <x v="807"/>
    <x v="1521"/>
    <x v="279"/>
  </r>
  <r>
    <x v="28"/>
    <x v="92"/>
    <x v="4096"/>
    <x v="1"/>
    <x v="0"/>
    <x v="2447"/>
    <x v="195"/>
    <x v="1522"/>
    <x v="279"/>
  </r>
  <r>
    <x v="28"/>
    <x v="93"/>
    <x v="4097"/>
    <x v="1"/>
    <x v="0"/>
    <x v="2448"/>
    <x v="128"/>
    <x v="1523"/>
    <x v="279"/>
  </r>
  <r>
    <x v="28"/>
    <x v="94"/>
    <x v="4098"/>
    <x v="1"/>
    <x v="1"/>
    <x v="2449"/>
    <x v="808"/>
    <x v="1524"/>
    <x v="279"/>
  </r>
  <r>
    <x v="28"/>
    <x v="95"/>
    <x v="4099"/>
    <x v="1"/>
    <x v="0"/>
    <x v="2450"/>
    <x v="117"/>
    <x v="1525"/>
    <x v="279"/>
  </r>
  <r>
    <x v="28"/>
    <x v="96"/>
    <x v="4100"/>
    <x v="1"/>
    <x v="0"/>
    <x v="2086"/>
    <x v="809"/>
    <x v="1526"/>
    <x v="279"/>
  </r>
  <r>
    <x v="28"/>
    <x v="97"/>
    <x v="4101"/>
    <x v="1"/>
    <x v="0"/>
    <x v="2451"/>
    <x v="579"/>
    <x v="1527"/>
    <x v="279"/>
  </r>
  <r>
    <x v="28"/>
    <x v="98"/>
    <x v="4102"/>
    <x v="1"/>
    <x v="0"/>
    <x v="2452"/>
    <x v="665"/>
    <x v="1528"/>
    <x v="279"/>
  </r>
  <r>
    <x v="28"/>
    <x v="99"/>
    <x v="4103"/>
    <x v="1"/>
    <x v="1"/>
    <x v="2453"/>
    <x v="720"/>
    <x v="1529"/>
    <x v="279"/>
  </r>
  <r>
    <x v="28"/>
    <x v="100"/>
    <x v="4104"/>
    <x v="1"/>
    <x v="0"/>
    <x v="463"/>
    <x v="810"/>
    <x v="1530"/>
    <x v="280"/>
  </r>
  <r>
    <x v="28"/>
    <x v="101"/>
    <x v="4105"/>
    <x v="1"/>
    <x v="0"/>
    <x v="2454"/>
    <x v="79"/>
    <x v="1531"/>
    <x v="280"/>
  </r>
  <r>
    <x v="28"/>
    <x v="102"/>
    <x v="4106"/>
    <x v="1"/>
    <x v="0"/>
    <x v="2455"/>
    <x v="305"/>
    <x v="1532"/>
    <x v="280"/>
  </r>
  <r>
    <x v="28"/>
    <x v="103"/>
    <x v="4107"/>
    <x v="1"/>
    <x v="0"/>
    <x v="2456"/>
    <x v="811"/>
    <x v="1533"/>
    <x v="280"/>
  </r>
  <r>
    <x v="28"/>
    <x v="104"/>
    <x v="4108"/>
    <x v="1"/>
    <x v="0"/>
    <x v="2457"/>
    <x v="805"/>
    <x v="1534"/>
    <x v="280"/>
  </r>
  <r>
    <x v="28"/>
    <x v="105"/>
    <x v="4109"/>
    <x v="1"/>
    <x v="1"/>
    <x v="2456"/>
    <x v="559"/>
    <x v="1535"/>
    <x v="280"/>
  </r>
  <r>
    <x v="28"/>
    <x v="106"/>
    <x v="4110"/>
    <x v="1"/>
    <x v="0"/>
    <x v="2458"/>
    <x v="657"/>
    <x v="1536"/>
    <x v="280"/>
  </r>
  <r>
    <x v="28"/>
    <x v="107"/>
    <x v="4111"/>
    <x v="1"/>
    <x v="0"/>
    <x v="2454"/>
    <x v="812"/>
    <x v="1537"/>
    <x v="280"/>
  </r>
  <r>
    <x v="28"/>
    <x v="108"/>
    <x v="4112"/>
    <x v="1"/>
    <x v="0"/>
    <x v="2459"/>
    <x v="426"/>
    <x v="1538"/>
    <x v="280"/>
  </r>
  <r>
    <x v="28"/>
    <x v="109"/>
    <x v="4113"/>
    <x v="1"/>
    <x v="0"/>
    <x v="1533"/>
    <x v="813"/>
    <x v="1539"/>
    <x v="280"/>
  </r>
  <r>
    <x v="28"/>
    <x v="110"/>
    <x v="4114"/>
    <x v="1"/>
    <x v="0"/>
    <x v="2460"/>
    <x v="685"/>
    <x v="1540"/>
    <x v="280"/>
  </r>
  <r>
    <x v="28"/>
    <x v="111"/>
    <x v="4115"/>
    <x v="1"/>
    <x v="0"/>
    <x v="2305"/>
    <x v="679"/>
    <x v="1541"/>
    <x v="280"/>
  </r>
  <r>
    <x v="28"/>
    <x v="112"/>
    <x v="4116"/>
    <x v="1"/>
    <x v="0"/>
    <x v="454"/>
    <x v="814"/>
    <x v="1542"/>
    <x v="280"/>
  </r>
  <r>
    <x v="28"/>
    <x v="113"/>
    <x v="4117"/>
    <x v="1"/>
    <x v="0"/>
    <x v="2269"/>
    <x v="815"/>
    <x v="1543"/>
    <x v="281"/>
  </r>
  <r>
    <x v="28"/>
    <x v="114"/>
    <x v="4118"/>
    <x v="1"/>
    <x v="0"/>
    <x v="1074"/>
    <x v="731"/>
    <x v="1544"/>
    <x v="281"/>
  </r>
  <r>
    <x v="28"/>
    <x v="115"/>
    <x v="4119"/>
    <x v="1"/>
    <x v="0"/>
    <x v="2189"/>
    <x v="648"/>
    <x v="1545"/>
    <x v="281"/>
  </r>
  <r>
    <x v="28"/>
    <x v="116"/>
    <x v="4120"/>
    <x v="1"/>
    <x v="0"/>
    <x v="2461"/>
    <x v="816"/>
    <x v="1546"/>
    <x v="281"/>
  </r>
  <r>
    <x v="28"/>
    <x v="117"/>
    <x v="4121"/>
    <x v="1"/>
    <x v="0"/>
    <x v="2462"/>
    <x v="817"/>
    <x v="1547"/>
    <x v="281"/>
  </r>
  <r>
    <x v="28"/>
    <x v="118"/>
    <x v="4122"/>
    <x v="1"/>
    <x v="0"/>
    <x v="2185"/>
    <x v="818"/>
    <x v="1548"/>
    <x v="281"/>
  </r>
  <r>
    <x v="28"/>
    <x v="119"/>
    <x v="4123"/>
    <x v="1"/>
    <x v="0"/>
    <x v="2362"/>
    <x v="65"/>
    <x v="1549"/>
    <x v="281"/>
  </r>
  <r>
    <x v="28"/>
    <x v="120"/>
    <x v="4124"/>
    <x v="1"/>
    <x v="0"/>
    <x v="1581"/>
    <x v="819"/>
    <x v="1550"/>
    <x v="281"/>
  </r>
  <r>
    <x v="28"/>
    <x v="121"/>
    <x v="4125"/>
    <x v="1"/>
    <x v="0"/>
    <x v="2463"/>
    <x v="424"/>
    <x v="1551"/>
    <x v="281"/>
  </r>
  <r>
    <x v="28"/>
    <x v="122"/>
    <x v="4126"/>
    <x v="1"/>
    <x v="0"/>
    <x v="2464"/>
    <x v="820"/>
    <x v="1552"/>
    <x v="281"/>
  </r>
  <r>
    <x v="28"/>
    <x v="123"/>
    <x v="4127"/>
    <x v="1"/>
    <x v="0"/>
    <x v="2465"/>
    <x v="192"/>
    <x v="1553"/>
    <x v="281"/>
  </r>
  <r>
    <x v="28"/>
    <x v="124"/>
    <x v="4128"/>
    <x v="1"/>
    <x v="0"/>
    <x v="1710"/>
    <x v="821"/>
    <x v="1554"/>
    <x v="281"/>
  </r>
  <r>
    <x v="28"/>
    <x v="125"/>
    <x v="4129"/>
    <x v="1"/>
    <x v="0"/>
    <x v="2466"/>
    <x v="822"/>
    <x v="1555"/>
    <x v="281"/>
  </r>
  <r>
    <x v="28"/>
    <x v="126"/>
    <x v="4130"/>
    <x v="1"/>
    <x v="0"/>
    <x v="529"/>
    <x v="312"/>
    <x v="1556"/>
    <x v="282"/>
  </r>
  <r>
    <x v="28"/>
    <x v="127"/>
    <x v="4131"/>
    <x v="1"/>
    <x v="0"/>
    <x v="296"/>
    <x v="116"/>
    <x v="1557"/>
    <x v="282"/>
  </r>
  <r>
    <x v="28"/>
    <x v="128"/>
    <x v="4132"/>
    <x v="1"/>
    <x v="0"/>
    <x v="2467"/>
    <x v="242"/>
    <x v="1558"/>
    <x v="282"/>
  </r>
  <r>
    <x v="28"/>
    <x v="129"/>
    <x v="4133"/>
    <x v="1"/>
    <x v="0"/>
    <x v="2262"/>
    <x v="430"/>
    <x v="1559"/>
    <x v="282"/>
  </r>
  <r>
    <x v="28"/>
    <x v="130"/>
    <x v="4134"/>
    <x v="1"/>
    <x v="0"/>
    <x v="63"/>
    <x v="427"/>
    <x v="1560"/>
    <x v="282"/>
  </r>
  <r>
    <x v="28"/>
    <x v="131"/>
    <x v="4135"/>
    <x v="1"/>
    <x v="0"/>
    <x v="2468"/>
    <x v="407"/>
    <x v="1561"/>
    <x v="282"/>
  </r>
  <r>
    <x v="28"/>
    <x v="132"/>
    <x v="4136"/>
    <x v="1"/>
    <x v="0"/>
    <x v="952"/>
    <x v="823"/>
    <x v="1562"/>
    <x v="282"/>
  </r>
  <r>
    <x v="28"/>
    <x v="133"/>
    <x v="4137"/>
    <x v="1"/>
    <x v="0"/>
    <x v="2469"/>
    <x v="749"/>
    <x v="1563"/>
    <x v="282"/>
  </r>
  <r>
    <x v="28"/>
    <x v="134"/>
    <x v="4138"/>
    <x v="1"/>
    <x v="0"/>
    <x v="1684"/>
    <x v="824"/>
    <x v="1564"/>
    <x v="282"/>
  </r>
  <r>
    <x v="28"/>
    <x v="135"/>
    <x v="4139"/>
    <x v="1"/>
    <x v="1"/>
    <x v="2470"/>
    <x v="814"/>
    <x v="1565"/>
    <x v="282"/>
  </r>
  <r>
    <x v="28"/>
    <x v="136"/>
    <x v="4140"/>
    <x v="1"/>
    <x v="0"/>
    <x v="1159"/>
    <x v="794"/>
    <x v="1566"/>
    <x v="282"/>
  </r>
  <r>
    <x v="28"/>
    <x v="137"/>
    <x v="4141"/>
    <x v="1"/>
    <x v="0"/>
    <x v="2471"/>
    <x v="825"/>
    <x v="1567"/>
    <x v="282"/>
  </r>
  <r>
    <x v="28"/>
    <x v="138"/>
    <x v="4142"/>
    <x v="1"/>
    <x v="0"/>
    <x v="2472"/>
    <x v="826"/>
    <x v="1568"/>
    <x v="282"/>
  </r>
  <r>
    <x v="28"/>
    <x v="139"/>
    <x v="4143"/>
    <x v="1"/>
    <x v="0"/>
    <x v="2473"/>
    <x v="676"/>
    <x v="1569"/>
    <x v="283"/>
  </r>
  <r>
    <x v="28"/>
    <x v="140"/>
    <x v="4144"/>
    <x v="1"/>
    <x v="0"/>
    <x v="2474"/>
    <x v="758"/>
    <x v="1570"/>
    <x v="283"/>
  </r>
  <r>
    <x v="28"/>
    <x v="141"/>
    <x v="4145"/>
    <x v="1"/>
    <x v="0"/>
    <x v="1225"/>
    <x v="689"/>
    <x v="1571"/>
    <x v="283"/>
  </r>
  <r>
    <x v="28"/>
    <x v="142"/>
    <x v="4146"/>
    <x v="1"/>
    <x v="0"/>
    <x v="2475"/>
    <x v="410"/>
    <x v="1572"/>
    <x v="283"/>
  </r>
  <r>
    <x v="29"/>
    <x v="0"/>
    <x v="4147"/>
    <x v="1"/>
    <x v="0"/>
    <x v="2300"/>
    <x v="0"/>
    <x v="143"/>
    <x v="12"/>
  </r>
  <r>
    <x v="29"/>
    <x v="1"/>
    <x v="4148"/>
    <x v="1"/>
    <x v="1"/>
    <x v="1850"/>
    <x v="1"/>
    <x v="144"/>
    <x v="12"/>
  </r>
  <r>
    <x v="29"/>
    <x v="2"/>
    <x v="4149"/>
    <x v="1"/>
    <x v="0"/>
    <x v="2301"/>
    <x v="2"/>
    <x v="145"/>
    <x v="12"/>
  </r>
  <r>
    <x v="29"/>
    <x v="3"/>
    <x v="4150"/>
    <x v="1"/>
    <x v="0"/>
    <x v="2302"/>
    <x v="3"/>
    <x v="146"/>
    <x v="12"/>
  </r>
  <r>
    <x v="29"/>
    <x v="4"/>
    <x v="4151"/>
    <x v="1"/>
    <x v="0"/>
    <x v="2303"/>
    <x v="4"/>
    <x v="147"/>
    <x v="12"/>
  </r>
  <r>
    <x v="29"/>
    <x v="5"/>
    <x v="4152"/>
    <x v="1"/>
    <x v="0"/>
    <x v="2304"/>
    <x v="5"/>
    <x v="148"/>
    <x v="12"/>
  </r>
  <r>
    <x v="29"/>
    <x v="6"/>
    <x v="4153"/>
    <x v="1"/>
    <x v="0"/>
    <x v="2305"/>
    <x v="6"/>
    <x v="149"/>
    <x v="12"/>
  </r>
  <r>
    <x v="29"/>
    <x v="7"/>
    <x v="4154"/>
    <x v="1"/>
    <x v="0"/>
    <x v="2306"/>
    <x v="7"/>
    <x v="150"/>
    <x v="12"/>
  </r>
  <r>
    <x v="29"/>
    <x v="8"/>
    <x v="4155"/>
    <x v="1"/>
    <x v="0"/>
    <x v="2307"/>
    <x v="8"/>
    <x v="151"/>
    <x v="13"/>
  </r>
  <r>
    <x v="29"/>
    <x v="9"/>
    <x v="4156"/>
    <x v="1"/>
    <x v="0"/>
    <x v="1510"/>
    <x v="9"/>
    <x v="152"/>
    <x v="13"/>
  </r>
  <r>
    <x v="29"/>
    <x v="10"/>
    <x v="4157"/>
    <x v="1"/>
    <x v="0"/>
    <x v="292"/>
    <x v="10"/>
    <x v="153"/>
    <x v="13"/>
  </r>
  <r>
    <x v="29"/>
    <x v="11"/>
    <x v="4158"/>
    <x v="1"/>
    <x v="0"/>
    <x v="913"/>
    <x v="11"/>
    <x v="154"/>
    <x v="13"/>
  </r>
  <r>
    <x v="29"/>
    <x v="12"/>
    <x v="4159"/>
    <x v="1"/>
    <x v="0"/>
    <x v="2308"/>
    <x v="12"/>
    <x v="155"/>
    <x v="13"/>
  </r>
  <r>
    <x v="29"/>
    <x v="13"/>
    <x v="4160"/>
    <x v="1"/>
    <x v="0"/>
    <x v="1619"/>
    <x v="13"/>
    <x v="156"/>
    <x v="13"/>
  </r>
  <r>
    <x v="29"/>
    <x v="14"/>
    <x v="4161"/>
    <x v="1"/>
    <x v="0"/>
    <x v="2309"/>
    <x v="14"/>
    <x v="157"/>
    <x v="13"/>
  </r>
  <r>
    <x v="29"/>
    <x v="15"/>
    <x v="4162"/>
    <x v="1"/>
    <x v="0"/>
    <x v="727"/>
    <x v="15"/>
    <x v="158"/>
    <x v="13"/>
  </r>
  <r>
    <x v="29"/>
    <x v="16"/>
    <x v="4163"/>
    <x v="1"/>
    <x v="0"/>
    <x v="33"/>
    <x v="16"/>
    <x v="159"/>
    <x v="13"/>
  </r>
  <r>
    <x v="29"/>
    <x v="17"/>
    <x v="4164"/>
    <x v="1"/>
    <x v="0"/>
    <x v="2310"/>
    <x v="17"/>
    <x v="160"/>
    <x v="13"/>
  </r>
  <r>
    <x v="29"/>
    <x v="18"/>
    <x v="4165"/>
    <x v="1"/>
    <x v="0"/>
    <x v="481"/>
    <x v="18"/>
    <x v="161"/>
    <x v="13"/>
  </r>
  <r>
    <x v="29"/>
    <x v="19"/>
    <x v="4166"/>
    <x v="1"/>
    <x v="0"/>
    <x v="2311"/>
    <x v="19"/>
    <x v="162"/>
    <x v="13"/>
  </r>
  <r>
    <x v="29"/>
    <x v="20"/>
    <x v="4167"/>
    <x v="1"/>
    <x v="0"/>
    <x v="1395"/>
    <x v="20"/>
    <x v="163"/>
    <x v="13"/>
  </r>
  <r>
    <x v="29"/>
    <x v="21"/>
    <x v="4168"/>
    <x v="1"/>
    <x v="0"/>
    <x v="2312"/>
    <x v="21"/>
    <x v="164"/>
    <x v="14"/>
  </r>
  <r>
    <x v="29"/>
    <x v="22"/>
    <x v="4169"/>
    <x v="1"/>
    <x v="0"/>
    <x v="1356"/>
    <x v="22"/>
    <x v="165"/>
    <x v="14"/>
  </r>
  <r>
    <x v="29"/>
    <x v="23"/>
    <x v="4170"/>
    <x v="1"/>
    <x v="0"/>
    <x v="1215"/>
    <x v="23"/>
    <x v="166"/>
    <x v="14"/>
  </r>
  <r>
    <x v="29"/>
    <x v="24"/>
    <x v="4171"/>
    <x v="1"/>
    <x v="0"/>
    <x v="1317"/>
    <x v="24"/>
    <x v="167"/>
    <x v="14"/>
  </r>
  <r>
    <x v="29"/>
    <x v="25"/>
    <x v="4172"/>
    <x v="1"/>
    <x v="0"/>
    <x v="2313"/>
    <x v="25"/>
    <x v="168"/>
    <x v="14"/>
  </r>
  <r>
    <x v="29"/>
    <x v="26"/>
    <x v="4173"/>
    <x v="1"/>
    <x v="0"/>
    <x v="1322"/>
    <x v="26"/>
    <x v="169"/>
    <x v="14"/>
  </r>
  <r>
    <x v="29"/>
    <x v="27"/>
    <x v="4174"/>
    <x v="1"/>
    <x v="0"/>
    <x v="2314"/>
    <x v="27"/>
    <x v="170"/>
    <x v="14"/>
  </r>
  <r>
    <x v="29"/>
    <x v="28"/>
    <x v="4175"/>
    <x v="1"/>
    <x v="0"/>
    <x v="2315"/>
    <x v="28"/>
    <x v="171"/>
    <x v="14"/>
  </r>
  <r>
    <x v="29"/>
    <x v="29"/>
    <x v="4176"/>
    <x v="1"/>
    <x v="0"/>
    <x v="2316"/>
    <x v="29"/>
    <x v="172"/>
    <x v="14"/>
  </r>
  <r>
    <x v="29"/>
    <x v="30"/>
    <x v="4177"/>
    <x v="1"/>
    <x v="0"/>
    <x v="2317"/>
    <x v="30"/>
    <x v="173"/>
    <x v="14"/>
  </r>
  <r>
    <x v="29"/>
    <x v="31"/>
    <x v="4178"/>
    <x v="1"/>
    <x v="1"/>
    <x v="2318"/>
    <x v="31"/>
    <x v="174"/>
    <x v="14"/>
  </r>
  <r>
    <x v="29"/>
    <x v="32"/>
    <x v="4179"/>
    <x v="1"/>
    <x v="0"/>
    <x v="2319"/>
    <x v="32"/>
    <x v="175"/>
    <x v="14"/>
  </r>
  <r>
    <x v="29"/>
    <x v="33"/>
    <x v="4180"/>
    <x v="1"/>
    <x v="0"/>
    <x v="2320"/>
    <x v="33"/>
    <x v="176"/>
    <x v="14"/>
  </r>
  <r>
    <x v="29"/>
    <x v="34"/>
    <x v="4181"/>
    <x v="1"/>
    <x v="0"/>
    <x v="1245"/>
    <x v="34"/>
    <x v="177"/>
    <x v="15"/>
  </r>
  <r>
    <x v="29"/>
    <x v="35"/>
    <x v="4182"/>
    <x v="1"/>
    <x v="0"/>
    <x v="2321"/>
    <x v="35"/>
    <x v="178"/>
    <x v="15"/>
  </r>
  <r>
    <x v="29"/>
    <x v="36"/>
    <x v="4183"/>
    <x v="1"/>
    <x v="0"/>
    <x v="2322"/>
    <x v="6"/>
    <x v="179"/>
    <x v="15"/>
  </r>
  <r>
    <x v="29"/>
    <x v="37"/>
    <x v="4184"/>
    <x v="1"/>
    <x v="0"/>
    <x v="2323"/>
    <x v="36"/>
    <x v="180"/>
    <x v="15"/>
  </r>
  <r>
    <x v="29"/>
    <x v="38"/>
    <x v="4185"/>
    <x v="1"/>
    <x v="0"/>
    <x v="1860"/>
    <x v="37"/>
    <x v="181"/>
    <x v="15"/>
  </r>
  <r>
    <x v="29"/>
    <x v="39"/>
    <x v="4186"/>
    <x v="1"/>
    <x v="0"/>
    <x v="2324"/>
    <x v="38"/>
    <x v="182"/>
    <x v="15"/>
  </r>
  <r>
    <x v="29"/>
    <x v="40"/>
    <x v="4187"/>
    <x v="1"/>
    <x v="0"/>
    <x v="2325"/>
    <x v="39"/>
    <x v="183"/>
    <x v="15"/>
  </r>
  <r>
    <x v="29"/>
    <x v="41"/>
    <x v="4188"/>
    <x v="1"/>
    <x v="0"/>
    <x v="2326"/>
    <x v="40"/>
    <x v="184"/>
    <x v="15"/>
  </r>
  <r>
    <x v="29"/>
    <x v="42"/>
    <x v="4189"/>
    <x v="1"/>
    <x v="1"/>
    <x v="2327"/>
    <x v="41"/>
    <x v="185"/>
    <x v="15"/>
  </r>
  <r>
    <x v="29"/>
    <x v="43"/>
    <x v="4190"/>
    <x v="1"/>
    <x v="0"/>
    <x v="1453"/>
    <x v="42"/>
    <x v="186"/>
    <x v="15"/>
  </r>
  <r>
    <x v="29"/>
    <x v="44"/>
    <x v="4191"/>
    <x v="1"/>
    <x v="0"/>
    <x v="2328"/>
    <x v="43"/>
    <x v="187"/>
    <x v="15"/>
  </r>
  <r>
    <x v="29"/>
    <x v="45"/>
    <x v="4192"/>
    <x v="1"/>
    <x v="0"/>
    <x v="1741"/>
    <x v="44"/>
    <x v="188"/>
    <x v="15"/>
  </r>
  <r>
    <x v="29"/>
    <x v="46"/>
    <x v="4193"/>
    <x v="1"/>
    <x v="0"/>
    <x v="974"/>
    <x v="45"/>
    <x v="189"/>
    <x v="15"/>
  </r>
  <r>
    <x v="29"/>
    <x v="47"/>
    <x v="4194"/>
    <x v="1"/>
    <x v="1"/>
    <x v="2329"/>
    <x v="46"/>
    <x v="190"/>
    <x v="15"/>
  </r>
  <r>
    <x v="29"/>
    <x v="48"/>
    <x v="4195"/>
    <x v="1"/>
    <x v="0"/>
    <x v="2330"/>
    <x v="47"/>
    <x v="191"/>
    <x v="16"/>
  </r>
  <r>
    <x v="29"/>
    <x v="49"/>
    <x v="4196"/>
    <x v="1"/>
    <x v="0"/>
    <x v="926"/>
    <x v="48"/>
    <x v="192"/>
    <x v="16"/>
  </r>
  <r>
    <x v="29"/>
    <x v="50"/>
    <x v="4197"/>
    <x v="1"/>
    <x v="0"/>
    <x v="2331"/>
    <x v="49"/>
    <x v="193"/>
    <x v="16"/>
  </r>
  <r>
    <x v="29"/>
    <x v="51"/>
    <x v="4198"/>
    <x v="1"/>
    <x v="0"/>
    <x v="50"/>
    <x v="50"/>
    <x v="194"/>
    <x v="16"/>
  </r>
  <r>
    <x v="29"/>
    <x v="52"/>
    <x v="4199"/>
    <x v="1"/>
    <x v="0"/>
    <x v="1011"/>
    <x v="51"/>
    <x v="195"/>
    <x v="16"/>
  </r>
  <r>
    <x v="29"/>
    <x v="53"/>
    <x v="4200"/>
    <x v="1"/>
    <x v="1"/>
    <x v="463"/>
    <x v="52"/>
    <x v="196"/>
    <x v="16"/>
  </r>
  <r>
    <x v="29"/>
    <x v="54"/>
    <x v="4201"/>
    <x v="1"/>
    <x v="0"/>
    <x v="2332"/>
    <x v="53"/>
    <x v="197"/>
    <x v="16"/>
  </r>
  <r>
    <x v="29"/>
    <x v="55"/>
    <x v="4202"/>
    <x v="1"/>
    <x v="0"/>
    <x v="2333"/>
    <x v="54"/>
    <x v="198"/>
    <x v="16"/>
  </r>
  <r>
    <x v="29"/>
    <x v="56"/>
    <x v="4203"/>
    <x v="1"/>
    <x v="0"/>
    <x v="2334"/>
    <x v="55"/>
    <x v="199"/>
    <x v="16"/>
  </r>
  <r>
    <x v="29"/>
    <x v="57"/>
    <x v="4204"/>
    <x v="1"/>
    <x v="0"/>
    <x v="2335"/>
    <x v="56"/>
    <x v="200"/>
    <x v="16"/>
  </r>
  <r>
    <x v="29"/>
    <x v="58"/>
    <x v="4205"/>
    <x v="1"/>
    <x v="0"/>
    <x v="2336"/>
    <x v="57"/>
    <x v="201"/>
    <x v="16"/>
  </r>
  <r>
    <x v="29"/>
    <x v="59"/>
    <x v="4206"/>
    <x v="1"/>
    <x v="0"/>
    <x v="119"/>
    <x v="58"/>
    <x v="202"/>
    <x v="16"/>
  </r>
  <r>
    <x v="29"/>
    <x v="60"/>
    <x v="4207"/>
    <x v="1"/>
    <x v="0"/>
    <x v="236"/>
    <x v="59"/>
    <x v="203"/>
    <x v="17"/>
  </r>
  <r>
    <x v="29"/>
    <x v="61"/>
    <x v="4208"/>
    <x v="1"/>
    <x v="0"/>
    <x v="2337"/>
    <x v="60"/>
    <x v="204"/>
    <x v="17"/>
  </r>
  <r>
    <x v="29"/>
    <x v="62"/>
    <x v="4209"/>
    <x v="1"/>
    <x v="0"/>
    <x v="2338"/>
    <x v="61"/>
    <x v="205"/>
    <x v="17"/>
  </r>
  <r>
    <x v="29"/>
    <x v="63"/>
    <x v="4210"/>
    <x v="1"/>
    <x v="0"/>
    <x v="2339"/>
    <x v="62"/>
    <x v="206"/>
    <x v="17"/>
  </r>
  <r>
    <x v="29"/>
    <x v="64"/>
    <x v="4211"/>
    <x v="1"/>
    <x v="0"/>
    <x v="1550"/>
    <x v="63"/>
    <x v="207"/>
    <x v="17"/>
  </r>
  <r>
    <x v="29"/>
    <x v="65"/>
    <x v="4212"/>
    <x v="1"/>
    <x v="0"/>
    <x v="2340"/>
    <x v="64"/>
    <x v="208"/>
    <x v="17"/>
  </r>
  <r>
    <x v="29"/>
    <x v="66"/>
    <x v="4213"/>
    <x v="1"/>
    <x v="0"/>
    <x v="2341"/>
    <x v="65"/>
    <x v="209"/>
    <x v="17"/>
  </r>
  <r>
    <x v="29"/>
    <x v="67"/>
    <x v="4214"/>
    <x v="1"/>
    <x v="0"/>
    <x v="2342"/>
    <x v="66"/>
    <x v="210"/>
    <x v="17"/>
  </r>
  <r>
    <x v="29"/>
    <x v="68"/>
    <x v="4215"/>
    <x v="1"/>
    <x v="0"/>
    <x v="534"/>
    <x v="67"/>
    <x v="211"/>
    <x v="17"/>
  </r>
  <r>
    <x v="29"/>
    <x v="69"/>
    <x v="4216"/>
    <x v="1"/>
    <x v="0"/>
    <x v="2343"/>
    <x v="68"/>
    <x v="212"/>
    <x v="17"/>
  </r>
  <r>
    <x v="29"/>
    <x v="70"/>
    <x v="4217"/>
    <x v="1"/>
    <x v="0"/>
    <x v="2344"/>
    <x v="69"/>
    <x v="213"/>
    <x v="17"/>
  </r>
  <r>
    <x v="29"/>
    <x v="71"/>
    <x v="4218"/>
    <x v="1"/>
    <x v="0"/>
    <x v="2345"/>
    <x v="70"/>
    <x v="214"/>
    <x v="17"/>
  </r>
  <r>
    <x v="29"/>
    <x v="72"/>
    <x v="4219"/>
    <x v="1"/>
    <x v="0"/>
    <x v="2346"/>
    <x v="71"/>
    <x v="215"/>
    <x v="17"/>
  </r>
  <r>
    <x v="29"/>
    <x v="73"/>
    <x v="4220"/>
    <x v="1"/>
    <x v="0"/>
    <x v="2347"/>
    <x v="59"/>
    <x v="216"/>
    <x v="18"/>
  </r>
  <r>
    <x v="29"/>
    <x v="74"/>
    <x v="4221"/>
    <x v="1"/>
    <x v="0"/>
    <x v="2348"/>
    <x v="72"/>
    <x v="217"/>
    <x v="18"/>
  </r>
  <r>
    <x v="29"/>
    <x v="75"/>
    <x v="4222"/>
    <x v="1"/>
    <x v="0"/>
    <x v="2349"/>
    <x v="73"/>
    <x v="218"/>
    <x v="18"/>
  </r>
  <r>
    <x v="29"/>
    <x v="76"/>
    <x v="4223"/>
    <x v="1"/>
    <x v="0"/>
    <x v="2350"/>
    <x v="74"/>
    <x v="219"/>
    <x v="18"/>
  </r>
  <r>
    <x v="29"/>
    <x v="77"/>
    <x v="4224"/>
    <x v="1"/>
    <x v="0"/>
    <x v="2351"/>
    <x v="75"/>
    <x v="220"/>
    <x v="18"/>
  </r>
  <r>
    <x v="29"/>
    <x v="78"/>
    <x v="4225"/>
    <x v="1"/>
    <x v="0"/>
    <x v="2352"/>
    <x v="76"/>
    <x v="221"/>
    <x v="18"/>
  </r>
  <r>
    <x v="29"/>
    <x v="79"/>
    <x v="4226"/>
    <x v="1"/>
    <x v="0"/>
    <x v="2353"/>
    <x v="77"/>
    <x v="222"/>
    <x v="18"/>
  </r>
  <r>
    <x v="29"/>
    <x v="80"/>
    <x v="4227"/>
    <x v="1"/>
    <x v="0"/>
    <x v="2354"/>
    <x v="78"/>
    <x v="223"/>
    <x v="18"/>
  </r>
  <r>
    <x v="29"/>
    <x v="81"/>
    <x v="4228"/>
    <x v="1"/>
    <x v="0"/>
    <x v="2355"/>
    <x v="79"/>
    <x v="224"/>
    <x v="18"/>
  </r>
  <r>
    <x v="29"/>
    <x v="82"/>
    <x v="4229"/>
    <x v="1"/>
    <x v="0"/>
    <x v="2356"/>
    <x v="80"/>
    <x v="225"/>
    <x v="18"/>
  </r>
  <r>
    <x v="29"/>
    <x v="83"/>
    <x v="4230"/>
    <x v="1"/>
    <x v="1"/>
    <x v="2357"/>
    <x v="81"/>
    <x v="226"/>
    <x v="18"/>
  </r>
  <r>
    <x v="29"/>
    <x v="84"/>
    <x v="4231"/>
    <x v="1"/>
    <x v="0"/>
    <x v="2358"/>
    <x v="82"/>
    <x v="227"/>
    <x v="18"/>
  </r>
  <r>
    <x v="29"/>
    <x v="85"/>
    <x v="4232"/>
    <x v="1"/>
    <x v="0"/>
    <x v="2359"/>
    <x v="83"/>
    <x v="228"/>
    <x v="18"/>
  </r>
  <r>
    <x v="29"/>
    <x v="86"/>
    <x v="4233"/>
    <x v="1"/>
    <x v="0"/>
    <x v="1136"/>
    <x v="84"/>
    <x v="229"/>
    <x v="18"/>
  </r>
  <r>
    <x v="29"/>
    <x v="87"/>
    <x v="4234"/>
    <x v="1"/>
    <x v="0"/>
    <x v="318"/>
    <x v="85"/>
    <x v="230"/>
    <x v="19"/>
  </r>
  <r>
    <x v="29"/>
    <x v="88"/>
    <x v="4235"/>
    <x v="1"/>
    <x v="0"/>
    <x v="281"/>
    <x v="86"/>
    <x v="231"/>
    <x v="19"/>
  </r>
  <r>
    <x v="29"/>
    <x v="89"/>
    <x v="4236"/>
    <x v="1"/>
    <x v="0"/>
    <x v="1857"/>
    <x v="87"/>
    <x v="232"/>
    <x v="19"/>
  </r>
  <r>
    <x v="29"/>
    <x v="90"/>
    <x v="4237"/>
    <x v="1"/>
    <x v="0"/>
    <x v="1108"/>
    <x v="88"/>
    <x v="233"/>
    <x v="19"/>
  </r>
  <r>
    <x v="29"/>
    <x v="91"/>
    <x v="4238"/>
    <x v="1"/>
    <x v="0"/>
    <x v="2360"/>
    <x v="89"/>
    <x v="234"/>
    <x v="19"/>
  </r>
  <r>
    <x v="29"/>
    <x v="92"/>
    <x v="4239"/>
    <x v="1"/>
    <x v="0"/>
    <x v="2361"/>
    <x v="90"/>
    <x v="235"/>
    <x v="19"/>
  </r>
  <r>
    <x v="29"/>
    <x v="93"/>
    <x v="4240"/>
    <x v="1"/>
    <x v="0"/>
    <x v="2362"/>
    <x v="91"/>
    <x v="236"/>
    <x v="19"/>
  </r>
  <r>
    <x v="29"/>
    <x v="94"/>
    <x v="4241"/>
    <x v="1"/>
    <x v="1"/>
    <x v="1341"/>
    <x v="92"/>
    <x v="237"/>
    <x v="19"/>
  </r>
  <r>
    <x v="29"/>
    <x v="95"/>
    <x v="4242"/>
    <x v="1"/>
    <x v="0"/>
    <x v="2363"/>
    <x v="93"/>
    <x v="238"/>
    <x v="19"/>
  </r>
  <r>
    <x v="29"/>
    <x v="96"/>
    <x v="4243"/>
    <x v="1"/>
    <x v="0"/>
    <x v="2364"/>
    <x v="94"/>
    <x v="239"/>
    <x v="19"/>
  </r>
  <r>
    <x v="29"/>
    <x v="97"/>
    <x v="4244"/>
    <x v="1"/>
    <x v="0"/>
    <x v="1004"/>
    <x v="95"/>
    <x v="240"/>
    <x v="19"/>
  </r>
  <r>
    <x v="29"/>
    <x v="98"/>
    <x v="4245"/>
    <x v="1"/>
    <x v="0"/>
    <x v="1705"/>
    <x v="96"/>
    <x v="241"/>
    <x v="19"/>
  </r>
  <r>
    <x v="29"/>
    <x v="99"/>
    <x v="4246"/>
    <x v="1"/>
    <x v="1"/>
    <x v="2365"/>
    <x v="97"/>
    <x v="242"/>
    <x v="19"/>
  </r>
  <r>
    <x v="29"/>
    <x v="100"/>
    <x v="4247"/>
    <x v="1"/>
    <x v="0"/>
    <x v="2366"/>
    <x v="98"/>
    <x v="243"/>
    <x v="20"/>
  </r>
  <r>
    <x v="29"/>
    <x v="101"/>
    <x v="4248"/>
    <x v="1"/>
    <x v="0"/>
    <x v="1823"/>
    <x v="99"/>
    <x v="244"/>
    <x v="20"/>
  </r>
  <r>
    <x v="29"/>
    <x v="102"/>
    <x v="4249"/>
    <x v="1"/>
    <x v="0"/>
    <x v="2367"/>
    <x v="100"/>
    <x v="245"/>
    <x v="20"/>
  </r>
  <r>
    <x v="29"/>
    <x v="103"/>
    <x v="4250"/>
    <x v="1"/>
    <x v="0"/>
    <x v="2368"/>
    <x v="101"/>
    <x v="246"/>
    <x v="20"/>
  </r>
  <r>
    <x v="29"/>
    <x v="104"/>
    <x v="4251"/>
    <x v="1"/>
    <x v="0"/>
    <x v="2071"/>
    <x v="102"/>
    <x v="247"/>
    <x v="20"/>
  </r>
  <r>
    <x v="29"/>
    <x v="105"/>
    <x v="4252"/>
    <x v="1"/>
    <x v="1"/>
    <x v="2369"/>
    <x v="103"/>
    <x v="248"/>
    <x v="20"/>
  </r>
  <r>
    <x v="29"/>
    <x v="106"/>
    <x v="4253"/>
    <x v="1"/>
    <x v="0"/>
    <x v="965"/>
    <x v="104"/>
    <x v="249"/>
    <x v="20"/>
  </r>
  <r>
    <x v="29"/>
    <x v="107"/>
    <x v="4254"/>
    <x v="1"/>
    <x v="0"/>
    <x v="2370"/>
    <x v="105"/>
    <x v="250"/>
    <x v="20"/>
  </r>
  <r>
    <x v="29"/>
    <x v="108"/>
    <x v="4255"/>
    <x v="1"/>
    <x v="0"/>
    <x v="2371"/>
    <x v="106"/>
    <x v="251"/>
    <x v="20"/>
  </r>
  <r>
    <x v="29"/>
    <x v="109"/>
    <x v="4256"/>
    <x v="1"/>
    <x v="0"/>
    <x v="327"/>
    <x v="107"/>
    <x v="252"/>
    <x v="20"/>
  </r>
  <r>
    <x v="29"/>
    <x v="110"/>
    <x v="4257"/>
    <x v="1"/>
    <x v="0"/>
    <x v="2372"/>
    <x v="108"/>
    <x v="253"/>
    <x v="20"/>
  </r>
  <r>
    <x v="29"/>
    <x v="111"/>
    <x v="4258"/>
    <x v="1"/>
    <x v="0"/>
    <x v="2327"/>
    <x v="109"/>
    <x v="254"/>
    <x v="20"/>
  </r>
  <r>
    <x v="29"/>
    <x v="112"/>
    <x v="4259"/>
    <x v="1"/>
    <x v="0"/>
    <x v="292"/>
    <x v="110"/>
    <x v="255"/>
    <x v="20"/>
  </r>
  <r>
    <x v="29"/>
    <x v="113"/>
    <x v="4260"/>
    <x v="1"/>
    <x v="0"/>
    <x v="2373"/>
    <x v="111"/>
    <x v="256"/>
    <x v="21"/>
  </r>
  <r>
    <x v="29"/>
    <x v="114"/>
    <x v="4261"/>
    <x v="1"/>
    <x v="0"/>
    <x v="365"/>
    <x v="111"/>
    <x v="257"/>
    <x v="21"/>
  </r>
  <r>
    <x v="29"/>
    <x v="115"/>
    <x v="4262"/>
    <x v="1"/>
    <x v="0"/>
    <x v="2374"/>
    <x v="112"/>
    <x v="258"/>
    <x v="21"/>
  </r>
  <r>
    <x v="29"/>
    <x v="116"/>
    <x v="4263"/>
    <x v="1"/>
    <x v="0"/>
    <x v="207"/>
    <x v="113"/>
    <x v="259"/>
    <x v="21"/>
  </r>
  <r>
    <x v="29"/>
    <x v="117"/>
    <x v="4264"/>
    <x v="1"/>
    <x v="0"/>
    <x v="2375"/>
    <x v="114"/>
    <x v="260"/>
    <x v="21"/>
  </r>
  <r>
    <x v="29"/>
    <x v="118"/>
    <x v="4265"/>
    <x v="1"/>
    <x v="0"/>
    <x v="2376"/>
    <x v="115"/>
    <x v="261"/>
    <x v="21"/>
  </r>
  <r>
    <x v="29"/>
    <x v="119"/>
    <x v="4266"/>
    <x v="1"/>
    <x v="0"/>
    <x v="2377"/>
    <x v="106"/>
    <x v="262"/>
    <x v="21"/>
  </r>
  <r>
    <x v="29"/>
    <x v="120"/>
    <x v="4267"/>
    <x v="1"/>
    <x v="0"/>
    <x v="2378"/>
    <x v="116"/>
    <x v="263"/>
    <x v="21"/>
  </r>
  <r>
    <x v="29"/>
    <x v="121"/>
    <x v="4268"/>
    <x v="1"/>
    <x v="0"/>
    <x v="2379"/>
    <x v="117"/>
    <x v="264"/>
    <x v="21"/>
  </r>
  <r>
    <x v="29"/>
    <x v="122"/>
    <x v="4269"/>
    <x v="1"/>
    <x v="0"/>
    <x v="2380"/>
    <x v="118"/>
    <x v="265"/>
    <x v="21"/>
  </r>
  <r>
    <x v="29"/>
    <x v="123"/>
    <x v="4270"/>
    <x v="1"/>
    <x v="0"/>
    <x v="2381"/>
    <x v="119"/>
    <x v="266"/>
    <x v="21"/>
  </r>
  <r>
    <x v="29"/>
    <x v="124"/>
    <x v="4271"/>
    <x v="1"/>
    <x v="0"/>
    <x v="700"/>
    <x v="120"/>
    <x v="267"/>
    <x v="21"/>
  </r>
  <r>
    <x v="29"/>
    <x v="125"/>
    <x v="4272"/>
    <x v="1"/>
    <x v="0"/>
    <x v="2382"/>
    <x v="121"/>
    <x v="268"/>
    <x v="21"/>
  </r>
  <r>
    <x v="29"/>
    <x v="126"/>
    <x v="4273"/>
    <x v="1"/>
    <x v="0"/>
    <x v="2383"/>
    <x v="122"/>
    <x v="269"/>
    <x v="22"/>
  </r>
  <r>
    <x v="29"/>
    <x v="127"/>
    <x v="4274"/>
    <x v="1"/>
    <x v="0"/>
    <x v="745"/>
    <x v="123"/>
    <x v="270"/>
    <x v="22"/>
  </r>
  <r>
    <x v="29"/>
    <x v="128"/>
    <x v="4275"/>
    <x v="1"/>
    <x v="0"/>
    <x v="668"/>
    <x v="124"/>
    <x v="271"/>
    <x v="22"/>
  </r>
  <r>
    <x v="29"/>
    <x v="129"/>
    <x v="4276"/>
    <x v="1"/>
    <x v="0"/>
    <x v="2384"/>
    <x v="125"/>
    <x v="272"/>
    <x v="22"/>
  </r>
  <r>
    <x v="29"/>
    <x v="130"/>
    <x v="4277"/>
    <x v="1"/>
    <x v="0"/>
    <x v="2385"/>
    <x v="126"/>
    <x v="273"/>
    <x v="22"/>
  </r>
  <r>
    <x v="29"/>
    <x v="131"/>
    <x v="4278"/>
    <x v="1"/>
    <x v="0"/>
    <x v="2386"/>
    <x v="127"/>
    <x v="274"/>
    <x v="22"/>
  </r>
  <r>
    <x v="29"/>
    <x v="132"/>
    <x v="4279"/>
    <x v="1"/>
    <x v="0"/>
    <x v="73"/>
    <x v="128"/>
    <x v="275"/>
    <x v="22"/>
  </r>
  <r>
    <x v="29"/>
    <x v="133"/>
    <x v="4280"/>
    <x v="1"/>
    <x v="0"/>
    <x v="68"/>
    <x v="129"/>
    <x v="276"/>
    <x v="22"/>
  </r>
  <r>
    <x v="29"/>
    <x v="134"/>
    <x v="4281"/>
    <x v="1"/>
    <x v="0"/>
    <x v="72"/>
    <x v="77"/>
    <x v="277"/>
    <x v="22"/>
  </r>
  <r>
    <x v="29"/>
    <x v="135"/>
    <x v="4282"/>
    <x v="1"/>
    <x v="1"/>
    <x v="2387"/>
    <x v="130"/>
    <x v="278"/>
    <x v="22"/>
  </r>
  <r>
    <x v="29"/>
    <x v="136"/>
    <x v="4283"/>
    <x v="1"/>
    <x v="0"/>
    <x v="2388"/>
    <x v="131"/>
    <x v="279"/>
    <x v="22"/>
  </r>
  <r>
    <x v="29"/>
    <x v="137"/>
    <x v="4284"/>
    <x v="1"/>
    <x v="0"/>
    <x v="2389"/>
    <x v="132"/>
    <x v="280"/>
    <x v="22"/>
  </r>
  <r>
    <x v="29"/>
    <x v="138"/>
    <x v="4285"/>
    <x v="1"/>
    <x v="0"/>
    <x v="2390"/>
    <x v="133"/>
    <x v="281"/>
    <x v="22"/>
  </r>
  <r>
    <x v="29"/>
    <x v="139"/>
    <x v="4286"/>
    <x v="1"/>
    <x v="0"/>
    <x v="1245"/>
    <x v="134"/>
    <x v="282"/>
    <x v="23"/>
  </r>
  <r>
    <x v="29"/>
    <x v="140"/>
    <x v="4287"/>
    <x v="1"/>
    <x v="0"/>
    <x v="2391"/>
    <x v="135"/>
    <x v="283"/>
    <x v="23"/>
  </r>
  <r>
    <x v="29"/>
    <x v="141"/>
    <x v="4288"/>
    <x v="1"/>
    <x v="0"/>
    <x v="2099"/>
    <x v="71"/>
    <x v="284"/>
    <x v="23"/>
  </r>
  <r>
    <x v="29"/>
    <x v="142"/>
    <x v="4289"/>
    <x v="1"/>
    <x v="0"/>
    <x v="775"/>
    <x v="136"/>
    <x v="285"/>
    <x v="23"/>
  </r>
  <r>
    <x v="30"/>
    <x v="0"/>
    <x v="4290"/>
    <x v="0"/>
    <x v="0"/>
    <x v="2300"/>
    <x v="0"/>
    <x v="143"/>
    <x v="12"/>
  </r>
  <r>
    <x v="30"/>
    <x v="1"/>
    <x v="4291"/>
    <x v="0"/>
    <x v="1"/>
    <x v="1850"/>
    <x v="1"/>
    <x v="144"/>
    <x v="12"/>
  </r>
  <r>
    <x v="30"/>
    <x v="2"/>
    <x v="4292"/>
    <x v="0"/>
    <x v="0"/>
    <x v="2301"/>
    <x v="2"/>
    <x v="145"/>
    <x v="12"/>
  </r>
  <r>
    <x v="30"/>
    <x v="3"/>
    <x v="4293"/>
    <x v="0"/>
    <x v="0"/>
    <x v="2302"/>
    <x v="3"/>
    <x v="146"/>
    <x v="12"/>
  </r>
  <r>
    <x v="30"/>
    <x v="4"/>
    <x v="4294"/>
    <x v="0"/>
    <x v="0"/>
    <x v="2303"/>
    <x v="4"/>
    <x v="147"/>
    <x v="12"/>
  </r>
  <r>
    <x v="30"/>
    <x v="5"/>
    <x v="4295"/>
    <x v="0"/>
    <x v="0"/>
    <x v="2304"/>
    <x v="5"/>
    <x v="148"/>
    <x v="12"/>
  </r>
  <r>
    <x v="30"/>
    <x v="6"/>
    <x v="4296"/>
    <x v="0"/>
    <x v="0"/>
    <x v="2305"/>
    <x v="6"/>
    <x v="149"/>
    <x v="12"/>
  </r>
  <r>
    <x v="30"/>
    <x v="7"/>
    <x v="4297"/>
    <x v="0"/>
    <x v="0"/>
    <x v="2306"/>
    <x v="7"/>
    <x v="150"/>
    <x v="12"/>
  </r>
  <r>
    <x v="30"/>
    <x v="8"/>
    <x v="4298"/>
    <x v="0"/>
    <x v="0"/>
    <x v="2307"/>
    <x v="8"/>
    <x v="151"/>
    <x v="13"/>
  </r>
  <r>
    <x v="30"/>
    <x v="9"/>
    <x v="4299"/>
    <x v="0"/>
    <x v="0"/>
    <x v="1510"/>
    <x v="9"/>
    <x v="152"/>
    <x v="13"/>
  </r>
  <r>
    <x v="30"/>
    <x v="10"/>
    <x v="4300"/>
    <x v="0"/>
    <x v="0"/>
    <x v="292"/>
    <x v="10"/>
    <x v="153"/>
    <x v="13"/>
  </r>
  <r>
    <x v="30"/>
    <x v="11"/>
    <x v="4301"/>
    <x v="0"/>
    <x v="0"/>
    <x v="913"/>
    <x v="11"/>
    <x v="154"/>
    <x v="13"/>
  </r>
  <r>
    <x v="30"/>
    <x v="12"/>
    <x v="4302"/>
    <x v="0"/>
    <x v="0"/>
    <x v="2308"/>
    <x v="12"/>
    <x v="155"/>
    <x v="13"/>
  </r>
  <r>
    <x v="30"/>
    <x v="13"/>
    <x v="4303"/>
    <x v="0"/>
    <x v="0"/>
    <x v="1619"/>
    <x v="13"/>
    <x v="156"/>
    <x v="13"/>
  </r>
  <r>
    <x v="30"/>
    <x v="14"/>
    <x v="4304"/>
    <x v="0"/>
    <x v="0"/>
    <x v="2309"/>
    <x v="14"/>
    <x v="157"/>
    <x v="13"/>
  </r>
  <r>
    <x v="30"/>
    <x v="15"/>
    <x v="4305"/>
    <x v="0"/>
    <x v="0"/>
    <x v="727"/>
    <x v="15"/>
    <x v="158"/>
    <x v="13"/>
  </r>
  <r>
    <x v="30"/>
    <x v="16"/>
    <x v="4306"/>
    <x v="0"/>
    <x v="0"/>
    <x v="33"/>
    <x v="16"/>
    <x v="159"/>
    <x v="13"/>
  </r>
  <r>
    <x v="30"/>
    <x v="17"/>
    <x v="4307"/>
    <x v="0"/>
    <x v="0"/>
    <x v="2310"/>
    <x v="17"/>
    <x v="160"/>
    <x v="13"/>
  </r>
  <r>
    <x v="30"/>
    <x v="18"/>
    <x v="4308"/>
    <x v="0"/>
    <x v="0"/>
    <x v="481"/>
    <x v="18"/>
    <x v="161"/>
    <x v="13"/>
  </r>
  <r>
    <x v="30"/>
    <x v="19"/>
    <x v="4309"/>
    <x v="0"/>
    <x v="0"/>
    <x v="2311"/>
    <x v="19"/>
    <x v="162"/>
    <x v="13"/>
  </r>
  <r>
    <x v="30"/>
    <x v="20"/>
    <x v="4310"/>
    <x v="0"/>
    <x v="0"/>
    <x v="1395"/>
    <x v="20"/>
    <x v="163"/>
    <x v="13"/>
  </r>
  <r>
    <x v="30"/>
    <x v="21"/>
    <x v="4311"/>
    <x v="0"/>
    <x v="0"/>
    <x v="2312"/>
    <x v="21"/>
    <x v="164"/>
    <x v="14"/>
  </r>
  <r>
    <x v="30"/>
    <x v="22"/>
    <x v="4312"/>
    <x v="0"/>
    <x v="0"/>
    <x v="1356"/>
    <x v="22"/>
    <x v="165"/>
    <x v="14"/>
  </r>
  <r>
    <x v="30"/>
    <x v="23"/>
    <x v="4313"/>
    <x v="0"/>
    <x v="0"/>
    <x v="1215"/>
    <x v="23"/>
    <x v="166"/>
    <x v="14"/>
  </r>
  <r>
    <x v="30"/>
    <x v="24"/>
    <x v="4314"/>
    <x v="0"/>
    <x v="0"/>
    <x v="1317"/>
    <x v="24"/>
    <x v="167"/>
    <x v="14"/>
  </r>
  <r>
    <x v="30"/>
    <x v="25"/>
    <x v="4315"/>
    <x v="0"/>
    <x v="0"/>
    <x v="2313"/>
    <x v="25"/>
    <x v="168"/>
    <x v="14"/>
  </r>
  <r>
    <x v="30"/>
    <x v="26"/>
    <x v="4316"/>
    <x v="0"/>
    <x v="0"/>
    <x v="1322"/>
    <x v="26"/>
    <x v="169"/>
    <x v="14"/>
  </r>
  <r>
    <x v="30"/>
    <x v="27"/>
    <x v="4317"/>
    <x v="0"/>
    <x v="0"/>
    <x v="2314"/>
    <x v="27"/>
    <x v="170"/>
    <x v="14"/>
  </r>
  <r>
    <x v="30"/>
    <x v="28"/>
    <x v="4318"/>
    <x v="0"/>
    <x v="0"/>
    <x v="2315"/>
    <x v="28"/>
    <x v="171"/>
    <x v="14"/>
  </r>
  <r>
    <x v="30"/>
    <x v="29"/>
    <x v="4319"/>
    <x v="0"/>
    <x v="0"/>
    <x v="2316"/>
    <x v="29"/>
    <x v="172"/>
    <x v="14"/>
  </r>
  <r>
    <x v="30"/>
    <x v="30"/>
    <x v="4320"/>
    <x v="0"/>
    <x v="0"/>
    <x v="2317"/>
    <x v="30"/>
    <x v="173"/>
    <x v="14"/>
  </r>
  <r>
    <x v="30"/>
    <x v="31"/>
    <x v="4321"/>
    <x v="0"/>
    <x v="1"/>
    <x v="2318"/>
    <x v="31"/>
    <x v="174"/>
    <x v="14"/>
  </r>
  <r>
    <x v="30"/>
    <x v="32"/>
    <x v="4322"/>
    <x v="0"/>
    <x v="0"/>
    <x v="2319"/>
    <x v="32"/>
    <x v="175"/>
    <x v="14"/>
  </r>
  <r>
    <x v="30"/>
    <x v="33"/>
    <x v="4323"/>
    <x v="0"/>
    <x v="0"/>
    <x v="2320"/>
    <x v="33"/>
    <x v="176"/>
    <x v="14"/>
  </r>
  <r>
    <x v="30"/>
    <x v="34"/>
    <x v="4324"/>
    <x v="0"/>
    <x v="0"/>
    <x v="1245"/>
    <x v="34"/>
    <x v="177"/>
    <x v="15"/>
  </r>
  <r>
    <x v="30"/>
    <x v="35"/>
    <x v="4325"/>
    <x v="0"/>
    <x v="0"/>
    <x v="2321"/>
    <x v="35"/>
    <x v="178"/>
    <x v="15"/>
  </r>
  <r>
    <x v="30"/>
    <x v="36"/>
    <x v="4326"/>
    <x v="0"/>
    <x v="0"/>
    <x v="2322"/>
    <x v="6"/>
    <x v="179"/>
    <x v="15"/>
  </r>
  <r>
    <x v="30"/>
    <x v="37"/>
    <x v="4327"/>
    <x v="0"/>
    <x v="0"/>
    <x v="2323"/>
    <x v="36"/>
    <x v="180"/>
    <x v="15"/>
  </r>
  <r>
    <x v="30"/>
    <x v="38"/>
    <x v="4328"/>
    <x v="0"/>
    <x v="0"/>
    <x v="1860"/>
    <x v="37"/>
    <x v="181"/>
    <x v="15"/>
  </r>
  <r>
    <x v="30"/>
    <x v="39"/>
    <x v="4329"/>
    <x v="0"/>
    <x v="0"/>
    <x v="2324"/>
    <x v="38"/>
    <x v="182"/>
    <x v="15"/>
  </r>
  <r>
    <x v="30"/>
    <x v="40"/>
    <x v="4330"/>
    <x v="0"/>
    <x v="0"/>
    <x v="2325"/>
    <x v="39"/>
    <x v="183"/>
    <x v="15"/>
  </r>
  <r>
    <x v="30"/>
    <x v="41"/>
    <x v="4331"/>
    <x v="0"/>
    <x v="0"/>
    <x v="2326"/>
    <x v="40"/>
    <x v="184"/>
    <x v="15"/>
  </r>
  <r>
    <x v="30"/>
    <x v="42"/>
    <x v="4332"/>
    <x v="0"/>
    <x v="1"/>
    <x v="2327"/>
    <x v="41"/>
    <x v="185"/>
    <x v="15"/>
  </r>
  <r>
    <x v="30"/>
    <x v="43"/>
    <x v="4333"/>
    <x v="0"/>
    <x v="0"/>
    <x v="1453"/>
    <x v="42"/>
    <x v="186"/>
    <x v="15"/>
  </r>
  <r>
    <x v="30"/>
    <x v="44"/>
    <x v="4334"/>
    <x v="0"/>
    <x v="0"/>
    <x v="2328"/>
    <x v="43"/>
    <x v="187"/>
    <x v="15"/>
  </r>
  <r>
    <x v="30"/>
    <x v="45"/>
    <x v="4335"/>
    <x v="0"/>
    <x v="0"/>
    <x v="1741"/>
    <x v="44"/>
    <x v="188"/>
    <x v="15"/>
  </r>
  <r>
    <x v="30"/>
    <x v="46"/>
    <x v="4336"/>
    <x v="0"/>
    <x v="0"/>
    <x v="974"/>
    <x v="45"/>
    <x v="189"/>
    <x v="15"/>
  </r>
  <r>
    <x v="30"/>
    <x v="47"/>
    <x v="4337"/>
    <x v="0"/>
    <x v="1"/>
    <x v="2329"/>
    <x v="46"/>
    <x v="190"/>
    <x v="15"/>
  </r>
  <r>
    <x v="30"/>
    <x v="48"/>
    <x v="4338"/>
    <x v="0"/>
    <x v="0"/>
    <x v="2330"/>
    <x v="47"/>
    <x v="191"/>
    <x v="16"/>
  </r>
  <r>
    <x v="30"/>
    <x v="49"/>
    <x v="4339"/>
    <x v="0"/>
    <x v="0"/>
    <x v="926"/>
    <x v="48"/>
    <x v="192"/>
    <x v="16"/>
  </r>
  <r>
    <x v="30"/>
    <x v="50"/>
    <x v="4340"/>
    <x v="0"/>
    <x v="0"/>
    <x v="2331"/>
    <x v="49"/>
    <x v="193"/>
    <x v="16"/>
  </r>
  <r>
    <x v="30"/>
    <x v="51"/>
    <x v="4341"/>
    <x v="0"/>
    <x v="0"/>
    <x v="50"/>
    <x v="50"/>
    <x v="194"/>
    <x v="16"/>
  </r>
  <r>
    <x v="30"/>
    <x v="52"/>
    <x v="4342"/>
    <x v="0"/>
    <x v="0"/>
    <x v="1011"/>
    <x v="51"/>
    <x v="195"/>
    <x v="16"/>
  </r>
  <r>
    <x v="30"/>
    <x v="53"/>
    <x v="4343"/>
    <x v="0"/>
    <x v="1"/>
    <x v="463"/>
    <x v="52"/>
    <x v="196"/>
    <x v="16"/>
  </r>
  <r>
    <x v="30"/>
    <x v="54"/>
    <x v="4344"/>
    <x v="0"/>
    <x v="0"/>
    <x v="2332"/>
    <x v="53"/>
    <x v="197"/>
    <x v="16"/>
  </r>
  <r>
    <x v="30"/>
    <x v="55"/>
    <x v="4345"/>
    <x v="0"/>
    <x v="0"/>
    <x v="2333"/>
    <x v="54"/>
    <x v="198"/>
    <x v="16"/>
  </r>
  <r>
    <x v="30"/>
    <x v="56"/>
    <x v="4346"/>
    <x v="0"/>
    <x v="0"/>
    <x v="2334"/>
    <x v="55"/>
    <x v="199"/>
    <x v="16"/>
  </r>
  <r>
    <x v="30"/>
    <x v="57"/>
    <x v="4347"/>
    <x v="0"/>
    <x v="0"/>
    <x v="2335"/>
    <x v="56"/>
    <x v="200"/>
    <x v="16"/>
  </r>
  <r>
    <x v="30"/>
    <x v="58"/>
    <x v="4348"/>
    <x v="0"/>
    <x v="0"/>
    <x v="2336"/>
    <x v="57"/>
    <x v="201"/>
    <x v="16"/>
  </r>
  <r>
    <x v="30"/>
    <x v="59"/>
    <x v="4349"/>
    <x v="0"/>
    <x v="0"/>
    <x v="119"/>
    <x v="58"/>
    <x v="202"/>
    <x v="16"/>
  </r>
  <r>
    <x v="30"/>
    <x v="60"/>
    <x v="4350"/>
    <x v="0"/>
    <x v="0"/>
    <x v="236"/>
    <x v="59"/>
    <x v="203"/>
    <x v="17"/>
  </r>
  <r>
    <x v="30"/>
    <x v="61"/>
    <x v="4351"/>
    <x v="0"/>
    <x v="0"/>
    <x v="2337"/>
    <x v="60"/>
    <x v="204"/>
    <x v="17"/>
  </r>
  <r>
    <x v="30"/>
    <x v="62"/>
    <x v="4352"/>
    <x v="0"/>
    <x v="0"/>
    <x v="2338"/>
    <x v="61"/>
    <x v="205"/>
    <x v="17"/>
  </r>
  <r>
    <x v="30"/>
    <x v="63"/>
    <x v="4353"/>
    <x v="0"/>
    <x v="0"/>
    <x v="2339"/>
    <x v="62"/>
    <x v="206"/>
    <x v="17"/>
  </r>
  <r>
    <x v="30"/>
    <x v="64"/>
    <x v="4354"/>
    <x v="0"/>
    <x v="0"/>
    <x v="1550"/>
    <x v="63"/>
    <x v="207"/>
    <x v="17"/>
  </r>
  <r>
    <x v="30"/>
    <x v="65"/>
    <x v="4355"/>
    <x v="0"/>
    <x v="0"/>
    <x v="2340"/>
    <x v="64"/>
    <x v="208"/>
    <x v="17"/>
  </r>
  <r>
    <x v="30"/>
    <x v="66"/>
    <x v="4356"/>
    <x v="0"/>
    <x v="0"/>
    <x v="2341"/>
    <x v="65"/>
    <x v="209"/>
    <x v="17"/>
  </r>
  <r>
    <x v="30"/>
    <x v="67"/>
    <x v="4357"/>
    <x v="0"/>
    <x v="0"/>
    <x v="2342"/>
    <x v="66"/>
    <x v="210"/>
    <x v="17"/>
  </r>
  <r>
    <x v="30"/>
    <x v="68"/>
    <x v="4358"/>
    <x v="0"/>
    <x v="0"/>
    <x v="534"/>
    <x v="67"/>
    <x v="211"/>
    <x v="17"/>
  </r>
  <r>
    <x v="30"/>
    <x v="69"/>
    <x v="4359"/>
    <x v="0"/>
    <x v="0"/>
    <x v="2343"/>
    <x v="68"/>
    <x v="212"/>
    <x v="17"/>
  </r>
  <r>
    <x v="30"/>
    <x v="70"/>
    <x v="4360"/>
    <x v="0"/>
    <x v="0"/>
    <x v="2344"/>
    <x v="69"/>
    <x v="213"/>
    <x v="17"/>
  </r>
  <r>
    <x v="30"/>
    <x v="71"/>
    <x v="4361"/>
    <x v="0"/>
    <x v="0"/>
    <x v="2345"/>
    <x v="70"/>
    <x v="214"/>
    <x v="17"/>
  </r>
  <r>
    <x v="30"/>
    <x v="72"/>
    <x v="4362"/>
    <x v="0"/>
    <x v="0"/>
    <x v="2346"/>
    <x v="71"/>
    <x v="215"/>
    <x v="17"/>
  </r>
  <r>
    <x v="30"/>
    <x v="73"/>
    <x v="4363"/>
    <x v="0"/>
    <x v="0"/>
    <x v="2347"/>
    <x v="59"/>
    <x v="216"/>
    <x v="18"/>
  </r>
  <r>
    <x v="30"/>
    <x v="74"/>
    <x v="4364"/>
    <x v="0"/>
    <x v="0"/>
    <x v="2348"/>
    <x v="72"/>
    <x v="217"/>
    <x v="18"/>
  </r>
  <r>
    <x v="30"/>
    <x v="75"/>
    <x v="4365"/>
    <x v="0"/>
    <x v="0"/>
    <x v="2349"/>
    <x v="73"/>
    <x v="218"/>
    <x v="18"/>
  </r>
  <r>
    <x v="30"/>
    <x v="76"/>
    <x v="4366"/>
    <x v="0"/>
    <x v="0"/>
    <x v="2350"/>
    <x v="74"/>
    <x v="219"/>
    <x v="18"/>
  </r>
  <r>
    <x v="30"/>
    <x v="77"/>
    <x v="4367"/>
    <x v="0"/>
    <x v="0"/>
    <x v="2351"/>
    <x v="75"/>
    <x v="220"/>
    <x v="18"/>
  </r>
  <r>
    <x v="30"/>
    <x v="78"/>
    <x v="4368"/>
    <x v="0"/>
    <x v="0"/>
    <x v="2352"/>
    <x v="76"/>
    <x v="221"/>
    <x v="18"/>
  </r>
  <r>
    <x v="30"/>
    <x v="79"/>
    <x v="4369"/>
    <x v="0"/>
    <x v="0"/>
    <x v="2353"/>
    <x v="77"/>
    <x v="222"/>
    <x v="18"/>
  </r>
  <r>
    <x v="30"/>
    <x v="80"/>
    <x v="4370"/>
    <x v="0"/>
    <x v="0"/>
    <x v="2354"/>
    <x v="78"/>
    <x v="223"/>
    <x v="18"/>
  </r>
  <r>
    <x v="30"/>
    <x v="81"/>
    <x v="4371"/>
    <x v="0"/>
    <x v="0"/>
    <x v="2355"/>
    <x v="79"/>
    <x v="224"/>
    <x v="18"/>
  </r>
  <r>
    <x v="30"/>
    <x v="82"/>
    <x v="4372"/>
    <x v="0"/>
    <x v="0"/>
    <x v="2356"/>
    <x v="80"/>
    <x v="225"/>
    <x v="18"/>
  </r>
  <r>
    <x v="30"/>
    <x v="83"/>
    <x v="4373"/>
    <x v="0"/>
    <x v="1"/>
    <x v="2357"/>
    <x v="81"/>
    <x v="226"/>
    <x v="18"/>
  </r>
  <r>
    <x v="30"/>
    <x v="84"/>
    <x v="4374"/>
    <x v="0"/>
    <x v="0"/>
    <x v="2358"/>
    <x v="82"/>
    <x v="227"/>
    <x v="18"/>
  </r>
  <r>
    <x v="30"/>
    <x v="85"/>
    <x v="4375"/>
    <x v="0"/>
    <x v="0"/>
    <x v="2359"/>
    <x v="83"/>
    <x v="228"/>
    <x v="18"/>
  </r>
  <r>
    <x v="30"/>
    <x v="86"/>
    <x v="4376"/>
    <x v="0"/>
    <x v="0"/>
    <x v="1136"/>
    <x v="84"/>
    <x v="229"/>
    <x v="18"/>
  </r>
  <r>
    <x v="30"/>
    <x v="87"/>
    <x v="4377"/>
    <x v="0"/>
    <x v="0"/>
    <x v="318"/>
    <x v="85"/>
    <x v="230"/>
    <x v="19"/>
  </r>
  <r>
    <x v="30"/>
    <x v="88"/>
    <x v="4378"/>
    <x v="0"/>
    <x v="0"/>
    <x v="281"/>
    <x v="86"/>
    <x v="231"/>
    <x v="19"/>
  </r>
  <r>
    <x v="30"/>
    <x v="89"/>
    <x v="4379"/>
    <x v="0"/>
    <x v="0"/>
    <x v="1857"/>
    <x v="87"/>
    <x v="232"/>
    <x v="19"/>
  </r>
  <r>
    <x v="30"/>
    <x v="90"/>
    <x v="4380"/>
    <x v="0"/>
    <x v="0"/>
    <x v="1108"/>
    <x v="88"/>
    <x v="233"/>
    <x v="19"/>
  </r>
  <r>
    <x v="30"/>
    <x v="91"/>
    <x v="4381"/>
    <x v="0"/>
    <x v="0"/>
    <x v="2360"/>
    <x v="89"/>
    <x v="234"/>
    <x v="19"/>
  </r>
  <r>
    <x v="30"/>
    <x v="92"/>
    <x v="4382"/>
    <x v="0"/>
    <x v="0"/>
    <x v="2361"/>
    <x v="90"/>
    <x v="235"/>
    <x v="19"/>
  </r>
  <r>
    <x v="30"/>
    <x v="93"/>
    <x v="4383"/>
    <x v="0"/>
    <x v="0"/>
    <x v="2362"/>
    <x v="91"/>
    <x v="236"/>
    <x v="19"/>
  </r>
  <r>
    <x v="30"/>
    <x v="94"/>
    <x v="4384"/>
    <x v="0"/>
    <x v="1"/>
    <x v="1341"/>
    <x v="92"/>
    <x v="237"/>
    <x v="19"/>
  </r>
  <r>
    <x v="30"/>
    <x v="95"/>
    <x v="4385"/>
    <x v="0"/>
    <x v="0"/>
    <x v="2363"/>
    <x v="93"/>
    <x v="238"/>
    <x v="19"/>
  </r>
  <r>
    <x v="30"/>
    <x v="96"/>
    <x v="4386"/>
    <x v="0"/>
    <x v="0"/>
    <x v="2364"/>
    <x v="94"/>
    <x v="239"/>
    <x v="19"/>
  </r>
  <r>
    <x v="30"/>
    <x v="97"/>
    <x v="4387"/>
    <x v="0"/>
    <x v="0"/>
    <x v="1004"/>
    <x v="95"/>
    <x v="240"/>
    <x v="19"/>
  </r>
  <r>
    <x v="30"/>
    <x v="98"/>
    <x v="4388"/>
    <x v="0"/>
    <x v="0"/>
    <x v="1705"/>
    <x v="96"/>
    <x v="241"/>
    <x v="19"/>
  </r>
  <r>
    <x v="30"/>
    <x v="99"/>
    <x v="4389"/>
    <x v="0"/>
    <x v="1"/>
    <x v="2365"/>
    <x v="97"/>
    <x v="242"/>
    <x v="19"/>
  </r>
  <r>
    <x v="30"/>
    <x v="100"/>
    <x v="4390"/>
    <x v="0"/>
    <x v="0"/>
    <x v="2366"/>
    <x v="98"/>
    <x v="243"/>
    <x v="20"/>
  </r>
  <r>
    <x v="30"/>
    <x v="101"/>
    <x v="4391"/>
    <x v="0"/>
    <x v="0"/>
    <x v="1823"/>
    <x v="99"/>
    <x v="244"/>
    <x v="20"/>
  </r>
  <r>
    <x v="30"/>
    <x v="102"/>
    <x v="4392"/>
    <x v="0"/>
    <x v="0"/>
    <x v="2367"/>
    <x v="100"/>
    <x v="245"/>
    <x v="20"/>
  </r>
  <r>
    <x v="30"/>
    <x v="103"/>
    <x v="4393"/>
    <x v="0"/>
    <x v="0"/>
    <x v="2368"/>
    <x v="101"/>
    <x v="246"/>
    <x v="20"/>
  </r>
  <r>
    <x v="30"/>
    <x v="104"/>
    <x v="4394"/>
    <x v="0"/>
    <x v="0"/>
    <x v="2071"/>
    <x v="102"/>
    <x v="247"/>
    <x v="20"/>
  </r>
  <r>
    <x v="30"/>
    <x v="105"/>
    <x v="4395"/>
    <x v="0"/>
    <x v="1"/>
    <x v="2369"/>
    <x v="103"/>
    <x v="248"/>
    <x v="20"/>
  </r>
  <r>
    <x v="30"/>
    <x v="106"/>
    <x v="4396"/>
    <x v="0"/>
    <x v="0"/>
    <x v="965"/>
    <x v="104"/>
    <x v="249"/>
    <x v="20"/>
  </r>
  <r>
    <x v="30"/>
    <x v="107"/>
    <x v="4397"/>
    <x v="0"/>
    <x v="0"/>
    <x v="2370"/>
    <x v="105"/>
    <x v="250"/>
    <x v="20"/>
  </r>
  <r>
    <x v="30"/>
    <x v="108"/>
    <x v="4398"/>
    <x v="0"/>
    <x v="0"/>
    <x v="2371"/>
    <x v="106"/>
    <x v="251"/>
    <x v="20"/>
  </r>
  <r>
    <x v="30"/>
    <x v="109"/>
    <x v="4399"/>
    <x v="0"/>
    <x v="0"/>
    <x v="327"/>
    <x v="107"/>
    <x v="252"/>
    <x v="20"/>
  </r>
  <r>
    <x v="30"/>
    <x v="110"/>
    <x v="4400"/>
    <x v="0"/>
    <x v="0"/>
    <x v="2372"/>
    <x v="108"/>
    <x v="253"/>
    <x v="20"/>
  </r>
  <r>
    <x v="30"/>
    <x v="111"/>
    <x v="4401"/>
    <x v="0"/>
    <x v="0"/>
    <x v="2327"/>
    <x v="109"/>
    <x v="254"/>
    <x v="20"/>
  </r>
  <r>
    <x v="30"/>
    <x v="112"/>
    <x v="4402"/>
    <x v="0"/>
    <x v="0"/>
    <x v="292"/>
    <x v="110"/>
    <x v="255"/>
    <x v="20"/>
  </r>
  <r>
    <x v="30"/>
    <x v="113"/>
    <x v="4403"/>
    <x v="0"/>
    <x v="0"/>
    <x v="2373"/>
    <x v="111"/>
    <x v="256"/>
    <x v="21"/>
  </r>
  <r>
    <x v="30"/>
    <x v="114"/>
    <x v="4404"/>
    <x v="0"/>
    <x v="0"/>
    <x v="365"/>
    <x v="111"/>
    <x v="257"/>
    <x v="21"/>
  </r>
  <r>
    <x v="30"/>
    <x v="115"/>
    <x v="4405"/>
    <x v="0"/>
    <x v="0"/>
    <x v="2374"/>
    <x v="112"/>
    <x v="258"/>
    <x v="21"/>
  </r>
  <r>
    <x v="30"/>
    <x v="116"/>
    <x v="4406"/>
    <x v="0"/>
    <x v="0"/>
    <x v="207"/>
    <x v="113"/>
    <x v="259"/>
    <x v="21"/>
  </r>
  <r>
    <x v="30"/>
    <x v="117"/>
    <x v="4407"/>
    <x v="0"/>
    <x v="0"/>
    <x v="2375"/>
    <x v="114"/>
    <x v="260"/>
    <x v="21"/>
  </r>
  <r>
    <x v="30"/>
    <x v="118"/>
    <x v="4408"/>
    <x v="0"/>
    <x v="0"/>
    <x v="2376"/>
    <x v="115"/>
    <x v="261"/>
    <x v="21"/>
  </r>
  <r>
    <x v="30"/>
    <x v="119"/>
    <x v="4409"/>
    <x v="0"/>
    <x v="0"/>
    <x v="2377"/>
    <x v="106"/>
    <x v="262"/>
    <x v="21"/>
  </r>
  <r>
    <x v="30"/>
    <x v="120"/>
    <x v="4410"/>
    <x v="0"/>
    <x v="0"/>
    <x v="2378"/>
    <x v="116"/>
    <x v="263"/>
    <x v="21"/>
  </r>
  <r>
    <x v="30"/>
    <x v="121"/>
    <x v="4411"/>
    <x v="0"/>
    <x v="0"/>
    <x v="2379"/>
    <x v="117"/>
    <x v="264"/>
    <x v="21"/>
  </r>
  <r>
    <x v="30"/>
    <x v="122"/>
    <x v="4412"/>
    <x v="0"/>
    <x v="0"/>
    <x v="2380"/>
    <x v="118"/>
    <x v="265"/>
    <x v="21"/>
  </r>
  <r>
    <x v="30"/>
    <x v="123"/>
    <x v="4413"/>
    <x v="0"/>
    <x v="0"/>
    <x v="2381"/>
    <x v="119"/>
    <x v="266"/>
    <x v="21"/>
  </r>
  <r>
    <x v="30"/>
    <x v="124"/>
    <x v="4414"/>
    <x v="0"/>
    <x v="0"/>
    <x v="700"/>
    <x v="120"/>
    <x v="267"/>
    <x v="21"/>
  </r>
  <r>
    <x v="30"/>
    <x v="125"/>
    <x v="4415"/>
    <x v="0"/>
    <x v="0"/>
    <x v="2382"/>
    <x v="121"/>
    <x v="268"/>
    <x v="21"/>
  </r>
  <r>
    <x v="30"/>
    <x v="126"/>
    <x v="4416"/>
    <x v="0"/>
    <x v="0"/>
    <x v="2383"/>
    <x v="122"/>
    <x v="269"/>
    <x v="22"/>
  </r>
  <r>
    <x v="30"/>
    <x v="127"/>
    <x v="4417"/>
    <x v="0"/>
    <x v="0"/>
    <x v="745"/>
    <x v="123"/>
    <x v="270"/>
    <x v="22"/>
  </r>
  <r>
    <x v="30"/>
    <x v="128"/>
    <x v="4418"/>
    <x v="0"/>
    <x v="0"/>
    <x v="668"/>
    <x v="124"/>
    <x v="271"/>
    <x v="22"/>
  </r>
  <r>
    <x v="30"/>
    <x v="129"/>
    <x v="4419"/>
    <x v="0"/>
    <x v="0"/>
    <x v="2384"/>
    <x v="125"/>
    <x v="272"/>
    <x v="22"/>
  </r>
  <r>
    <x v="30"/>
    <x v="130"/>
    <x v="4420"/>
    <x v="0"/>
    <x v="0"/>
    <x v="2385"/>
    <x v="126"/>
    <x v="273"/>
    <x v="22"/>
  </r>
  <r>
    <x v="30"/>
    <x v="131"/>
    <x v="4421"/>
    <x v="0"/>
    <x v="0"/>
    <x v="2386"/>
    <x v="127"/>
    <x v="274"/>
    <x v="22"/>
  </r>
  <r>
    <x v="30"/>
    <x v="132"/>
    <x v="4422"/>
    <x v="0"/>
    <x v="0"/>
    <x v="73"/>
    <x v="128"/>
    <x v="275"/>
    <x v="22"/>
  </r>
  <r>
    <x v="30"/>
    <x v="133"/>
    <x v="4423"/>
    <x v="0"/>
    <x v="0"/>
    <x v="68"/>
    <x v="129"/>
    <x v="276"/>
    <x v="22"/>
  </r>
  <r>
    <x v="30"/>
    <x v="134"/>
    <x v="4424"/>
    <x v="0"/>
    <x v="0"/>
    <x v="72"/>
    <x v="77"/>
    <x v="277"/>
    <x v="22"/>
  </r>
  <r>
    <x v="30"/>
    <x v="135"/>
    <x v="4425"/>
    <x v="0"/>
    <x v="1"/>
    <x v="2387"/>
    <x v="130"/>
    <x v="278"/>
    <x v="22"/>
  </r>
  <r>
    <x v="30"/>
    <x v="136"/>
    <x v="4426"/>
    <x v="0"/>
    <x v="0"/>
    <x v="2388"/>
    <x v="131"/>
    <x v="279"/>
    <x v="22"/>
  </r>
  <r>
    <x v="30"/>
    <x v="137"/>
    <x v="4427"/>
    <x v="0"/>
    <x v="0"/>
    <x v="2389"/>
    <x v="132"/>
    <x v="280"/>
    <x v="22"/>
  </r>
  <r>
    <x v="30"/>
    <x v="138"/>
    <x v="4428"/>
    <x v="0"/>
    <x v="0"/>
    <x v="2390"/>
    <x v="133"/>
    <x v="281"/>
    <x v="22"/>
  </r>
  <r>
    <x v="30"/>
    <x v="139"/>
    <x v="4429"/>
    <x v="0"/>
    <x v="0"/>
    <x v="1245"/>
    <x v="134"/>
    <x v="282"/>
    <x v="23"/>
  </r>
  <r>
    <x v="30"/>
    <x v="140"/>
    <x v="4430"/>
    <x v="0"/>
    <x v="0"/>
    <x v="2391"/>
    <x v="135"/>
    <x v="283"/>
    <x v="23"/>
  </r>
  <r>
    <x v="30"/>
    <x v="141"/>
    <x v="4431"/>
    <x v="0"/>
    <x v="0"/>
    <x v="2099"/>
    <x v="71"/>
    <x v="284"/>
    <x v="23"/>
  </r>
  <r>
    <x v="30"/>
    <x v="142"/>
    <x v="4432"/>
    <x v="0"/>
    <x v="0"/>
    <x v="775"/>
    <x v="136"/>
    <x v="285"/>
    <x v="23"/>
  </r>
  <r>
    <x v="31"/>
    <x v="0"/>
    <x v="4433"/>
    <x v="0"/>
    <x v="0"/>
    <x v="2922"/>
    <x v="248"/>
    <x v="858"/>
    <x v="72"/>
  </r>
  <r>
    <x v="31"/>
    <x v="1"/>
    <x v="4434"/>
    <x v="0"/>
    <x v="1"/>
    <x v="2923"/>
    <x v="0"/>
    <x v="859"/>
    <x v="72"/>
  </r>
  <r>
    <x v="31"/>
    <x v="2"/>
    <x v="4435"/>
    <x v="0"/>
    <x v="0"/>
    <x v="2455"/>
    <x v="249"/>
    <x v="860"/>
    <x v="72"/>
  </r>
  <r>
    <x v="31"/>
    <x v="3"/>
    <x v="4436"/>
    <x v="0"/>
    <x v="0"/>
    <x v="2924"/>
    <x v="250"/>
    <x v="861"/>
    <x v="72"/>
  </r>
  <r>
    <x v="31"/>
    <x v="4"/>
    <x v="4437"/>
    <x v="0"/>
    <x v="0"/>
    <x v="2925"/>
    <x v="251"/>
    <x v="862"/>
    <x v="72"/>
  </r>
  <r>
    <x v="31"/>
    <x v="5"/>
    <x v="4438"/>
    <x v="0"/>
    <x v="0"/>
    <x v="2926"/>
    <x v="252"/>
    <x v="863"/>
    <x v="72"/>
  </r>
  <r>
    <x v="31"/>
    <x v="6"/>
    <x v="4439"/>
    <x v="0"/>
    <x v="0"/>
    <x v="2927"/>
    <x v="27"/>
    <x v="864"/>
    <x v="72"/>
  </r>
  <r>
    <x v="31"/>
    <x v="7"/>
    <x v="4440"/>
    <x v="0"/>
    <x v="0"/>
    <x v="2928"/>
    <x v="253"/>
    <x v="865"/>
    <x v="72"/>
  </r>
  <r>
    <x v="31"/>
    <x v="8"/>
    <x v="4441"/>
    <x v="0"/>
    <x v="0"/>
    <x v="2929"/>
    <x v="36"/>
    <x v="866"/>
    <x v="73"/>
  </r>
  <r>
    <x v="31"/>
    <x v="9"/>
    <x v="4442"/>
    <x v="0"/>
    <x v="0"/>
    <x v="1193"/>
    <x v="254"/>
    <x v="867"/>
    <x v="73"/>
  </r>
  <r>
    <x v="31"/>
    <x v="10"/>
    <x v="4443"/>
    <x v="0"/>
    <x v="0"/>
    <x v="2930"/>
    <x v="255"/>
    <x v="868"/>
    <x v="73"/>
  </r>
  <r>
    <x v="31"/>
    <x v="11"/>
    <x v="4444"/>
    <x v="0"/>
    <x v="0"/>
    <x v="2282"/>
    <x v="256"/>
    <x v="869"/>
    <x v="73"/>
  </r>
  <r>
    <x v="31"/>
    <x v="12"/>
    <x v="4445"/>
    <x v="0"/>
    <x v="0"/>
    <x v="2931"/>
    <x v="257"/>
    <x v="870"/>
    <x v="73"/>
  </r>
  <r>
    <x v="31"/>
    <x v="13"/>
    <x v="4446"/>
    <x v="0"/>
    <x v="0"/>
    <x v="2932"/>
    <x v="40"/>
    <x v="871"/>
    <x v="73"/>
  </r>
  <r>
    <x v="31"/>
    <x v="14"/>
    <x v="4447"/>
    <x v="0"/>
    <x v="0"/>
    <x v="2933"/>
    <x v="258"/>
    <x v="872"/>
    <x v="73"/>
  </r>
  <r>
    <x v="31"/>
    <x v="15"/>
    <x v="4448"/>
    <x v="0"/>
    <x v="0"/>
    <x v="2934"/>
    <x v="256"/>
    <x v="873"/>
    <x v="73"/>
  </r>
  <r>
    <x v="31"/>
    <x v="16"/>
    <x v="4449"/>
    <x v="0"/>
    <x v="0"/>
    <x v="2935"/>
    <x v="259"/>
    <x v="874"/>
    <x v="73"/>
  </r>
  <r>
    <x v="31"/>
    <x v="17"/>
    <x v="4450"/>
    <x v="0"/>
    <x v="0"/>
    <x v="1022"/>
    <x v="260"/>
    <x v="875"/>
    <x v="73"/>
  </r>
  <r>
    <x v="31"/>
    <x v="18"/>
    <x v="4451"/>
    <x v="0"/>
    <x v="0"/>
    <x v="2560"/>
    <x v="252"/>
    <x v="876"/>
    <x v="73"/>
  </r>
  <r>
    <x v="31"/>
    <x v="19"/>
    <x v="4452"/>
    <x v="0"/>
    <x v="0"/>
    <x v="2031"/>
    <x v="261"/>
    <x v="877"/>
    <x v="73"/>
  </r>
  <r>
    <x v="31"/>
    <x v="20"/>
    <x v="4453"/>
    <x v="0"/>
    <x v="0"/>
    <x v="2377"/>
    <x v="262"/>
    <x v="878"/>
    <x v="73"/>
  </r>
  <r>
    <x v="31"/>
    <x v="21"/>
    <x v="4454"/>
    <x v="0"/>
    <x v="0"/>
    <x v="2936"/>
    <x v="39"/>
    <x v="879"/>
    <x v="74"/>
  </r>
  <r>
    <x v="31"/>
    <x v="22"/>
    <x v="4455"/>
    <x v="0"/>
    <x v="0"/>
    <x v="2937"/>
    <x v="263"/>
    <x v="880"/>
    <x v="74"/>
  </r>
  <r>
    <x v="31"/>
    <x v="23"/>
    <x v="4456"/>
    <x v="0"/>
    <x v="0"/>
    <x v="1385"/>
    <x v="167"/>
    <x v="881"/>
    <x v="74"/>
  </r>
  <r>
    <x v="31"/>
    <x v="24"/>
    <x v="4457"/>
    <x v="0"/>
    <x v="0"/>
    <x v="1587"/>
    <x v="264"/>
    <x v="882"/>
    <x v="74"/>
  </r>
  <r>
    <x v="31"/>
    <x v="25"/>
    <x v="4458"/>
    <x v="0"/>
    <x v="0"/>
    <x v="2938"/>
    <x v="265"/>
    <x v="883"/>
    <x v="74"/>
  </r>
  <r>
    <x v="31"/>
    <x v="26"/>
    <x v="4459"/>
    <x v="0"/>
    <x v="0"/>
    <x v="2939"/>
    <x v="265"/>
    <x v="884"/>
    <x v="74"/>
  </r>
  <r>
    <x v="31"/>
    <x v="27"/>
    <x v="4460"/>
    <x v="0"/>
    <x v="0"/>
    <x v="136"/>
    <x v="266"/>
    <x v="885"/>
    <x v="74"/>
  </r>
  <r>
    <x v="31"/>
    <x v="28"/>
    <x v="4461"/>
    <x v="0"/>
    <x v="0"/>
    <x v="1291"/>
    <x v="7"/>
    <x v="886"/>
    <x v="74"/>
  </r>
  <r>
    <x v="31"/>
    <x v="29"/>
    <x v="4462"/>
    <x v="0"/>
    <x v="0"/>
    <x v="686"/>
    <x v="267"/>
    <x v="887"/>
    <x v="74"/>
  </r>
  <r>
    <x v="31"/>
    <x v="30"/>
    <x v="4463"/>
    <x v="0"/>
    <x v="0"/>
    <x v="2494"/>
    <x v="146"/>
    <x v="888"/>
    <x v="74"/>
  </r>
  <r>
    <x v="31"/>
    <x v="31"/>
    <x v="4464"/>
    <x v="1"/>
    <x v="1"/>
    <x v="1384"/>
    <x v="12"/>
    <x v="889"/>
    <x v="74"/>
  </r>
  <r>
    <x v="31"/>
    <x v="32"/>
    <x v="4465"/>
    <x v="1"/>
    <x v="0"/>
    <x v="2582"/>
    <x v="268"/>
    <x v="890"/>
    <x v="74"/>
  </r>
  <r>
    <x v="31"/>
    <x v="33"/>
    <x v="4466"/>
    <x v="0"/>
    <x v="0"/>
    <x v="1894"/>
    <x v="269"/>
    <x v="891"/>
    <x v="74"/>
  </r>
  <r>
    <x v="31"/>
    <x v="34"/>
    <x v="4467"/>
    <x v="0"/>
    <x v="0"/>
    <x v="2940"/>
    <x v="16"/>
    <x v="892"/>
    <x v="75"/>
  </r>
  <r>
    <x v="31"/>
    <x v="35"/>
    <x v="4468"/>
    <x v="0"/>
    <x v="0"/>
    <x v="2941"/>
    <x v="270"/>
    <x v="893"/>
    <x v="75"/>
  </r>
  <r>
    <x v="31"/>
    <x v="36"/>
    <x v="4469"/>
    <x v="0"/>
    <x v="0"/>
    <x v="2942"/>
    <x v="271"/>
    <x v="894"/>
    <x v="75"/>
  </r>
  <r>
    <x v="31"/>
    <x v="37"/>
    <x v="4470"/>
    <x v="0"/>
    <x v="0"/>
    <x v="710"/>
    <x v="271"/>
    <x v="895"/>
    <x v="75"/>
  </r>
  <r>
    <x v="31"/>
    <x v="38"/>
    <x v="4471"/>
    <x v="0"/>
    <x v="0"/>
    <x v="2943"/>
    <x v="272"/>
    <x v="896"/>
    <x v="75"/>
  </r>
  <r>
    <x v="31"/>
    <x v="39"/>
    <x v="4472"/>
    <x v="0"/>
    <x v="0"/>
    <x v="2944"/>
    <x v="273"/>
    <x v="897"/>
    <x v="75"/>
  </r>
  <r>
    <x v="31"/>
    <x v="40"/>
    <x v="4473"/>
    <x v="0"/>
    <x v="0"/>
    <x v="2631"/>
    <x v="259"/>
    <x v="898"/>
    <x v="75"/>
  </r>
  <r>
    <x v="31"/>
    <x v="41"/>
    <x v="4474"/>
    <x v="0"/>
    <x v="0"/>
    <x v="2945"/>
    <x v="274"/>
    <x v="899"/>
    <x v="75"/>
  </r>
  <r>
    <x v="31"/>
    <x v="42"/>
    <x v="4475"/>
    <x v="0"/>
    <x v="1"/>
    <x v="2946"/>
    <x v="275"/>
    <x v="900"/>
    <x v="75"/>
  </r>
  <r>
    <x v="31"/>
    <x v="43"/>
    <x v="4476"/>
    <x v="0"/>
    <x v="0"/>
    <x v="2947"/>
    <x v="276"/>
    <x v="901"/>
    <x v="75"/>
  </r>
  <r>
    <x v="31"/>
    <x v="44"/>
    <x v="4477"/>
    <x v="0"/>
    <x v="0"/>
    <x v="2948"/>
    <x v="39"/>
    <x v="902"/>
    <x v="75"/>
  </r>
  <r>
    <x v="31"/>
    <x v="45"/>
    <x v="4478"/>
    <x v="0"/>
    <x v="0"/>
    <x v="2481"/>
    <x v="277"/>
    <x v="903"/>
    <x v="75"/>
  </r>
  <r>
    <x v="31"/>
    <x v="46"/>
    <x v="4479"/>
    <x v="0"/>
    <x v="0"/>
    <x v="2600"/>
    <x v="278"/>
    <x v="904"/>
    <x v="75"/>
  </r>
  <r>
    <x v="31"/>
    <x v="47"/>
    <x v="4480"/>
    <x v="1"/>
    <x v="1"/>
    <x v="2949"/>
    <x v="279"/>
    <x v="905"/>
    <x v="75"/>
  </r>
  <r>
    <x v="31"/>
    <x v="48"/>
    <x v="4481"/>
    <x v="1"/>
    <x v="0"/>
    <x v="2950"/>
    <x v="280"/>
    <x v="906"/>
    <x v="76"/>
  </r>
  <r>
    <x v="31"/>
    <x v="49"/>
    <x v="4482"/>
    <x v="1"/>
    <x v="0"/>
    <x v="2951"/>
    <x v="281"/>
    <x v="907"/>
    <x v="76"/>
  </r>
  <r>
    <x v="31"/>
    <x v="50"/>
    <x v="4483"/>
    <x v="0"/>
    <x v="0"/>
    <x v="2952"/>
    <x v="282"/>
    <x v="908"/>
    <x v="76"/>
  </r>
  <r>
    <x v="31"/>
    <x v="51"/>
    <x v="4484"/>
    <x v="1"/>
    <x v="0"/>
    <x v="2953"/>
    <x v="283"/>
    <x v="909"/>
    <x v="76"/>
  </r>
  <r>
    <x v="31"/>
    <x v="52"/>
    <x v="4485"/>
    <x v="0"/>
    <x v="0"/>
    <x v="2954"/>
    <x v="284"/>
    <x v="910"/>
    <x v="76"/>
  </r>
  <r>
    <x v="31"/>
    <x v="53"/>
    <x v="4486"/>
    <x v="0"/>
    <x v="1"/>
    <x v="2955"/>
    <x v="285"/>
    <x v="911"/>
    <x v="76"/>
  </r>
  <r>
    <x v="31"/>
    <x v="54"/>
    <x v="4487"/>
    <x v="0"/>
    <x v="0"/>
    <x v="511"/>
    <x v="286"/>
    <x v="912"/>
    <x v="76"/>
  </r>
  <r>
    <x v="31"/>
    <x v="55"/>
    <x v="4488"/>
    <x v="0"/>
    <x v="0"/>
    <x v="514"/>
    <x v="287"/>
    <x v="913"/>
    <x v="76"/>
  </r>
  <r>
    <x v="31"/>
    <x v="56"/>
    <x v="4489"/>
    <x v="0"/>
    <x v="0"/>
    <x v="2956"/>
    <x v="288"/>
    <x v="914"/>
    <x v="76"/>
  </r>
  <r>
    <x v="31"/>
    <x v="57"/>
    <x v="4490"/>
    <x v="0"/>
    <x v="0"/>
    <x v="2957"/>
    <x v="88"/>
    <x v="915"/>
    <x v="76"/>
  </r>
  <r>
    <x v="31"/>
    <x v="58"/>
    <x v="4491"/>
    <x v="0"/>
    <x v="0"/>
    <x v="2643"/>
    <x v="289"/>
    <x v="916"/>
    <x v="76"/>
  </r>
  <r>
    <x v="31"/>
    <x v="59"/>
    <x v="4492"/>
    <x v="0"/>
    <x v="0"/>
    <x v="550"/>
    <x v="290"/>
    <x v="917"/>
    <x v="76"/>
  </r>
  <r>
    <x v="31"/>
    <x v="60"/>
    <x v="4493"/>
    <x v="0"/>
    <x v="0"/>
    <x v="2250"/>
    <x v="182"/>
    <x v="918"/>
    <x v="77"/>
  </r>
  <r>
    <x v="31"/>
    <x v="61"/>
    <x v="4494"/>
    <x v="0"/>
    <x v="0"/>
    <x v="2958"/>
    <x v="203"/>
    <x v="919"/>
    <x v="77"/>
  </r>
  <r>
    <x v="31"/>
    <x v="62"/>
    <x v="4495"/>
    <x v="0"/>
    <x v="0"/>
    <x v="2959"/>
    <x v="291"/>
    <x v="920"/>
    <x v="77"/>
  </r>
  <r>
    <x v="31"/>
    <x v="63"/>
    <x v="4496"/>
    <x v="0"/>
    <x v="0"/>
    <x v="2594"/>
    <x v="292"/>
    <x v="921"/>
    <x v="77"/>
  </r>
  <r>
    <x v="31"/>
    <x v="64"/>
    <x v="4497"/>
    <x v="0"/>
    <x v="0"/>
    <x v="2960"/>
    <x v="293"/>
    <x v="922"/>
    <x v="77"/>
  </r>
  <r>
    <x v="31"/>
    <x v="65"/>
    <x v="4498"/>
    <x v="0"/>
    <x v="0"/>
    <x v="2876"/>
    <x v="294"/>
    <x v="923"/>
    <x v="77"/>
  </r>
  <r>
    <x v="31"/>
    <x v="66"/>
    <x v="4499"/>
    <x v="0"/>
    <x v="0"/>
    <x v="2108"/>
    <x v="295"/>
    <x v="924"/>
    <x v="77"/>
  </r>
  <r>
    <x v="31"/>
    <x v="67"/>
    <x v="4500"/>
    <x v="0"/>
    <x v="0"/>
    <x v="282"/>
    <x v="296"/>
    <x v="925"/>
    <x v="77"/>
  </r>
  <r>
    <x v="31"/>
    <x v="68"/>
    <x v="4501"/>
    <x v="0"/>
    <x v="0"/>
    <x v="2961"/>
    <x v="297"/>
    <x v="926"/>
    <x v="77"/>
  </r>
  <r>
    <x v="31"/>
    <x v="69"/>
    <x v="4502"/>
    <x v="0"/>
    <x v="0"/>
    <x v="2659"/>
    <x v="298"/>
    <x v="927"/>
    <x v="77"/>
  </r>
  <r>
    <x v="31"/>
    <x v="70"/>
    <x v="4503"/>
    <x v="0"/>
    <x v="0"/>
    <x v="1406"/>
    <x v="294"/>
    <x v="928"/>
    <x v="77"/>
  </r>
  <r>
    <x v="31"/>
    <x v="71"/>
    <x v="4504"/>
    <x v="0"/>
    <x v="0"/>
    <x v="1382"/>
    <x v="299"/>
    <x v="929"/>
    <x v="77"/>
  </r>
  <r>
    <x v="31"/>
    <x v="72"/>
    <x v="4505"/>
    <x v="0"/>
    <x v="0"/>
    <x v="2683"/>
    <x v="300"/>
    <x v="930"/>
    <x v="77"/>
  </r>
  <r>
    <x v="31"/>
    <x v="73"/>
    <x v="4506"/>
    <x v="0"/>
    <x v="0"/>
    <x v="2962"/>
    <x v="301"/>
    <x v="931"/>
    <x v="78"/>
  </r>
  <r>
    <x v="31"/>
    <x v="74"/>
    <x v="4507"/>
    <x v="0"/>
    <x v="0"/>
    <x v="2617"/>
    <x v="302"/>
    <x v="932"/>
    <x v="78"/>
  </r>
  <r>
    <x v="31"/>
    <x v="75"/>
    <x v="4508"/>
    <x v="0"/>
    <x v="0"/>
    <x v="2963"/>
    <x v="203"/>
    <x v="933"/>
    <x v="78"/>
  </r>
  <r>
    <x v="31"/>
    <x v="76"/>
    <x v="4509"/>
    <x v="0"/>
    <x v="0"/>
    <x v="83"/>
    <x v="303"/>
    <x v="934"/>
    <x v="78"/>
  </r>
  <r>
    <x v="31"/>
    <x v="77"/>
    <x v="4510"/>
    <x v="0"/>
    <x v="0"/>
    <x v="2586"/>
    <x v="304"/>
    <x v="935"/>
    <x v="78"/>
  </r>
  <r>
    <x v="31"/>
    <x v="78"/>
    <x v="4511"/>
    <x v="0"/>
    <x v="0"/>
    <x v="158"/>
    <x v="78"/>
    <x v="936"/>
    <x v="78"/>
  </r>
  <r>
    <x v="31"/>
    <x v="79"/>
    <x v="4512"/>
    <x v="0"/>
    <x v="0"/>
    <x v="1997"/>
    <x v="305"/>
    <x v="937"/>
    <x v="78"/>
  </r>
  <r>
    <x v="31"/>
    <x v="80"/>
    <x v="4513"/>
    <x v="0"/>
    <x v="0"/>
    <x v="2964"/>
    <x v="306"/>
    <x v="938"/>
    <x v="78"/>
  </r>
  <r>
    <x v="31"/>
    <x v="81"/>
    <x v="4514"/>
    <x v="0"/>
    <x v="0"/>
    <x v="66"/>
    <x v="307"/>
    <x v="939"/>
    <x v="78"/>
  </r>
  <r>
    <x v="31"/>
    <x v="82"/>
    <x v="4515"/>
    <x v="0"/>
    <x v="0"/>
    <x v="2124"/>
    <x v="308"/>
    <x v="940"/>
    <x v="78"/>
  </r>
  <r>
    <x v="31"/>
    <x v="83"/>
    <x v="4516"/>
    <x v="0"/>
    <x v="1"/>
    <x v="1183"/>
    <x v="309"/>
    <x v="941"/>
    <x v="78"/>
  </r>
  <r>
    <x v="31"/>
    <x v="84"/>
    <x v="4517"/>
    <x v="0"/>
    <x v="0"/>
    <x v="2088"/>
    <x v="310"/>
    <x v="942"/>
    <x v="78"/>
  </r>
  <r>
    <x v="31"/>
    <x v="85"/>
    <x v="4518"/>
    <x v="0"/>
    <x v="0"/>
    <x v="2965"/>
    <x v="311"/>
    <x v="943"/>
    <x v="78"/>
  </r>
  <r>
    <x v="31"/>
    <x v="86"/>
    <x v="4519"/>
    <x v="0"/>
    <x v="0"/>
    <x v="2966"/>
    <x v="312"/>
    <x v="944"/>
    <x v="78"/>
  </r>
  <r>
    <x v="31"/>
    <x v="87"/>
    <x v="4520"/>
    <x v="0"/>
    <x v="0"/>
    <x v="1610"/>
    <x v="313"/>
    <x v="945"/>
    <x v="79"/>
  </r>
  <r>
    <x v="31"/>
    <x v="88"/>
    <x v="4521"/>
    <x v="0"/>
    <x v="0"/>
    <x v="1497"/>
    <x v="314"/>
    <x v="946"/>
    <x v="79"/>
  </r>
  <r>
    <x v="31"/>
    <x v="89"/>
    <x v="4522"/>
    <x v="0"/>
    <x v="0"/>
    <x v="2575"/>
    <x v="315"/>
    <x v="947"/>
    <x v="79"/>
  </r>
  <r>
    <x v="31"/>
    <x v="90"/>
    <x v="4523"/>
    <x v="0"/>
    <x v="0"/>
    <x v="2967"/>
    <x v="202"/>
    <x v="948"/>
    <x v="79"/>
  </r>
  <r>
    <x v="31"/>
    <x v="91"/>
    <x v="4524"/>
    <x v="0"/>
    <x v="0"/>
    <x v="2968"/>
    <x v="316"/>
    <x v="949"/>
    <x v="79"/>
  </r>
  <r>
    <x v="31"/>
    <x v="92"/>
    <x v="4525"/>
    <x v="0"/>
    <x v="0"/>
    <x v="2084"/>
    <x v="317"/>
    <x v="950"/>
    <x v="79"/>
  </r>
  <r>
    <x v="31"/>
    <x v="93"/>
    <x v="4526"/>
    <x v="0"/>
    <x v="0"/>
    <x v="2969"/>
    <x v="318"/>
    <x v="951"/>
    <x v="79"/>
  </r>
  <r>
    <x v="31"/>
    <x v="94"/>
    <x v="4527"/>
    <x v="0"/>
    <x v="1"/>
    <x v="2970"/>
    <x v="319"/>
    <x v="952"/>
    <x v="79"/>
  </r>
  <r>
    <x v="31"/>
    <x v="95"/>
    <x v="4528"/>
    <x v="0"/>
    <x v="0"/>
    <x v="1559"/>
    <x v="320"/>
    <x v="953"/>
    <x v="79"/>
  </r>
  <r>
    <x v="31"/>
    <x v="96"/>
    <x v="4529"/>
    <x v="0"/>
    <x v="0"/>
    <x v="2971"/>
    <x v="321"/>
    <x v="954"/>
    <x v="79"/>
  </r>
  <r>
    <x v="31"/>
    <x v="97"/>
    <x v="4530"/>
    <x v="0"/>
    <x v="0"/>
    <x v="2972"/>
    <x v="322"/>
    <x v="955"/>
    <x v="79"/>
  </r>
  <r>
    <x v="31"/>
    <x v="98"/>
    <x v="4531"/>
    <x v="0"/>
    <x v="0"/>
    <x v="2973"/>
    <x v="323"/>
    <x v="956"/>
    <x v="79"/>
  </r>
  <r>
    <x v="31"/>
    <x v="99"/>
    <x v="4532"/>
    <x v="0"/>
    <x v="1"/>
    <x v="2542"/>
    <x v="216"/>
    <x v="957"/>
    <x v="79"/>
  </r>
  <r>
    <x v="31"/>
    <x v="100"/>
    <x v="4533"/>
    <x v="0"/>
    <x v="0"/>
    <x v="2974"/>
    <x v="324"/>
    <x v="958"/>
    <x v="80"/>
  </r>
  <r>
    <x v="31"/>
    <x v="101"/>
    <x v="4534"/>
    <x v="0"/>
    <x v="0"/>
    <x v="2975"/>
    <x v="325"/>
    <x v="959"/>
    <x v="80"/>
  </r>
  <r>
    <x v="31"/>
    <x v="102"/>
    <x v="4535"/>
    <x v="0"/>
    <x v="0"/>
    <x v="2976"/>
    <x v="326"/>
    <x v="960"/>
    <x v="80"/>
  </r>
  <r>
    <x v="31"/>
    <x v="103"/>
    <x v="4536"/>
    <x v="0"/>
    <x v="0"/>
    <x v="2977"/>
    <x v="327"/>
    <x v="961"/>
    <x v="80"/>
  </r>
  <r>
    <x v="31"/>
    <x v="104"/>
    <x v="4537"/>
    <x v="0"/>
    <x v="0"/>
    <x v="2978"/>
    <x v="328"/>
    <x v="962"/>
    <x v="80"/>
  </r>
  <r>
    <x v="31"/>
    <x v="105"/>
    <x v="4538"/>
    <x v="0"/>
    <x v="1"/>
    <x v="2979"/>
    <x v="215"/>
    <x v="963"/>
    <x v="80"/>
  </r>
  <r>
    <x v="31"/>
    <x v="106"/>
    <x v="4539"/>
    <x v="0"/>
    <x v="0"/>
    <x v="2980"/>
    <x v="329"/>
    <x v="964"/>
    <x v="80"/>
  </r>
  <r>
    <x v="31"/>
    <x v="107"/>
    <x v="4540"/>
    <x v="0"/>
    <x v="0"/>
    <x v="2981"/>
    <x v="97"/>
    <x v="965"/>
    <x v="80"/>
  </r>
  <r>
    <x v="31"/>
    <x v="108"/>
    <x v="4541"/>
    <x v="0"/>
    <x v="0"/>
    <x v="2982"/>
    <x v="330"/>
    <x v="966"/>
    <x v="80"/>
  </r>
  <r>
    <x v="31"/>
    <x v="109"/>
    <x v="4542"/>
    <x v="0"/>
    <x v="0"/>
    <x v="2983"/>
    <x v="121"/>
    <x v="967"/>
    <x v="80"/>
  </r>
  <r>
    <x v="31"/>
    <x v="110"/>
    <x v="4543"/>
    <x v="0"/>
    <x v="0"/>
    <x v="1194"/>
    <x v="331"/>
    <x v="968"/>
    <x v="80"/>
  </r>
  <r>
    <x v="31"/>
    <x v="111"/>
    <x v="4544"/>
    <x v="0"/>
    <x v="0"/>
    <x v="2285"/>
    <x v="332"/>
    <x v="969"/>
    <x v="80"/>
  </r>
  <r>
    <x v="31"/>
    <x v="112"/>
    <x v="4545"/>
    <x v="0"/>
    <x v="0"/>
    <x v="2108"/>
    <x v="333"/>
    <x v="970"/>
    <x v="80"/>
  </r>
  <r>
    <x v="31"/>
    <x v="113"/>
    <x v="4546"/>
    <x v="0"/>
    <x v="0"/>
    <x v="904"/>
    <x v="334"/>
    <x v="971"/>
    <x v="81"/>
  </r>
  <r>
    <x v="31"/>
    <x v="114"/>
    <x v="4547"/>
    <x v="0"/>
    <x v="0"/>
    <x v="2984"/>
    <x v="335"/>
    <x v="972"/>
    <x v="81"/>
  </r>
  <r>
    <x v="31"/>
    <x v="115"/>
    <x v="4548"/>
    <x v="0"/>
    <x v="0"/>
    <x v="2985"/>
    <x v="336"/>
    <x v="973"/>
    <x v="81"/>
  </r>
  <r>
    <x v="31"/>
    <x v="116"/>
    <x v="4549"/>
    <x v="0"/>
    <x v="0"/>
    <x v="2986"/>
    <x v="337"/>
    <x v="974"/>
    <x v="81"/>
  </r>
  <r>
    <x v="31"/>
    <x v="117"/>
    <x v="4550"/>
    <x v="0"/>
    <x v="0"/>
    <x v="2987"/>
    <x v="338"/>
    <x v="975"/>
    <x v="81"/>
  </r>
  <r>
    <x v="31"/>
    <x v="118"/>
    <x v="4551"/>
    <x v="0"/>
    <x v="0"/>
    <x v="2919"/>
    <x v="339"/>
    <x v="976"/>
    <x v="81"/>
  </r>
  <r>
    <x v="31"/>
    <x v="119"/>
    <x v="4552"/>
    <x v="0"/>
    <x v="0"/>
    <x v="2988"/>
    <x v="340"/>
    <x v="977"/>
    <x v="81"/>
  </r>
  <r>
    <x v="31"/>
    <x v="120"/>
    <x v="4553"/>
    <x v="0"/>
    <x v="0"/>
    <x v="977"/>
    <x v="341"/>
    <x v="978"/>
    <x v="81"/>
  </r>
  <r>
    <x v="31"/>
    <x v="121"/>
    <x v="4554"/>
    <x v="0"/>
    <x v="0"/>
    <x v="2989"/>
    <x v="342"/>
    <x v="979"/>
    <x v="81"/>
  </r>
  <r>
    <x v="31"/>
    <x v="122"/>
    <x v="4555"/>
    <x v="0"/>
    <x v="0"/>
    <x v="1995"/>
    <x v="343"/>
    <x v="980"/>
    <x v="81"/>
  </r>
  <r>
    <x v="31"/>
    <x v="123"/>
    <x v="4556"/>
    <x v="0"/>
    <x v="0"/>
    <x v="1331"/>
    <x v="344"/>
    <x v="981"/>
    <x v="81"/>
  </r>
  <r>
    <x v="31"/>
    <x v="124"/>
    <x v="4557"/>
    <x v="0"/>
    <x v="0"/>
    <x v="1651"/>
    <x v="294"/>
    <x v="982"/>
    <x v="81"/>
  </r>
  <r>
    <x v="31"/>
    <x v="125"/>
    <x v="4558"/>
    <x v="0"/>
    <x v="0"/>
    <x v="2990"/>
    <x v="345"/>
    <x v="983"/>
    <x v="81"/>
  </r>
  <r>
    <x v="31"/>
    <x v="126"/>
    <x v="4559"/>
    <x v="0"/>
    <x v="0"/>
    <x v="2063"/>
    <x v="243"/>
    <x v="984"/>
    <x v="82"/>
  </r>
  <r>
    <x v="31"/>
    <x v="127"/>
    <x v="4560"/>
    <x v="0"/>
    <x v="0"/>
    <x v="2991"/>
    <x v="346"/>
    <x v="985"/>
    <x v="82"/>
  </r>
  <r>
    <x v="31"/>
    <x v="128"/>
    <x v="4561"/>
    <x v="0"/>
    <x v="0"/>
    <x v="2992"/>
    <x v="347"/>
    <x v="986"/>
    <x v="82"/>
  </r>
  <r>
    <x v="31"/>
    <x v="129"/>
    <x v="4562"/>
    <x v="0"/>
    <x v="0"/>
    <x v="2993"/>
    <x v="195"/>
    <x v="987"/>
    <x v="82"/>
  </r>
  <r>
    <x v="31"/>
    <x v="130"/>
    <x v="4563"/>
    <x v="0"/>
    <x v="0"/>
    <x v="1690"/>
    <x v="348"/>
    <x v="988"/>
    <x v="82"/>
  </r>
  <r>
    <x v="31"/>
    <x v="131"/>
    <x v="4564"/>
    <x v="0"/>
    <x v="0"/>
    <x v="1202"/>
    <x v="349"/>
    <x v="989"/>
    <x v="82"/>
  </r>
  <r>
    <x v="31"/>
    <x v="132"/>
    <x v="4565"/>
    <x v="0"/>
    <x v="0"/>
    <x v="1609"/>
    <x v="303"/>
    <x v="990"/>
    <x v="82"/>
  </r>
  <r>
    <x v="31"/>
    <x v="133"/>
    <x v="4566"/>
    <x v="0"/>
    <x v="0"/>
    <x v="1198"/>
    <x v="350"/>
    <x v="991"/>
    <x v="82"/>
  </r>
  <r>
    <x v="31"/>
    <x v="134"/>
    <x v="4567"/>
    <x v="0"/>
    <x v="0"/>
    <x v="2994"/>
    <x v="351"/>
    <x v="992"/>
    <x v="82"/>
  </r>
  <r>
    <x v="31"/>
    <x v="135"/>
    <x v="4568"/>
    <x v="0"/>
    <x v="1"/>
    <x v="2617"/>
    <x v="310"/>
    <x v="993"/>
    <x v="82"/>
  </r>
  <r>
    <x v="31"/>
    <x v="136"/>
    <x v="4569"/>
    <x v="0"/>
    <x v="0"/>
    <x v="1461"/>
    <x v="200"/>
    <x v="994"/>
    <x v="82"/>
  </r>
  <r>
    <x v="31"/>
    <x v="137"/>
    <x v="4570"/>
    <x v="0"/>
    <x v="0"/>
    <x v="2995"/>
    <x v="352"/>
    <x v="995"/>
    <x v="82"/>
  </r>
  <r>
    <x v="31"/>
    <x v="138"/>
    <x v="4571"/>
    <x v="0"/>
    <x v="0"/>
    <x v="1554"/>
    <x v="353"/>
    <x v="996"/>
    <x v="82"/>
  </r>
  <r>
    <x v="31"/>
    <x v="139"/>
    <x v="4572"/>
    <x v="0"/>
    <x v="0"/>
    <x v="2996"/>
    <x v="354"/>
    <x v="997"/>
    <x v="83"/>
  </r>
  <r>
    <x v="31"/>
    <x v="140"/>
    <x v="4573"/>
    <x v="0"/>
    <x v="0"/>
    <x v="420"/>
    <x v="355"/>
    <x v="998"/>
    <x v="83"/>
  </r>
  <r>
    <x v="31"/>
    <x v="141"/>
    <x v="4574"/>
    <x v="0"/>
    <x v="0"/>
    <x v="1889"/>
    <x v="333"/>
    <x v="999"/>
    <x v="83"/>
  </r>
  <r>
    <x v="31"/>
    <x v="142"/>
    <x v="4575"/>
    <x v="0"/>
    <x v="0"/>
    <x v="2997"/>
    <x v="356"/>
    <x v="1000"/>
    <x v="83"/>
  </r>
  <r>
    <x v="32"/>
    <x v="0"/>
    <x v="4576"/>
    <x v="1"/>
    <x v="0"/>
    <x v="2998"/>
    <x v="357"/>
    <x v="429"/>
    <x v="284"/>
  </r>
  <r>
    <x v="32"/>
    <x v="1"/>
    <x v="4577"/>
    <x v="1"/>
    <x v="1"/>
    <x v="2999"/>
    <x v="358"/>
    <x v="430"/>
    <x v="284"/>
  </r>
  <r>
    <x v="32"/>
    <x v="2"/>
    <x v="4578"/>
    <x v="1"/>
    <x v="0"/>
    <x v="3000"/>
    <x v="359"/>
    <x v="431"/>
    <x v="284"/>
  </r>
  <r>
    <x v="32"/>
    <x v="3"/>
    <x v="4579"/>
    <x v="1"/>
    <x v="0"/>
    <x v="3001"/>
    <x v="360"/>
    <x v="432"/>
    <x v="284"/>
  </r>
  <r>
    <x v="32"/>
    <x v="4"/>
    <x v="4580"/>
    <x v="1"/>
    <x v="0"/>
    <x v="60"/>
    <x v="361"/>
    <x v="433"/>
    <x v="284"/>
  </r>
  <r>
    <x v="32"/>
    <x v="5"/>
    <x v="4581"/>
    <x v="1"/>
    <x v="0"/>
    <x v="3002"/>
    <x v="362"/>
    <x v="434"/>
    <x v="284"/>
  </r>
  <r>
    <x v="32"/>
    <x v="6"/>
    <x v="4582"/>
    <x v="1"/>
    <x v="0"/>
    <x v="915"/>
    <x v="363"/>
    <x v="435"/>
    <x v="284"/>
  </r>
  <r>
    <x v="32"/>
    <x v="7"/>
    <x v="4583"/>
    <x v="1"/>
    <x v="0"/>
    <x v="3003"/>
    <x v="174"/>
    <x v="436"/>
    <x v="284"/>
  </r>
  <r>
    <x v="32"/>
    <x v="8"/>
    <x v="4584"/>
    <x v="1"/>
    <x v="0"/>
    <x v="3004"/>
    <x v="364"/>
    <x v="437"/>
    <x v="285"/>
  </r>
  <r>
    <x v="32"/>
    <x v="9"/>
    <x v="4585"/>
    <x v="1"/>
    <x v="0"/>
    <x v="255"/>
    <x v="365"/>
    <x v="438"/>
    <x v="285"/>
  </r>
  <r>
    <x v="32"/>
    <x v="10"/>
    <x v="4586"/>
    <x v="1"/>
    <x v="0"/>
    <x v="3005"/>
    <x v="366"/>
    <x v="439"/>
    <x v="285"/>
  </r>
  <r>
    <x v="32"/>
    <x v="11"/>
    <x v="4587"/>
    <x v="1"/>
    <x v="0"/>
    <x v="3006"/>
    <x v="367"/>
    <x v="440"/>
    <x v="285"/>
  </r>
  <r>
    <x v="32"/>
    <x v="12"/>
    <x v="4588"/>
    <x v="1"/>
    <x v="0"/>
    <x v="1998"/>
    <x v="368"/>
    <x v="441"/>
    <x v="285"/>
  </r>
  <r>
    <x v="32"/>
    <x v="13"/>
    <x v="4589"/>
    <x v="1"/>
    <x v="0"/>
    <x v="2295"/>
    <x v="369"/>
    <x v="442"/>
    <x v="285"/>
  </r>
  <r>
    <x v="32"/>
    <x v="14"/>
    <x v="4590"/>
    <x v="1"/>
    <x v="0"/>
    <x v="443"/>
    <x v="370"/>
    <x v="443"/>
    <x v="285"/>
  </r>
  <r>
    <x v="32"/>
    <x v="15"/>
    <x v="4591"/>
    <x v="1"/>
    <x v="0"/>
    <x v="3007"/>
    <x v="371"/>
    <x v="444"/>
    <x v="285"/>
  </r>
  <r>
    <x v="32"/>
    <x v="16"/>
    <x v="4592"/>
    <x v="1"/>
    <x v="0"/>
    <x v="776"/>
    <x v="179"/>
    <x v="445"/>
    <x v="285"/>
  </r>
  <r>
    <x v="32"/>
    <x v="17"/>
    <x v="4593"/>
    <x v="1"/>
    <x v="0"/>
    <x v="3008"/>
    <x v="372"/>
    <x v="446"/>
    <x v="285"/>
  </r>
  <r>
    <x v="32"/>
    <x v="18"/>
    <x v="4594"/>
    <x v="1"/>
    <x v="0"/>
    <x v="3009"/>
    <x v="373"/>
    <x v="447"/>
    <x v="285"/>
  </r>
  <r>
    <x v="32"/>
    <x v="19"/>
    <x v="4595"/>
    <x v="1"/>
    <x v="0"/>
    <x v="3010"/>
    <x v="374"/>
    <x v="448"/>
    <x v="285"/>
  </r>
  <r>
    <x v="32"/>
    <x v="20"/>
    <x v="4596"/>
    <x v="1"/>
    <x v="0"/>
    <x v="1438"/>
    <x v="375"/>
    <x v="449"/>
    <x v="285"/>
  </r>
  <r>
    <x v="32"/>
    <x v="21"/>
    <x v="4597"/>
    <x v="1"/>
    <x v="0"/>
    <x v="3011"/>
    <x v="376"/>
    <x v="450"/>
    <x v="286"/>
  </r>
  <r>
    <x v="32"/>
    <x v="22"/>
    <x v="4598"/>
    <x v="1"/>
    <x v="0"/>
    <x v="3012"/>
    <x v="377"/>
    <x v="451"/>
    <x v="286"/>
  </r>
  <r>
    <x v="32"/>
    <x v="23"/>
    <x v="4599"/>
    <x v="1"/>
    <x v="0"/>
    <x v="3013"/>
    <x v="378"/>
    <x v="452"/>
    <x v="286"/>
  </r>
  <r>
    <x v="32"/>
    <x v="24"/>
    <x v="4600"/>
    <x v="1"/>
    <x v="0"/>
    <x v="3014"/>
    <x v="96"/>
    <x v="453"/>
    <x v="286"/>
  </r>
  <r>
    <x v="32"/>
    <x v="25"/>
    <x v="4601"/>
    <x v="1"/>
    <x v="0"/>
    <x v="3015"/>
    <x v="176"/>
    <x v="454"/>
    <x v="286"/>
  </r>
  <r>
    <x v="32"/>
    <x v="26"/>
    <x v="4602"/>
    <x v="1"/>
    <x v="0"/>
    <x v="3016"/>
    <x v="379"/>
    <x v="455"/>
    <x v="286"/>
  </r>
  <r>
    <x v="32"/>
    <x v="27"/>
    <x v="4603"/>
    <x v="1"/>
    <x v="0"/>
    <x v="3017"/>
    <x v="380"/>
    <x v="456"/>
    <x v="286"/>
  </r>
  <r>
    <x v="32"/>
    <x v="28"/>
    <x v="4604"/>
    <x v="1"/>
    <x v="0"/>
    <x v="3018"/>
    <x v="381"/>
    <x v="457"/>
    <x v="286"/>
  </r>
  <r>
    <x v="32"/>
    <x v="29"/>
    <x v="4605"/>
    <x v="1"/>
    <x v="0"/>
    <x v="3019"/>
    <x v="52"/>
    <x v="458"/>
    <x v="286"/>
  </r>
  <r>
    <x v="32"/>
    <x v="30"/>
    <x v="4606"/>
    <x v="1"/>
    <x v="0"/>
    <x v="3020"/>
    <x v="180"/>
    <x v="459"/>
    <x v="286"/>
  </r>
  <r>
    <x v="32"/>
    <x v="31"/>
    <x v="4607"/>
    <x v="1"/>
    <x v="1"/>
    <x v="3021"/>
    <x v="382"/>
    <x v="460"/>
    <x v="286"/>
  </r>
  <r>
    <x v="32"/>
    <x v="32"/>
    <x v="4608"/>
    <x v="1"/>
    <x v="0"/>
    <x v="3022"/>
    <x v="383"/>
    <x v="461"/>
    <x v="286"/>
  </r>
  <r>
    <x v="32"/>
    <x v="33"/>
    <x v="4609"/>
    <x v="1"/>
    <x v="0"/>
    <x v="3023"/>
    <x v="384"/>
    <x v="462"/>
    <x v="286"/>
  </r>
  <r>
    <x v="32"/>
    <x v="34"/>
    <x v="4610"/>
    <x v="1"/>
    <x v="0"/>
    <x v="3024"/>
    <x v="385"/>
    <x v="463"/>
    <x v="287"/>
  </r>
  <r>
    <x v="32"/>
    <x v="35"/>
    <x v="4611"/>
    <x v="1"/>
    <x v="0"/>
    <x v="3025"/>
    <x v="386"/>
    <x v="464"/>
    <x v="287"/>
  </r>
  <r>
    <x v="32"/>
    <x v="36"/>
    <x v="4612"/>
    <x v="1"/>
    <x v="0"/>
    <x v="134"/>
    <x v="387"/>
    <x v="465"/>
    <x v="287"/>
  </r>
  <r>
    <x v="32"/>
    <x v="37"/>
    <x v="4613"/>
    <x v="1"/>
    <x v="0"/>
    <x v="1997"/>
    <x v="388"/>
    <x v="466"/>
    <x v="287"/>
  </r>
  <r>
    <x v="32"/>
    <x v="38"/>
    <x v="4614"/>
    <x v="1"/>
    <x v="0"/>
    <x v="3026"/>
    <x v="389"/>
    <x v="467"/>
    <x v="287"/>
  </r>
  <r>
    <x v="32"/>
    <x v="39"/>
    <x v="4615"/>
    <x v="1"/>
    <x v="0"/>
    <x v="3027"/>
    <x v="390"/>
    <x v="468"/>
    <x v="287"/>
  </r>
  <r>
    <x v="32"/>
    <x v="40"/>
    <x v="4616"/>
    <x v="1"/>
    <x v="0"/>
    <x v="703"/>
    <x v="389"/>
    <x v="469"/>
    <x v="287"/>
  </r>
  <r>
    <x v="32"/>
    <x v="41"/>
    <x v="4617"/>
    <x v="1"/>
    <x v="0"/>
    <x v="3028"/>
    <x v="391"/>
    <x v="470"/>
    <x v="287"/>
  </r>
  <r>
    <x v="32"/>
    <x v="42"/>
    <x v="4618"/>
    <x v="1"/>
    <x v="1"/>
    <x v="427"/>
    <x v="392"/>
    <x v="471"/>
    <x v="287"/>
  </r>
  <r>
    <x v="32"/>
    <x v="43"/>
    <x v="4619"/>
    <x v="1"/>
    <x v="0"/>
    <x v="2861"/>
    <x v="381"/>
    <x v="472"/>
    <x v="287"/>
  </r>
  <r>
    <x v="32"/>
    <x v="44"/>
    <x v="4620"/>
    <x v="1"/>
    <x v="0"/>
    <x v="3029"/>
    <x v="393"/>
    <x v="473"/>
    <x v="287"/>
  </r>
  <r>
    <x v="32"/>
    <x v="45"/>
    <x v="4621"/>
    <x v="1"/>
    <x v="0"/>
    <x v="3030"/>
    <x v="394"/>
    <x v="474"/>
    <x v="287"/>
  </r>
  <r>
    <x v="32"/>
    <x v="46"/>
    <x v="4622"/>
    <x v="1"/>
    <x v="0"/>
    <x v="3031"/>
    <x v="92"/>
    <x v="475"/>
    <x v="287"/>
  </r>
  <r>
    <x v="32"/>
    <x v="47"/>
    <x v="4623"/>
    <x v="1"/>
    <x v="1"/>
    <x v="3032"/>
    <x v="395"/>
    <x v="476"/>
    <x v="287"/>
  </r>
  <r>
    <x v="32"/>
    <x v="48"/>
    <x v="4624"/>
    <x v="1"/>
    <x v="0"/>
    <x v="2074"/>
    <x v="396"/>
    <x v="477"/>
    <x v="288"/>
  </r>
  <r>
    <x v="32"/>
    <x v="49"/>
    <x v="4625"/>
    <x v="1"/>
    <x v="0"/>
    <x v="518"/>
    <x v="397"/>
    <x v="478"/>
    <x v="288"/>
  </r>
  <r>
    <x v="32"/>
    <x v="50"/>
    <x v="4626"/>
    <x v="1"/>
    <x v="0"/>
    <x v="3033"/>
    <x v="398"/>
    <x v="479"/>
    <x v="288"/>
  </r>
  <r>
    <x v="32"/>
    <x v="51"/>
    <x v="4627"/>
    <x v="1"/>
    <x v="0"/>
    <x v="3034"/>
    <x v="399"/>
    <x v="480"/>
    <x v="288"/>
  </r>
  <r>
    <x v="32"/>
    <x v="52"/>
    <x v="4628"/>
    <x v="1"/>
    <x v="0"/>
    <x v="371"/>
    <x v="400"/>
    <x v="481"/>
    <x v="288"/>
  </r>
  <r>
    <x v="32"/>
    <x v="53"/>
    <x v="4629"/>
    <x v="1"/>
    <x v="1"/>
    <x v="329"/>
    <x v="401"/>
    <x v="482"/>
    <x v="288"/>
  </r>
  <r>
    <x v="32"/>
    <x v="54"/>
    <x v="4630"/>
    <x v="1"/>
    <x v="0"/>
    <x v="447"/>
    <x v="402"/>
    <x v="483"/>
    <x v="288"/>
  </r>
  <r>
    <x v="32"/>
    <x v="55"/>
    <x v="4631"/>
    <x v="1"/>
    <x v="0"/>
    <x v="960"/>
    <x v="403"/>
    <x v="484"/>
    <x v="288"/>
  </r>
  <r>
    <x v="32"/>
    <x v="56"/>
    <x v="4632"/>
    <x v="1"/>
    <x v="0"/>
    <x v="2642"/>
    <x v="404"/>
    <x v="485"/>
    <x v="288"/>
  </r>
  <r>
    <x v="32"/>
    <x v="57"/>
    <x v="4633"/>
    <x v="1"/>
    <x v="0"/>
    <x v="3035"/>
    <x v="106"/>
    <x v="486"/>
    <x v="288"/>
  </r>
  <r>
    <x v="32"/>
    <x v="58"/>
    <x v="4634"/>
    <x v="1"/>
    <x v="0"/>
    <x v="3036"/>
    <x v="405"/>
    <x v="487"/>
    <x v="288"/>
  </r>
  <r>
    <x v="32"/>
    <x v="59"/>
    <x v="4635"/>
    <x v="1"/>
    <x v="0"/>
    <x v="2791"/>
    <x v="406"/>
    <x v="488"/>
    <x v="288"/>
  </r>
  <r>
    <x v="32"/>
    <x v="60"/>
    <x v="4636"/>
    <x v="1"/>
    <x v="0"/>
    <x v="3037"/>
    <x v="407"/>
    <x v="489"/>
    <x v="289"/>
  </r>
  <r>
    <x v="32"/>
    <x v="61"/>
    <x v="4637"/>
    <x v="1"/>
    <x v="0"/>
    <x v="1290"/>
    <x v="408"/>
    <x v="490"/>
    <x v="289"/>
  </r>
  <r>
    <x v="32"/>
    <x v="62"/>
    <x v="4638"/>
    <x v="1"/>
    <x v="0"/>
    <x v="818"/>
    <x v="409"/>
    <x v="491"/>
    <x v="289"/>
  </r>
  <r>
    <x v="32"/>
    <x v="63"/>
    <x v="4639"/>
    <x v="1"/>
    <x v="0"/>
    <x v="3038"/>
    <x v="410"/>
    <x v="492"/>
    <x v="289"/>
  </r>
  <r>
    <x v="32"/>
    <x v="64"/>
    <x v="4640"/>
    <x v="1"/>
    <x v="0"/>
    <x v="3039"/>
    <x v="411"/>
    <x v="493"/>
    <x v="289"/>
  </r>
  <r>
    <x v="32"/>
    <x v="65"/>
    <x v="4641"/>
    <x v="1"/>
    <x v="0"/>
    <x v="3040"/>
    <x v="412"/>
    <x v="494"/>
    <x v="289"/>
  </r>
  <r>
    <x v="32"/>
    <x v="66"/>
    <x v="4642"/>
    <x v="1"/>
    <x v="0"/>
    <x v="3041"/>
    <x v="413"/>
    <x v="495"/>
    <x v="289"/>
  </r>
  <r>
    <x v="32"/>
    <x v="67"/>
    <x v="4643"/>
    <x v="1"/>
    <x v="0"/>
    <x v="2195"/>
    <x v="414"/>
    <x v="496"/>
    <x v="289"/>
  </r>
  <r>
    <x v="32"/>
    <x v="68"/>
    <x v="4644"/>
    <x v="1"/>
    <x v="0"/>
    <x v="3042"/>
    <x v="415"/>
    <x v="497"/>
    <x v="289"/>
  </r>
  <r>
    <x v="32"/>
    <x v="69"/>
    <x v="4645"/>
    <x v="1"/>
    <x v="0"/>
    <x v="1058"/>
    <x v="416"/>
    <x v="498"/>
    <x v="289"/>
  </r>
  <r>
    <x v="32"/>
    <x v="70"/>
    <x v="4646"/>
    <x v="1"/>
    <x v="0"/>
    <x v="3043"/>
    <x v="417"/>
    <x v="499"/>
    <x v="289"/>
  </r>
  <r>
    <x v="32"/>
    <x v="71"/>
    <x v="4647"/>
    <x v="1"/>
    <x v="0"/>
    <x v="3044"/>
    <x v="418"/>
    <x v="500"/>
    <x v="289"/>
  </r>
  <r>
    <x v="32"/>
    <x v="72"/>
    <x v="4648"/>
    <x v="1"/>
    <x v="0"/>
    <x v="3045"/>
    <x v="62"/>
    <x v="501"/>
    <x v="289"/>
  </r>
  <r>
    <x v="32"/>
    <x v="73"/>
    <x v="4649"/>
    <x v="1"/>
    <x v="0"/>
    <x v="3046"/>
    <x v="419"/>
    <x v="502"/>
    <x v="290"/>
  </r>
  <r>
    <x v="32"/>
    <x v="74"/>
    <x v="4650"/>
    <x v="1"/>
    <x v="0"/>
    <x v="3047"/>
    <x v="420"/>
    <x v="503"/>
    <x v="290"/>
  </r>
  <r>
    <x v="32"/>
    <x v="75"/>
    <x v="4651"/>
    <x v="1"/>
    <x v="0"/>
    <x v="3048"/>
    <x v="354"/>
    <x v="504"/>
    <x v="290"/>
  </r>
  <r>
    <x v="32"/>
    <x v="76"/>
    <x v="4652"/>
    <x v="1"/>
    <x v="0"/>
    <x v="3049"/>
    <x v="299"/>
    <x v="505"/>
    <x v="290"/>
  </r>
  <r>
    <x v="32"/>
    <x v="77"/>
    <x v="4653"/>
    <x v="1"/>
    <x v="0"/>
    <x v="3050"/>
    <x v="421"/>
    <x v="506"/>
    <x v="290"/>
  </r>
  <r>
    <x v="32"/>
    <x v="78"/>
    <x v="4654"/>
    <x v="1"/>
    <x v="0"/>
    <x v="3051"/>
    <x v="422"/>
    <x v="507"/>
    <x v="290"/>
  </r>
  <r>
    <x v="32"/>
    <x v="79"/>
    <x v="4655"/>
    <x v="1"/>
    <x v="0"/>
    <x v="3052"/>
    <x v="423"/>
    <x v="508"/>
    <x v="290"/>
  </r>
  <r>
    <x v="32"/>
    <x v="80"/>
    <x v="4656"/>
    <x v="1"/>
    <x v="0"/>
    <x v="3053"/>
    <x v="61"/>
    <x v="509"/>
    <x v="290"/>
  </r>
  <r>
    <x v="32"/>
    <x v="81"/>
    <x v="4657"/>
    <x v="1"/>
    <x v="0"/>
    <x v="3054"/>
    <x v="293"/>
    <x v="510"/>
    <x v="290"/>
  </r>
  <r>
    <x v="32"/>
    <x v="82"/>
    <x v="4658"/>
    <x v="1"/>
    <x v="0"/>
    <x v="3055"/>
    <x v="424"/>
    <x v="511"/>
    <x v="290"/>
  </r>
  <r>
    <x v="32"/>
    <x v="83"/>
    <x v="4659"/>
    <x v="1"/>
    <x v="1"/>
    <x v="3056"/>
    <x v="191"/>
    <x v="512"/>
    <x v="290"/>
  </r>
  <r>
    <x v="32"/>
    <x v="84"/>
    <x v="4660"/>
    <x v="1"/>
    <x v="0"/>
    <x v="1314"/>
    <x v="425"/>
    <x v="513"/>
    <x v="290"/>
  </r>
  <r>
    <x v="32"/>
    <x v="85"/>
    <x v="4661"/>
    <x v="1"/>
    <x v="0"/>
    <x v="737"/>
    <x v="353"/>
    <x v="514"/>
    <x v="290"/>
  </r>
  <r>
    <x v="32"/>
    <x v="86"/>
    <x v="4662"/>
    <x v="1"/>
    <x v="0"/>
    <x v="3057"/>
    <x v="112"/>
    <x v="515"/>
    <x v="290"/>
  </r>
  <r>
    <x v="32"/>
    <x v="87"/>
    <x v="4663"/>
    <x v="1"/>
    <x v="0"/>
    <x v="625"/>
    <x v="426"/>
    <x v="516"/>
    <x v="291"/>
  </r>
  <r>
    <x v="32"/>
    <x v="88"/>
    <x v="4664"/>
    <x v="1"/>
    <x v="0"/>
    <x v="701"/>
    <x v="427"/>
    <x v="517"/>
    <x v="291"/>
  </r>
  <r>
    <x v="32"/>
    <x v="89"/>
    <x v="4665"/>
    <x v="1"/>
    <x v="0"/>
    <x v="3058"/>
    <x v="419"/>
    <x v="518"/>
    <x v="291"/>
  </r>
  <r>
    <x v="32"/>
    <x v="90"/>
    <x v="4666"/>
    <x v="1"/>
    <x v="0"/>
    <x v="259"/>
    <x v="428"/>
    <x v="519"/>
    <x v="291"/>
  </r>
  <r>
    <x v="32"/>
    <x v="91"/>
    <x v="4667"/>
    <x v="1"/>
    <x v="0"/>
    <x v="3059"/>
    <x v="296"/>
    <x v="520"/>
    <x v="291"/>
  </r>
  <r>
    <x v="32"/>
    <x v="92"/>
    <x v="4668"/>
    <x v="1"/>
    <x v="0"/>
    <x v="3060"/>
    <x v="429"/>
    <x v="521"/>
    <x v="291"/>
  </r>
  <r>
    <x v="32"/>
    <x v="93"/>
    <x v="4669"/>
    <x v="1"/>
    <x v="0"/>
    <x v="597"/>
    <x v="107"/>
    <x v="522"/>
    <x v="291"/>
  </r>
  <r>
    <x v="32"/>
    <x v="94"/>
    <x v="4670"/>
    <x v="1"/>
    <x v="1"/>
    <x v="429"/>
    <x v="355"/>
    <x v="523"/>
    <x v="291"/>
  </r>
  <r>
    <x v="32"/>
    <x v="95"/>
    <x v="4671"/>
    <x v="1"/>
    <x v="0"/>
    <x v="3061"/>
    <x v="430"/>
    <x v="524"/>
    <x v="291"/>
  </r>
  <r>
    <x v="32"/>
    <x v="96"/>
    <x v="4672"/>
    <x v="1"/>
    <x v="0"/>
    <x v="3062"/>
    <x v="431"/>
    <x v="525"/>
    <x v="291"/>
  </r>
  <r>
    <x v="32"/>
    <x v="97"/>
    <x v="4673"/>
    <x v="1"/>
    <x v="0"/>
    <x v="975"/>
    <x v="432"/>
    <x v="526"/>
    <x v="291"/>
  </r>
  <r>
    <x v="32"/>
    <x v="98"/>
    <x v="4674"/>
    <x v="1"/>
    <x v="0"/>
    <x v="3063"/>
    <x v="222"/>
    <x v="527"/>
    <x v="291"/>
  </r>
  <r>
    <x v="32"/>
    <x v="99"/>
    <x v="4675"/>
    <x v="1"/>
    <x v="1"/>
    <x v="450"/>
    <x v="433"/>
    <x v="528"/>
    <x v="291"/>
  </r>
  <r>
    <x v="32"/>
    <x v="100"/>
    <x v="4676"/>
    <x v="1"/>
    <x v="0"/>
    <x v="3064"/>
    <x v="434"/>
    <x v="529"/>
    <x v="292"/>
  </r>
  <r>
    <x v="32"/>
    <x v="101"/>
    <x v="4677"/>
    <x v="1"/>
    <x v="0"/>
    <x v="3065"/>
    <x v="435"/>
    <x v="530"/>
    <x v="292"/>
  </r>
  <r>
    <x v="32"/>
    <x v="102"/>
    <x v="4678"/>
    <x v="1"/>
    <x v="0"/>
    <x v="3066"/>
    <x v="436"/>
    <x v="531"/>
    <x v="292"/>
  </r>
  <r>
    <x v="32"/>
    <x v="103"/>
    <x v="4679"/>
    <x v="1"/>
    <x v="0"/>
    <x v="3067"/>
    <x v="437"/>
    <x v="532"/>
    <x v="292"/>
  </r>
  <r>
    <x v="32"/>
    <x v="104"/>
    <x v="4680"/>
    <x v="1"/>
    <x v="0"/>
    <x v="3068"/>
    <x v="438"/>
    <x v="533"/>
    <x v="292"/>
  </r>
  <r>
    <x v="32"/>
    <x v="105"/>
    <x v="4681"/>
    <x v="1"/>
    <x v="1"/>
    <x v="814"/>
    <x v="439"/>
    <x v="534"/>
    <x v="292"/>
  </r>
  <r>
    <x v="32"/>
    <x v="106"/>
    <x v="4682"/>
    <x v="1"/>
    <x v="0"/>
    <x v="2769"/>
    <x v="187"/>
    <x v="535"/>
    <x v="292"/>
  </r>
  <r>
    <x v="32"/>
    <x v="107"/>
    <x v="4683"/>
    <x v="1"/>
    <x v="0"/>
    <x v="3069"/>
    <x v="440"/>
    <x v="536"/>
    <x v="292"/>
  </r>
  <r>
    <x v="32"/>
    <x v="108"/>
    <x v="4684"/>
    <x v="1"/>
    <x v="0"/>
    <x v="3070"/>
    <x v="441"/>
    <x v="537"/>
    <x v="292"/>
  </r>
  <r>
    <x v="32"/>
    <x v="109"/>
    <x v="4685"/>
    <x v="1"/>
    <x v="0"/>
    <x v="1093"/>
    <x v="442"/>
    <x v="538"/>
    <x v="292"/>
  </r>
  <r>
    <x v="32"/>
    <x v="110"/>
    <x v="4686"/>
    <x v="1"/>
    <x v="0"/>
    <x v="1244"/>
    <x v="443"/>
    <x v="539"/>
    <x v="292"/>
  </r>
  <r>
    <x v="32"/>
    <x v="111"/>
    <x v="4687"/>
    <x v="1"/>
    <x v="0"/>
    <x v="3071"/>
    <x v="444"/>
    <x v="540"/>
    <x v="292"/>
  </r>
  <r>
    <x v="32"/>
    <x v="112"/>
    <x v="4688"/>
    <x v="1"/>
    <x v="0"/>
    <x v="3026"/>
    <x v="445"/>
    <x v="541"/>
    <x v="292"/>
  </r>
  <r>
    <x v="32"/>
    <x v="113"/>
    <x v="4689"/>
    <x v="1"/>
    <x v="0"/>
    <x v="1609"/>
    <x v="446"/>
    <x v="542"/>
    <x v="293"/>
  </r>
  <r>
    <x v="32"/>
    <x v="114"/>
    <x v="4690"/>
    <x v="1"/>
    <x v="0"/>
    <x v="726"/>
    <x v="447"/>
    <x v="543"/>
    <x v="293"/>
  </r>
  <r>
    <x v="32"/>
    <x v="115"/>
    <x v="4691"/>
    <x v="1"/>
    <x v="0"/>
    <x v="339"/>
    <x v="448"/>
    <x v="544"/>
    <x v="293"/>
  </r>
  <r>
    <x v="32"/>
    <x v="116"/>
    <x v="4692"/>
    <x v="1"/>
    <x v="0"/>
    <x v="212"/>
    <x v="449"/>
    <x v="545"/>
    <x v="293"/>
  </r>
  <r>
    <x v="32"/>
    <x v="117"/>
    <x v="4693"/>
    <x v="1"/>
    <x v="0"/>
    <x v="3072"/>
    <x v="450"/>
    <x v="546"/>
    <x v="293"/>
  </r>
  <r>
    <x v="32"/>
    <x v="118"/>
    <x v="4694"/>
    <x v="1"/>
    <x v="0"/>
    <x v="658"/>
    <x v="451"/>
    <x v="547"/>
    <x v="293"/>
  </r>
  <r>
    <x v="32"/>
    <x v="119"/>
    <x v="4695"/>
    <x v="1"/>
    <x v="0"/>
    <x v="3073"/>
    <x v="452"/>
    <x v="548"/>
    <x v="293"/>
  </r>
  <r>
    <x v="32"/>
    <x v="120"/>
    <x v="4696"/>
    <x v="1"/>
    <x v="0"/>
    <x v="3074"/>
    <x v="453"/>
    <x v="549"/>
    <x v="293"/>
  </r>
  <r>
    <x v="32"/>
    <x v="121"/>
    <x v="4697"/>
    <x v="1"/>
    <x v="0"/>
    <x v="987"/>
    <x v="454"/>
    <x v="550"/>
    <x v="293"/>
  </r>
  <r>
    <x v="32"/>
    <x v="122"/>
    <x v="4698"/>
    <x v="1"/>
    <x v="0"/>
    <x v="3075"/>
    <x v="455"/>
    <x v="551"/>
    <x v="293"/>
  </r>
  <r>
    <x v="32"/>
    <x v="123"/>
    <x v="4699"/>
    <x v="1"/>
    <x v="0"/>
    <x v="3076"/>
    <x v="456"/>
    <x v="552"/>
    <x v="293"/>
  </r>
  <r>
    <x v="32"/>
    <x v="124"/>
    <x v="4700"/>
    <x v="1"/>
    <x v="0"/>
    <x v="3077"/>
    <x v="457"/>
    <x v="553"/>
    <x v="293"/>
  </r>
  <r>
    <x v="32"/>
    <x v="125"/>
    <x v="4701"/>
    <x v="1"/>
    <x v="0"/>
    <x v="3078"/>
    <x v="458"/>
    <x v="554"/>
    <x v="293"/>
  </r>
  <r>
    <x v="32"/>
    <x v="126"/>
    <x v="4702"/>
    <x v="1"/>
    <x v="0"/>
    <x v="3079"/>
    <x v="133"/>
    <x v="555"/>
    <x v="294"/>
  </r>
  <r>
    <x v="32"/>
    <x v="127"/>
    <x v="4703"/>
    <x v="1"/>
    <x v="0"/>
    <x v="3080"/>
    <x v="344"/>
    <x v="556"/>
    <x v="294"/>
  </r>
  <r>
    <x v="32"/>
    <x v="128"/>
    <x v="4704"/>
    <x v="1"/>
    <x v="0"/>
    <x v="3081"/>
    <x v="459"/>
    <x v="557"/>
    <x v="294"/>
  </r>
  <r>
    <x v="32"/>
    <x v="129"/>
    <x v="4705"/>
    <x v="1"/>
    <x v="0"/>
    <x v="3082"/>
    <x v="460"/>
    <x v="558"/>
    <x v="294"/>
  </r>
  <r>
    <x v="32"/>
    <x v="130"/>
    <x v="4706"/>
    <x v="1"/>
    <x v="0"/>
    <x v="3083"/>
    <x v="461"/>
    <x v="559"/>
    <x v="294"/>
  </r>
  <r>
    <x v="32"/>
    <x v="131"/>
    <x v="4707"/>
    <x v="1"/>
    <x v="0"/>
    <x v="3084"/>
    <x v="462"/>
    <x v="560"/>
    <x v="294"/>
  </r>
  <r>
    <x v="32"/>
    <x v="132"/>
    <x v="4708"/>
    <x v="1"/>
    <x v="0"/>
    <x v="3085"/>
    <x v="463"/>
    <x v="561"/>
    <x v="294"/>
  </r>
  <r>
    <x v="32"/>
    <x v="133"/>
    <x v="4709"/>
    <x v="1"/>
    <x v="0"/>
    <x v="3086"/>
    <x v="464"/>
    <x v="562"/>
    <x v="294"/>
  </r>
  <r>
    <x v="32"/>
    <x v="134"/>
    <x v="4710"/>
    <x v="1"/>
    <x v="0"/>
    <x v="3087"/>
    <x v="465"/>
    <x v="563"/>
    <x v="294"/>
  </r>
  <r>
    <x v="32"/>
    <x v="135"/>
    <x v="4711"/>
    <x v="1"/>
    <x v="1"/>
    <x v="3088"/>
    <x v="466"/>
    <x v="564"/>
    <x v="294"/>
  </r>
  <r>
    <x v="32"/>
    <x v="136"/>
    <x v="4712"/>
    <x v="1"/>
    <x v="0"/>
    <x v="161"/>
    <x v="467"/>
    <x v="565"/>
    <x v="294"/>
  </r>
  <r>
    <x v="32"/>
    <x v="137"/>
    <x v="4713"/>
    <x v="1"/>
    <x v="0"/>
    <x v="213"/>
    <x v="468"/>
    <x v="566"/>
    <x v="294"/>
  </r>
  <r>
    <x v="32"/>
    <x v="138"/>
    <x v="4714"/>
    <x v="1"/>
    <x v="0"/>
    <x v="399"/>
    <x v="467"/>
    <x v="567"/>
    <x v="294"/>
  </r>
  <r>
    <x v="32"/>
    <x v="139"/>
    <x v="4715"/>
    <x v="1"/>
    <x v="0"/>
    <x v="407"/>
    <x v="469"/>
    <x v="568"/>
    <x v="295"/>
  </r>
  <r>
    <x v="32"/>
    <x v="140"/>
    <x v="4716"/>
    <x v="1"/>
    <x v="0"/>
    <x v="3089"/>
    <x v="470"/>
    <x v="569"/>
    <x v="295"/>
  </r>
  <r>
    <x v="32"/>
    <x v="141"/>
    <x v="4717"/>
    <x v="1"/>
    <x v="0"/>
    <x v="117"/>
    <x v="471"/>
    <x v="570"/>
    <x v="295"/>
  </r>
  <r>
    <x v="32"/>
    <x v="142"/>
    <x v="4718"/>
    <x v="1"/>
    <x v="0"/>
    <x v="2162"/>
    <x v="472"/>
    <x v="571"/>
    <x v="295"/>
  </r>
  <r>
    <x v="33"/>
    <x v="0"/>
    <x v="4719"/>
    <x v="1"/>
    <x v="0"/>
    <x v="3090"/>
    <x v="137"/>
    <x v="429"/>
    <x v="296"/>
  </r>
  <r>
    <x v="33"/>
    <x v="1"/>
    <x v="4720"/>
    <x v="1"/>
    <x v="1"/>
    <x v="2770"/>
    <x v="138"/>
    <x v="430"/>
    <x v="296"/>
  </r>
  <r>
    <x v="33"/>
    <x v="2"/>
    <x v="4721"/>
    <x v="1"/>
    <x v="0"/>
    <x v="3091"/>
    <x v="139"/>
    <x v="431"/>
    <x v="296"/>
  </r>
  <r>
    <x v="33"/>
    <x v="3"/>
    <x v="4722"/>
    <x v="1"/>
    <x v="0"/>
    <x v="2519"/>
    <x v="140"/>
    <x v="432"/>
    <x v="296"/>
  </r>
  <r>
    <x v="33"/>
    <x v="4"/>
    <x v="4723"/>
    <x v="1"/>
    <x v="0"/>
    <x v="1778"/>
    <x v="141"/>
    <x v="433"/>
    <x v="296"/>
  </r>
  <r>
    <x v="33"/>
    <x v="5"/>
    <x v="4724"/>
    <x v="1"/>
    <x v="0"/>
    <x v="3092"/>
    <x v="142"/>
    <x v="434"/>
    <x v="296"/>
  </r>
  <r>
    <x v="33"/>
    <x v="6"/>
    <x v="4725"/>
    <x v="1"/>
    <x v="0"/>
    <x v="3093"/>
    <x v="143"/>
    <x v="435"/>
    <x v="296"/>
  </r>
  <r>
    <x v="33"/>
    <x v="7"/>
    <x v="4726"/>
    <x v="1"/>
    <x v="0"/>
    <x v="3094"/>
    <x v="144"/>
    <x v="436"/>
    <x v="296"/>
  </r>
  <r>
    <x v="33"/>
    <x v="8"/>
    <x v="4727"/>
    <x v="1"/>
    <x v="0"/>
    <x v="2525"/>
    <x v="145"/>
    <x v="437"/>
    <x v="297"/>
  </r>
  <r>
    <x v="33"/>
    <x v="9"/>
    <x v="4728"/>
    <x v="1"/>
    <x v="0"/>
    <x v="150"/>
    <x v="146"/>
    <x v="438"/>
    <x v="297"/>
  </r>
  <r>
    <x v="33"/>
    <x v="10"/>
    <x v="4729"/>
    <x v="1"/>
    <x v="0"/>
    <x v="3095"/>
    <x v="147"/>
    <x v="439"/>
    <x v="297"/>
  </r>
  <r>
    <x v="33"/>
    <x v="11"/>
    <x v="4730"/>
    <x v="1"/>
    <x v="0"/>
    <x v="3096"/>
    <x v="148"/>
    <x v="440"/>
    <x v="297"/>
  </r>
  <r>
    <x v="33"/>
    <x v="12"/>
    <x v="4731"/>
    <x v="1"/>
    <x v="0"/>
    <x v="3097"/>
    <x v="149"/>
    <x v="441"/>
    <x v="297"/>
  </r>
  <r>
    <x v="33"/>
    <x v="13"/>
    <x v="4732"/>
    <x v="1"/>
    <x v="0"/>
    <x v="3098"/>
    <x v="150"/>
    <x v="442"/>
    <x v="297"/>
  </r>
  <r>
    <x v="33"/>
    <x v="14"/>
    <x v="4733"/>
    <x v="1"/>
    <x v="0"/>
    <x v="3099"/>
    <x v="151"/>
    <x v="443"/>
    <x v="297"/>
  </r>
  <r>
    <x v="33"/>
    <x v="15"/>
    <x v="4734"/>
    <x v="1"/>
    <x v="0"/>
    <x v="3100"/>
    <x v="152"/>
    <x v="444"/>
    <x v="297"/>
  </r>
  <r>
    <x v="33"/>
    <x v="16"/>
    <x v="4735"/>
    <x v="1"/>
    <x v="0"/>
    <x v="3101"/>
    <x v="153"/>
    <x v="445"/>
    <x v="297"/>
  </r>
  <r>
    <x v="33"/>
    <x v="17"/>
    <x v="4736"/>
    <x v="1"/>
    <x v="0"/>
    <x v="1717"/>
    <x v="154"/>
    <x v="446"/>
    <x v="297"/>
  </r>
  <r>
    <x v="33"/>
    <x v="18"/>
    <x v="4737"/>
    <x v="1"/>
    <x v="0"/>
    <x v="312"/>
    <x v="18"/>
    <x v="447"/>
    <x v="297"/>
  </r>
  <r>
    <x v="33"/>
    <x v="19"/>
    <x v="4738"/>
    <x v="1"/>
    <x v="0"/>
    <x v="3102"/>
    <x v="155"/>
    <x v="448"/>
    <x v="297"/>
  </r>
  <r>
    <x v="33"/>
    <x v="20"/>
    <x v="4739"/>
    <x v="1"/>
    <x v="0"/>
    <x v="776"/>
    <x v="141"/>
    <x v="449"/>
    <x v="297"/>
  </r>
  <r>
    <x v="33"/>
    <x v="21"/>
    <x v="4740"/>
    <x v="1"/>
    <x v="0"/>
    <x v="435"/>
    <x v="18"/>
    <x v="450"/>
    <x v="298"/>
  </r>
  <r>
    <x v="33"/>
    <x v="22"/>
    <x v="4741"/>
    <x v="1"/>
    <x v="0"/>
    <x v="1403"/>
    <x v="19"/>
    <x v="451"/>
    <x v="298"/>
  </r>
  <r>
    <x v="33"/>
    <x v="23"/>
    <x v="4742"/>
    <x v="1"/>
    <x v="0"/>
    <x v="298"/>
    <x v="156"/>
    <x v="452"/>
    <x v="298"/>
  </r>
  <r>
    <x v="33"/>
    <x v="24"/>
    <x v="4743"/>
    <x v="1"/>
    <x v="0"/>
    <x v="3103"/>
    <x v="157"/>
    <x v="453"/>
    <x v="298"/>
  </r>
  <r>
    <x v="33"/>
    <x v="25"/>
    <x v="4744"/>
    <x v="1"/>
    <x v="0"/>
    <x v="3104"/>
    <x v="158"/>
    <x v="454"/>
    <x v="298"/>
  </r>
  <r>
    <x v="33"/>
    <x v="26"/>
    <x v="4745"/>
    <x v="1"/>
    <x v="0"/>
    <x v="3105"/>
    <x v="25"/>
    <x v="455"/>
    <x v="298"/>
  </r>
  <r>
    <x v="33"/>
    <x v="27"/>
    <x v="4746"/>
    <x v="1"/>
    <x v="0"/>
    <x v="3106"/>
    <x v="159"/>
    <x v="456"/>
    <x v="298"/>
  </r>
  <r>
    <x v="33"/>
    <x v="28"/>
    <x v="4747"/>
    <x v="1"/>
    <x v="0"/>
    <x v="3107"/>
    <x v="160"/>
    <x v="457"/>
    <x v="298"/>
  </r>
  <r>
    <x v="33"/>
    <x v="29"/>
    <x v="4748"/>
    <x v="1"/>
    <x v="0"/>
    <x v="2655"/>
    <x v="156"/>
    <x v="458"/>
    <x v="298"/>
  </r>
  <r>
    <x v="33"/>
    <x v="30"/>
    <x v="4749"/>
    <x v="1"/>
    <x v="0"/>
    <x v="3108"/>
    <x v="161"/>
    <x v="459"/>
    <x v="298"/>
  </r>
  <r>
    <x v="33"/>
    <x v="31"/>
    <x v="4750"/>
    <x v="1"/>
    <x v="1"/>
    <x v="3109"/>
    <x v="162"/>
    <x v="460"/>
    <x v="298"/>
  </r>
  <r>
    <x v="33"/>
    <x v="32"/>
    <x v="4751"/>
    <x v="1"/>
    <x v="0"/>
    <x v="601"/>
    <x v="163"/>
    <x v="461"/>
    <x v="298"/>
  </r>
  <r>
    <x v="33"/>
    <x v="33"/>
    <x v="4752"/>
    <x v="1"/>
    <x v="0"/>
    <x v="2443"/>
    <x v="22"/>
    <x v="462"/>
    <x v="298"/>
  </r>
  <r>
    <x v="33"/>
    <x v="34"/>
    <x v="4753"/>
    <x v="1"/>
    <x v="0"/>
    <x v="3110"/>
    <x v="29"/>
    <x v="463"/>
    <x v="299"/>
  </r>
  <r>
    <x v="33"/>
    <x v="35"/>
    <x v="4754"/>
    <x v="1"/>
    <x v="0"/>
    <x v="703"/>
    <x v="164"/>
    <x v="464"/>
    <x v="299"/>
  </r>
  <r>
    <x v="33"/>
    <x v="36"/>
    <x v="4755"/>
    <x v="1"/>
    <x v="0"/>
    <x v="1378"/>
    <x v="7"/>
    <x v="465"/>
    <x v="299"/>
  </r>
  <r>
    <x v="33"/>
    <x v="37"/>
    <x v="4756"/>
    <x v="1"/>
    <x v="0"/>
    <x v="3111"/>
    <x v="165"/>
    <x v="466"/>
    <x v="299"/>
  </r>
  <r>
    <x v="33"/>
    <x v="38"/>
    <x v="4757"/>
    <x v="1"/>
    <x v="0"/>
    <x v="3112"/>
    <x v="166"/>
    <x v="467"/>
    <x v="299"/>
  </r>
  <r>
    <x v="33"/>
    <x v="39"/>
    <x v="4758"/>
    <x v="1"/>
    <x v="0"/>
    <x v="3113"/>
    <x v="167"/>
    <x v="468"/>
    <x v="299"/>
  </r>
  <r>
    <x v="33"/>
    <x v="40"/>
    <x v="4759"/>
    <x v="1"/>
    <x v="0"/>
    <x v="2298"/>
    <x v="168"/>
    <x v="469"/>
    <x v="299"/>
  </r>
  <r>
    <x v="33"/>
    <x v="41"/>
    <x v="4760"/>
    <x v="1"/>
    <x v="0"/>
    <x v="1629"/>
    <x v="12"/>
    <x v="470"/>
    <x v="299"/>
  </r>
  <r>
    <x v="33"/>
    <x v="42"/>
    <x v="4761"/>
    <x v="0"/>
    <x v="1"/>
    <x v="3114"/>
    <x v="144"/>
    <x v="471"/>
    <x v="299"/>
  </r>
  <r>
    <x v="33"/>
    <x v="43"/>
    <x v="4762"/>
    <x v="1"/>
    <x v="0"/>
    <x v="3115"/>
    <x v="169"/>
    <x v="472"/>
    <x v="299"/>
  </r>
  <r>
    <x v="33"/>
    <x v="44"/>
    <x v="4763"/>
    <x v="0"/>
    <x v="0"/>
    <x v="3116"/>
    <x v="170"/>
    <x v="473"/>
    <x v="299"/>
  </r>
  <r>
    <x v="33"/>
    <x v="45"/>
    <x v="4764"/>
    <x v="0"/>
    <x v="0"/>
    <x v="3117"/>
    <x v="171"/>
    <x v="474"/>
    <x v="299"/>
  </r>
  <r>
    <x v="33"/>
    <x v="46"/>
    <x v="4765"/>
    <x v="0"/>
    <x v="0"/>
    <x v="3118"/>
    <x v="172"/>
    <x v="475"/>
    <x v="299"/>
  </r>
  <r>
    <x v="33"/>
    <x v="47"/>
    <x v="4766"/>
    <x v="1"/>
    <x v="1"/>
    <x v="3119"/>
    <x v="173"/>
    <x v="476"/>
    <x v="299"/>
  </r>
  <r>
    <x v="33"/>
    <x v="48"/>
    <x v="4767"/>
    <x v="1"/>
    <x v="0"/>
    <x v="3120"/>
    <x v="174"/>
    <x v="477"/>
    <x v="300"/>
  </r>
  <r>
    <x v="33"/>
    <x v="49"/>
    <x v="4768"/>
    <x v="1"/>
    <x v="0"/>
    <x v="3121"/>
    <x v="175"/>
    <x v="478"/>
    <x v="300"/>
  </r>
  <r>
    <x v="33"/>
    <x v="50"/>
    <x v="4769"/>
    <x v="1"/>
    <x v="0"/>
    <x v="3122"/>
    <x v="176"/>
    <x v="479"/>
    <x v="300"/>
  </r>
  <r>
    <x v="33"/>
    <x v="51"/>
    <x v="4770"/>
    <x v="1"/>
    <x v="0"/>
    <x v="3123"/>
    <x v="52"/>
    <x v="480"/>
    <x v="300"/>
  </r>
  <r>
    <x v="33"/>
    <x v="52"/>
    <x v="4771"/>
    <x v="1"/>
    <x v="0"/>
    <x v="3124"/>
    <x v="177"/>
    <x v="481"/>
    <x v="300"/>
  </r>
  <r>
    <x v="33"/>
    <x v="53"/>
    <x v="4772"/>
    <x v="1"/>
    <x v="1"/>
    <x v="3125"/>
    <x v="178"/>
    <x v="482"/>
    <x v="300"/>
  </r>
  <r>
    <x v="33"/>
    <x v="54"/>
    <x v="4773"/>
    <x v="0"/>
    <x v="0"/>
    <x v="1514"/>
    <x v="179"/>
    <x v="483"/>
    <x v="300"/>
  </r>
  <r>
    <x v="33"/>
    <x v="55"/>
    <x v="4774"/>
    <x v="1"/>
    <x v="0"/>
    <x v="241"/>
    <x v="180"/>
    <x v="484"/>
    <x v="300"/>
  </r>
  <r>
    <x v="33"/>
    <x v="56"/>
    <x v="4775"/>
    <x v="1"/>
    <x v="0"/>
    <x v="3126"/>
    <x v="181"/>
    <x v="485"/>
    <x v="300"/>
  </r>
  <r>
    <x v="33"/>
    <x v="57"/>
    <x v="4776"/>
    <x v="1"/>
    <x v="0"/>
    <x v="2703"/>
    <x v="182"/>
    <x v="486"/>
    <x v="300"/>
  </r>
  <r>
    <x v="33"/>
    <x v="58"/>
    <x v="4777"/>
    <x v="1"/>
    <x v="0"/>
    <x v="3127"/>
    <x v="183"/>
    <x v="487"/>
    <x v="300"/>
  </r>
  <r>
    <x v="33"/>
    <x v="59"/>
    <x v="4778"/>
    <x v="1"/>
    <x v="0"/>
    <x v="1498"/>
    <x v="72"/>
    <x v="488"/>
    <x v="300"/>
  </r>
  <r>
    <x v="33"/>
    <x v="60"/>
    <x v="4779"/>
    <x v="1"/>
    <x v="0"/>
    <x v="553"/>
    <x v="184"/>
    <x v="489"/>
    <x v="301"/>
  </r>
  <r>
    <x v="33"/>
    <x v="61"/>
    <x v="4780"/>
    <x v="1"/>
    <x v="0"/>
    <x v="3128"/>
    <x v="185"/>
    <x v="490"/>
    <x v="301"/>
  </r>
  <r>
    <x v="33"/>
    <x v="62"/>
    <x v="4781"/>
    <x v="1"/>
    <x v="0"/>
    <x v="860"/>
    <x v="186"/>
    <x v="491"/>
    <x v="301"/>
  </r>
  <r>
    <x v="33"/>
    <x v="63"/>
    <x v="4782"/>
    <x v="0"/>
    <x v="0"/>
    <x v="3129"/>
    <x v="187"/>
    <x v="492"/>
    <x v="301"/>
  </r>
  <r>
    <x v="33"/>
    <x v="64"/>
    <x v="4783"/>
    <x v="1"/>
    <x v="0"/>
    <x v="2416"/>
    <x v="187"/>
    <x v="493"/>
    <x v="301"/>
  </r>
  <r>
    <x v="33"/>
    <x v="65"/>
    <x v="4784"/>
    <x v="1"/>
    <x v="0"/>
    <x v="1418"/>
    <x v="188"/>
    <x v="494"/>
    <x v="301"/>
  </r>
  <r>
    <x v="33"/>
    <x v="66"/>
    <x v="4785"/>
    <x v="1"/>
    <x v="0"/>
    <x v="3130"/>
    <x v="189"/>
    <x v="495"/>
    <x v="301"/>
  </r>
  <r>
    <x v="33"/>
    <x v="67"/>
    <x v="4786"/>
    <x v="1"/>
    <x v="0"/>
    <x v="3131"/>
    <x v="190"/>
    <x v="496"/>
    <x v="301"/>
  </r>
  <r>
    <x v="33"/>
    <x v="68"/>
    <x v="4787"/>
    <x v="1"/>
    <x v="0"/>
    <x v="1244"/>
    <x v="191"/>
    <x v="497"/>
    <x v="301"/>
  </r>
  <r>
    <x v="33"/>
    <x v="69"/>
    <x v="4788"/>
    <x v="1"/>
    <x v="0"/>
    <x v="1786"/>
    <x v="192"/>
    <x v="498"/>
    <x v="301"/>
  </r>
  <r>
    <x v="33"/>
    <x v="70"/>
    <x v="4789"/>
    <x v="1"/>
    <x v="0"/>
    <x v="2222"/>
    <x v="193"/>
    <x v="499"/>
    <x v="301"/>
  </r>
  <r>
    <x v="33"/>
    <x v="71"/>
    <x v="4790"/>
    <x v="1"/>
    <x v="0"/>
    <x v="1688"/>
    <x v="194"/>
    <x v="500"/>
    <x v="301"/>
  </r>
  <r>
    <x v="33"/>
    <x v="72"/>
    <x v="4791"/>
    <x v="1"/>
    <x v="0"/>
    <x v="2492"/>
    <x v="195"/>
    <x v="501"/>
    <x v="301"/>
  </r>
  <r>
    <x v="33"/>
    <x v="73"/>
    <x v="4792"/>
    <x v="1"/>
    <x v="0"/>
    <x v="3132"/>
    <x v="196"/>
    <x v="502"/>
    <x v="302"/>
  </r>
  <r>
    <x v="33"/>
    <x v="74"/>
    <x v="4793"/>
    <x v="1"/>
    <x v="0"/>
    <x v="312"/>
    <x v="197"/>
    <x v="503"/>
    <x v="302"/>
  </r>
  <r>
    <x v="33"/>
    <x v="75"/>
    <x v="4794"/>
    <x v="1"/>
    <x v="0"/>
    <x v="2219"/>
    <x v="198"/>
    <x v="504"/>
    <x v="302"/>
  </r>
  <r>
    <x v="33"/>
    <x v="76"/>
    <x v="4795"/>
    <x v="1"/>
    <x v="0"/>
    <x v="3133"/>
    <x v="199"/>
    <x v="505"/>
    <x v="302"/>
  </r>
  <r>
    <x v="33"/>
    <x v="77"/>
    <x v="4796"/>
    <x v="1"/>
    <x v="0"/>
    <x v="3134"/>
    <x v="200"/>
    <x v="506"/>
    <x v="302"/>
  </r>
  <r>
    <x v="33"/>
    <x v="78"/>
    <x v="4797"/>
    <x v="1"/>
    <x v="0"/>
    <x v="3135"/>
    <x v="201"/>
    <x v="507"/>
    <x v="302"/>
  </r>
  <r>
    <x v="33"/>
    <x v="79"/>
    <x v="4798"/>
    <x v="1"/>
    <x v="0"/>
    <x v="3136"/>
    <x v="134"/>
    <x v="508"/>
    <x v="302"/>
  </r>
  <r>
    <x v="33"/>
    <x v="80"/>
    <x v="4799"/>
    <x v="1"/>
    <x v="0"/>
    <x v="3137"/>
    <x v="202"/>
    <x v="509"/>
    <x v="302"/>
  </r>
  <r>
    <x v="33"/>
    <x v="81"/>
    <x v="4800"/>
    <x v="1"/>
    <x v="0"/>
    <x v="1464"/>
    <x v="79"/>
    <x v="510"/>
    <x v="302"/>
  </r>
  <r>
    <x v="33"/>
    <x v="82"/>
    <x v="4801"/>
    <x v="1"/>
    <x v="0"/>
    <x v="3041"/>
    <x v="80"/>
    <x v="511"/>
    <x v="302"/>
  </r>
  <r>
    <x v="33"/>
    <x v="83"/>
    <x v="4802"/>
    <x v="1"/>
    <x v="1"/>
    <x v="3138"/>
    <x v="78"/>
    <x v="512"/>
    <x v="302"/>
  </r>
  <r>
    <x v="33"/>
    <x v="84"/>
    <x v="4803"/>
    <x v="1"/>
    <x v="0"/>
    <x v="681"/>
    <x v="203"/>
    <x v="513"/>
    <x v="302"/>
  </r>
  <r>
    <x v="33"/>
    <x v="85"/>
    <x v="4804"/>
    <x v="1"/>
    <x v="0"/>
    <x v="2068"/>
    <x v="58"/>
    <x v="514"/>
    <x v="302"/>
  </r>
  <r>
    <x v="33"/>
    <x v="86"/>
    <x v="4805"/>
    <x v="1"/>
    <x v="0"/>
    <x v="3139"/>
    <x v="204"/>
    <x v="515"/>
    <x v="302"/>
  </r>
  <r>
    <x v="33"/>
    <x v="87"/>
    <x v="4806"/>
    <x v="1"/>
    <x v="0"/>
    <x v="288"/>
    <x v="205"/>
    <x v="516"/>
    <x v="303"/>
  </r>
  <r>
    <x v="33"/>
    <x v="88"/>
    <x v="4807"/>
    <x v="1"/>
    <x v="0"/>
    <x v="2755"/>
    <x v="206"/>
    <x v="517"/>
    <x v="303"/>
  </r>
  <r>
    <x v="33"/>
    <x v="89"/>
    <x v="4808"/>
    <x v="1"/>
    <x v="0"/>
    <x v="3140"/>
    <x v="207"/>
    <x v="518"/>
    <x v="303"/>
  </r>
  <r>
    <x v="33"/>
    <x v="90"/>
    <x v="4809"/>
    <x v="1"/>
    <x v="0"/>
    <x v="868"/>
    <x v="208"/>
    <x v="519"/>
    <x v="303"/>
  </r>
  <r>
    <x v="33"/>
    <x v="91"/>
    <x v="4810"/>
    <x v="1"/>
    <x v="0"/>
    <x v="3141"/>
    <x v="209"/>
    <x v="520"/>
    <x v="303"/>
  </r>
  <r>
    <x v="33"/>
    <x v="92"/>
    <x v="4811"/>
    <x v="1"/>
    <x v="0"/>
    <x v="3142"/>
    <x v="121"/>
    <x v="521"/>
    <x v="303"/>
  </r>
  <r>
    <x v="33"/>
    <x v="93"/>
    <x v="4812"/>
    <x v="1"/>
    <x v="0"/>
    <x v="2612"/>
    <x v="210"/>
    <x v="522"/>
    <x v="303"/>
  </r>
  <r>
    <x v="33"/>
    <x v="94"/>
    <x v="4813"/>
    <x v="0"/>
    <x v="1"/>
    <x v="243"/>
    <x v="211"/>
    <x v="523"/>
    <x v="303"/>
  </r>
  <r>
    <x v="33"/>
    <x v="95"/>
    <x v="4814"/>
    <x v="1"/>
    <x v="0"/>
    <x v="2301"/>
    <x v="212"/>
    <x v="524"/>
    <x v="303"/>
  </r>
  <r>
    <x v="33"/>
    <x v="96"/>
    <x v="4815"/>
    <x v="0"/>
    <x v="0"/>
    <x v="3143"/>
    <x v="213"/>
    <x v="525"/>
    <x v="303"/>
  </r>
  <r>
    <x v="33"/>
    <x v="97"/>
    <x v="4816"/>
    <x v="0"/>
    <x v="0"/>
    <x v="3144"/>
    <x v="214"/>
    <x v="526"/>
    <x v="303"/>
  </r>
  <r>
    <x v="33"/>
    <x v="98"/>
    <x v="4817"/>
    <x v="0"/>
    <x v="0"/>
    <x v="3145"/>
    <x v="215"/>
    <x v="527"/>
    <x v="303"/>
  </r>
  <r>
    <x v="33"/>
    <x v="99"/>
    <x v="4818"/>
    <x v="1"/>
    <x v="1"/>
    <x v="417"/>
    <x v="216"/>
    <x v="528"/>
    <x v="303"/>
  </r>
  <r>
    <x v="33"/>
    <x v="100"/>
    <x v="4819"/>
    <x v="1"/>
    <x v="0"/>
    <x v="53"/>
    <x v="94"/>
    <x v="529"/>
    <x v="304"/>
  </r>
  <r>
    <x v="33"/>
    <x v="101"/>
    <x v="4820"/>
    <x v="1"/>
    <x v="0"/>
    <x v="3146"/>
    <x v="217"/>
    <x v="530"/>
    <x v="304"/>
  </r>
  <r>
    <x v="33"/>
    <x v="102"/>
    <x v="4821"/>
    <x v="1"/>
    <x v="0"/>
    <x v="3147"/>
    <x v="218"/>
    <x v="531"/>
    <x v="304"/>
  </r>
  <r>
    <x v="33"/>
    <x v="103"/>
    <x v="4822"/>
    <x v="1"/>
    <x v="0"/>
    <x v="548"/>
    <x v="101"/>
    <x v="532"/>
    <x v="304"/>
  </r>
  <r>
    <x v="33"/>
    <x v="104"/>
    <x v="4823"/>
    <x v="1"/>
    <x v="0"/>
    <x v="509"/>
    <x v="219"/>
    <x v="533"/>
    <x v="304"/>
  </r>
  <r>
    <x v="33"/>
    <x v="105"/>
    <x v="4824"/>
    <x v="0"/>
    <x v="1"/>
    <x v="3148"/>
    <x v="220"/>
    <x v="534"/>
    <x v="304"/>
  </r>
  <r>
    <x v="33"/>
    <x v="106"/>
    <x v="4825"/>
    <x v="0"/>
    <x v="0"/>
    <x v="3149"/>
    <x v="221"/>
    <x v="535"/>
    <x v="304"/>
  </r>
  <r>
    <x v="33"/>
    <x v="107"/>
    <x v="4826"/>
    <x v="1"/>
    <x v="0"/>
    <x v="3150"/>
    <x v="222"/>
    <x v="536"/>
    <x v="304"/>
  </r>
  <r>
    <x v="33"/>
    <x v="108"/>
    <x v="4827"/>
    <x v="1"/>
    <x v="0"/>
    <x v="3118"/>
    <x v="223"/>
    <x v="537"/>
    <x v="304"/>
  </r>
  <r>
    <x v="33"/>
    <x v="109"/>
    <x v="4828"/>
    <x v="1"/>
    <x v="0"/>
    <x v="3151"/>
    <x v="224"/>
    <x v="538"/>
    <x v="304"/>
  </r>
  <r>
    <x v="33"/>
    <x v="110"/>
    <x v="4829"/>
    <x v="1"/>
    <x v="0"/>
    <x v="3152"/>
    <x v="225"/>
    <x v="539"/>
    <x v="304"/>
  </r>
  <r>
    <x v="33"/>
    <x v="111"/>
    <x v="4830"/>
    <x v="1"/>
    <x v="0"/>
    <x v="283"/>
    <x v="226"/>
    <x v="540"/>
    <x v="304"/>
  </r>
  <r>
    <x v="33"/>
    <x v="112"/>
    <x v="4831"/>
    <x v="1"/>
    <x v="0"/>
    <x v="3153"/>
    <x v="227"/>
    <x v="541"/>
    <x v="304"/>
  </r>
  <r>
    <x v="33"/>
    <x v="113"/>
    <x v="4832"/>
    <x v="0"/>
    <x v="0"/>
    <x v="634"/>
    <x v="228"/>
    <x v="542"/>
    <x v="305"/>
  </r>
  <r>
    <x v="33"/>
    <x v="114"/>
    <x v="4833"/>
    <x v="1"/>
    <x v="0"/>
    <x v="3061"/>
    <x v="190"/>
    <x v="543"/>
    <x v="305"/>
  </r>
  <r>
    <x v="33"/>
    <x v="115"/>
    <x v="4834"/>
    <x v="1"/>
    <x v="0"/>
    <x v="2996"/>
    <x v="228"/>
    <x v="544"/>
    <x v="305"/>
  </r>
  <r>
    <x v="33"/>
    <x v="116"/>
    <x v="4835"/>
    <x v="1"/>
    <x v="0"/>
    <x v="3154"/>
    <x v="63"/>
    <x v="545"/>
    <x v="305"/>
  </r>
  <r>
    <x v="33"/>
    <x v="117"/>
    <x v="4836"/>
    <x v="1"/>
    <x v="0"/>
    <x v="2966"/>
    <x v="229"/>
    <x v="546"/>
    <x v="305"/>
  </r>
  <r>
    <x v="33"/>
    <x v="118"/>
    <x v="4837"/>
    <x v="1"/>
    <x v="0"/>
    <x v="3155"/>
    <x v="230"/>
    <x v="547"/>
    <x v="305"/>
  </r>
  <r>
    <x v="33"/>
    <x v="119"/>
    <x v="4838"/>
    <x v="1"/>
    <x v="0"/>
    <x v="3156"/>
    <x v="129"/>
    <x v="548"/>
    <x v="305"/>
  </r>
  <r>
    <x v="33"/>
    <x v="120"/>
    <x v="4839"/>
    <x v="1"/>
    <x v="0"/>
    <x v="2377"/>
    <x v="231"/>
    <x v="549"/>
    <x v="305"/>
  </r>
  <r>
    <x v="33"/>
    <x v="121"/>
    <x v="4840"/>
    <x v="1"/>
    <x v="0"/>
    <x v="1752"/>
    <x v="232"/>
    <x v="550"/>
    <x v="305"/>
  </r>
  <r>
    <x v="33"/>
    <x v="122"/>
    <x v="4841"/>
    <x v="1"/>
    <x v="0"/>
    <x v="3157"/>
    <x v="233"/>
    <x v="551"/>
    <x v="305"/>
  </r>
  <r>
    <x v="33"/>
    <x v="123"/>
    <x v="4842"/>
    <x v="1"/>
    <x v="0"/>
    <x v="3158"/>
    <x v="88"/>
    <x v="552"/>
    <x v="305"/>
  </r>
  <r>
    <x v="33"/>
    <x v="124"/>
    <x v="4843"/>
    <x v="1"/>
    <x v="0"/>
    <x v="226"/>
    <x v="234"/>
    <x v="553"/>
    <x v="305"/>
  </r>
  <r>
    <x v="33"/>
    <x v="125"/>
    <x v="4844"/>
    <x v="1"/>
    <x v="0"/>
    <x v="3159"/>
    <x v="235"/>
    <x v="554"/>
    <x v="305"/>
  </r>
  <r>
    <x v="33"/>
    <x v="126"/>
    <x v="4845"/>
    <x v="1"/>
    <x v="0"/>
    <x v="121"/>
    <x v="236"/>
    <x v="555"/>
    <x v="306"/>
  </r>
  <r>
    <x v="33"/>
    <x v="127"/>
    <x v="4846"/>
    <x v="1"/>
    <x v="0"/>
    <x v="3160"/>
    <x v="237"/>
    <x v="556"/>
    <x v="306"/>
  </r>
  <r>
    <x v="33"/>
    <x v="128"/>
    <x v="4847"/>
    <x v="1"/>
    <x v="0"/>
    <x v="1063"/>
    <x v="217"/>
    <x v="557"/>
    <x v="306"/>
  </r>
  <r>
    <x v="33"/>
    <x v="129"/>
    <x v="4848"/>
    <x v="1"/>
    <x v="0"/>
    <x v="1543"/>
    <x v="238"/>
    <x v="558"/>
    <x v="306"/>
  </r>
  <r>
    <x v="33"/>
    <x v="130"/>
    <x v="4849"/>
    <x v="1"/>
    <x v="0"/>
    <x v="3161"/>
    <x v="239"/>
    <x v="559"/>
    <x v="306"/>
  </r>
  <r>
    <x v="33"/>
    <x v="131"/>
    <x v="4850"/>
    <x v="1"/>
    <x v="0"/>
    <x v="479"/>
    <x v="240"/>
    <x v="560"/>
    <x v="306"/>
  </r>
  <r>
    <x v="33"/>
    <x v="132"/>
    <x v="4851"/>
    <x v="1"/>
    <x v="0"/>
    <x v="3162"/>
    <x v="241"/>
    <x v="561"/>
    <x v="306"/>
  </r>
  <r>
    <x v="33"/>
    <x v="133"/>
    <x v="4852"/>
    <x v="1"/>
    <x v="0"/>
    <x v="3005"/>
    <x v="242"/>
    <x v="562"/>
    <x v="306"/>
  </r>
  <r>
    <x v="33"/>
    <x v="134"/>
    <x v="4853"/>
    <x v="1"/>
    <x v="0"/>
    <x v="3163"/>
    <x v="243"/>
    <x v="563"/>
    <x v="306"/>
  </r>
  <r>
    <x v="33"/>
    <x v="135"/>
    <x v="4854"/>
    <x v="1"/>
    <x v="1"/>
    <x v="479"/>
    <x v="244"/>
    <x v="564"/>
    <x v="306"/>
  </r>
  <r>
    <x v="33"/>
    <x v="136"/>
    <x v="4855"/>
    <x v="1"/>
    <x v="0"/>
    <x v="1462"/>
    <x v="245"/>
    <x v="565"/>
    <x v="306"/>
  </r>
  <r>
    <x v="33"/>
    <x v="137"/>
    <x v="4856"/>
    <x v="1"/>
    <x v="0"/>
    <x v="3164"/>
    <x v="132"/>
    <x v="566"/>
    <x v="306"/>
  </r>
  <r>
    <x v="33"/>
    <x v="138"/>
    <x v="4857"/>
    <x v="1"/>
    <x v="0"/>
    <x v="3165"/>
    <x v="133"/>
    <x v="567"/>
    <x v="306"/>
  </r>
  <r>
    <x v="33"/>
    <x v="139"/>
    <x v="4858"/>
    <x v="1"/>
    <x v="0"/>
    <x v="152"/>
    <x v="129"/>
    <x v="568"/>
    <x v="307"/>
  </r>
  <r>
    <x v="33"/>
    <x v="140"/>
    <x v="4859"/>
    <x v="1"/>
    <x v="0"/>
    <x v="814"/>
    <x v="246"/>
    <x v="569"/>
    <x v="307"/>
  </r>
  <r>
    <x v="33"/>
    <x v="141"/>
    <x v="4860"/>
    <x v="1"/>
    <x v="0"/>
    <x v="3166"/>
    <x v="242"/>
    <x v="570"/>
    <x v="307"/>
  </r>
  <r>
    <x v="33"/>
    <x v="142"/>
    <x v="4861"/>
    <x v="1"/>
    <x v="0"/>
    <x v="372"/>
    <x v="247"/>
    <x v="571"/>
    <x v="307"/>
  </r>
  <r>
    <x v="34"/>
    <x v="0"/>
    <x v="4862"/>
    <x v="0"/>
    <x v="0"/>
    <x v="2834"/>
    <x v="609"/>
    <x v="1716"/>
    <x v="308"/>
  </r>
  <r>
    <x v="34"/>
    <x v="1"/>
    <x v="4863"/>
    <x v="0"/>
    <x v="1"/>
    <x v="2835"/>
    <x v="146"/>
    <x v="1717"/>
    <x v="308"/>
  </r>
  <r>
    <x v="34"/>
    <x v="2"/>
    <x v="4864"/>
    <x v="0"/>
    <x v="0"/>
    <x v="2836"/>
    <x v="270"/>
    <x v="1718"/>
    <x v="308"/>
  </r>
  <r>
    <x v="34"/>
    <x v="3"/>
    <x v="4865"/>
    <x v="1"/>
    <x v="0"/>
    <x v="1726"/>
    <x v="610"/>
    <x v="1719"/>
    <x v="308"/>
  </r>
  <r>
    <x v="34"/>
    <x v="4"/>
    <x v="4866"/>
    <x v="0"/>
    <x v="0"/>
    <x v="2837"/>
    <x v="611"/>
    <x v="1720"/>
    <x v="308"/>
  </r>
  <r>
    <x v="34"/>
    <x v="5"/>
    <x v="4867"/>
    <x v="0"/>
    <x v="0"/>
    <x v="2838"/>
    <x v="612"/>
    <x v="1721"/>
    <x v="308"/>
  </r>
  <r>
    <x v="34"/>
    <x v="6"/>
    <x v="4868"/>
    <x v="0"/>
    <x v="0"/>
    <x v="2839"/>
    <x v="613"/>
    <x v="1722"/>
    <x v="308"/>
  </r>
  <r>
    <x v="34"/>
    <x v="7"/>
    <x v="4869"/>
    <x v="0"/>
    <x v="0"/>
    <x v="2840"/>
    <x v="14"/>
    <x v="1723"/>
    <x v="308"/>
  </r>
  <r>
    <x v="34"/>
    <x v="8"/>
    <x v="4870"/>
    <x v="0"/>
    <x v="0"/>
    <x v="2841"/>
    <x v="537"/>
    <x v="1724"/>
    <x v="309"/>
  </r>
  <r>
    <x v="34"/>
    <x v="9"/>
    <x v="4871"/>
    <x v="0"/>
    <x v="0"/>
    <x v="1610"/>
    <x v="44"/>
    <x v="1725"/>
    <x v="309"/>
  </r>
  <r>
    <x v="34"/>
    <x v="10"/>
    <x v="4872"/>
    <x v="0"/>
    <x v="0"/>
    <x v="2842"/>
    <x v="614"/>
    <x v="1726"/>
    <x v="309"/>
  </r>
  <r>
    <x v="34"/>
    <x v="11"/>
    <x v="4873"/>
    <x v="0"/>
    <x v="0"/>
    <x v="2798"/>
    <x v="615"/>
    <x v="1727"/>
    <x v="309"/>
  </r>
  <r>
    <x v="34"/>
    <x v="12"/>
    <x v="4874"/>
    <x v="0"/>
    <x v="0"/>
    <x v="2843"/>
    <x v="616"/>
    <x v="1728"/>
    <x v="309"/>
  </r>
  <r>
    <x v="34"/>
    <x v="13"/>
    <x v="4875"/>
    <x v="0"/>
    <x v="0"/>
    <x v="2373"/>
    <x v="617"/>
    <x v="1729"/>
    <x v="309"/>
  </r>
  <r>
    <x v="34"/>
    <x v="14"/>
    <x v="4876"/>
    <x v="0"/>
    <x v="0"/>
    <x v="2844"/>
    <x v="618"/>
    <x v="1730"/>
    <x v="309"/>
  </r>
  <r>
    <x v="34"/>
    <x v="15"/>
    <x v="4877"/>
    <x v="0"/>
    <x v="0"/>
    <x v="2845"/>
    <x v="619"/>
    <x v="1731"/>
    <x v="309"/>
  </r>
  <r>
    <x v="34"/>
    <x v="16"/>
    <x v="4878"/>
    <x v="0"/>
    <x v="0"/>
    <x v="2846"/>
    <x v="614"/>
    <x v="1732"/>
    <x v="309"/>
  </r>
  <r>
    <x v="34"/>
    <x v="17"/>
    <x v="4879"/>
    <x v="0"/>
    <x v="0"/>
    <x v="1542"/>
    <x v="620"/>
    <x v="1733"/>
    <x v="309"/>
  </r>
  <r>
    <x v="34"/>
    <x v="18"/>
    <x v="4880"/>
    <x v="0"/>
    <x v="0"/>
    <x v="2847"/>
    <x v="621"/>
    <x v="1734"/>
    <x v="309"/>
  </r>
  <r>
    <x v="34"/>
    <x v="19"/>
    <x v="4881"/>
    <x v="0"/>
    <x v="0"/>
    <x v="2848"/>
    <x v="12"/>
    <x v="1735"/>
    <x v="309"/>
  </r>
  <r>
    <x v="34"/>
    <x v="20"/>
    <x v="4882"/>
    <x v="0"/>
    <x v="0"/>
    <x v="2849"/>
    <x v="10"/>
    <x v="1736"/>
    <x v="309"/>
  </r>
  <r>
    <x v="34"/>
    <x v="21"/>
    <x v="4883"/>
    <x v="0"/>
    <x v="0"/>
    <x v="2850"/>
    <x v="622"/>
    <x v="1737"/>
    <x v="310"/>
  </r>
  <r>
    <x v="34"/>
    <x v="22"/>
    <x v="4884"/>
    <x v="0"/>
    <x v="0"/>
    <x v="2851"/>
    <x v="269"/>
    <x v="1738"/>
    <x v="310"/>
  </r>
  <r>
    <x v="34"/>
    <x v="23"/>
    <x v="4885"/>
    <x v="0"/>
    <x v="0"/>
    <x v="479"/>
    <x v="623"/>
    <x v="1739"/>
    <x v="310"/>
  </r>
  <r>
    <x v="34"/>
    <x v="24"/>
    <x v="4886"/>
    <x v="0"/>
    <x v="0"/>
    <x v="2852"/>
    <x v="40"/>
    <x v="1740"/>
    <x v="310"/>
  </r>
  <r>
    <x v="34"/>
    <x v="25"/>
    <x v="4887"/>
    <x v="0"/>
    <x v="0"/>
    <x v="437"/>
    <x v="278"/>
    <x v="1741"/>
    <x v="310"/>
  </r>
  <r>
    <x v="34"/>
    <x v="26"/>
    <x v="4888"/>
    <x v="0"/>
    <x v="0"/>
    <x v="2853"/>
    <x v="609"/>
    <x v="1742"/>
    <x v="310"/>
  </r>
  <r>
    <x v="34"/>
    <x v="27"/>
    <x v="4889"/>
    <x v="0"/>
    <x v="0"/>
    <x v="1289"/>
    <x v="148"/>
    <x v="1743"/>
    <x v="310"/>
  </r>
  <r>
    <x v="34"/>
    <x v="28"/>
    <x v="4890"/>
    <x v="1"/>
    <x v="0"/>
    <x v="2854"/>
    <x v="624"/>
    <x v="1744"/>
    <x v="310"/>
  </r>
  <r>
    <x v="34"/>
    <x v="29"/>
    <x v="4891"/>
    <x v="1"/>
    <x v="0"/>
    <x v="413"/>
    <x v="625"/>
    <x v="1745"/>
    <x v="310"/>
  </r>
  <r>
    <x v="34"/>
    <x v="30"/>
    <x v="4892"/>
    <x v="1"/>
    <x v="0"/>
    <x v="2855"/>
    <x v="262"/>
    <x v="1746"/>
    <x v="310"/>
  </r>
  <r>
    <x v="34"/>
    <x v="31"/>
    <x v="4893"/>
    <x v="1"/>
    <x v="1"/>
    <x v="2856"/>
    <x v="167"/>
    <x v="1747"/>
    <x v="310"/>
  </r>
  <r>
    <x v="34"/>
    <x v="32"/>
    <x v="4894"/>
    <x v="1"/>
    <x v="0"/>
    <x v="2857"/>
    <x v="626"/>
    <x v="1748"/>
    <x v="310"/>
  </r>
  <r>
    <x v="34"/>
    <x v="33"/>
    <x v="4895"/>
    <x v="1"/>
    <x v="0"/>
    <x v="2858"/>
    <x v="627"/>
    <x v="1749"/>
    <x v="310"/>
  </r>
  <r>
    <x v="34"/>
    <x v="34"/>
    <x v="4896"/>
    <x v="1"/>
    <x v="0"/>
    <x v="1550"/>
    <x v="628"/>
    <x v="1750"/>
    <x v="311"/>
  </r>
  <r>
    <x v="34"/>
    <x v="35"/>
    <x v="4897"/>
    <x v="1"/>
    <x v="0"/>
    <x v="2859"/>
    <x v="629"/>
    <x v="1751"/>
    <x v="311"/>
  </r>
  <r>
    <x v="34"/>
    <x v="36"/>
    <x v="4898"/>
    <x v="1"/>
    <x v="0"/>
    <x v="2860"/>
    <x v="538"/>
    <x v="1752"/>
    <x v="311"/>
  </r>
  <r>
    <x v="34"/>
    <x v="37"/>
    <x v="4899"/>
    <x v="1"/>
    <x v="0"/>
    <x v="2861"/>
    <x v="630"/>
    <x v="1753"/>
    <x v="311"/>
  </r>
  <r>
    <x v="34"/>
    <x v="38"/>
    <x v="4900"/>
    <x v="1"/>
    <x v="0"/>
    <x v="2862"/>
    <x v="616"/>
    <x v="1754"/>
    <x v="311"/>
  </r>
  <r>
    <x v="34"/>
    <x v="39"/>
    <x v="4901"/>
    <x v="1"/>
    <x v="0"/>
    <x v="2863"/>
    <x v="630"/>
    <x v="1755"/>
    <x v="311"/>
  </r>
  <r>
    <x v="34"/>
    <x v="40"/>
    <x v="4902"/>
    <x v="1"/>
    <x v="0"/>
    <x v="2864"/>
    <x v="631"/>
    <x v="1756"/>
    <x v="311"/>
  </r>
  <r>
    <x v="34"/>
    <x v="41"/>
    <x v="4903"/>
    <x v="1"/>
    <x v="0"/>
    <x v="184"/>
    <x v="632"/>
    <x v="1757"/>
    <x v="311"/>
  </r>
  <r>
    <x v="34"/>
    <x v="42"/>
    <x v="4904"/>
    <x v="0"/>
    <x v="1"/>
    <x v="2865"/>
    <x v="633"/>
    <x v="1758"/>
    <x v="311"/>
  </r>
  <r>
    <x v="34"/>
    <x v="43"/>
    <x v="4905"/>
    <x v="1"/>
    <x v="0"/>
    <x v="513"/>
    <x v="634"/>
    <x v="1759"/>
    <x v="311"/>
  </r>
  <r>
    <x v="34"/>
    <x v="44"/>
    <x v="4906"/>
    <x v="0"/>
    <x v="0"/>
    <x v="1526"/>
    <x v="366"/>
    <x v="1760"/>
    <x v="311"/>
  </r>
  <r>
    <x v="34"/>
    <x v="45"/>
    <x v="4907"/>
    <x v="0"/>
    <x v="0"/>
    <x v="969"/>
    <x v="635"/>
    <x v="1761"/>
    <x v="311"/>
  </r>
  <r>
    <x v="34"/>
    <x v="46"/>
    <x v="4908"/>
    <x v="0"/>
    <x v="0"/>
    <x v="2143"/>
    <x v="636"/>
    <x v="1762"/>
    <x v="311"/>
  </r>
  <r>
    <x v="34"/>
    <x v="47"/>
    <x v="4909"/>
    <x v="1"/>
    <x v="1"/>
    <x v="2866"/>
    <x v="637"/>
    <x v="1763"/>
    <x v="311"/>
  </r>
  <r>
    <x v="34"/>
    <x v="48"/>
    <x v="4910"/>
    <x v="1"/>
    <x v="0"/>
    <x v="2867"/>
    <x v="638"/>
    <x v="1764"/>
    <x v="148"/>
  </r>
  <r>
    <x v="34"/>
    <x v="49"/>
    <x v="4911"/>
    <x v="1"/>
    <x v="0"/>
    <x v="2868"/>
    <x v="639"/>
    <x v="1765"/>
    <x v="148"/>
  </r>
  <r>
    <x v="34"/>
    <x v="50"/>
    <x v="4912"/>
    <x v="1"/>
    <x v="0"/>
    <x v="2869"/>
    <x v="640"/>
    <x v="1766"/>
    <x v="148"/>
  </r>
  <r>
    <x v="34"/>
    <x v="51"/>
    <x v="4913"/>
    <x v="1"/>
    <x v="0"/>
    <x v="2870"/>
    <x v="641"/>
    <x v="1767"/>
    <x v="148"/>
  </r>
  <r>
    <x v="34"/>
    <x v="52"/>
    <x v="4914"/>
    <x v="1"/>
    <x v="0"/>
    <x v="2871"/>
    <x v="399"/>
    <x v="1768"/>
    <x v="148"/>
  </r>
  <r>
    <x v="34"/>
    <x v="53"/>
    <x v="4915"/>
    <x v="1"/>
    <x v="1"/>
    <x v="2872"/>
    <x v="642"/>
    <x v="1769"/>
    <x v="148"/>
  </r>
  <r>
    <x v="34"/>
    <x v="54"/>
    <x v="4916"/>
    <x v="1"/>
    <x v="0"/>
    <x v="2873"/>
    <x v="643"/>
    <x v="1770"/>
    <x v="148"/>
  </r>
  <r>
    <x v="34"/>
    <x v="55"/>
    <x v="4917"/>
    <x v="1"/>
    <x v="0"/>
    <x v="2874"/>
    <x v="86"/>
    <x v="1771"/>
    <x v="148"/>
  </r>
  <r>
    <x v="34"/>
    <x v="56"/>
    <x v="4918"/>
    <x v="1"/>
    <x v="0"/>
    <x v="2875"/>
    <x v="233"/>
    <x v="1772"/>
    <x v="148"/>
  </r>
  <r>
    <x v="34"/>
    <x v="57"/>
    <x v="4919"/>
    <x v="1"/>
    <x v="0"/>
    <x v="755"/>
    <x v="602"/>
    <x v="1773"/>
    <x v="148"/>
  </r>
  <r>
    <x v="34"/>
    <x v="58"/>
    <x v="4920"/>
    <x v="1"/>
    <x v="0"/>
    <x v="2876"/>
    <x v="644"/>
    <x v="1774"/>
    <x v="148"/>
  </r>
  <r>
    <x v="34"/>
    <x v="59"/>
    <x v="4921"/>
    <x v="1"/>
    <x v="0"/>
    <x v="2877"/>
    <x v="645"/>
    <x v="1775"/>
    <x v="148"/>
  </r>
  <r>
    <x v="34"/>
    <x v="60"/>
    <x v="4922"/>
    <x v="1"/>
    <x v="0"/>
    <x v="1642"/>
    <x v="77"/>
    <x v="1776"/>
    <x v="249"/>
  </r>
  <r>
    <x v="34"/>
    <x v="61"/>
    <x v="4923"/>
    <x v="1"/>
    <x v="0"/>
    <x v="2117"/>
    <x v="646"/>
    <x v="1777"/>
    <x v="249"/>
  </r>
  <r>
    <x v="34"/>
    <x v="62"/>
    <x v="4924"/>
    <x v="1"/>
    <x v="0"/>
    <x v="712"/>
    <x v="605"/>
    <x v="1778"/>
    <x v="249"/>
  </r>
  <r>
    <x v="34"/>
    <x v="63"/>
    <x v="4925"/>
    <x v="1"/>
    <x v="0"/>
    <x v="1627"/>
    <x v="405"/>
    <x v="1779"/>
    <x v="249"/>
  </r>
  <r>
    <x v="34"/>
    <x v="64"/>
    <x v="4926"/>
    <x v="1"/>
    <x v="0"/>
    <x v="2464"/>
    <x v="647"/>
    <x v="1780"/>
    <x v="249"/>
  </r>
  <r>
    <x v="34"/>
    <x v="65"/>
    <x v="4927"/>
    <x v="1"/>
    <x v="0"/>
    <x v="1896"/>
    <x v="648"/>
    <x v="1781"/>
    <x v="249"/>
  </r>
  <r>
    <x v="34"/>
    <x v="66"/>
    <x v="4928"/>
    <x v="1"/>
    <x v="0"/>
    <x v="1930"/>
    <x v="649"/>
    <x v="1782"/>
    <x v="249"/>
  </r>
  <r>
    <x v="34"/>
    <x v="67"/>
    <x v="4929"/>
    <x v="1"/>
    <x v="0"/>
    <x v="2878"/>
    <x v="650"/>
    <x v="1783"/>
    <x v="249"/>
  </r>
  <r>
    <x v="34"/>
    <x v="68"/>
    <x v="4930"/>
    <x v="1"/>
    <x v="0"/>
    <x v="2556"/>
    <x v="651"/>
    <x v="1784"/>
    <x v="249"/>
  </r>
  <r>
    <x v="34"/>
    <x v="69"/>
    <x v="4931"/>
    <x v="1"/>
    <x v="0"/>
    <x v="2588"/>
    <x v="652"/>
    <x v="1785"/>
    <x v="249"/>
  </r>
  <r>
    <x v="34"/>
    <x v="70"/>
    <x v="4932"/>
    <x v="1"/>
    <x v="0"/>
    <x v="2653"/>
    <x v="190"/>
    <x v="1786"/>
    <x v="249"/>
  </r>
  <r>
    <x v="34"/>
    <x v="71"/>
    <x v="4933"/>
    <x v="1"/>
    <x v="0"/>
    <x v="2879"/>
    <x v="419"/>
    <x v="1787"/>
    <x v="249"/>
  </r>
  <r>
    <x v="34"/>
    <x v="72"/>
    <x v="4934"/>
    <x v="1"/>
    <x v="0"/>
    <x v="603"/>
    <x v="341"/>
    <x v="1788"/>
    <x v="249"/>
  </r>
  <r>
    <x v="34"/>
    <x v="73"/>
    <x v="4935"/>
    <x v="1"/>
    <x v="0"/>
    <x v="2880"/>
    <x v="653"/>
    <x v="1789"/>
    <x v="154"/>
  </r>
  <r>
    <x v="34"/>
    <x v="74"/>
    <x v="4936"/>
    <x v="1"/>
    <x v="0"/>
    <x v="2881"/>
    <x v="654"/>
    <x v="1790"/>
    <x v="154"/>
  </r>
  <r>
    <x v="34"/>
    <x v="75"/>
    <x v="4937"/>
    <x v="1"/>
    <x v="0"/>
    <x v="2882"/>
    <x v="355"/>
    <x v="1791"/>
    <x v="154"/>
  </r>
  <r>
    <x v="34"/>
    <x v="76"/>
    <x v="4938"/>
    <x v="1"/>
    <x v="0"/>
    <x v="401"/>
    <x v="462"/>
    <x v="1792"/>
    <x v="154"/>
  </r>
  <r>
    <x v="34"/>
    <x v="77"/>
    <x v="4939"/>
    <x v="1"/>
    <x v="0"/>
    <x v="2883"/>
    <x v="655"/>
    <x v="1793"/>
    <x v="154"/>
  </r>
  <r>
    <x v="34"/>
    <x v="78"/>
    <x v="4940"/>
    <x v="1"/>
    <x v="0"/>
    <x v="228"/>
    <x v="419"/>
    <x v="1794"/>
    <x v="154"/>
  </r>
  <r>
    <x v="34"/>
    <x v="79"/>
    <x v="4941"/>
    <x v="1"/>
    <x v="0"/>
    <x v="1164"/>
    <x v="656"/>
    <x v="1795"/>
    <x v="154"/>
  </r>
  <r>
    <x v="34"/>
    <x v="80"/>
    <x v="4942"/>
    <x v="1"/>
    <x v="0"/>
    <x v="2096"/>
    <x v="229"/>
    <x v="1796"/>
    <x v="154"/>
  </r>
  <r>
    <x v="34"/>
    <x v="81"/>
    <x v="4943"/>
    <x v="1"/>
    <x v="0"/>
    <x v="2405"/>
    <x v="566"/>
    <x v="1797"/>
    <x v="154"/>
  </r>
  <r>
    <x v="34"/>
    <x v="82"/>
    <x v="4944"/>
    <x v="1"/>
    <x v="0"/>
    <x v="2884"/>
    <x v="657"/>
    <x v="1798"/>
    <x v="154"/>
  </r>
  <r>
    <x v="34"/>
    <x v="83"/>
    <x v="4945"/>
    <x v="1"/>
    <x v="1"/>
    <x v="1425"/>
    <x v="658"/>
    <x v="1799"/>
    <x v="154"/>
  </r>
  <r>
    <x v="34"/>
    <x v="84"/>
    <x v="4946"/>
    <x v="1"/>
    <x v="0"/>
    <x v="2885"/>
    <x v="659"/>
    <x v="1800"/>
    <x v="154"/>
  </r>
  <r>
    <x v="34"/>
    <x v="85"/>
    <x v="4947"/>
    <x v="1"/>
    <x v="0"/>
    <x v="2886"/>
    <x v="654"/>
    <x v="1801"/>
    <x v="154"/>
  </r>
  <r>
    <x v="34"/>
    <x v="86"/>
    <x v="4948"/>
    <x v="1"/>
    <x v="0"/>
    <x v="2094"/>
    <x v="660"/>
    <x v="1802"/>
    <x v="154"/>
  </r>
  <r>
    <x v="34"/>
    <x v="87"/>
    <x v="4949"/>
    <x v="1"/>
    <x v="0"/>
    <x v="2887"/>
    <x v="661"/>
    <x v="1803"/>
    <x v="312"/>
  </r>
  <r>
    <x v="34"/>
    <x v="88"/>
    <x v="4950"/>
    <x v="1"/>
    <x v="0"/>
    <x v="2888"/>
    <x v="222"/>
    <x v="1804"/>
    <x v="312"/>
  </r>
  <r>
    <x v="34"/>
    <x v="89"/>
    <x v="4951"/>
    <x v="1"/>
    <x v="0"/>
    <x v="2889"/>
    <x v="195"/>
    <x v="1805"/>
    <x v="312"/>
  </r>
  <r>
    <x v="34"/>
    <x v="90"/>
    <x v="4952"/>
    <x v="1"/>
    <x v="0"/>
    <x v="2890"/>
    <x v="662"/>
    <x v="1806"/>
    <x v="312"/>
  </r>
  <r>
    <x v="34"/>
    <x v="91"/>
    <x v="4953"/>
    <x v="1"/>
    <x v="0"/>
    <x v="2891"/>
    <x v="231"/>
    <x v="1807"/>
    <x v="312"/>
  </r>
  <r>
    <x v="34"/>
    <x v="92"/>
    <x v="4954"/>
    <x v="1"/>
    <x v="0"/>
    <x v="2892"/>
    <x v="487"/>
    <x v="1808"/>
    <x v="312"/>
  </r>
  <r>
    <x v="34"/>
    <x v="93"/>
    <x v="4955"/>
    <x v="1"/>
    <x v="0"/>
    <x v="2461"/>
    <x v="487"/>
    <x v="1809"/>
    <x v="312"/>
  </r>
  <r>
    <x v="34"/>
    <x v="94"/>
    <x v="4956"/>
    <x v="0"/>
    <x v="1"/>
    <x v="2073"/>
    <x v="663"/>
    <x v="1810"/>
    <x v="312"/>
  </r>
  <r>
    <x v="34"/>
    <x v="95"/>
    <x v="4957"/>
    <x v="1"/>
    <x v="0"/>
    <x v="2893"/>
    <x v="118"/>
    <x v="1811"/>
    <x v="312"/>
  </r>
  <r>
    <x v="34"/>
    <x v="96"/>
    <x v="4958"/>
    <x v="1"/>
    <x v="0"/>
    <x v="2449"/>
    <x v="664"/>
    <x v="1812"/>
    <x v="312"/>
  </r>
  <r>
    <x v="34"/>
    <x v="97"/>
    <x v="4959"/>
    <x v="0"/>
    <x v="0"/>
    <x v="2688"/>
    <x v="665"/>
    <x v="1813"/>
    <x v="312"/>
  </r>
  <r>
    <x v="34"/>
    <x v="98"/>
    <x v="4960"/>
    <x v="0"/>
    <x v="0"/>
    <x v="2894"/>
    <x v="580"/>
    <x v="1814"/>
    <x v="312"/>
  </r>
  <r>
    <x v="34"/>
    <x v="99"/>
    <x v="4961"/>
    <x v="1"/>
    <x v="1"/>
    <x v="2895"/>
    <x v="580"/>
    <x v="1815"/>
    <x v="312"/>
  </r>
  <r>
    <x v="34"/>
    <x v="100"/>
    <x v="4962"/>
    <x v="1"/>
    <x v="0"/>
    <x v="2896"/>
    <x v="666"/>
    <x v="1816"/>
    <x v="112"/>
  </r>
  <r>
    <x v="34"/>
    <x v="101"/>
    <x v="4963"/>
    <x v="1"/>
    <x v="0"/>
    <x v="2897"/>
    <x v="578"/>
    <x v="1817"/>
    <x v="112"/>
  </r>
  <r>
    <x v="34"/>
    <x v="102"/>
    <x v="4964"/>
    <x v="1"/>
    <x v="0"/>
    <x v="2898"/>
    <x v="80"/>
    <x v="1818"/>
    <x v="112"/>
  </r>
  <r>
    <x v="34"/>
    <x v="103"/>
    <x v="4965"/>
    <x v="1"/>
    <x v="0"/>
    <x v="2899"/>
    <x v="576"/>
    <x v="1819"/>
    <x v="112"/>
  </r>
  <r>
    <x v="34"/>
    <x v="104"/>
    <x v="4966"/>
    <x v="1"/>
    <x v="0"/>
    <x v="2900"/>
    <x v="134"/>
    <x v="1820"/>
    <x v="112"/>
  </r>
  <r>
    <x v="34"/>
    <x v="105"/>
    <x v="4967"/>
    <x v="1"/>
    <x v="1"/>
    <x v="2901"/>
    <x v="193"/>
    <x v="1821"/>
    <x v="112"/>
  </r>
  <r>
    <x v="34"/>
    <x v="106"/>
    <x v="4968"/>
    <x v="1"/>
    <x v="0"/>
    <x v="2902"/>
    <x v="667"/>
    <x v="1822"/>
    <x v="112"/>
  </r>
  <r>
    <x v="34"/>
    <x v="107"/>
    <x v="4969"/>
    <x v="1"/>
    <x v="0"/>
    <x v="2903"/>
    <x v="668"/>
    <x v="1823"/>
    <x v="112"/>
  </r>
  <r>
    <x v="34"/>
    <x v="108"/>
    <x v="4970"/>
    <x v="1"/>
    <x v="0"/>
    <x v="809"/>
    <x v="669"/>
    <x v="1824"/>
    <x v="112"/>
  </r>
  <r>
    <x v="34"/>
    <x v="109"/>
    <x v="4971"/>
    <x v="1"/>
    <x v="0"/>
    <x v="2904"/>
    <x v="670"/>
    <x v="1825"/>
    <x v="112"/>
  </r>
  <r>
    <x v="34"/>
    <x v="110"/>
    <x v="4972"/>
    <x v="1"/>
    <x v="0"/>
    <x v="2905"/>
    <x v="671"/>
    <x v="1826"/>
    <x v="112"/>
  </r>
  <r>
    <x v="34"/>
    <x v="111"/>
    <x v="4973"/>
    <x v="1"/>
    <x v="0"/>
    <x v="2906"/>
    <x v="672"/>
    <x v="1827"/>
    <x v="112"/>
  </r>
  <r>
    <x v="34"/>
    <x v="112"/>
    <x v="4974"/>
    <x v="1"/>
    <x v="0"/>
    <x v="2907"/>
    <x v="673"/>
    <x v="1828"/>
    <x v="112"/>
  </r>
  <r>
    <x v="34"/>
    <x v="113"/>
    <x v="4975"/>
    <x v="1"/>
    <x v="0"/>
    <x v="2908"/>
    <x v="674"/>
    <x v="1829"/>
    <x v="313"/>
  </r>
  <r>
    <x v="34"/>
    <x v="114"/>
    <x v="4976"/>
    <x v="1"/>
    <x v="0"/>
    <x v="2909"/>
    <x v="675"/>
    <x v="1830"/>
    <x v="313"/>
  </r>
  <r>
    <x v="34"/>
    <x v="115"/>
    <x v="4977"/>
    <x v="1"/>
    <x v="0"/>
    <x v="1610"/>
    <x v="676"/>
    <x v="1831"/>
    <x v="313"/>
  </r>
  <r>
    <x v="34"/>
    <x v="116"/>
    <x v="4978"/>
    <x v="1"/>
    <x v="0"/>
    <x v="46"/>
    <x v="677"/>
    <x v="1832"/>
    <x v="313"/>
  </r>
  <r>
    <x v="34"/>
    <x v="117"/>
    <x v="4979"/>
    <x v="1"/>
    <x v="0"/>
    <x v="1862"/>
    <x v="678"/>
    <x v="1833"/>
    <x v="313"/>
  </r>
  <r>
    <x v="34"/>
    <x v="118"/>
    <x v="4980"/>
    <x v="1"/>
    <x v="0"/>
    <x v="1226"/>
    <x v="679"/>
    <x v="1834"/>
    <x v="313"/>
  </r>
  <r>
    <x v="34"/>
    <x v="119"/>
    <x v="4981"/>
    <x v="1"/>
    <x v="0"/>
    <x v="2910"/>
    <x v="670"/>
    <x v="1835"/>
    <x v="313"/>
  </r>
  <r>
    <x v="34"/>
    <x v="120"/>
    <x v="4982"/>
    <x v="1"/>
    <x v="0"/>
    <x v="2911"/>
    <x v="424"/>
    <x v="1836"/>
    <x v="313"/>
  </r>
  <r>
    <x v="34"/>
    <x v="121"/>
    <x v="4983"/>
    <x v="1"/>
    <x v="0"/>
    <x v="1351"/>
    <x v="659"/>
    <x v="1837"/>
    <x v="313"/>
  </r>
  <r>
    <x v="34"/>
    <x v="122"/>
    <x v="4984"/>
    <x v="1"/>
    <x v="0"/>
    <x v="1461"/>
    <x v="604"/>
    <x v="1838"/>
    <x v="313"/>
  </r>
  <r>
    <x v="34"/>
    <x v="123"/>
    <x v="4985"/>
    <x v="1"/>
    <x v="0"/>
    <x v="1134"/>
    <x v="129"/>
    <x v="1839"/>
    <x v="313"/>
  </r>
  <r>
    <x v="34"/>
    <x v="124"/>
    <x v="4986"/>
    <x v="1"/>
    <x v="0"/>
    <x v="2912"/>
    <x v="680"/>
    <x v="1840"/>
    <x v="313"/>
  </r>
  <r>
    <x v="34"/>
    <x v="125"/>
    <x v="4987"/>
    <x v="1"/>
    <x v="0"/>
    <x v="2493"/>
    <x v="136"/>
    <x v="1841"/>
    <x v="313"/>
  </r>
  <r>
    <x v="34"/>
    <x v="126"/>
    <x v="4988"/>
    <x v="1"/>
    <x v="0"/>
    <x v="2913"/>
    <x v="681"/>
    <x v="1842"/>
    <x v="307"/>
  </r>
  <r>
    <x v="34"/>
    <x v="127"/>
    <x v="4989"/>
    <x v="1"/>
    <x v="0"/>
    <x v="2914"/>
    <x v="79"/>
    <x v="1843"/>
    <x v="307"/>
  </r>
  <r>
    <x v="34"/>
    <x v="128"/>
    <x v="4990"/>
    <x v="1"/>
    <x v="0"/>
    <x v="2915"/>
    <x v="576"/>
    <x v="1844"/>
    <x v="307"/>
  </r>
  <r>
    <x v="34"/>
    <x v="129"/>
    <x v="4991"/>
    <x v="1"/>
    <x v="0"/>
    <x v="1616"/>
    <x v="682"/>
    <x v="1845"/>
    <x v="307"/>
  </r>
  <r>
    <x v="34"/>
    <x v="130"/>
    <x v="4992"/>
    <x v="1"/>
    <x v="0"/>
    <x v="1686"/>
    <x v="683"/>
    <x v="1846"/>
    <x v="307"/>
  </r>
  <r>
    <x v="34"/>
    <x v="131"/>
    <x v="4993"/>
    <x v="1"/>
    <x v="0"/>
    <x v="1355"/>
    <x v="439"/>
    <x v="1847"/>
    <x v="307"/>
  </r>
  <r>
    <x v="34"/>
    <x v="132"/>
    <x v="4994"/>
    <x v="1"/>
    <x v="0"/>
    <x v="2289"/>
    <x v="62"/>
    <x v="1848"/>
    <x v="307"/>
  </r>
  <r>
    <x v="34"/>
    <x v="133"/>
    <x v="4995"/>
    <x v="1"/>
    <x v="0"/>
    <x v="2916"/>
    <x v="684"/>
    <x v="1849"/>
    <x v="307"/>
  </r>
  <r>
    <x v="34"/>
    <x v="134"/>
    <x v="4996"/>
    <x v="1"/>
    <x v="0"/>
    <x v="1403"/>
    <x v="685"/>
    <x v="1850"/>
    <x v="307"/>
  </r>
  <r>
    <x v="34"/>
    <x v="135"/>
    <x v="4997"/>
    <x v="1"/>
    <x v="1"/>
    <x v="83"/>
    <x v="686"/>
    <x v="1851"/>
    <x v="307"/>
  </r>
  <r>
    <x v="34"/>
    <x v="136"/>
    <x v="4998"/>
    <x v="1"/>
    <x v="0"/>
    <x v="998"/>
    <x v="687"/>
    <x v="1852"/>
    <x v="307"/>
  </r>
  <r>
    <x v="34"/>
    <x v="137"/>
    <x v="4999"/>
    <x v="1"/>
    <x v="0"/>
    <x v="2917"/>
    <x v="511"/>
    <x v="1853"/>
    <x v="307"/>
  </r>
  <r>
    <x v="34"/>
    <x v="138"/>
    <x v="5000"/>
    <x v="1"/>
    <x v="0"/>
    <x v="2918"/>
    <x v="688"/>
    <x v="1854"/>
    <x v="307"/>
  </r>
  <r>
    <x v="34"/>
    <x v="139"/>
    <x v="5001"/>
    <x v="1"/>
    <x v="0"/>
    <x v="2857"/>
    <x v="651"/>
    <x v="1855"/>
    <x v="314"/>
  </r>
  <r>
    <x v="34"/>
    <x v="140"/>
    <x v="5002"/>
    <x v="1"/>
    <x v="0"/>
    <x v="2919"/>
    <x v="689"/>
    <x v="1856"/>
    <x v="314"/>
  </r>
  <r>
    <x v="34"/>
    <x v="141"/>
    <x v="5003"/>
    <x v="1"/>
    <x v="0"/>
    <x v="2920"/>
    <x v="690"/>
    <x v="1857"/>
    <x v="314"/>
  </r>
  <r>
    <x v="34"/>
    <x v="142"/>
    <x v="5004"/>
    <x v="1"/>
    <x v="0"/>
    <x v="2921"/>
    <x v="441"/>
    <x v="1858"/>
    <x v="314"/>
  </r>
  <r>
    <x v="35"/>
    <x v="0"/>
    <x v="5005"/>
    <x v="1"/>
    <x v="0"/>
    <x v="2959"/>
    <x v="827"/>
    <x v="1859"/>
    <x v="315"/>
  </r>
  <r>
    <x v="35"/>
    <x v="1"/>
    <x v="5006"/>
    <x v="1"/>
    <x v="1"/>
    <x v="3167"/>
    <x v="828"/>
    <x v="1860"/>
    <x v="315"/>
  </r>
  <r>
    <x v="35"/>
    <x v="2"/>
    <x v="5007"/>
    <x v="1"/>
    <x v="0"/>
    <x v="1957"/>
    <x v="829"/>
    <x v="1861"/>
    <x v="315"/>
  </r>
  <r>
    <x v="35"/>
    <x v="3"/>
    <x v="5008"/>
    <x v="1"/>
    <x v="0"/>
    <x v="3168"/>
    <x v="830"/>
    <x v="1862"/>
    <x v="315"/>
  </r>
  <r>
    <x v="35"/>
    <x v="4"/>
    <x v="5009"/>
    <x v="1"/>
    <x v="0"/>
    <x v="3169"/>
    <x v="162"/>
    <x v="1863"/>
    <x v="315"/>
  </r>
  <r>
    <x v="35"/>
    <x v="5"/>
    <x v="5010"/>
    <x v="1"/>
    <x v="0"/>
    <x v="3170"/>
    <x v="29"/>
    <x v="1864"/>
    <x v="315"/>
  </r>
  <r>
    <x v="35"/>
    <x v="6"/>
    <x v="5011"/>
    <x v="1"/>
    <x v="0"/>
    <x v="3171"/>
    <x v="154"/>
    <x v="1865"/>
    <x v="315"/>
  </r>
  <r>
    <x v="35"/>
    <x v="7"/>
    <x v="5012"/>
    <x v="1"/>
    <x v="0"/>
    <x v="959"/>
    <x v="263"/>
    <x v="1866"/>
    <x v="315"/>
  </r>
  <r>
    <x v="35"/>
    <x v="8"/>
    <x v="5013"/>
    <x v="1"/>
    <x v="0"/>
    <x v="2131"/>
    <x v="42"/>
    <x v="1867"/>
    <x v="316"/>
  </r>
  <r>
    <x v="35"/>
    <x v="9"/>
    <x v="5014"/>
    <x v="1"/>
    <x v="0"/>
    <x v="3172"/>
    <x v="143"/>
    <x v="1868"/>
    <x v="316"/>
  </r>
  <r>
    <x v="35"/>
    <x v="10"/>
    <x v="5015"/>
    <x v="1"/>
    <x v="0"/>
    <x v="2214"/>
    <x v="831"/>
    <x v="1869"/>
    <x v="316"/>
  </r>
  <r>
    <x v="35"/>
    <x v="11"/>
    <x v="5016"/>
    <x v="1"/>
    <x v="0"/>
    <x v="3173"/>
    <x v="271"/>
    <x v="1870"/>
    <x v="316"/>
  </r>
  <r>
    <x v="35"/>
    <x v="12"/>
    <x v="5017"/>
    <x v="1"/>
    <x v="0"/>
    <x v="2057"/>
    <x v="36"/>
    <x v="1871"/>
    <x v="316"/>
  </r>
  <r>
    <x v="35"/>
    <x v="13"/>
    <x v="5018"/>
    <x v="1"/>
    <x v="0"/>
    <x v="1330"/>
    <x v="832"/>
    <x v="1872"/>
    <x v="316"/>
  </r>
  <r>
    <x v="35"/>
    <x v="14"/>
    <x v="5019"/>
    <x v="1"/>
    <x v="0"/>
    <x v="2375"/>
    <x v="148"/>
    <x v="1873"/>
    <x v="316"/>
  </r>
  <r>
    <x v="35"/>
    <x v="15"/>
    <x v="5020"/>
    <x v="1"/>
    <x v="0"/>
    <x v="3174"/>
    <x v="833"/>
    <x v="1874"/>
    <x v="316"/>
  </r>
  <r>
    <x v="35"/>
    <x v="16"/>
    <x v="5021"/>
    <x v="1"/>
    <x v="0"/>
    <x v="1038"/>
    <x v="37"/>
    <x v="1875"/>
    <x v="316"/>
  </r>
  <r>
    <x v="35"/>
    <x v="17"/>
    <x v="5022"/>
    <x v="1"/>
    <x v="0"/>
    <x v="3175"/>
    <x v="28"/>
    <x v="1876"/>
    <x v="316"/>
  </r>
  <r>
    <x v="35"/>
    <x v="18"/>
    <x v="5023"/>
    <x v="1"/>
    <x v="0"/>
    <x v="3176"/>
    <x v="834"/>
    <x v="1877"/>
    <x v="316"/>
  </r>
  <r>
    <x v="35"/>
    <x v="19"/>
    <x v="5024"/>
    <x v="1"/>
    <x v="0"/>
    <x v="3177"/>
    <x v="0"/>
    <x v="1878"/>
    <x v="316"/>
  </r>
  <r>
    <x v="35"/>
    <x v="20"/>
    <x v="5025"/>
    <x v="1"/>
    <x v="0"/>
    <x v="3178"/>
    <x v="835"/>
    <x v="1879"/>
    <x v="316"/>
  </r>
  <r>
    <x v="35"/>
    <x v="21"/>
    <x v="5026"/>
    <x v="1"/>
    <x v="0"/>
    <x v="482"/>
    <x v="836"/>
    <x v="1880"/>
    <x v="317"/>
  </r>
  <r>
    <x v="35"/>
    <x v="22"/>
    <x v="5027"/>
    <x v="1"/>
    <x v="0"/>
    <x v="3058"/>
    <x v="837"/>
    <x v="1881"/>
    <x v="317"/>
  </r>
  <r>
    <x v="35"/>
    <x v="23"/>
    <x v="5028"/>
    <x v="1"/>
    <x v="0"/>
    <x v="3179"/>
    <x v="3"/>
    <x v="1882"/>
    <x v="317"/>
  </r>
  <r>
    <x v="35"/>
    <x v="24"/>
    <x v="5029"/>
    <x v="1"/>
    <x v="0"/>
    <x v="3180"/>
    <x v="838"/>
    <x v="1883"/>
    <x v="317"/>
  </r>
  <r>
    <x v="35"/>
    <x v="25"/>
    <x v="5030"/>
    <x v="1"/>
    <x v="0"/>
    <x v="3181"/>
    <x v="839"/>
    <x v="1884"/>
    <x v="317"/>
  </r>
  <r>
    <x v="35"/>
    <x v="26"/>
    <x v="5031"/>
    <x v="1"/>
    <x v="0"/>
    <x v="3182"/>
    <x v="138"/>
    <x v="1885"/>
    <x v="317"/>
  </r>
  <r>
    <x v="35"/>
    <x v="27"/>
    <x v="5032"/>
    <x v="1"/>
    <x v="0"/>
    <x v="3008"/>
    <x v="840"/>
    <x v="1886"/>
    <x v="317"/>
  </r>
  <r>
    <x v="35"/>
    <x v="28"/>
    <x v="5033"/>
    <x v="1"/>
    <x v="0"/>
    <x v="3183"/>
    <x v="841"/>
    <x v="1887"/>
    <x v="317"/>
  </r>
  <r>
    <x v="35"/>
    <x v="29"/>
    <x v="5034"/>
    <x v="1"/>
    <x v="0"/>
    <x v="3184"/>
    <x v="842"/>
    <x v="1888"/>
    <x v="317"/>
  </r>
  <r>
    <x v="35"/>
    <x v="30"/>
    <x v="5035"/>
    <x v="1"/>
    <x v="0"/>
    <x v="2312"/>
    <x v="843"/>
    <x v="1889"/>
    <x v="317"/>
  </r>
  <r>
    <x v="35"/>
    <x v="31"/>
    <x v="5036"/>
    <x v="1"/>
    <x v="1"/>
    <x v="3185"/>
    <x v="844"/>
    <x v="1890"/>
    <x v="317"/>
  </r>
  <r>
    <x v="35"/>
    <x v="32"/>
    <x v="5037"/>
    <x v="1"/>
    <x v="0"/>
    <x v="299"/>
    <x v="249"/>
    <x v="1891"/>
    <x v="317"/>
  </r>
  <r>
    <x v="35"/>
    <x v="33"/>
    <x v="5038"/>
    <x v="1"/>
    <x v="0"/>
    <x v="3186"/>
    <x v="845"/>
    <x v="1892"/>
    <x v="317"/>
  </r>
  <r>
    <x v="35"/>
    <x v="34"/>
    <x v="5039"/>
    <x v="1"/>
    <x v="0"/>
    <x v="415"/>
    <x v="846"/>
    <x v="1893"/>
    <x v="318"/>
  </r>
  <r>
    <x v="35"/>
    <x v="35"/>
    <x v="5040"/>
    <x v="1"/>
    <x v="0"/>
    <x v="3187"/>
    <x v="847"/>
    <x v="1894"/>
    <x v="318"/>
  </r>
  <r>
    <x v="35"/>
    <x v="36"/>
    <x v="5041"/>
    <x v="1"/>
    <x v="0"/>
    <x v="2991"/>
    <x v="17"/>
    <x v="1895"/>
    <x v="318"/>
  </r>
  <r>
    <x v="35"/>
    <x v="37"/>
    <x v="5042"/>
    <x v="1"/>
    <x v="0"/>
    <x v="3188"/>
    <x v="159"/>
    <x v="1896"/>
    <x v="318"/>
  </r>
  <r>
    <x v="35"/>
    <x v="38"/>
    <x v="5043"/>
    <x v="1"/>
    <x v="0"/>
    <x v="3189"/>
    <x v="848"/>
    <x v="1897"/>
    <x v="318"/>
  </r>
  <r>
    <x v="35"/>
    <x v="39"/>
    <x v="5044"/>
    <x v="1"/>
    <x v="0"/>
    <x v="3190"/>
    <x v="849"/>
    <x v="1898"/>
    <x v="318"/>
  </r>
  <r>
    <x v="35"/>
    <x v="40"/>
    <x v="5045"/>
    <x v="1"/>
    <x v="0"/>
    <x v="3191"/>
    <x v="17"/>
    <x v="1899"/>
    <x v="318"/>
  </r>
  <r>
    <x v="35"/>
    <x v="41"/>
    <x v="5046"/>
    <x v="1"/>
    <x v="0"/>
    <x v="3192"/>
    <x v="168"/>
    <x v="1900"/>
    <x v="318"/>
  </r>
  <r>
    <x v="35"/>
    <x v="42"/>
    <x v="5047"/>
    <x v="1"/>
    <x v="1"/>
    <x v="430"/>
    <x v="36"/>
    <x v="1901"/>
    <x v="318"/>
  </r>
  <r>
    <x v="35"/>
    <x v="43"/>
    <x v="5048"/>
    <x v="1"/>
    <x v="0"/>
    <x v="1339"/>
    <x v="850"/>
    <x v="1902"/>
    <x v="318"/>
  </r>
  <r>
    <x v="35"/>
    <x v="44"/>
    <x v="5049"/>
    <x v="1"/>
    <x v="0"/>
    <x v="1679"/>
    <x v="851"/>
    <x v="1903"/>
    <x v="318"/>
  </r>
  <r>
    <x v="35"/>
    <x v="45"/>
    <x v="5050"/>
    <x v="1"/>
    <x v="0"/>
    <x v="3192"/>
    <x v="852"/>
    <x v="1904"/>
    <x v="318"/>
  </r>
  <r>
    <x v="35"/>
    <x v="46"/>
    <x v="5051"/>
    <x v="1"/>
    <x v="0"/>
    <x v="469"/>
    <x v="853"/>
    <x v="1905"/>
    <x v="318"/>
  </r>
  <r>
    <x v="35"/>
    <x v="47"/>
    <x v="5052"/>
    <x v="1"/>
    <x v="1"/>
    <x v="3193"/>
    <x v="478"/>
    <x v="1906"/>
    <x v="318"/>
  </r>
  <r>
    <x v="35"/>
    <x v="48"/>
    <x v="5053"/>
    <x v="1"/>
    <x v="0"/>
    <x v="102"/>
    <x v="704"/>
    <x v="1907"/>
    <x v="319"/>
  </r>
  <r>
    <x v="35"/>
    <x v="49"/>
    <x v="5054"/>
    <x v="1"/>
    <x v="0"/>
    <x v="3194"/>
    <x v="378"/>
    <x v="1908"/>
    <x v="319"/>
  </r>
  <r>
    <x v="35"/>
    <x v="50"/>
    <x v="5055"/>
    <x v="1"/>
    <x v="0"/>
    <x v="754"/>
    <x v="174"/>
    <x v="1909"/>
    <x v="319"/>
  </r>
  <r>
    <x v="35"/>
    <x v="51"/>
    <x v="5056"/>
    <x v="1"/>
    <x v="0"/>
    <x v="237"/>
    <x v="854"/>
    <x v="1910"/>
    <x v="319"/>
  </r>
  <r>
    <x v="35"/>
    <x v="52"/>
    <x v="5057"/>
    <x v="1"/>
    <x v="0"/>
    <x v="3195"/>
    <x v="174"/>
    <x v="1911"/>
    <x v="319"/>
  </r>
  <r>
    <x v="35"/>
    <x v="53"/>
    <x v="5058"/>
    <x v="1"/>
    <x v="1"/>
    <x v="3196"/>
    <x v="390"/>
    <x v="1912"/>
    <x v="319"/>
  </r>
  <r>
    <x v="35"/>
    <x v="54"/>
    <x v="5059"/>
    <x v="1"/>
    <x v="0"/>
    <x v="3197"/>
    <x v="176"/>
    <x v="1913"/>
    <x v="319"/>
  </r>
  <r>
    <x v="35"/>
    <x v="55"/>
    <x v="5060"/>
    <x v="1"/>
    <x v="0"/>
    <x v="430"/>
    <x v="855"/>
    <x v="1914"/>
    <x v="319"/>
  </r>
  <r>
    <x v="35"/>
    <x v="56"/>
    <x v="5061"/>
    <x v="1"/>
    <x v="0"/>
    <x v="1381"/>
    <x v="582"/>
    <x v="1915"/>
    <x v="319"/>
  </r>
  <r>
    <x v="35"/>
    <x v="57"/>
    <x v="5062"/>
    <x v="1"/>
    <x v="0"/>
    <x v="1187"/>
    <x v="856"/>
    <x v="1916"/>
    <x v="319"/>
  </r>
  <r>
    <x v="35"/>
    <x v="58"/>
    <x v="5063"/>
    <x v="1"/>
    <x v="0"/>
    <x v="3198"/>
    <x v="557"/>
    <x v="1917"/>
    <x v="319"/>
  </r>
  <r>
    <x v="35"/>
    <x v="59"/>
    <x v="5064"/>
    <x v="1"/>
    <x v="0"/>
    <x v="3199"/>
    <x v="57"/>
    <x v="1918"/>
    <x v="319"/>
  </r>
  <r>
    <x v="35"/>
    <x v="60"/>
    <x v="5065"/>
    <x v="1"/>
    <x v="0"/>
    <x v="1442"/>
    <x v="588"/>
    <x v="1919"/>
    <x v="320"/>
  </r>
  <r>
    <x v="35"/>
    <x v="61"/>
    <x v="5066"/>
    <x v="1"/>
    <x v="0"/>
    <x v="206"/>
    <x v="660"/>
    <x v="1920"/>
    <x v="320"/>
  </r>
  <r>
    <x v="35"/>
    <x v="62"/>
    <x v="5067"/>
    <x v="1"/>
    <x v="0"/>
    <x v="2098"/>
    <x v="298"/>
    <x v="1921"/>
    <x v="320"/>
  </r>
  <r>
    <x v="35"/>
    <x v="63"/>
    <x v="5068"/>
    <x v="1"/>
    <x v="0"/>
    <x v="2222"/>
    <x v="498"/>
    <x v="1922"/>
    <x v="320"/>
  </r>
  <r>
    <x v="35"/>
    <x v="64"/>
    <x v="5069"/>
    <x v="1"/>
    <x v="0"/>
    <x v="2388"/>
    <x v="340"/>
    <x v="1923"/>
    <x v="320"/>
  </r>
  <r>
    <x v="35"/>
    <x v="65"/>
    <x v="5070"/>
    <x v="1"/>
    <x v="0"/>
    <x v="2676"/>
    <x v="410"/>
    <x v="1924"/>
    <x v="320"/>
  </r>
  <r>
    <x v="35"/>
    <x v="66"/>
    <x v="5071"/>
    <x v="1"/>
    <x v="0"/>
    <x v="259"/>
    <x v="857"/>
    <x v="1925"/>
    <x v="320"/>
  </r>
  <r>
    <x v="35"/>
    <x v="67"/>
    <x v="5072"/>
    <x v="1"/>
    <x v="0"/>
    <x v="3200"/>
    <x v="858"/>
    <x v="1926"/>
    <x v="320"/>
  </r>
  <r>
    <x v="35"/>
    <x v="68"/>
    <x v="5073"/>
    <x v="1"/>
    <x v="0"/>
    <x v="3201"/>
    <x v="67"/>
    <x v="1927"/>
    <x v="320"/>
  </r>
  <r>
    <x v="35"/>
    <x v="69"/>
    <x v="5074"/>
    <x v="1"/>
    <x v="0"/>
    <x v="3202"/>
    <x v="859"/>
    <x v="1928"/>
    <x v="320"/>
  </r>
  <r>
    <x v="35"/>
    <x v="70"/>
    <x v="5075"/>
    <x v="1"/>
    <x v="0"/>
    <x v="1360"/>
    <x v="805"/>
    <x v="1929"/>
    <x v="320"/>
  </r>
  <r>
    <x v="35"/>
    <x v="71"/>
    <x v="5076"/>
    <x v="1"/>
    <x v="0"/>
    <x v="3179"/>
    <x v="506"/>
    <x v="1930"/>
    <x v="320"/>
  </r>
  <r>
    <x v="35"/>
    <x v="72"/>
    <x v="5077"/>
    <x v="1"/>
    <x v="0"/>
    <x v="3203"/>
    <x v="662"/>
    <x v="1931"/>
    <x v="320"/>
  </r>
  <r>
    <x v="35"/>
    <x v="73"/>
    <x v="5078"/>
    <x v="1"/>
    <x v="0"/>
    <x v="3204"/>
    <x v="860"/>
    <x v="1932"/>
    <x v="321"/>
  </r>
  <r>
    <x v="35"/>
    <x v="74"/>
    <x v="5079"/>
    <x v="1"/>
    <x v="0"/>
    <x v="2344"/>
    <x v="861"/>
    <x v="1933"/>
    <x v="321"/>
  </r>
  <r>
    <x v="35"/>
    <x v="75"/>
    <x v="5080"/>
    <x v="1"/>
    <x v="0"/>
    <x v="3205"/>
    <x v="202"/>
    <x v="1934"/>
    <x v="321"/>
  </r>
  <r>
    <x v="35"/>
    <x v="76"/>
    <x v="5081"/>
    <x v="1"/>
    <x v="0"/>
    <x v="3206"/>
    <x v="70"/>
    <x v="1935"/>
    <x v="321"/>
  </r>
  <r>
    <x v="35"/>
    <x v="77"/>
    <x v="5082"/>
    <x v="1"/>
    <x v="0"/>
    <x v="408"/>
    <x v="436"/>
    <x v="1936"/>
    <x v="321"/>
  </r>
  <r>
    <x v="35"/>
    <x v="78"/>
    <x v="5083"/>
    <x v="1"/>
    <x v="0"/>
    <x v="3207"/>
    <x v="862"/>
    <x v="1937"/>
    <x v="321"/>
  </r>
  <r>
    <x v="35"/>
    <x v="79"/>
    <x v="5084"/>
    <x v="1"/>
    <x v="0"/>
    <x v="3208"/>
    <x v="863"/>
    <x v="1938"/>
    <x v="321"/>
  </r>
  <r>
    <x v="35"/>
    <x v="80"/>
    <x v="5085"/>
    <x v="1"/>
    <x v="0"/>
    <x v="3209"/>
    <x v="864"/>
    <x v="1939"/>
    <x v="321"/>
  </r>
  <r>
    <x v="35"/>
    <x v="81"/>
    <x v="5086"/>
    <x v="1"/>
    <x v="0"/>
    <x v="3210"/>
    <x v="117"/>
    <x v="1940"/>
    <x v="321"/>
  </r>
  <r>
    <x v="35"/>
    <x v="82"/>
    <x v="5087"/>
    <x v="1"/>
    <x v="0"/>
    <x v="3211"/>
    <x v="865"/>
    <x v="1941"/>
    <x v="321"/>
  </r>
  <r>
    <x v="35"/>
    <x v="83"/>
    <x v="5088"/>
    <x v="1"/>
    <x v="1"/>
    <x v="3212"/>
    <x v="306"/>
    <x v="1942"/>
    <x v="321"/>
  </r>
  <r>
    <x v="35"/>
    <x v="84"/>
    <x v="5089"/>
    <x v="1"/>
    <x v="0"/>
    <x v="3213"/>
    <x v="58"/>
    <x v="1943"/>
    <x v="321"/>
  </r>
  <r>
    <x v="35"/>
    <x v="85"/>
    <x v="5090"/>
    <x v="1"/>
    <x v="0"/>
    <x v="3214"/>
    <x v="866"/>
    <x v="1944"/>
    <x v="321"/>
  </r>
  <r>
    <x v="35"/>
    <x v="86"/>
    <x v="5091"/>
    <x v="1"/>
    <x v="0"/>
    <x v="3215"/>
    <x v="867"/>
    <x v="1945"/>
    <x v="321"/>
  </r>
  <r>
    <x v="35"/>
    <x v="87"/>
    <x v="5092"/>
    <x v="1"/>
    <x v="0"/>
    <x v="3216"/>
    <x v="868"/>
    <x v="1946"/>
    <x v="322"/>
  </r>
  <r>
    <x v="35"/>
    <x v="88"/>
    <x v="5093"/>
    <x v="1"/>
    <x v="0"/>
    <x v="3217"/>
    <x v="869"/>
    <x v="1947"/>
    <x v="322"/>
  </r>
  <r>
    <x v="35"/>
    <x v="89"/>
    <x v="5094"/>
    <x v="1"/>
    <x v="0"/>
    <x v="3218"/>
    <x v="91"/>
    <x v="1948"/>
    <x v="322"/>
  </r>
  <r>
    <x v="35"/>
    <x v="90"/>
    <x v="5095"/>
    <x v="1"/>
    <x v="0"/>
    <x v="3219"/>
    <x v="870"/>
    <x v="1949"/>
    <x v="322"/>
  </r>
  <r>
    <x v="35"/>
    <x v="91"/>
    <x v="5096"/>
    <x v="1"/>
    <x v="0"/>
    <x v="1226"/>
    <x v="396"/>
    <x v="1950"/>
    <x v="322"/>
  </r>
  <r>
    <x v="35"/>
    <x v="92"/>
    <x v="5097"/>
    <x v="1"/>
    <x v="0"/>
    <x v="3220"/>
    <x v="871"/>
    <x v="1951"/>
    <x v="322"/>
  </r>
  <r>
    <x v="35"/>
    <x v="93"/>
    <x v="5098"/>
    <x v="1"/>
    <x v="0"/>
    <x v="3221"/>
    <x v="872"/>
    <x v="1952"/>
    <x v="322"/>
  </r>
  <r>
    <x v="35"/>
    <x v="94"/>
    <x v="5099"/>
    <x v="1"/>
    <x v="1"/>
    <x v="2258"/>
    <x v="873"/>
    <x v="1953"/>
    <x v="322"/>
  </r>
  <r>
    <x v="35"/>
    <x v="95"/>
    <x v="5100"/>
    <x v="1"/>
    <x v="0"/>
    <x v="1889"/>
    <x v="874"/>
    <x v="1954"/>
    <x v="322"/>
  </r>
  <r>
    <x v="35"/>
    <x v="96"/>
    <x v="5101"/>
    <x v="1"/>
    <x v="0"/>
    <x v="923"/>
    <x v="875"/>
    <x v="1955"/>
    <x v="322"/>
  </r>
  <r>
    <x v="35"/>
    <x v="97"/>
    <x v="5102"/>
    <x v="1"/>
    <x v="0"/>
    <x v="3222"/>
    <x v="876"/>
    <x v="1956"/>
    <x v="322"/>
  </r>
  <r>
    <x v="35"/>
    <x v="98"/>
    <x v="5103"/>
    <x v="1"/>
    <x v="0"/>
    <x v="3223"/>
    <x v="877"/>
    <x v="1957"/>
    <x v="322"/>
  </r>
  <r>
    <x v="35"/>
    <x v="99"/>
    <x v="5104"/>
    <x v="1"/>
    <x v="1"/>
    <x v="3224"/>
    <x v="782"/>
    <x v="1958"/>
    <x v="322"/>
  </r>
  <r>
    <x v="35"/>
    <x v="100"/>
    <x v="5105"/>
    <x v="1"/>
    <x v="0"/>
    <x v="3225"/>
    <x v="97"/>
    <x v="1959"/>
    <x v="323"/>
  </r>
  <r>
    <x v="35"/>
    <x v="101"/>
    <x v="5106"/>
    <x v="1"/>
    <x v="0"/>
    <x v="1927"/>
    <x v="871"/>
    <x v="1960"/>
    <x v="323"/>
  </r>
  <r>
    <x v="35"/>
    <x v="102"/>
    <x v="5107"/>
    <x v="1"/>
    <x v="0"/>
    <x v="2761"/>
    <x v="878"/>
    <x v="1961"/>
    <x v="323"/>
  </r>
  <r>
    <x v="35"/>
    <x v="103"/>
    <x v="5108"/>
    <x v="1"/>
    <x v="0"/>
    <x v="3226"/>
    <x v="879"/>
    <x v="1962"/>
    <x v="323"/>
  </r>
  <r>
    <x v="35"/>
    <x v="104"/>
    <x v="5109"/>
    <x v="1"/>
    <x v="0"/>
    <x v="751"/>
    <x v="880"/>
    <x v="1963"/>
    <x v="323"/>
  </r>
  <r>
    <x v="35"/>
    <x v="105"/>
    <x v="5110"/>
    <x v="1"/>
    <x v="1"/>
    <x v="3227"/>
    <x v="881"/>
    <x v="1964"/>
    <x v="323"/>
  </r>
  <r>
    <x v="35"/>
    <x v="106"/>
    <x v="5111"/>
    <x v="1"/>
    <x v="0"/>
    <x v="3228"/>
    <x v="882"/>
    <x v="1965"/>
    <x v="323"/>
  </r>
  <r>
    <x v="35"/>
    <x v="107"/>
    <x v="5112"/>
    <x v="1"/>
    <x v="0"/>
    <x v="3229"/>
    <x v="202"/>
    <x v="1966"/>
    <x v="323"/>
  </r>
  <r>
    <x v="35"/>
    <x v="108"/>
    <x v="5113"/>
    <x v="1"/>
    <x v="0"/>
    <x v="3230"/>
    <x v="223"/>
    <x v="1967"/>
    <x v="323"/>
  </r>
  <r>
    <x v="35"/>
    <x v="109"/>
    <x v="5114"/>
    <x v="1"/>
    <x v="0"/>
    <x v="178"/>
    <x v="682"/>
    <x v="1968"/>
    <x v="323"/>
  </r>
  <r>
    <x v="35"/>
    <x v="110"/>
    <x v="5115"/>
    <x v="1"/>
    <x v="0"/>
    <x v="3231"/>
    <x v="354"/>
    <x v="1969"/>
    <x v="323"/>
  </r>
  <r>
    <x v="35"/>
    <x v="111"/>
    <x v="5116"/>
    <x v="1"/>
    <x v="0"/>
    <x v="3232"/>
    <x v="110"/>
    <x v="1970"/>
    <x v="323"/>
  </r>
  <r>
    <x v="35"/>
    <x v="112"/>
    <x v="5117"/>
    <x v="1"/>
    <x v="0"/>
    <x v="3233"/>
    <x v="111"/>
    <x v="1971"/>
    <x v="323"/>
  </r>
  <r>
    <x v="35"/>
    <x v="113"/>
    <x v="5118"/>
    <x v="1"/>
    <x v="0"/>
    <x v="3234"/>
    <x v="883"/>
    <x v="1972"/>
    <x v="324"/>
  </r>
  <r>
    <x v="35"/>
    <x v="114"/>
    <x v="5119"/>
    <x v="1"/>
    <x v="0"/>
    <x v="3235"/>
    <x v="793"/>
    <x v="1973"/>
    <x v="324"/>
  </r>
  <r>
    <x v="35"/>
    <x v="115"/>
    <x v="5120"/>
    <x v="1"/>
    <x v="0"/>
    <x v="1619"/>
    <x v="501"/>
    <x v="1974"/>
    <x v="324"/>
  </r>
  <r>
    <x v="35"/>
    <x v="116"/>
    <x v="5121"/>
    <x v="1"/>
    <x v="0"/>
    <x v="3236"/>
    <x v="884"/>
    <x v="1975"/>
    <x v="324"/>
  </r>
  <r>
    <x v="35"/>
    <x v="117"/>
    <x v="5122"/>
    <x v="1"/>
    <x v="0"/>
    <x v="1615"/>
    <x v="885"/>
    <x v="1976"/>
    <x v="324"/>
  </r>
  <r>
    <x v="35"/>
    <x v="118"/>
    <x v="5123"/>
    <x v="1"/>
    <x v="0"/>
    <x v="3237"/>
    <x v="342"/>
    <x v="1977"/>
    <x v="324"/>
  </r>
  <r>
    <x v="35"/>
    <x v="119"/>
    <x v="5124"/>
    <x v="1"/>
    <x v="0"/>
    <x v="2162"/>
    <x v="886"/>
    <x v="1978"/>
    <x v="324"/>
  </r>
  <r>
    <x v="35"/>
    <x v="120"/>
    <x v="5125"/>
    <x v="1"/>
    <x v="0"/>
    <x v="1505"/>
    <x v="292"/>
    <x v="1979"/>
    <x v="324"/>
  </r>
  <r>
    <x v="35"/>
    <x v="121"/>
    <x v="5126"/>
    <x v="1"/>
    <x v="0"/>
    <x v="3238"/>
    <x v="576"/>
    <x v="1980"/>
    <x v="324"/>
  </r>
  <r>
    <x v="35"/>
    <x v="122"/>
    <x v="5127"/>
    <x v="1"/>
    <x v="0"/>
    <x v="3239"/>
    <x v="578"/>
    <x v="1981"/>
    <x v="324"/>
  </r>
  <r>
    <x v="35"/>
    <x v="123"/>
    <x v="5128"/>
    <x v="1"/>
    <x v="0"/>
    <x v="698"/>
    <x v="125"/>
    <x v="1982"/>
    <x v="324"/>
  </r>
  <r>
    <x v="35"/>
    <x v="124"/>
    <x v="5129"/>
    <x v="1"/>
    <x v="0"/>
    <x v="3240"/>
    <x v="887"/>
    <x v="1983"/>
    <x v="324"/>
  </r>
  <r>
    <x v="35"/>
    <x v="125"/>
    <x v="5130"/>
    <x v="1"/>
    <x v="0"/>
    <x v="3241"/>
    <x v="218"/>
    <x v="1984"/>
    <x v="324"/>
  </r>
  <r>
    <x v="35"/>
    <x v="126"/>
    <x v="5131"/>
    <x v="1"/>
    <x v="0"/>
    <x v="3215"/>
    <x v="288"/>
    <x v="1985"/>
    <x v="325"/>
  </r>
  <r>
    <x v="35"/>
    <x v="127"/>
    <x v="5132"/>
    <x v="1"/>
    <x v="0"/>
    <x v="3242"/>
    <x v="643"/>
    <x v="1986"/>
    <x v="325"/>
  </r>
  <r>
    <x v="35"/>
    <x v="128"/>
    <x v="5133"/>
    <x v="1"/>
    <x v="0"/>
    <x v="3243"/>
    <x v="715"/>
    <x v="1987"/>
    <x v="325"/>
  </r>
  <r>
    <x v="35"/>
    <x v="129"/>
    <x v="5134"/>
    <x v="1"/>
    <x v="0"/>
    <x v="3244"/>
    <x v="888"/>
    <x v="1988"/>
    <x v="325"/>
  </r>
  <r>
    <x v="35"/>
    <x v="130"/>
    <x v="5135"/>
    <x v="1"/>
    <x v="0"/>
    <x v="3245"/>
    <x v="889"/>
    <x v="1989"/>
    <x v="325"/>
  </r>
  <r>
    <x v="35"/>
    <x v="131"/>
    <x v="5136"/>
    <x v="1"/>
    <x v="0"/>
    <x v="344"/>
    <x v="890"/>
    <x v="1990"/>
    <x v="325"/>
  </r>
  <r>
    <x v="35"/>
    <x v="132"/>
    <x v="5137"/>
    <x v="1"/>
    <x v="0"/>
    <x v="3246"/>
    <x v="128"/>
    <x v="1991"/>
    <x v="325"/>
  </r>
  <r>
    <x v="35"/>
    <x v="133"/>
    <x v="5138"/>
    <x v="1"/>
    <x v="0"/>
    <x v="3247"/>
    <x v="569"/>
    <x v="1992"/>
    <x v="325"/>
  </r>
  <r>
    <x v="35"/>
    <x v="134"/>
    <x v="5139"/>
    <x v="1"/>
    <x v="0"/>
    <x v="272"/>
    <x v="863"/>
    <x v="1993"/>
    <x v="325"/>
  </r>
  <r>
    <x v="35"/>
    <x v="135"/>
    <x v="5140"/>
    <x v="1"/>
    <x v="1"/>
    <x v="3248"/>
    <x v="299"/>
    <x v="1994"/>
    <x v="325"/>
  </r>
  <r>
    <x v="35"/>
    <x v="136"/>
    <x v="5141"/>
    <x v="1"/>
    <x v="0"/>
    <x v="3249"/>
    <x v="488"/>
    <x v="1995"/>
    <x v="325"/>
  </r>
  <r>
    <x v="35"/>
    <x v="137"/>
    <x v="5142"/>
    <x v="1"/>
    <x v="0"/>
    <x v="2223"/>
    <x v="244"/>
    <x v="1996"/>
    <x v="325"/>
  </r>
  <r>
    <x v="35"/>
    <x v="138"/>
    <x v="5143"/>
    <x v="1"/>
    <x v="0"/>
    <x v="2378"/>
    <x v="436"/>
    <x v="1997"/>
    <x v="325"/>
  </r>
  <r>
    <x v="35"/>
    <x v="139"/>
    <x v="5144"/>
    <x v="1"/>
    <x v="0"/>
    <x v="1309"/>
    <x v="291"/>
    <x v="1998"/>
    <x v="326"/>
  </r>
  <r>
    <x v="35"/>
    <x v="140"/>
    <x v="5145"/>
    <x v="1"/>
    <x v="0"/>
    <x v="156"/>
    <x v="891"/>
    <x v="1999"/>
    <x v="326"/>
  </r>
  <r>
    <x v="35"/>
    <x v="141"/>
    <x v="5146"/>
    <x v="1"/>
    <x v="0"/>
    <x v="3250"/>
    <x v="195"/>
    <x v="2000"/>
    <x v="326"/>
  </r>
  <r>
    <x v="35"/>
    <x v="142"/>
    <x v="5147"/>
    <x v="1"/>
    <x v="0"/>
    <x v="3251"/>
    <x v="127"/>
    <x v="2001"/>
    <x v="326"/>
  </r>
  <r>
    <x v="36"/>
    <x v="0"/>
    <x v="5148"/>
    <x v="1"/>
    <x v="0"/>
    <x v="2959"/>
    <x v="0"/>
    <x v="1859"/>
    <x v="315"/>
  </r>
  <r>
    <x v="36"/>
    <x v="1"/>
    <x v="5149"/>
    <x v="1"/>
    <x v="1"/>
    <x v="3167"/>
    <x v="1"/>
    <x v="1860"/>
    <x v="315"/>
  </r>
  <r>
    <x v="36"/>
    <x v="2"/>
    <x v="5150"/>
    <x v="1"/>
    <x v="0"/>
    <x v="1957"/>
    <x v="2"/>
    <x v="1861"/>
    <x v="315"/>
  </r>
  <r>
    <x v="36"/>
    <x v="3"/>
    <x v="5151"/>
    <x v="1"/>
    <x v="0"/>
    <x v="3168"/>
    <x v="3"/>
    <x v="1862"/>
    <x v="315"/>
  </r>
  <r>
    <x v="36"/>
    <x v="4"/>
    <x v="5152"/>
    <x v="1"/>
    <x v="0"/>
    <x v="3169"/>
    <x v="4"/>
    <x v="1863"/>
    <x v="315"/>
  </r>
  <r>
    <x v="36"/>
    <x v="5"/>
    <x v="5153"/>
    <x v="1"/>
    <x v="0"/>
    <x v="3170"/>
    <x v="5"/>
    <x v="1864"/>
    <x v="315"/>
  </r>
  <r>
    <x v="36"/>
    <x v="6"/>
    <x v="5154"/>
    <x v="1"/>
    <x v="0"/>
    <x v="3171"/>
    <x v="6"/>
    <x v="1865"/>
    <x v="315"/>
  </r>
  <r>
    <x v="36"/>
    <x v="7"/>
    <x v="5155"/>
    <x v="1"/>
    <x v="0"/>
    <x v="959"/>
    <x v="7"/>
    <x v="1866"/>
    <x v="315"/>
  </r>
  <r>
    <x v="36"/>
    <x v="8"/>
    <x v="5156"/>
    <x v="1"/>
    <x v="0"/>
    <x v="2131"/>
    <x v="8"/>
    <x v="1867"/>
    <x v="316"/>
  </r>
  <r>
    <x v="36"/>
    <x v="9"/>
    <x v="5157"/>
    <x v="1"/>
    <x v="0"/>
    <x v="3172"/>
    <x v="9"/>
    <x v="1868"/>
    <x v="316"/>
  </r>
  <r>
    <x v="36"/>
    <x v="10"/>
    <x v="5158"/>
    <x v="1"/>
    <x v="0"/>
    <x v="2214"/>
    <x v="10"/>
    <x v="1869"/>
    <x v="316"/>
  </r>
  <r>
    <x v="36"/>
    <x v="11"/>
    <x v="5159"/>
    <x v="1"/>
    <x v="0"/>
    <x v="3173"/>
    <x v="11"/>
    <x v="1870"/>
    <x v="316"/>
  </r>
  <r>
    <x v="36"/>
    <x v="12"/>
    <x v="5160"/>
    <x v="1"/>
    <x v="0"/>
    <x v="2057"/>
    <x v="12"/>
    <x v="1871"/>
    <x v="316"/>
  </r>
  <r>
    <x v="36"/>
    <x v="13"/>
    <x v="5161"/>
    <x v="1"/>
    <x v="0"/>
    <x v="1330"/>
    <x v="13"/>
    <x v="1872"/>
    <x v="316"/>
  </r>
  <r>
    <x v="36"/>
    <x v="14"/>
    <x v="5162"/>
    <x v="1"/>
    <x v="0"/>
    <x v="2375"/>
    <x v="14"/>
    <x v="1873"/>
    <x v="316"/>
  </r>
  <r>
    <x v="36"/>
    <x v="15"/>
    <x v="5163"/>
    <x v="1"/>
    <x v="0"/>
    <x v="3174"/>
    <x v="15"/>
    <x v="1874"/>
    <x v="316"/>
  </r>
  <r>
    <x v="36"/>
    <x v="16"/>
    <x v="5164"/>
    <x v="1"/>
    <x v="0"/>
    <x v="1038"/>
    <x v="16"/>
    <x v="1875"/>
    <x v="316"/>
  </r>
  <r>
    <x v="36"/>
    <x v="17"/>
    <x v="5165"/>
    <x v="1"/>
    <x v="0"/>
    <x v="3175"/>
    <x v="17"/>
    <x v="1876"/>
    <x v="316"/>
  </r>
  <r>
    <x v="36"/>
    <x v="18"/>
    <x v="5166"/>
    <x v="1"/>
    <x v="0"/>
    <x v="3176"/>
    <x v="18"/>
    <x v="1877"/>
    <x v="316"/>
  </r>
  <r>
    <x v="36"/>
    <x v="19"/>
    <x v="5167"/>
    <x v="1"/>
    <x v="0"/>
    <x v="3177"/>
    <x v="19"/>
    <x v="1878"/>
    <x v="316"/>
  </r>
  <r>
    <x v="36"/>
    <x v="20"/>
    <x v="5168"/>
    <x v="1"/>
    <x v="0"/>
    <x v="3178"/>
    <x v="20"/>
    <x v="1879"/>
    <x v="316"/>
  </r>
  <r>
    <x v="36"/>
    <x v="21"/>
    <x v="5169"/>
    <x v="1"/>
    <x v="0"/>
    <x v="482"/>
    <x v="21"/>
    <x v="1880"/>
    <x v="317"/>
  </r>
  <r>
    <x v="36"/>
    <x v="22"/>
    <x v="5170"/>
    <x v="1"/>
    <x v="0"/>
    <x v="3058"/>
    <x v="22"/>
    <x v="1881"/>
    <x v="317"/>
  </r>
  <r>
    <x v="36"/>
    <x v="23"/>
    <x v="5171"/>
    <x v="1"/>
    <x v="0"/>
    <x v="3179"/>
    <x v="23"/>
    <x v="1882"/>
    <x v="317"/>
  </r>
  <r>
    <x v="36"/>
    <x v="24"/>
    <x v="5172"/>
    <x v="1"/>
    <x v="0"/>
    <x v="3180"/>
    <x v="24"/>
    <x v="1883"/>
    <x v="317"/>
  </r>
  <r>
    <x v="36"/>
    <x v="25"/>
    <x v="5173"/>
    <x v="1"/>
    <x v="0"/>
    <x v="3181"/>
    <x v="25"/>
    <x v="1884"/>
    <x v="317"/>
  </r>
  <r>
    <x v="36"/>
    <x v="26"/>
    <x v="5174"/>
    <x v="1"/>
    <x v="0"/>
    <x v="3182"/>
    <x v="26"/>
    <x v="1885"/>
    <x v="317"/>
  </r>
  <r>
    <x v="36"/>
    <x v="27"/>
    <x v="5175"/>
    <x v="1"/>
    <x v="0"/>
    <x v="3008"/>
    <x v="27"/>
    <x v="1886"/>
    <x v="317"/>
  </r>
  <r>
    <x v="36"/>
    <x v="28"/>
    <x v="5176"/>
    <x v="1"/>
    <x v="0"/>
    <x v="3183"/>
    <x v="28"/>
    <x v="1887"/>
    <x v="317"/>
  </r>
  <r>
    <x v="36"/>
    <x v="29"/>
    <x v="5177"/>
    <x v="1"/>
    <x v="0"/>
    <x v="3184"/>
    <x v="29"/>
    <x v="1888"/>
    <x v="317"/>
  </r>
  <r>
    <x v="36"/>
    <x v="30"/>
    <x v="5178"/>
    <x v="1"/>
    <x v="0"/>
    <x v="2312"/>
    <x v="30"/>
    <x v="1889"/>
    <x v="317"/>
  </r>
  <r>
    <x v="36"/>
    <x v="31"/>
    <x v="5179"/>
    <x v="1"/>
    <x v="1"/>
    <x v="3185"/>
    <x v="31"/>
    <x v="1890"/>
    <x v="317"/>
  </r>
  <r>
    <x v="36"/>
    <x v="32"/>
    <x v="5180"/>
    <x v="1"/>
    <x v="0"/>
    <x v="299"/>
    <x v="32"/>
    <x v="1891"/>
    <x v="317"/>
  </r>
  <r>
    <x v="36"/>
    <x v="33"/>
    <x v="5181"/>
    <x v="1"/>
    <x v="0"/>
    <x v="3186"/>
    <x v="33"/>
    <x v="1892"/>
    <x v="317"/>
  </r>
  <r>
    <x v="36"/>
    <x v="34"/>
    <x v="5182"/>
    <x v="1"/>
    <x v="0"/>
    <x v="415"/>
    <x v="34"/>
    <x v="1893"/>
    <x v="318"/>
  </r>
  <r>
    <x v="36"/>
    <x v="35"/>
    <x v="5183"/>
    <x v="1"/>
    <x v="0"/>
    <x v="3187"/>
    <x v="35"/>
    <x v="1894"/>
    <x v="318"/>
  </r>
  <r>
    <x v="36"/>
    <x v="36"/>
    <x v="5184"/>
    <x v="1"/>
    <x v="0"/>
    <x v="2991"/>
    <x v="6"/>
    <x v="1895"/>
    <x v="318"/>
  </r>
  <r>
    <x v="36"/>
    <x v="37"/>
    <x v="5185"/>
    <x v="1"/>
    <x v="0"/>
    <x v="3188"/>
    <x v="36"/>
    <x v="1896"/>
    <x v="318"/>
  </r>
  <r>
    <x v="36"/>
    <x v="38"/>
    <x v="5186"/>
    <x v="1"/>
    <x v="0"/>
    <x v="3189"/>
    <x v="37"/>
    <x v="1897"/>
    <x v="318"/>
  </r>
  <r>
    <x v="36"/>
    <x v="39"/>
    <x v="5187"/>
    <x v="1"/>
    <x v="0"/>
    <x v="3190"/>
    <x v="38"/>
    <x v="1898"/>
    <x v="318"/>
  </r>
  <r>
    <x v="36"/>
    <x v="40"/>
    <x v="5188"/>
    <x v="1"/>
    <x v="0"/>
    <x v="3191"/>
    <x v="39"/>
    <x v="1899"/>
    <x v="318"/>
  </r>
  <r>
    <x v="36"/>
    <x v="41"/>
    <x v="5189"/>
    <x v="1"/>
    <x v="0"/>
    <x v="3192"/>
    <x v="40"/>
    <x v="1900"/>
    <x v="318"/>
  </r>
  <r>
    <x v="36"/>
    <x v="42"/>
    <x v="5190"/>
    <x v="1"/>
    <x v="1"/>
    <x v="430"/>
    <x v="41"/>
    <x v="1901"/>
    <x v="318"/>
  </r>
  <r>
    <x v="36"/>
    <x v="43"/>
    <x v="5191"/>
    <x v="1"/>
    <x v="0"/>
    <x v="1339"/>
    <x v="42"/>
    <x v="1902"/>
    <x v="318"/>
  </r>
  <r>
    <x v="36"/>
    <x v="44"/>
    <x v="5192"/>
    <x v="1"/>
    <x v="0"/>
    <x v="1679"/>
    <x v="43"/>
    <x v="1903"/>
    <x v="318"/>
  </r>
  <r>
    <x v="36"/>
    <x v="45"/>
    <x v="5193"/>
    <x v="1"/>
    <x v="0"/>
    <x v="3192"/>
    <x v="44"/>
    <x v="1904"/>
    <x v="318"/>
  </r>
  <r>
    <x v="36"/>
    <x v="46"/>
    <x v="5194"/>
    <x v="1"/>
    <x v="0"/>
    <x v="469"/>
    <x v="45"/>
    <x v="1905"/>
    <x v="318"/>
  </r>
  <r>
    <x v="36"/>
    <x v="47"/>
    <x v="5195"/>
    <x v="1"/>
    <x v="1"/>
    <x v="3193"/>
    <x v="46"/>
    <x v="1906"/>
    <x v="318"/>
  </r>
  <r>
    <x v="36"/>
    <x v="48"/>
    <x v="5196"/>
    <x v="1"/>
    <x v="0"/>
    <x v="102"/>
    <x v="47"/>
    <x v="1907"/>
    <x v="319"/>
  </r>
  <r>
    <x v="36"/>
    <x v="49"/>
    <x v="5197"/>
    <x v="1"/>
    <x v="0"/>
    <x v="3194"/>
    <x v="48"/>
    <x v="1908"/>
    <x v="319"/>
  </r>
  <r>
    <x v="36"/>
    <x v="50"/>
    <x v="5198"/>
    <x v="1"/>
    <x v="0"/>
    <x v="754"/>
    <x v="49"/>
    <x v="1909"/>
    <x v="319"/>
  </r>
  <r>
    <x v="36"/>
    <x v="51"/>
    <x v="5199"/>
    <x v="1"/>
    <x v="0"/>
    <x v="237"/>
    <x v="50"/>
    <x v="1910"/>
    <x v="319"/>
  </r>
  <r>
    <x v="36"/>
    <x v="52"/>
    <x v="5200"/>
    <x v="1"/>
    <x v="0"/>
    <x v="3195"/>
    <x v="51"/>
    <x v="1911"/>
    <x v="319"/>
  </r>
  <r>
    <x v="36"/>
    <x v="53"/>
    <x v="5201"/>
    <x v="1"/>
    <x v="1"/>
    <x v="3196"/>
    <x v="52"/>
    <x v="1912"/>
    <x v="319"/>
  </r>
  <r>
    <x v="36"/>
    <x v="54"/>
    <x v="5202"/>
    <x v="1"/>
    <x v="0"/>
    <x v="3197"/>
    <x v="53"/>
    <x v="1913"/>
    <x v="319"/>
  </r>
  <r>
    <x v="36"/>
    <x v="55"/>
    <x v="5203"/>
    <x v="1"/>
    <x v="0"/>
    <x v="430"/>
    <x v="54"/>
    <x v="1914"/>
    <x v="319"/>
  </r>
  <r>
    <x v="36"/>
    <x v="56"/>
    <x v="5204"/>
    <x v="1"/>
    <x v="0"/>
    <x v="1381"/>
    <x v="55"/>
    <x v="1915"/>
    <x v="319"/>
  </r>
  <r>
    <x v="36"/>
    <x v="57"/>
    <x v="5205"/>
    <x v="1"/>
    <x v="0"/>
    <x v="1187"/>
    <x v="56"/>
    <x v="1916"/>
    <x v="319"/>
  </r>
  <r>
    <x v="36"/>
    <x v="58"/>
    <x v="5206"/>
    <x v="1"/>
    <x v="0"/>
    <x v="3198"/>
    <x v="57"/>
    <x v="1917"/>
    <x v="319"/>
  </r>
  <r>
    <x v="36"/>
    <x v="59"/>
    <x v="5207"/>
    <x v="1"/>
    <x v="0"/>
    <x v="3199"/>
    <x v="58"/>
    <x v="1918"/>
    <x v="319"/>
  </r>
  <r>
    <x v="36"/>
    <x v="60"/>
    <x v="5208"/>
    <x v="1"/>
    <x v="0"/>
    <x v="1442"/>
    <x v="59"/>
    <x v="1919"/>
    <x v="320"/>
  </r>
  <r>
    <x v="36"/>
    <x v="61"/>
    <x v="5209"/>
    <x v="1"/>
    <x v="0"/>
    <x v="206"/>
    <x v="60"/>
    <x v="1920"/>
    <x v="320"/>
  </r>
  <r>
    <x v="36"/>
    <x v="62"/>
    <x v="5210"/>
    <x v="1"/>
    <x v="0"/>
    <x v="2098"/>
    <x v="61"/>
    <x v="1921"/>
    <x v="320"/>
  </r>
  <r>
    <x v="36"/>
    <x v="63"/>
    <x v="5211"/>
    <x v="1"/>
    <x v="0"/>
    <x v="2222"/>
    <x v="62"/>
    <x v="1922"/>
    <x v="320"/>
  </r>
  <r>
    <x v="36"/>
    <x v="64"/>
    <x v="5212"/>
    <x v="1"/>
    <x v="0"/>
    <x v="2388"/>
    <x v="63"/>
    <x v="1923"/>
    <x v="320"/>
  </r>
  <r>
    <x v="36"/>
    <x v="65"/>
    <x v="5213"/>
    <x v="1"/>
    <x v="0"/>
    <x v="2676"/>
    <x v="64"/>
    <x v="1924"/>
    <x v="320"/>
  </r>
  <r>
    <x v="36"/>
    <x v="66"/>
    <x v="5214"/>
    <x v="1"/>
    <x v="0"/>
    <x v="259"/>
    <x v="65"/>
    <x v="1925"/>
    <x v="320"/>
  </r>
  <r>
    <x v="36"/>
    <x v="67"/>
    <x v="5215"/>
    <x v="1"/>
    <x v="0"/>
    <x v="3200"/>
    <x v="66"/>
    <x v="1926"/>
    <x v="320"/>
  </r>
  <r>
    <x v="36"/>
    <x v="68"/>
    <x v="5216"/>
    <x v="1"/>
    <x v="0"/>
    <x v="3201"/>
    <x v="67"/>
    <x v="1927"/>
    <x v="320"/>
  </r>
  <r>
    <x v="36"/>
    <x v="69"/>
    <x v="5217"/>
    <x v="1"/>
    <x v="0"/>
    <x v="3202"/>
    <x v="68"/>
    <x v="1928"/>
    <x v="320"/>
  </r>
  <r>
    <x v="36"/>
    <x v="70"/>
    <x v="5218"/>
    <x v="1"/>
    <x v="0"/>
    <x v="1360"/>
    <x v="69"/>
    <x v="1929"/>
    <x v="320"/>
  </r>
  <r>
    <x v="36"/>
    <x v="71"/>
    <x v="5219"/>
    <x v="1"/>
    <x v="0"/>
    <x v="3179"/>
    <x v="70"/>
    <x v="1930"/>
    <x v="320"/>
  </r>
  <r>
    <x v="36"/>
    <x v="72"/>
    <x v="5220"/>
    <x v="1"/>
    <x v="0"/>
    <x v="3203"/>
    <x v="71"/>
    <x v="1931"/>
    <x v="320"/>
  </r>
  <r>
    <x v="36"/>
    <x v="73"/>
    <x v="5221"/>
    <x v="1"/>
    <x v="0"/>
    <x v="3204"/>
    <x v="59"/>
    <x v="1932"/>
    <x v="321"/>
  </r>
  <r>
    <x v="36"/>
    <x v="74"/>
    <x v="5222"/>
    <x v="1"/>
    <x v="0"/>
    <x v="2344"/>
    <x v="72"/>
    <x v="1933"/>
    <x v="321"/>
  </r>
  <r>
    <x v="36"/>
    <x v="75"/>
    <x v="5223"/>
    <x v="1"/>
    <x v="0"/>
    <x v="3205"/>
    <x v="73"/>
    <x v="1934"/>
    <x v="321"/>
  </r>
  <r>
    <x v="36"/>
    <x v="76"/>
    <x v="5224"/>
    <x v="1"/>
    <x v="0"/>
    <x v="3206"/>
    <x v="74"/>
    <x v="1935"/>
    <x v="321"/>
  </r>
  <r>
    <x v="36"/>
    <x v="77"/>
    <x v="5225"/>
    <x v="1"/>
    <x v="0"/>
    <x v="408"/>
    <x v="75"/>
    <x v="1936"/>
    <x v="321"/>
  </r>
  <r>
    <x v="36"/>
    <x v="78"/>
    <x v="5226"/>
    <x v="1"/>
    <x v="0"/>
    <x v="3207"/>
    <x v="76"/>
    <x v="1937"/>
    <x v="321"/>
  </r>
  <r>
    <x v="36"/>
    <x v="79"/>
    <x v="5227"/>
    <x v="1"/>
    <x v="0"/>
    <x v="3208"/>
    <x v="77"/>
    <x v="1938"/>
    <x v="321"/>
  </r>
  <r>
    <x v="36"/>
    <x v="80"/>
    <x v="5228"/>
    <x v="1"/>
    <x v="0"/>
    <x v="3209"/>
    <x v="78"/>
    <x v="1939"/>
    <x v="321"/>
  </r>
  <r>
    <x v="36"/>
    <x v="81"/>
    <x v="5229"/>
    <x v="1"/>
    <x v="0"/>
    <x v="3210"/>
    <x v="79"/>
    <x v="1940"/>
    <x v="321"/>
  </r>
  <r>
    <x v="36"/>
    <x v="82"/>
    <x v="5230"/>
    <x v="1"/>
    <x v="0"/>
    <x v="3211"/>
    <x v="80"/>
    <x v="1941"/>
    <x v="321"/>
  </r>
  <r>
    <x v="36"/>
    <x v="83"/>
    <x v="5231"/>
    <x v="1"/>
    <x v="1"/>
    <x v="3212"/>
    <x v="81"/>
    <x v="1942"/>
    <x v="321"/>
  </r>
  <r>
    <x v="36"/>
    <x v="84"/>
    <x v="5232"/>
    <x v="1"/>
    <x v="0"/>
    <x v="3213"/>
    <x v="82"/>
    <x v="1943"/>
    <x v="321"/>
  </r>
  <r>
    <x v="36"/>
    <x v="85"/>
    <x v="5233"/>
    <x v="1"/>
    <x v="0"/>
    <x v="3214"/>
    <x v="83"/>
    <x v="1944"/>
    <x v="321"/>
  </r>
  <r>
    <x v="36"/>
    <x v="86"/>
    <x v="5234"/>
    <x v="1"/>
    <x v="0"/>
    <x v="3215"/>
    <x v="84"/>
    <x v="1945"/>
    <x v="321"/>
  </r>
  <r>
    <x v="36"/>
    <x v="87"/>
    <x v="5235"/>
    <x v="1"/>
    <x v="0"/>
    <x v="3216"/>
    <x v="85"/>
    <x v="1946"/>
    <x v="322"/>
  </r>
  <r>
    <x v="36"/>
    <x v="88"/>
    <x v="5236"/>
    <x v="1"/>
    <x v="0"/>
    <x v="3217"/>
    <x v="86"/>
    <x v="1947"/>
    <x v="322"/>
  </r>
  <r>
    <x v="36"/>
    <x v="89"/>
    <x v="5237"/>
    <x v="1"/>
    <x v="0"/>
    <x v="3218"/>
    <x v="87"/>
    <x v="1948"/>
    <x v="322"/>
  </r>
  <r>
    <x v="36"/>
    <x v="90"/>
    <x v="5238"/>
    <x v="1"/>
    <x v="0"/>
    <x v="3219"/>
    <x v="88"/>
    <x v="1949"/>
    <x v="322"/>
  </r>
  <r>
    <x v="36"/>
    <x v="91"/>
    <x v="5239"/>
    <x v="1"/>
    <x v="0"/>
    <x v="1226"/>
    <x v="89"/>
    <x v="1950"/>
    <x v="322"/>
  </r>
  <r>
    <x v="36"/>
    <x v="92"/>
    <x v="5240"/>
    <x v="1"/>
    <x v="0"/>
    <x v="3220"/>
    <x v="90"/>
    <x v="1951"/>
    <x v="322"/>
  </r>
  <r>
    <x v="36"/>
    <x v="93"/>
    <x v="5241"/>
    <x v="1"/>
    <x v="0"/>
    <x v="3221"/>
    <x v="91"/>
    <x v="1952"/>
    <x v="322"/>
  </r>
  <r>
    <x v="36"/>
    <x v="94"/>
    <x v="5242"/>
    <x v="1"/>
    <x v="1"/>
    <x v="2258"/>
    <x v="92"/>
    <x v="1953"/>
    <x v="322"/>
  </r>
  <r>
    <x v="36"/>
    <x v="95"/>
    <x v="5243"/>
    <x v="1"/>
    <x v="0"/>
    <x v="1889"/>
    <x v="93"/>
    <x v="1954"/>
    <x v="322"/>
  </r>
  <r>
    <x v="36"/>
    <x v="96"/>
    <x v="5244"/>
    <x v="1"/>
    <x v="0"/>
    <x v="923"/>
    <x v="94"/>
    <x v="1955"/>
    <x v="322"/>
  </r>
  <r>
    <x v="36"/>
    <x v="97"/>
    <x v="5245"/>
    <x v="1"/>
    <x v="0"/>
    <x v="3222"/>
    <x v="95"/>
    <x v="1956"/>
    <x v="322"/>
  </r>
  <r>
    <x v="36"/>
    <x v="98"/>
    <x v="5246"/>
    <x v="1"/>
    <x v="0"/>
    <x v="3223"/>
    <x v="96"/>
    <x v="1957"/>
    <x v="322"/>
  </r>
  <r>
    <x v="36"/>
    <x v="99"/>
    <x v="5247"/>
    <x v="1"/>
    <x v="1"/>
    <x v="3224"/>
    <x v="97"/>
    <x v="1958"/>
    <x v="322"/>
  </r>
  <r>
    <x v="36"/>
    <x v="100"/>
    <x v="5248"/>
    <x v="1"/>
    <x v="0"/>
    <x v="3225"/>
    <x v="98"/>
    <x v="1959"/>
    <x v="323"/>
  </r>
  <r>
    <x v="36"/>
    <x v="101"/>
    <x v="5249"/>
    <x v="1"/>
    <x v="0"/>
    <x v="1927"/>
    <x v="99"/>
    <x v="1960"/>
    <x v="323"/>
  </r>
  <r>
    <x v="36"/>
    <x v="102"/>
    <x v="5250"/>
    <x v="1"/>
    <x v="0"/>
    <x v="2761"/>
    <x v="100"/>
    <x v="1961"/>
    <x v="323"/>
  </r>
  <r>
    <x v="36"/>
    <x v="103"/>
    <x v="5251"/>
    <x v="1"/>
    <x v="0"/>
    <x v="3226"/>
    <x v="101"/>
    <x v="1962"/>
    <x v="323"/>
  </r>
  <r>
    <x v="36"/>
    <x v="104"/>
    <x v="5252"/>
    <x v="1"/>
    <x v="0"/>
    <x v="751"/>
    <x v="102"/>
    <x v="1963"/>
    <x v="323"/>
  </r>
  <r>
    <x v="36"/>
    <x v="105"/>
    <x v="5253"/>
    <x v="1"/>
    <x v="1"/>
    <x v="3227"/>
    <x v="103"/>
    <x v="1964"/>
    <x v="323"/>
  </r>
  <r>
    <x v="36"/>
    <x v="106"/>
    <x v="5254"/>
    <x v="1"/>
    <x v="0"/>
    <x v="3228"/>
    <x v="104"/>
    <x v="1965"/>
    <x v="323"/>
  </r>
  <r>
    <x v="36"/>
    <x v="107"/>
    <x v="5255"/>
    <x v="1"/>
    <x v="0"/>
    <x v="3229"/>
    <x v="105"/>
    <x v="1966"/>
    <x v="323"/>
  </r>
  <r>
    <x v="36"/>
    <x v="108"/>
    <x v="5256"/>
    <x v="1"/>
    <x v="0"/>
    <x v="3230"/>
    <x v="106"/>
    <x v="1967"/>
    <x v="323"/>
  </r>
  <r>
    <x v="36"/>
    <x v="109"/>
    <x v="5257"/>
    <x v="1"/>
    <x v="0"/>
    <x v="178"/>
    <x v="107"/>
    <x v="1968"/>
    <x v="323"/>
  </r>
  <r>
    <x v="36"/>
    <x v="110"/>
    <x v="5258"/>
    <x v="1"/>
    <x v="0"/>
    <x v="3231"/>
    <x v="108"/>
    <x v="1969"/>
    <x v="323"/>
  </r>
  <r>
    <x v="36"/>
    <x v="111"/>
    <x v="5259"/>
    <x v="1"/>
    <x v="0"/>
    <x v="3232"/>
    <x v="109"/>
    <x v="1970"/>
    <x v="323"/>
  </r>
  <r>
    <x v="36"/>
    <x v="112"/>
    <x v="5260"/>
    <x v="1"/>
    <x v="0"/>
    <x v="3233"/>
    <x v="110"/>
    <x v="1971"/>
    <x v="323"/>
  </r>
  <r>
    <x v="36"/>
    <x v="113"/>
    <x v="5261"/>
    <x v="1"/>
    <x v="0"/>
    <x v="3234"/>
    <x v="111"/>
    <x v="1972"/>
    <x v="324"/>
  </r>
  <r>
    <x v="36"/>
    <x v="114"/>
    <x v="5262"/>
    <x v="1"/>
    <x v="0"/>
    <x v="3235"/>
    <x v="111"/>
    <x v="1973"/>
    <x v="324"/>
  </r>
  <r>
    <x v="36"/>
    <x v="115"/>
    <x v="5263"/>
    <x v="1"/>
    <x v="0"/>
    <x v="1619"/>
    <x v="112"/>
    <x v="1974"/>
    <x v="324"/>
  </r>
  <r>
    <x v="36"/>
    <x v="116"/>
    <x v="5264"/>
    <x v="1"/>
    <x v="0"/>
    <x v="3236"/>
    <x v="113"/>
    <x v="1975"/>
    <x v="324"/>
  </r>
  <r>
    <x v="36"/>
    <x v="117"/>
    <x v="5265"/>
    <x v="1"/>
    <x v="0"/>
    <x v="1615"/>
    <x v="114"/>
    <x v="1976"/>
    <x v="324"/>
  </r>
  <r>
    <x v="36"/>
    <x v="118"/>
    <x v="5266"/>
    <x v="1"/>
    <x v="0"/>
    <x v="3237"/>
    <x v="115"/>
    <x v="1977"/>
    <x v="324"/>
  </r>
  <r>
    <x v="36"/>
    <x v="119"/>
    <x v="5267"/>
    <x v="1"/>
    <x v="0"/>
    <x v="2162"/>
    <x v="106"/>
    <x v="1978"/>
    <x v="324"/>
  </r>
  <r>
    <x v="36"/>
    <x v="120"/>
    <x v="5268"/>
    <x v="1"/>
    <x v="0"/>
    <x v="1505"/>
    <x v="116"/>
    <x v="1979"/>
    <x v="324"/>
  </r>
  <r>
    <x v="36"/>
    <x v="121"/>
    <x v="5269"/>
    <x v="1"/>
    <x v="0"/>
    <x v="3238"/>
    <x v="117"/>
    <x v="1980"/>
    <x v="324"/>
  </r>
  <r>
    <x v="36"/>
    <x v="122"/>
    <x v="5270"/>
    <x v="1"/>
    <x v="0"/>
    <x v="3239"/>
    <x v="118"/>
    <x v="1981"/>
    <x v="324"/>
  </r>
  <r>
    <x v="36"/>
    <x v="123"/>
    <x v="5271"/>
    <x v="1"/>
    <x v="0"/>
    <x v="698"/>
    <x v="119"/>
    <x v="1982"/>
    <x v="324"/>
  </r>
  <r>
    <x v="36"/>
    <x v="124"/>
    <x v="5272"/>
    <x v="1"/>
    <x v="0"/>
    <x v="3240"/>
    <x v="120"/>
    <x v="1983"/>
    <x v="324"/>
  </r>
  <r>
    <x v="36"/>
    <x v="125"/>
    <x v="5273"/>
    <x v="1"/>
    <x v="0"/>
    <x v="3241"/>
    <x v="121"/>
    <x v="1984"/>
    <x v="324"/>
  </r>
  <r>
    <x v="36"/>
    <x v="126"/>
    <x v="5274"/>
    <x v="1"/>
    <x v="0"/>
    <x v="3215"/>
    <x v="122"/>
    <x v="1985"/>
    <x v="325"/>
  </r>
  <r>
    <x v="36"/>
    <x v="127"/>
    <x v="5275"/>
    <x v="1"/>
    <x v="0"/>
    <x v="3242"/>
    <x v="123"/>
    <x v="1986"/>
    <x v="325"/>
  </r>
  <r>
    <x v="36"/>
    <x v="128"/>
    <x v="5276"/>
    <x v="1"/>
    <x v="0"/>
    <x v="3243"/>
    <x v="124"/>
    <x v="1987"/>
    <x v="325"/>
  </r>
  <r>
    <x v="36"/>
    <x v="129"/>
    <x v="5277"/>
    <x v="1"/>
    <x v="0"/>
    <x v="3244"/>
    <x v="125"/>
    <x v="1988"/>
    <x v="325"/>
  </r>
  <r>
    <x v="36"/>
    <x v="130"/>
    <x v="5278"/>
    <x v="1"/>
    <x v="0"/>
    <x v="3245"/>
    <x v="126"/>
    <x v="1989"/>
    <x v="325"/>
  </r>
  <r>
    <x v="36"/>
    <x v="131"/>
    <x v="5279"/>
    <x v="1"/>
    <x v="0"/>
    <x v="344"/>
    <x v="127"/>
    <x v="1990"/>
    <x v="325"/>
  </r>
  <r>
    <x v="36"/>
    <x v="132"/>
    <x v="5280"/>
    <x v="1"/>
    <x v="0"/>
    <x v="3246"/>
    <x v="128"/>
    <x v="1991"/>
    <x v="325"/>
  </r>
  <r>
    <x v="36"/>
    <x v="133"/>
    <x v="5281"/>
    <x v="1"/>
    <x v="0"/>
    <x v="3247"/>
    <x v="129"/>
    <x v="1992"/>
    <x v="325"/>
  </r>
  <r>
    <x v="36"/>
    <x v="134"/>
    <x v="5282"/>
    <x v="1"/>
    <x v="0"/>
    <x v="272"/>
    <x v="77"/>
    <x v="1993"/>
    <x v="325"/>
  </r>
  <r>
    <x v="36"/>
    <x v="135"/>
    <x v="5283"/>
    <x v="1"/>
    <x v="1"/>
    <x v="3248"/>
    <x v="130"/>
    <x v="1994"/>
    <x v="325"/>
  </r>
  <r>
    <x v="36"/>
    <x v="136"/>
    <x v="5284"/>
    <x v="1"/>
    <x v="0"/>
    <x v="3249"/>
    <x v="131"/>
    <x v="1995"/>
    <x v="325"/>
  </r>
  <r>
    <x v="36"/>
    <x v="137"/>
    <x v="5285"/>
    <x v="1"/>
    <x v="0"/>
    <x v="2223"/>
    <x v="132"/>
    <x v="1996"/>
    <x v="325"/>
  </r>
  <r>
    <x v="36"/>
    <x v="138"/>
    <x v="5286"/>
    <x v="1"/>
    <x v="0"/>
    <x v="2378"/>
    <x v="133"/>
    <x v="1997"/>
    <x v="325"/>
  </r>
  <r>
    <x v="36"/>
    <x v="139"/>
    <x v="5287"/>
    <x v="1"/>
    <x v="0"/>
    <x v="1309"/>
    <x v="134"/>
    <x v="1998"/>
    <x v="326"/>
  </r>
  <r>
    <x v="36"/>
    <x v="140"/>
    <x v="5288"/>
    <x v="1"/>
    <x v="0"/>
    <x v="156"/>
    <x v="135"/>
    <x v="1999"/>
    <x v="326"/>
  </r>
  <r>
    <x v="36"/>
    <x v="141"/>
    <x v="5289"/>
    <x v="1"/>
    <x v="0"/>
    <x v="3250"/>
    <x v="71"/>
    <x v="2000"/>
    <x v="326"/>
  </r>
  <r>
    <x v="36"/>
    <x v="142"/>
    <x v="5290"/>
    <x v="1"/>
    <x v="0"/>
    <x v="3251"/>
    <x v="136"/>
    <x v="2001"/>
    <x v="326"/>
  </r>
  <r>
    <x v="37"/>
    <x v="0"/>
    <x v="5291"/>
    <x v="1"/>
    <x v="0"/>
    <x v="1372"/>
    <x v="357"/>
    <x v="429"/>
    <x v="120"/>
  </r>
  <r>
    <x v="37"/>
    <x v="1"/>
    <x v="5292"/>
    <x v="1"/>
    <x v="1"/>
    <x v="1373"/>
    <x v="473"/>
    <x v="430"/>
    <x v="120"/>
  </r>
  <r>
    <x v="37"/>
    <x v="2"/>
    <x v="5293"/>
    <x v="1"/>
    <x v="0"/>
    <x v="1374"/>
    <x v="359"/>
    <x v="431"/>
    <x v="120"/>
  </r>
  <r>
    <x v="37"/>
    <x v="3"/>
    <x v="5294"/>
    <x v="1"/>
    <x v="0"/>
    <x v="1375"/>
    <x v="360"/>
    <x v="432"/>
    <x v="120"/>
  </r>
  <r>
    <x v="37"/>
    <x v="4"/>
    <x v="5295"/>
    <x v="1"/>
    <x v="0"/>
    <x v="1376"/>
    <x v="474"/>
    <x v="433"/>
    <x v="120"/>
  </r>
  <r>
    <x v="37"/>
    <x v="5"/>
    <x v="5296"/>
    <x v="1"/>
    <x v="0"/>
    <x v="1377"/>
    <x v="475"/>
    <x v="434"/>
    <x v="120"/>
  </r>
  <r>
    <x v="37"/>
    <x v="6"/>
    <x v="5297"/>
    <x v="1"/>
    <x v="0"/>
    <x v="1378"/>
    <x v="363"/>
    <x v="435"/>
    <x v="120"/>
  </r>
  <r>
    <x v="37"/>
    <x v="7"/>
    <x v="5298"/>
    <x v="1"/>
    <x v="0"/>
    <x v="1379"/>
    <x v="476"/>
    <x v="436"/>
    <x v="120"/>
  </r>
  <r>
    <x v="37"/>
    <x v="8"/>
    <x v="5299"/>
    <x v="1"/>
    <x v="0"/>
    <x v="1380"/>
    <x v="364"/>
    <x v="437"/>
    <x v="121"/>
  </r>
  <r>
    <x v="37"/>
    <x v="9"/>
    <x v="5300"/>
    <x v="1"/>
    <x v="0"/>
    <x v="935"/>
    <x v="477"/>
    <x v="438"/>
    <x v="121"/>
  </r>
  <r>
    <x v="37"/>
    <x v="10"/>
    <x v="5301"/>
    <x v="1"/>
    <x v="0"/>
    <x v="1048"/>
    <x v="366"/>
    <x v="439"/>
    <x v="121"/>
  </r>
  <r>
    <x v="37"/>
    <x v="11"/>
    <x v="5302"/>
    <x v="1"/>
    <x v="0"/>
    <x v="1381"/>
    <x v="367"/>
    <x v="440"/>
    <x v="121"/>
  </r>
  <r>
    <x v="37"/>
    <x v="12"/>
    <x v="5303"/>
    <x v="1"/>
    <x v="0"/>
    <x v="1382"/>
    <x v="368"/>
    <x v="441"/>
    <x v="121"/>
  </r>
  <r>
    <x v="37"/>
    <x v="13"/>
    <x v="5304"/>
    <x v="1"/>
    <x v="0"/>
    <x v="1383"/>
    <x v="369"/>
    <x v="442"/>
    <x v="121"/>
  </r>
  <r>
    <x v="37"/>
    <x v="14"/>
    <x v="5305"/>
    <x v="1"/>
    <x v="0"/>
    <x v="1384"/>
    <x v="370"/>
    <x v="443"/>
    <x v="121"/>
  </r>
  <r>
    <x v="37"/>
    <x v="15"/>
    <x v="5306"/>
    <x v="1"/>
    <x v="0"/>
    <x v="1385"/>
    <x v="371"/>
    <x v="444"/>
    <x v="121"/>
  </r>
  <r>
    <x v="37"/>
    <x v="16"/>
    <x v="5307"/>
    <x v="1"/>
    <x v="0"/>
    <x v="61"/>
    <x v="179"/>
    <x v="445"/>
    <x v="121"/>
  </r>
  <r>
    <x v="37"/>
    <x v="17"/>
    <x v="5308"/>
    <x v="1"/>
    <x v="0"/>
    <x v="1386"/>
    <x v="372"/>
    <x v="446"/>
    <x v="121"/>
  </r>
  <r>
    <x v="37"/>
    <x v="18"/>
    <x v="5309"/>
    <x v="1"/>
    <x v="0"/>
    <x v="1387"/>
    <x v="478"/>
    <x v="447"/>
    <x v="121"/>
  </r>
  <r>
    <x v="37"/>
    <x v="19"/>
    <x v="5310"/>
    <x v="1"/>
    <x v="0"/>
    <x v="536"/>
    <x v="479"/>
    <x v="448"/>
    <x v="121"/>
  </r>
  <r>
    <x v="37"/>
    <x v="20"/>
    <x v="5311"/>
    <x v="1"/>
    <x v="0"/>
    <x v="1388"/>
    <x v="375"/>
    <x v="449"/>
    <x v="121"/>
  </r>
  <r>
    <x v="37"/>
    <x v="21"/>
    <x v="5312"/>
    <x v="1"/>
    <x v="0"/>
    <x v="1389"/>
    <x v="368"/>
    <x v="450"/>
    <x v="122"/>
  </r>
  <r>
    <x v="37"/>
    <x v="22"/>
    <x v="5313"/>
    <x v="1"/>
    <x v="0"/>
    <x v="1390"/>
    <x v="377"/>
    <x v="451"/>
    <x v="122"/>
  </r>
  <r>
    <x v="37"/>
    <x v="23"/>
    <x v="5314"/>
    <x v="1"/>
    <x v="0"/>
    <x v="1391"/>
    <x v="480"/>
    <x v="452"/>
    <x v="122"/>
  </r>
  <r>
    <x v="37"/>
    <x v="24"/>
    <x v="5315"/>
    <x v="1"/>
    <x v="0"/>
    <x v="1392"/>
    <x v="96"/>
    <x v="453"/>
    <x v="122"/>
  </r>
  <r>
    <x v="37"/>
    <x v="25"/>
    <x v="5316"/>
    <x v="1"/>
    <x v="0"/>
    <x v="1393"/>
    <x v="176"/>
    <x v="454"/>
    <x v="122"/>
  </r>
  <r>
    <x v="37"/>
    <x v="26"/>
    <x v="5317"/>
    <x v="1"/>
    <x v="0"/>
    <x v="1394"/>
    <x v="379"/>
    <x v="455"/>
    <x v="122"/>
  </r>
  <r>
    <x v="37"/>
    <x v="27"/>
    <x v="5318"/>
    <x v="1"/>
    <x v="0"/>
    <x v="1395"/>
    <x v="95"/>
    <x v="456"/>
    <x v="122"/>
  </r>
  <r>
    <x v="37"/>
    <x v="28"/>
    <x v="5319"/>
    <x v="1"/>
    <x v="0"/>
    <x v="1396"/>
    <x v="381"/>
    <x v="457"/>
    <x v="122"/>
  </r>
  <r>
    <x v="37"/>
    <x v="29"/>
    <x v="5320"/>
    <x v="1"/>
    <x v="0"/>
    <x v="1397"/>
    <x v="97"/>
    <x v="458"/>
    <x v="122"/>
  </r>
  <r>
    <x v="37"/>
    <x v="30"/>
    <x v="5321"/>
    <x v="1"/>
    <x v="0"/>
    <x v="1398"/>
    <x v="180"/>
    <x v="459"/>
    <x v="122"/>
  </r>
  <r>
    <x v="37"/>
    <x v="31"/>
    <x v="5322"/>
    <x v="1"/>
    <x v="1"/>
    <x v="360"/>
    <x v="481"/>
    <x v="460"/>
    <x v="122"/>
  </r>
  <r>
    <x v="37"/>
    <x v="32"/>
    <x v="5323"/>
    <x v="1"/>
    <x v="0"/>
    <x v="1399"/>
    <x v="383"/>
    <x v="461"/>
    <x v="122"/>
  </r>
  <r>
    <x v="37"/>
    <x v="33"/>
    <x v="5324"/>
    <x v="1"/>
    <x v="0"/>
    <x v="1400"/>
    <x v="384"/>
    <x v="462"/>
    <x v="122"/>
  </r>
  <r>
    <x v="37"/>
    <x v="34"/>
    <x v="5325"/>
    <x v="1"/>
    <x v="0"/>
    <x v="1401"/>
    <x v="385"/>
    <x v="463"/>
    <x v="123"/>
  </r>
  <r>
    <x v="37"/>
    <x v="35"/>
    <x v="5326"/>
    <x v="1"/>
    <x v="0"/>
    <x v="1402"/>
    <x v="482"/>
    <x v="464"/>
    <x v="123"/>
  </r>
  <r>
    <x v="37"/>
    <x v="36"/>
    <x v="5327"/>
    <x v="1"/>
    <x v="0"/>
    <x v="1403"/>
    <x v="47"/>
    <x v="465"/>
    <x v="123"/>
  </r>
  <r>
    <x v="37"/>
    <x v="37"/>
    <x v="5328"/>
    <x v="1"/>
    <x v="0"/>
    <x v="1404"/>
    <x v="388"/>
    <x v="466"/>
    <x v="123"/>
  </r>
  <r>
    <x v="37"/>
    <x v="38"/>
    <x v="5329"/>
    <x v="1"/>
    <x v="0"/>
    <x v="1405"/>
    <x v="49"/>
    <x v="467"/>
    <x v="123"/>
  </r>
  <r>
    <x v="37"/>
    <x v="39"/>
    <x v="5330"/>
    <x v="1"/>
    <x v="0"/>
    <x v="1406"/>
    <x v="97"/>
    <x v="468"/>
    <x v="123"/>
  </r>
  <r>
    <x v="37"/>
    <x v="40"/>
    <x v="5331"/>
    <x v="1"/>
    <x v="0"/>
    <x v="5"/>
    <x v="389"/>
    <x v="469"/>
    <x v="123"/>
  </r>
  <r>
    <x v="37"/>
    <x v="41"/>
    <x v="5332"/>
    <x v="1"/>
    <x v="0"/>
    <x v="1407"/>
    <x v="483"/>
    <x v="470"/>
    <x v="123"/>
  </r>
  <r>
    <x v="37"/>
    <x v="42"/>
    <x v="5333"/>
    <x v="1"/>
    <x v="1"/>
    <x v="1408"/>
    <x v="392"/>
    <x v="471"/>
    <x v="123"/>
  </r>
  <r>
    <x v="37"/>
    <x v="43"/>
    <x v="5334"/>
    <x v="1"/>
    <x v="0"/>
    <x v="1409"/>
    <x v="381"/>
    <x v="472"/>
    <x v="123"/>
  </r>
  <r>
    <x v="37"/>
    <x v="44"/>
    <x v="5335"/>
    <x v="1"/>
    <x v="0"/>
    <x v="1410"/>
    <x v="484"/>
    <x v="473"/>
    <x v="123"/>
  </r>
  <r>
    <x v="37"/>
    <x v="45"/>
    <x v="5336"/>
    <x v="1"/>
    <x v="0"/>
    <x v="1152"/>
    <x v="92"/>
    <x v="474"/>
    <x v="123"/>
  </r>
  <r>
    <x v="37"/>
    <x v="46"/>
    <x v="5337"/>
    <x v="1"/>
    <x v="0"/>
    <x v="1411"/>
    <x v="92"/>
    <x v="475"/>
    <x v="123"/>
  </r>
  <r>
    <x v="37"/>
    <x v="47"/>
    <x v="5338"/>
    <x v="1"/>
    <x v="1"/>
    <x v="930"/>
    <x v="395"/>
    <x v="476"/>
    <x v="123"/>
  </r>
  <r>
    <x v="37"/>
    <x v="48"/>
    <x v="5339"/>
    <x v="1"/>
    <x v="0"/>
    <x v="1412"/>
    <x v="396"/>
    <x v="477"/>
    <x v="124"/>
  </r>
  <r>
    <x v="37"/>
    <x v="49"/>
    <x v="5340"/>
    <x v="1"/>
    <x v="0"/>
    <x v="1413"/>
    <x v="397"/>
    <x v="478"/>
    <x v="124"/>
  </r>
  <r>
    <x v="37"/>
    <x v="50"/>
    <x v="5341"/>
    <x v="1"/>
    <x v="0"/>
    <x v="1414"/>
    <x v="485"/>
    <x v="479"/>
    <x v="124"/>
  </r>
  <r>
    <x v="37"/>
    <x v="51"/>
    <x v="5342"/>
    <x v="1"/>
    <x v="0"/>
    <x v="331"/>
    <x v="486"/>
    <x v="480"/>
    <x v="124"/>
  </r>
  <r>
    <x v="37"/>
    <x v="52"/>
    <x v="5343"/>
    <x v="1"/>
    <x v="0"/>
    <x v="1415"/>
    <x v="400"/>
    <x v="481"/>
    <x v="124"/>
  </r>
  <r>
    <x v="37"/>
    <x v="53"/>
    <x v="5344"/>
    <x v="1"/>
    <x v="1"/>
    <x v="1416"/>
    <x v="401"/>
    <x v="482"/>
    <x v="124"/>
  </r>
  <r>
    <x v="37"/>
    <x v="54"/>
    <x v="5345"/>
    <x v="1"/>
    <x v="0"/>
    <x v="329"/>
    <x v="402"/>
    <x v="483"/>
    <x v="124"/>
  </r>
  <r>
    <x v="37"/>
    <x v="55"/>
    <x v="5346"/>
    <x v="1"/>
    <x v="0"/>
    <x v="1417"/>
    <x v="487"/>
    <x v="484"/>
    <x v="124"/>
  </r>
  <r>
    <x v="37"/>
    <x v="56"/>
    <x v="5347"/>
    <x v="1"/>
    <x v="0"/>
    <x v="1005"/>
    <x v="404"/>
    <x v="485"/>
    <x v="124"/>
  </r>
  <r>
    <x v="37"/>
    <x v="57"/>
    <x v="5348"/>
    <x v="1"/>
    <x v="0"/>
    <x v="643"/>
    <x v="408"/>
    <x v="486"/>
    <x v="124"/>
  </r>
  <r>
    <x v="37"/>
    <x v="58"/>
    <x v="5349"/>
    <x v="1"/>
    <x v="0"/>
    <x v="913"/>
    <x v="488"/>
    <x v="487"/>
    <x v="124"/>
  </r>
  <r>
    <x v="37"/>
    <x v="59"/>
    <x v="5350"/>
    <x v="1"/>
    <x v="0"/>
    <x v="1418"/>
    <x v="489"/>
    <x v="488"/>
    <x v="124"/>
  </r>
  <r>
    <x v="37"/>
    <x v="60"/>
    <x v="5351"/>
    <x v="1"/>
    <x v="0"/>
    <x v="1419"/>
    <x v="407"/>
    <x v="489"/>
    <x v="125"/>
  </r>
  <r>
    <x v="37"/>
    <x v="61"/>
    <x v="5352"/>
    <x v="1"/>
    <x v="0"/>
    <x v="1420"/>
    <x v="490"/>
    <x v="490"/>
    <x v="125"/>
  </r>
  <r>
    <x v="37"/>
    <x v="62"/>
    <x v="5353"/>
    <x v="1"/>
    <x v="0"/>
    <x v="1421"/>
    <x v="491"/>
    <x v="491"/>
    <x v="125"/>
  </r>
  <r>
    <x v="37"/>
    <x v="63"/>
    <x v="5354"/>
    <x v="1"/>
    <x v="0"/>
    <x v="1422"/>
    <x v="492"/>
    <x v="492"/>
    <x v="125"/>
  </r>
  <r>
    <x v="37"/>
    <x v="64"/>
    <x v="5355"/>
    <x v="1"/>
    <x v="0"/>
    <x v="1423"/>
    <x v="411"/>
    <x v="493"/>
    <x v="125"/>
  </r>
  <r>
    <x v="37"/>
    <x v="65"/>
    <x v="5356"/>
    <x v="1"/>
    <x v="0"/>
    <x v="1424"/>
    <x v="412"/>
    <x v="494"/>
    <x v="125"/>
  </r>
  <r>
    <x v="37"/>
    <x v="66"/>
    <x v="5357"/>
    <x v="1"/>
    <x v="0"/>
    <x v="1425"/>
    <x v="413"/>
    <x v="495"/>
    <x v="125"/>
  </r>
  <r>
    <x v="37"/>
    <x v="67"/>
    <x v="5358"/>
    <x v="1"/>
    <x v="0"/>
    <x v="1426"/>
    <x v="493"/>
    <x v="496"/>
    <x v="125"/>
  </r>
  <r>
    <x v="37"/>
    <x v="68"/>
    <x v="5359"/>
    <x v="1"/>
    <x v="0"/>
    <x v="1164"/>
    <x v="494"/>
    <x v="497"/>
    <x v="125"/>
  </r>
  <r>
    <x v="37"/>
    <x v="69"/>
    <x v="5360"/>
    <x v="1"/>
    <x v="0"/>
    <x v="1427"/>
    <x v="495"/>
    <x v="498"/>
    <x v="125"/>
  </r>
  <r>
    <x v="37"/>
    <x v="70"/>
    <x v="5361"/>
    <x v="1"/>
    <x v="0"/>
    <x v="1428"/>
    <x v="417"/>
    <x v="499"/>
    <x v="125"/>
  </r>
  <r>
    <x v="37"/>
    <x v="71"/>
    <x v="5362"/>
    <x v="1"/>
    <x v="0"/>
    <x v="611"/>
    <x v="418"/>
    <x v="500"/>
    <x v="125"/>
  </r>
  <r>
    <x v="37"/>
    <x v="72"/>
    <x v="5363"/>
    <x v="1"/>
    <x v="0"/>
    <x v="1102"/>
    <x v="496"/>
    <x v="501"/>
    <x v="125"/>
  </r>
  <r>
    <x v="37"/>
    <x v="73"/>
    <x v="5364"/>
    <x v="1"/>
    <x v="0"/>
    <x v="1429"/>
    <x v="419"/>
    <x v="502"/>
    <x v="126"/>
  </r>
  <r>
    <x v="37"/>
    <x v="74"/>
    <x v="5365"/>
    <x v="1"/>
    <x v="0"/>
    <x v="1430"/>
    <x v="497"/>
    <x v="503"/>
    <x v="126"/>
  </r>
  <r>
    <x v="37"/>
    <x v="75"/>
    <x v="5366"/>
    <x v="1"/>
    <x v="0"/>
    <x v="1431"/>
    <x v="488"/>
    <x v="504"/>
    <x v="126"/>
  </r>
  <r>
    <x v="37"/>
    <x v="76"/>
    <x v="5367"/>
    <x v="1"/>
    <x v="0"/>
    <x v="1432"/>
    <x v="423"/>
    <x v="505"/>
    <x v="126"/>
  </r>
  <r>
    <x v="37"/>
    <x v="77"/>
    <x v="5368"/>
    <x v="1"/>
    <x v="0"/>
    <x v="1433"/>
    <x v="498"/>
    <x v="506"/>
    <x v="126"/>
  </r>
  <r>
    <x v="37"/>
    <x v="78"/>
    <x v="5369"/>
    <x v="1"/>
    <x v="0"/>
    <x v="1434"/>
    <x v="422"/>
    <x v="507"/>
    <x v="126"/>
  </r>
  <r>
    <x v="37"/>
    <x v="79"/>
    <x v="5370"/>
    <x v="1"/>
    <x v="0"/>
    <x v="1435"/>
    <x v="430"/>
    <x v="508"/>
    <x v="126"/>
  </r>
  <r>
    <x v="37"/>
    <x v="80"/>
    <x v="5371"/>
    <x v="1"/>
    <x v="0"/>
    <x v="1436"/>
    <x v="61"/>
    <x v="509"/>
    <x v="126"/>
  </r>
  <r>
    <x v="37"/>
    <x v="81"/>
    <x v="5372"/>
    <x v="1"/>
    <x v="0"/>
    <x v="1437"/>
    <x v="499"/>
    <x v="510"/>
    <x v="126"/>
  </r>
  <r>
    <x v="37"/>
    <x v="82"/>
    <x v="5373"/>
    <x v="1"/>
    <x v="0"/>
    <x v="1438"/>
    <x v="424"/>
    <x v="511"/>
    <x v="126"/>
  </r>
  <r>
    <x v="37"/>
    <x v="83"/>
    <x v="5374"/>
    <x v="1"/>
    <x v="1"/>
    <x v="1439"/>
    <x v="500"/>
    <x v="512"/>
    <x v="126"/>
  </r>
  <r>
    <x v="37"/>
    <x v="84"/>
    <x v="5375"/>
    <x v="1"/>
    <x v="0"/>
    <x v="1440"/>
    <x v="501"/>
    <x v="513"/>
    <x v="126"/>
  </r>
  <r>
    <x v="37"/>
    <x v="85"/>
    <x v="5376"/>
    <x v="1"/>
    <x v="0"/>
    <x v="781"/>
    <x v="353"/>
    <x v="514"/>
    <x v="126"/>
  </r>
  <r>
    <x v="37"/>
    <x v="86"/>
    <x v="5377"/>
    <x v="1"/>
    <x v="0"/>
    <x v="1285"/>
    <x v="112"/>
    <x v="515"/>
    <x v="126"/>
  </r>
  <r>
    <x v="37"/>
    <x v="87"/>
    <x v="5378"/>
    <x v="1"/>
    <x v="0"/>
    <x v="1441"/>
    <x v="426"/>
    <x v="516"/>
    <x v="127"/>
  </r>
  <r>
    <x v="37"/>
    <x v="88"/>
    <x v="5379"/>
    <x v="1"/>
    <x v="0"/>
    <x v="1442"/>
    <x v="498"/>
    <x v="517"/>
    <x v="127"/>
  </r>
  <r>
    <x v="37"/>
    <x v="89"/>
    <x v="5380"/>
    <x v="1"/>
    <x v="0"/>
    <x v="1443"/>
    <x v="419"/>
    <x v="518"/>
    <x v="127"/>
  </r>
  <r>
    <x v="37"/>
    <x v="90"/>
    <x v="5381"/>
    <x v="1"/>
    <x v="0"/>
    <x v="12"/>
    <x v="502"/>
    <x v="519"/>
    <x v="127"/>
  </r>
  <r>
    <x v="37"/>
    <x v="91"/>
    <x v="5382"/>
    <x v="1"/>
    <x v="0"/>
    <x v="1444"/>
    <x v="296"/>
    <x v="520"/>
    <x v="127"/>
  </r>
  <r>
    <x v="37"/>
    <x v="92"/>
    <x v="5383"/>
    <x v="1"/>
    <x v="0"/>
    <x v="1445"/>
    <x v="503"/>
    <x v="521"/>
    <x v="127"/>
  </r>
  <r>
    <x v="37"/>
    <x v="93"/>
    <x v="5384"/>
    <x v="1"/>
    <x v="0"/>
    <x v="1446"/>
    <x v="504"/>
    <x v="522"/>
    <x v="127"/>
  </r>
  <r>
    <x v="37"/>
    <x v="94"/>
    <x v="5385"/>
    <x v="1"/>
    <x v="1"/>
    <x v="1447"/>
    <x v="60"/>
    <x v="523"/>
    <x v="127"/>
  </r>
  <r>
    <x v="37"/>
    <x v="95"/>
    <x v="5386"/>
    <x v="1"/>
    <x v="0"/>
    <x v="1448"/>
    <x v="430"/>
    <x v="524"/>
    <x v="127"/>
  </r>
  <r>
    <x v="37"/>
    <x v="96"/>
    <x v="5387"/>
    <x v="1"/>
    <x v="0"/>
    <x v="1449"/>
    <x v="431"/>
    <x v="525"/>
    <x v="127"/>
  </r>
  <r>
    <x v="37"/>
    <x v="97"/>
    <x v="5388"/>
    <x v="1"/>
    <x v="0"/>
    <x v="1450"/>
    <x v="505"/>
    <x v="526"/>
    <x v="127"/>
  </r>
  <r>
    <x v="37"/>
    <x v="98"/>
    <x v="5389"/>
    <x v="1"/>
    <x v="0"/>
    <x v="1451"/>
    <x v="222"/>
    <x v="527"/>
    <x v="127"/>
  </r>
  <r>
    <x v="37"/>
    <x v="99"/>
    <x v="5390"/>
    <x v="1"/>
    <x v="1"/>
    <x v="1452"/>
    <x v="433"/>
    <x v="528"/>
    <x v="127"/>
  </r>
  <r>
    <x v="37"/>
    <x v="100"/>
    <x v="5391"/>
    <x v="1"/>
    <x v="0"/>
    <x v="1453"/>
    <x v="506"/>
    <x v="529"/>
    <x v="128"/>
  </r>
  <r>
    <x v="37"/>
    <x v="101"/>
    <x v="5392"/>
    <x v="1"/>
    <x v="0"/>
    <x v="1454"/>
    <x v="507"/>
    <x v="530"/>
    <x v="128"/>
  </r>
  <r>
    <x v="37"/>
    <x v="102"/>
    <x v="5393"/>
    <x v="1"/>
    <x v="0"/>
    <x v="717"/>
    <x v="436"/>
    <x v="531"/>
    <x v="128"/>
  </r>
  <r>
    <x v="37"/>
    <x v="103"/>
    <x v="5394"/>
    <x v="1"/>
    <x v="0"/>
    <x v="1453"/>
    <x v="437"/>
    <x v="532"/>
    <x v="128"/>
  </r>
  <r>
    <x v="37"/>
    <x v="104"/>
    <x v="5395"/>
    <x v="1"/>
    <x v="0"/>
    <x v="1455"/>
    <x v="508"/>
    <x v="533"/>
    <x v="128"/>
  </r>
  <r>
    <x v="37"/>
    <x v="105"/>
    <x v="5396"/>
    <x v="1"/>
    <x v="1"/>
    <x v="1456"/>
    <x v="439"/>
    <x v="534"/>
    <x v="128"/>
  </r>
  <r>
    <x v="37"/>
    <x v="106"/>
    <x v="5397"/>
    <x v="1"/>
    <x v="0"/>
    <x v="1047"/>
    <x v="187"/>
    <x v="535"/>
    <x v="128"/>
  </r>
  <r>
    <x v="37"/>
    <x v="107"/>
    <x v="5398"/>
    <x v="1"/>
    <x v="0"/>
    <x v="1457"/>
    <x v="440"/>
    <x v="536"/>
    <x v="128"/>
  </r>
  <r>
    <x v="37"/>
    <x v="108"/>
    <x v="5399"/>
    <x v="1"/>
    <x v="0"/>
    <x v="1456"/>
    <x v="509"/>
    <x v="537"/>
    <x v="128"/>
  </r>
  <r>
    <x v="37"/>
    <x v="109"/>
    <x v="5400"/>
    <x v="1"/>
    <x v="0"/>
    <x v="1458"/>
    <x v="510"/>
    <x v="538"/>
    <x v="128"/>
  </r>
  <r>
    <x v="37"/>
    <x v="110"/>
    <x v="5401"/>
    <x v="1"/>
    <x v="0"/>
    <x v="647"/>
    <x v="443"/>
    <x v="539"/>
    <x v="128"/>
  </r>
  <r>
    <x v="37"/>
    <x v="111"/>
    <x v="5402"/>
    <x v="1"/>
    <x v="0"/>
    <x v="1459"/>
    <x v="511"/>
    <x v="540"/>
    <x v="128"/>
  </r>
  <r>
    <x v="37"/>
    <x v="112"/>
    <x v="5403"/>
    <x v="1"/>
    <x v="0"/>
    <x v="1460"/>
    <x v="445"/>
    <x v="541"/>
    <x v="128"/>
  </r>
  <r>
    <x v="37"/>
    <x v="113"/>
    <x v="5404"/>
    <x v="1"/>
    <x v="0"/>
    <x v="1461"/>
    <x v="512"/>
    <x v="542"/>
    <x v="129"/>
  </r>
  <r>
    <x v="37"/>
    <x v="114"/>
    <x v="5405"/>
    <x v="1"/>
    <x v="0"/>
    <x v="1462"/>
    <x v="447"/>
    <x v="543"/>
    <x v="129"/>
  </r>
  <r>
    <x v="37"/>
    <x v="115"/>
    <x v="5406"/>
    <x v="1"/>
    <x v="0"/>
    <x v="1463"/>
    <x v="513"/>
    <x v="544"/>
    <x v="129"/>
  </r>
  <r>
    <x v="37"/>
    <x v="116"/>
    <x v="5407"/>
    <x v="1"/>
    <x v="0"/>
    <x v="492"/>
    <x v="412"/>
    <x v="545"/>
    <x v="129"/>
  </r>
  <r>
    <x v="37"/>
    <x v="117"/>
    <x v="5408"/>
    <x v="1"/>
    <x v="0"/>
    <x v="1248"/>
    <x v="514"/>
    <x v="546"/>
    <x v="129"/>
  </r>
  <r>
    <x v="37"/>
    <x v="118"/>
    <x v="5409"/>
    <x v="1"/>
    <x v="0"/>
    <x v="1464"/>
    <x v="451"/>
    <x v="547"/>
    <x v="129"/>
  </r>
  <r>
    <x v="37"/>
    <x v="119"/>
    <x v="5410"/>
    <x v="1"/>
    <x v="0"/>
    <x v="1465"/>
    <x v="515"/>
    <x v="548"/>
    <x v="129"/>
  </r>
  <r>
    <x v="37"/>
    <x v="120"/>
    <x v="5411"/>
    <x v="1"/>
    <x v="0"/>
    <x v="1466"/>
    <x v="516"/>
    <x v="549"/>
    <x v="129"/>
  </r>
  <r>
    <x v="37"/>
    <x v="121"/>
    <x v="5412"/>
    <x v="1"/>
    <x v="0"/>
    <x v="530"/>
    <x v="454"/>
    <x v="550"/>
    <x v="129"/>
  </r>
  <r>
    <x v="37"/>
    <x v="122"/>
    <x v="5413"/>
    <x v="1"/>
    <x v="0"/>
    <x v="1467"/>
    <x v="455"/>
    <x v="551"/>
    <x v="129"/>
  </r>
  <r>
    <x v="37"/>
    <x v="123"/>
    <x v="5414"/>
    <x v="1"/>
    <x v="0"/>
    <x v="1468"/>
    <x v="456"/>
    <x v="552"/>
    <x v="129"/>
  </r>
  <r>
    <x v="37"/>
    <x v="124"/>
    <x v="5415"/>
    <x v="1"/>
    <x v="0"/>
    <x v="1218"/>
    <x v="457"/>
    <x v="553"/>
    <x v="129"/>
  </r>
  <r>
    <x v="37"/>
    <x v="125"/>
    <x v="5416"/>
    <x v="1"/>
    <x v="0"/>
    <x v="1469"/>
    <x v="458"/>
    <x v="554"/>
    <x v="129"/>
  </r>
  <r>
    <x v="37"/>
    <x v="126"/>
    <x v="5417"/>
    <x v="1"/>
    <x v="0"/>
    <x v="1470"/>
    <x v="352"/>
    <x v="555"/>
    <x v="130"/>
  </r>
  <r>
    <x v="37"/>
    <x v="127"/>
    <x v="5418"/>
    <x v="1"/>
    <x v="0"/>
    <x v="1471"/>
    <x v="344"/>
    <x v="556"/>
    <x v="130"/>
  </r>
  <r>
    <x v="37"/>
    <x v="128"/>
    <x v="5419"/>
    <x v="1"/>
    <x v="0"/>
    <x v="1472"/>
    <x v="517"/>
    <x v="557"/>
    <x v="130"/>
  </r>
  <r>
    <x v="37"/>
    <x v="129"/>
    <x v="5420"/>
    <x v="1"/>
    <x v="0"/>
    <x v="1473"/>
    <x v="460"/>
    <x v="558"/>
    <x v="130"/>
  </r>
  <r>
    <x v="37"/>
    <x v="130"/>
    <x v="5421"/>
    <x v="1"/>
    <x v="0"/>
    <x v="1474"/>
    <x v="355"/>
    <x v="559"/>
    <x v="130"/>
  </r>
  <r>
    <x v="37"/>
    <x v="131"/>
    <x v="5422"/>
    <x v="1"/>
    <x v="0"/>
    <x v="1475"/>
    <x v="462"/>
    <x v="560"/>
    <x v="130"/>
  </r>
  <r>
    <x v="37"/>
    <x v="132"/>
    <x v="5423"/>
    <x v="1"/>
    <x v="0"/>
    <x v="1476"/>
    <x v="463"/>
    <x v="561"/>
    <x v="130"/>
  </r>
  <r>
    <x v="37"/>
    <x v="133"/>
    <x v="5424"/>
    <x v="1"/>
    <x v="0"/>
    <x v="166"/>
    <x v="464"/>
    <x v="562"/>
    <x v="130"/>
  </r>
  <r>
    <x v="37"/>
    <x v="134"/>
    <x v="5425"/>
    <x v="1"/>
    <x v="0"/>
    <x v="1477"/>
    <x v="518"/>
    <x v="563"/>
    <x v="130"/>
  </r>
  <r>
    <x v="37"/>
    <x v="135"/>
    <x v="5426"/>
    <x v="1"/>
    <x v="1"/>
    <x v="1478"/>
    <x v="466"/>
    <x v="564"/>
    <x v="130"/>
  </r>
  <r>
    <x v="37"/>
    <x v="136"/>
    <x v="5427"/>
    <x v="1"/>
    <x v="0"/>
    <x v="1479"/>
    <x v="519"/>
    <x v="565"/>
    <x v="130"/>
  </r>
  <r>
    <x v="37"/>
    <x v="137"/>
    <x v="5428"/>
    <x v="1"/>
    <x v="0"/>
    <x v="1480"/>
    <x v="468"/>
    <x v="566"/>
    <x v="130"/>
  </r>
  <r>
    <x v="37"/>
    <x v="138"/>
    <x v="5429"/>
    <x v="1"/>
    <x v="0"/>
    <x v="1481"/>
    <x v="467"/>
    <x v="567"/>
    <x v="130"/>
  </r>
  <r>
    <x v="37"/>
    <x v="139"/>
    <x v="5430"/>
    <x v="1"/>
    <x v="0"/>
    <x v="1482"/>
    <x v="467"/>
    <x v="568"/>
    <x v="131"/>
  </r>
  <r>
    <x v="37"/>
    <x v="140"/>
    <x v="5431"/>
    <x v="1"/>
    <x v="0"/>
    <x v="88"/>
    <x v="470"/>
    <x v="569"/>
    <x v="131"/>
  </r>
  <r>
    <x v="37"/>
    <x v="141"/>
    <x v="5432"/>
    <x v="1"/>
    <x v="0"/>
    <x v="1483"/>
    <x v="471"/>
    <x v="570"/>
    <x v="131"/>
  </r>
  <r>
    <x v="37"/>
    <x v="142"/>
    <x v="5433"/>
    <x v="1"/>
    <x v="0"/>
    <x v="1484"/>
    <x v="472"/>
    <x v="571"/>
    <x v="131"/>
  </r>
  <r>
    <x v="38"/>
    <x v="0"/>
    <x v="5434"/>
    <x v="0"/>
    <x v="0"/>
    <x v="3252"/>
    <x v="0"/>
    <x v="1859"/>
    <x v="315"/>
  </r>
  <r>
    <x v="38"/>
    <x v="1"/>
    <x v="5435"/>
    <x v="0"/>
    <x v="1"/>
    <x v="3253"/>
    <x v="1"/>
    <x v="1860"/>
    <x v="315"/>
  </r>
  <r>
    <x v="38"/>
    <x v="2"/>
    <x v="5436"/>
    <x v="0"/>
    <x v="0"/>
    <x v="3254"/>
    <x v="2"/>
    <x v="1861"/>
    <x v="315"/>
  </r>
  <r>
    <x v="38"/>
    <x v="3"/>
    <x v="5437"/>
    <x v="0"/>
    <x v="0"/>
    <x v="590"/>
    <x v="3"/>
    <x v="1862"/>
    <x v="315"/>
  </r>
  <r>
    <x v="38"/>
    <x v="4"/>
    <x v="5438"/>
    <x v="0"/>
    <x v="0"/>
    <x v="468"/>
    <x v="4"/>
    <x v="1863"/>
    <x v="315"/>
  </r>
  <r>
    <x v="38"/>
    <x v="5"/>
    <x v="5439"/>
    <x v="0"/>
    <x v="0"/>
    <x v="3255"/>
    <x v="5"/>
    <x v="1864"/>
    <x v="315"/>
  </r>
  <r>
    <x v="38"/>
    <x v="6"/>
    <x v="5440"/>
    <x v="0"/>
    <x v="0"/>
    <x v="3256"/>
    <x v="6"/>
    <x v="1865"/>
    <x v="315"/>
  </r>
  <r>
    <x v="38"/>
    <x v="7"/>
    <x v="5441"/>
    <x v="0"/>
    <x v="0"/>
    <x v="1374"/>
    <x v="7"/>
    <x v="1866"/>
    <x v="315"/>
  </r>
  <r>
    <x v="38"/>
    <x v="8"/>
    <x v="5442"/>
    <x v="0"/>
    <x v="0"/>
    <x v="2845"/>
    <x v="8"/>
    <x v="1867"/>
    <x v="316"/>
  </r>
  <r>
    <x v="38"/>
    <x v="9"/>
    <x v="5443"/>
    <x v="0"/>
    <x v="0"/>
    <x v="3257"/>
    <x v="9"/>
    <x v="1868"/>
    <x v="316"/>
  </r>
  <r>
    <x v="38"/>
    <x v="10"/>
    <x v="5444"/>
    <x v="0"/>
    <x v="0"/>
    <x v="3258"/>
    <x v="10"/>
    <x v="1869"/>
    <x v="316"/>
  </r>
  <r>
    <x v="38"/>
    <x v="11"/>
    <x v="5445"/>
    <x v="0"/>
    <x v="0"/>
    <x v="527"/>
    <x v="11"/>
    <x v="1870"/>
    <x v="316"/>
  </r>
  <r>
    <x v="38"/>
    <x v="12"/>
    <x v="5446"/>
    <x v="0"/>
    <x v="0"/>
    <x v="1335"/>
    <x v="12"/>
    <x v="1871"/>
    <x v="316"/>
  </r>
  <r>
    <x v="38"/>
    <x v="13"/>
    <x v="5447"/>
    <x v="0"/>
    <x v="0"/>
    <x v="2164"/>
    <x v="13"/>
    <x v="1872"/>
    <x v="316"/>
  </r>
  <r>
    <x v="38"/>
    <x v="14"/>
    <x v="5448"/>
    <x v="0"/>
    <x v="0"/>
    <x v="947"/>
    <x v="14"/>
    <x v="1873"/>
    <x v="316"/>
  </r>
  <r>
    <x v="38"/>
    <x v="15"/>
    <x v="5449"/>
    <x v="0"/>
    <x v="0"/>
    <x v="1164"/>
    <x v="15"/>
    <x v="1874"/>
    <x v="316"/>
  </r>
  <r>
    <x v="38"/>
    <x v="16"/>
    <x v="5450"/>
    <x v="0"/>
    <x v="0"/>
    <x v="3259"/>
    <x v="16"/>
    <x v="1875"/>
    <x v="316"/>
  </r>
  <r>
    <x v="38"/>
    <x v="17"/>
    <x v="5451"/>
    <x v="0"/>
    <x v="0"/>
    <x v="1059"/>
    <x v="17"/>
    <x v="1876"/>
    <x v="316"/>
  </r>
  <r>
    <x v="38"/>
    <x v="18"/>
    <x v="5452"/>
    <x v="0"/>
    <x v="0"/>
    <x v="700"/>
    <x v="18"/>
    <x v="1877"/>
    <x v="316"/>
  </r>
  <r>
    <x v="38"/>
    <x v="19"/>
    <x v="5453"/>
    <x v="0"/>
    <x v="0"/>
    <x v="135"/>
    <x v="19"/>
    <x v="1878"/>
    <x v="316"/>
  </r>
  <r>
    <x v="38"/>
    <x v="20"/>
    <x v="5454"/>
    <x v="0"/>
    <x v="0"/>
    <x v="3260"/>
    <x v="20"/>
    <x v="1879"/>
    <x v="316"/>
  </r>
  <r>
    <x v="38"/>
    <x v="21"/>
    <x v="5455"/>
    <x v="0"/>
    <x v="0"/>
    <x v="3261"/>
    <x v="21"/>
    <x v="1880"/>
    <x v="317"/>
  </r>
  <r>
    <x v="38"/>
    <x v="22"/>
    <x v="5456"/>
    <x v="0"/>
    <x v="0"/>
    <x v="434"/>
    <x v="22"/>
    <x v="1881"/>
    <x v="317"/>
  </r>
  <r>
    <x v="38"/>
    <x v="23"/>
    <x v="5457"/>
    <x v="0"/>
    <x v="0"/>
    <x v="537"/>
    <x v="23"/>
    <x v="1882"/>
    <x v="317"/>
  </r>
  <r>
    <x v="38"/>
    <x v="24"/>
    <x v="5458"/>
    <x v="0"/>
    <x v="0"/>
    <x v="302"/>
    <x v="24"/>
    <x v="1883"/>
    <x v="317"/>
  </r>
  <r>
    <x v="38"/>
    <x v="25"/>
    <x v="5459"/>
    <x v="0"/>
    <x v="0"/>
    <x v="3262"/>
    <x v="25"/>
    <x v="1884"/>
    <x v="317"/>
  </r>
  <r>
    <x v="38"/>
    <x v="26"/>
    <x v="5460"/>
    <x v="0"/>
    <x v="0"/>
    <x v="3263"/>
    <x v="26"/>
    <x v="1885"/>
    <x v="317"/>
  </r>
  <r>
    <x v="38"/>
    <x v="27"/>
    <x v="5461"/>
    <x v="0"/>
    <x v="0"/>
    <x v="3264"/>
    <x v="27"/>
    <x v="1886"/>
    <x v="317"/>
  </r>
  <r>
    <x v="38"/>
    <x v="28"/>
    <x v="5462"/>
    <x v="0"/>
    <x v="0"/>
    <x v="3265"/>
    <x v="28"/>
    <x v="1887"/>
    <x v="317"/>
  </r>
  <r>
    <x v="38"/>
    <x v="29"/>
    <x v="5463"/>
    <x v="0"/>
    <x v="0"/>
    <x v="3266"/>
    <x v="29"/>
    <x v="1888"/>
    <x v="317"/>
  </r>
  <r>
    <x v="38"/>
    <x v="30"/>
    <x v="5464"/>
    <x v="0"/>
    <x v="0"/>
    <x v="3267"/>
    <x v="30"/>
    <x v="1889"/>
    <x v="317"/>
  </r>
  <r>
    <x v="38"/>
    <x v="31"/>
    <x v="5465"/>
    <x v="0"/>
    <x v="1"/>
    <x v="84"/>
    <x v="31"/>
    <x v="1890"/>
    <x v="317"/>
  </r>
  <r>
    <x v="38"/>
    <x v="32"/>
    <x v="5466"/>
    <x v="0"/>
    <x v="0"/>
    <x v="173"/>
    <x v="32"/>
    <x v="1891"/>
    <x v="317"/>
  </r>
  <r>
    <x v="38"/>
    <x v="33"/>
    <x v="5467"/>
    <x v="0"/>
    <x v="0"/>
    <x v="1545"/>
    <x v="33"/>
    <x v="1892"/>
    <x v="317"/>
  </r>
  <r>
    <x v="38"/>
    <x v="34"/>
    <x v="5468"/>
    <x v="0"/>
    <x v="0"/>
    <x v="412"/>
    <x v="34"/>
    <x v="1893"/>
    <x v="318"/>
  </r>
  <r>
    <x v="38"/>
    <x v="35"/>
    <x v="5469"/>
    <x v="0"/>
    <x v="0"/>
    <x v="1577"/>
    <x v="35"/>
    <x v="1894"/>
    <x v="318"/>
  </r>
  <r>
    <x v="38"/>
    <x v="36"/>
    <x v="5470"/>
    <x v="0"/>
    <x v="0"/>
    <x v="1748"/>
    <x v="6"/>
    <x v="1895"/>
    <x v="318"/>
  </r>
  <r>
    <x v="38"/>
    <x v="37"/>
    <x v="5471"/>
    <x v="0"/>
    <x v="0"/>
    <x v="3268"/>
    <x v="36"/>
    <x v="1896"/>
    <x v="318"/>
  </r>
  <r>
    <x v="38"/>
    <x v="38"/>
    <x v="5472"/>
    <x v="0"/>
    <x v="0"/>
    <x v="2220"/>
    <x v="37"/>
    <x v="1897"/>
    <x v="318"/>
  </r>
  <r>
    <x v="38"/>
    <x v="39"/>
    <x v="5473"/>
    <x v="0"/>
    <x v="0"/>
    <x v="3269"/>
    <x v="38"/>
    <x v="1898"/>
    <x v="318"/>
  </r>
  <r>
    <x v="38"/>
    <x v="40"/>
    <x v="5474"/>
    <x v="0"/>
    <x v="0"/>
    <x v="3229"/>
    <x v="39"/>
    <x v="1899"/>
    <x v="318"/>
  </r>
  <r>
    <x v="38"/>
    <x v="41"/>
    <x v="5475"/>
    <x v="0"/>
    <x v="0"/>
    <x v="3270"/>
    <x v="40"/>
    <x v="1900"/>
    <x v="318"/>
  </r>
  <r>
    <x v="38"/>
    <x v="42"/>
    <x v="5476"/>
    <x v="0"/>
    <x v="1"/>
    <x v="1246"/>
    <x v="41"/>
    <x v="1901"/>
    <x v="318"/>
  </r>
  <r>
    <x v="38"/>
    <x v="43"/>
    <x v="5477"/>
    <x v="0"/>
    <x v="0"/>
    <x v="2843"/>
    <x v="42"/>
    <x v="1902"/>
    <x v="318"/>
  </r>
  <r>
    <x v="38"/>
    <x v="44"/>
    <x v="5478"/>
    <x v="0"/>
    <x v="0"/>
    <x v="184"/>
    <x v="43"/>
    <x v="1903"/>
    <x v="318"/>
  </r>
  <r>
    <x v="38"/>
    <x v="45"/>
    <x v="5479"/>
    <x v="0"/>
    <x v="0"/>
    <x v="500"/>
    <x v="44"/>
    <x v="1904"/>
    <x v="318"/>
  </r>
  <r>
    <x v="38"/>
    <x v="46"/>
    <x v="5480"/>
    <x v="0"/>
    <x v="0"/>
    <x v="2660"/>
    <x v="45"/>
    <x v="1905"/>
    <x v="318"/>
  </r>
  <r>
    <x v="38"/>
    <x v="47"/>
    <x v="5481"/>
    <x v="0"/>
    <x v="1"/>
    <x v="3271"/>
    <x v="46"/>
    <x v="1906"/>
    <x v="318"/>
  </r>
  <r>
    <x v="38"/>
    <x v="48"/>
    <x v="5482"/>
    <x v="0"/>
    <x v="0"/>
    <x v="3272"/>
    <x v="47"/>
    <x v="1907"/>
    <x v="319"/>
  </r>
  <r>
    <x v="38"/>
    <x v="49"/>
    <x v="5483"/>
    <x v="0"/>
    <x v="0"/>
    <x v="2903"/>
    <x v="48"/>
    <x v="1908"/>
    <x v="319"/>
  </r>
  <r>
    <x v="38"/>
    <x v="50"/>
    <x v="5484"/>
    <x v="0"/>
    <x v="0"/>
    <x v="3273"/>
    <x v="49"/>
    <x v="1909"/>
    <x v="319"/>
  </r>
  <r>
    <x v="38"/>
    <x v="51"/>
    <x v="5485"/>
    <x v="0"/>
    <x v="0"/>
    <x v="3274"/>
    <x v="50"/>
    <x v="1910"/>
    <x v="319"/>
  </r>
  <r>
    <x v="38"/>
    <x v="52"/>
    <x v="5486"/>
    <x v="0"/>
    <x v="0"/>
    <x v="3275"/>
    <x v="51"/>
    <x v="1911"/>
    <x v="319"/>
  </r>
  <r>
    <x v="38"/>
    <x v="53"/>
    <x v="5487"/>
    <x v="0"/>
    <x v="1"/>
    <x v="3276"/>
    <x v="52"/>
    <x v="1912"/>
    <x v="319"/>
  </r>
  <r>
    <x v="38"/>
    <x v="54"/>
    <x v="5488"/>
    <x v="0"/>
    <x v="0"/>
    <x v="2821"/>
    <x v="53"/>
    <x v="1913"/>
    <x v="319"/>
  </r>
  <r>
    <x v="38"/>
    <x v="55"/>
    <x v="5489"/>
    <x v="0"/>
    <x v="0"/>
    <x v="3277"/>
    <x v="54"/>
    <x v="1914"/>
    <x v="319"/>
  </r>
  <r>
    <x v="38"/>
    <x v="56"/>
    <x v="5490"/>
    <x v="0"/>
    <x v="0"/>
    <x v="3278"/>
    <x v="55"/>
    <x v="1915"/>
    <x v="319"/>
  </r>
  <r>
    <x v="38"/>
    <x v="57"/>
    <x v="5491"/>
    <x v="0"/>
    <x v="0"/>
    <x v="2489"/>
    <x v="56"/>
    <x v="1916"/>
    <x v="319"/>
  </r>
  <r>
    <x v="38"/>
    <x v="58"/>
    <x v="5492"/>
    <x v="0"/>
    <x v="0"/>
    <x v="2228"/>
    <x v="57"/>
    <x v="1917"/>
    <x v="319"/>
  </r>
  <r>
    <x v="38"/>
    <x v="59"/>
    <x v="5493"/>
    <x v="0"/>
    <x v="0"/>
    <x v="672"/>
    <x v="58"/>
    <x v="1918"/>
    <x v="319"/>
  </r>
  <r>
    <x v="38"/>
    <x v="60"/>
    <x v="5494"/>
    <x v="0"/>
    <x v="0"/>
    <x v="90"/>
    <x v="59"/>
    <x v="1919"/>
    <x v="320"/>
  </r>
  <r>
    <x v="38"/>
    <x v="61"/>
    <x v="5495"/>
    <x v="0"/>
    <x v="0"/>
    <x v="341"/>
    <x v="60"/>
    <x v="1920"/>
    <x v="320"/>
  </r>
  <r>
    <x v="38"/>
    <x v="62"/>
    <x v="5496"/>
    <x v="0"/>
    <x v="0"/>
    <x v="3279"/>
    <x v="61"/>
    <x v="1921"/>
    <x v="320"/>
  </r>
  <r>
    <x v="38"/>
    <x v="63"/>
    <x v="5497"/>
    <x v="0"/>
    <x v="0"/>
    <x v="3280"/>
    <x v="62"/>
    <x v="1922"/>
    <x v="320"/>
  </r>
  <r>
    <x v="38"/>
    <x v="64"/>
    <x v="5498"/>
    <x v="0"/>
    <x v="0"/>
    <x v="525"/>
    <x v="63"/>
    <x v="1923"/>
    <x v="320"/>
  </r>
  <r>
    <x v="38"/>
    <x v="65"/>
    <x v="5499"/>
    <x v="0"/>
    <x v="0"/>
    <x v="3281"/>
    <x v="64"/>
    <x v="1924"/>
    <x v="320"/>
  </r>
  <r>
    <x v="38"/>
    <x v="66"/>
    <x v="5500"/>
    <x v="0"/>
    <x v="0"/>
    <x v="3282"/>
    <x v="65"/>
    <x v="1925"/>
    <x v="320"/>
  </r>
  <r>
    <x v="38"/>
    <x v="67"/>
    <x v="5501"/>
    <x v="0"/>
    <x v="0"/>
    <x v="157"/>
    <x v="66"/>
    <x v="1926"/>
    <x v="320"/>
  </r>
  <r>
    <x v="38"/>
    <x v="68"/>
    <x v="5502"/>
    <x v="0"/>
    <x v="0"/>
    <x v="299"/>
    <x v="67"/>
    <x v="1927"/>
    <x v="320"/>
  </r>
  <r>
    <x v="38"/>
    <x v="69"/>
    <x v="5503"/>
    <x v="0"/>
    <x v="0"/>
    <x v="2313"/>
    <x v="68"/>
    <x v="1928"/>
    <x v="320"/>
  </r>
  <r>
    <x v="38"/>
    <x v="70"/>
    <x v="5504"/>
    <x v="0"/>
    <x v="0"/>
    <x v="3283"/>
    <x v="69"/>
    <x v="1929"/>
    <x v="320"/>
  </r>
  <r>
    <x v="38"/>
    <x v="71"/>
    <x v="5505"/>
    <x v="0"/>
    <x v="0"/>
    <x v="3284"/>
    <x v="70"/>
    <x v="1930"/>
    <x v="320"/>
  </r>
  <r>
    <x v="38"/>
    <x v="72"/>
    <x v="5506"/>
    <x v="0"/>
    <x v="0"/>
    <x v="576"/>
    <x v="71"/>
    <x v="1931"/>
    <x v="320"/>
  </r>
  <r>
    <x v="38"/>
    <x v="73"/>
    <x v="5507"/>
    <x v="0"/>
    <x v="0"/>
    <x v="3285"/>
    <x v="59"/>
    <x v="1932"/>
    <x v="321"/>
  </r>
  <r>
    <x v="38"/>
    <x v="74"/>
    <x v="5508"/>
    <x v="0"/>
    <x v="0"/>
    <x v="3286"/>
    <x v="72"/>
    <x v="1933"/>
    <x v="321"/>
  </r>
  <r>
    <x v="38"/>
    <x v="75"/>
    <x v="5509"/>
    <x v="0"/>
    <x v="0"/>
    <x v="3287"/>
    <x v="73"/>
    <x v="1934"/>
    <x v="321"/>
  </r>
  <r>
    <x v="38"/>
    <x v="76"/>
    <x v="5510"/>
    <x v="0"/>
    <x v="0"/>
    <x v="3288"/>
    <x v="74"/>
    <x v="1935"/>
    <x v="321"/>
  </r>
  <r>
    <x v="38"/>
    <x v="77"/>
    <x v="5511"/>
    <x v="0"/>
    <x v="0"/>
    <x v="3289"/>
    <x v="75"/>
    <x v="1936"/>
    <x v="321"/>
  </r>
  <r>
    <x v="38"/>
    <x v="78"/>
    <x v="5512"/>
    <x v="0"/>
    <x v="0"/>
    <x v="1287"/>
    <x v="76"/>
    <x v="1937"/>
    <x v="321"/>
  </r>
  <r>
    <x v="38"/>
    <x v="79"/>
    <x v="5513"/>
    <x v="0"/>
    <x v="0"/>
    <x v="3290"/>
    <x v="77"/>
    <x v="1938"/>
    <x v="321"/>
  </r>
  <r>
    <x v="38"/>
    <x v="80"/>
    <x v="5514"/>
    <x v="0"/>
    <x v="0"/>
    <x v="1145"/>
    <x v="78"/>
    <x v="1939"/>
    <x v="321"/>
  </r>
  <r>
    <x v="38"/>
    <x v="81"/>
    <x v="5515"/>
    <x v="0"/>
    <x v="0"/>
    <x v="1365"/>
    <x v="79"/>
    <x v="1940"/>
    <x v="321"/>
  </r>
  <r>
    <x v="38"/>
    <x v="82"/>
    <x v="5516"/>
    <x v="0"/>
    <x v="0"/>
    <x v="3291"/>
    <x v="80"/>
    <x v="1941"/>
    <x v="321"/>
  </r>
  <r>
    <x v="38"/>
    <x v="83"/>
    <x v="5517"/>
    <x v="0"/>
    <x v="1"/>
    <x v="3292"/>
    <x v="81"/>
    <x v="1942"/>
    <x v="321"/>
  </r>
  <r>
    <x v="38"/>
    <x v="84"/>
    <x v="5518"/>
    <x v="0"/>
    <x v="0"/>
    <x v="3293"/>
    <x v="82"/>
    <x v="1943"/>
    <x v="321"/>
  </r>
  <r>
    <x v="38"/>
    <x v="85"/>
    <x v="5519"/>
    <x v="0"/>
    <x v="0"/>
    <x v="3294"/>
    <x v="83"/>
    <x v="1944"/>
    <x v="321"/>
  </r>
  <r>
    <x v="38"/>
    <x v="86"/>
    <x v="5520"/>
    <x v="0"/>
    <x v="0"/>
    <x v="2381"/>
    <x v="84"/>
    <x v="1945"/>
    <x v="321"/>
  </r>
  <r>
    <x v="38"/>
    <x v="87"/>
    <x v="5521"/>
    <x v="0"/>
    <x v="0"/>
    <x v="3295"/>
    <x v="85"/>
    <x v="1946"/>
    <x v="322"/>
  </r>
  <r>
    <x v="38"/>
    <x v="88"/>
    <x v="5522"/>
    <x v="0"/>
    <x v="0"/>
    <x v="3296"/>
    <x v="86"/>
    <x v="1947"/>
    <x v="322"/>
  </r>
  <r>
    <x v="38"/>
    <x v="89"/>
    <x v="5523"/>
    <x v="0"/>
    <x v="0"/>
    <x v="3297"/>
    <x v="87"/>
    <x v="1948"/>
    <x v="322"/>
  </r>
  <r>
    <x v="38"/>
    <x v="90"/>
    <x v="5524"/>
    <x v="0"/>
    <x v="0"/>
    <x v="3298"/>
    <x v="88"/>
    <x v="1949"/>
    <x v="322"/>
  </r>
  <r>
    <x v="38"/>
    <x v="91"/>
    <x v="5525"/>
    <x v="0"/>
    <x v="0"/>
    <x v="3299"/>
    <x v="89"/>
    <x v="1950"/>
    <x v="322"/>
  </r>
  <r>
    <x v="38"/>
    <x v="92"/>
    <x v="5526"/>
    <x v="0"/>
    <x v="0"/>
    <x v="3300"/>
    <x v="90"/>
    <x v="1951"/>
    <x v="322"/>
  </r>
  <r>
    <x v="38"/>
    <x v="93"/>
    <x v="5527"/>
    <x v="0"/>
    <x v="0"/>
    <x v="1049"/>
    <x v="91"/>
    <x v="1952"/>
    <x v="322"/>
  </r>
  <r>
    <x v="38"/>
    <x v="94"/>
    <x v="5528"/>
    <x v="0"/>
    <x v="1"/>
    <x v="3301"/>
    <x v="92"/>
    <x v="1953"/>
    <x v="322"/>
  </r>
  <r>
    <x v="38"/>
    <x v="95"/>
    <x v="5529"/>
    <x v="0"/>
    <x v="0"/>
    <x v="3302"/>
    <x v="93"/>
    <x v="1954"/>
    <x v="322"/>
  </r>
  <r>
    <x v="38"/>
    <x v="96"/>
    <x v="5530"/>
    <x v="0"/>
    <x v="0"/>
    <x v="2266"/>
    <x v="94"/>
    <x v="1955"/>
    <x v="322"/>
  </r>
  <r>
    <x v="38"/>
    <x v="97"/>
    <x v="5531"/>
    <x v="0"/>
    <x v="0"/>
    <x v="3303"/>
    <x v="95"/>
    <x v="1956"/>
    <x v="322"/>
  </r>
  <r>
    <x v="38"/>
    <x v="98"/>
    <x v="5532"/>
    <x v="0"/>
    <x v="0"/>
    <x v="1538"/>
    <x v="96"/>
    <x v="1957"/>
    <x v="322"/>
  </r>
  <r>
    <x v="38"/>
    <x v="99"/>
    <x v="5533"/>
    <x v="0"/>
    <x v="1"/>
    <x v="3304"/>
    <x v="97"/>
    <x v="1958"/>
    <x v="322"/>
  </r>
  <r>
    <x v="38"/>
    <x v="100"/>
    <x v="5534"/>
    <x v="0"/>
    <x v="0"/>
    <x v="2071"/>
    <x v="98"/>
    <x v="1959"/>
    <x v="323"/>
  </r>
  <r>
    <x v="38"/>
    <x v="101"/>
    <x v="5535"/>
    <x v="0"/>
    <x v="0"/>
    <x v="1556"/>
    <x v="99"/>
    <x v="1960"/>
    <x v="323"/>
  </r>
  <r>
    <x v="38"/>
    <x v="102"/>
    <x v="5536"/>
    <x v="0"/>
    <x v="0"/>
    <x v="3299"/>
    <x v="100"/>
    <x v="1961"/>
    <x v="323"/>
  </r>
  <r>
    <x v="38"/>
    <x v="103"/>
    <x v="5537"/>
    <x v="0"/>
    <x v="0"/>
    <x v="3305"/>
    <x v="101"/>
    <x v="1962"/>
    <x v="323"/>
  </r>
  <r>
    <x v="38"/>
    <x v="104"/>
    <x v="5538"/>
    <x v="0"/>
    <x v="0"/>
    <x v="3306"/>
    <x v="102"/>
    <x v="1963"/>
    <x v="323"/>
  </r>
  <r>
    <x v="38"/>
    <x v="105"/>
    <x v="5539"/>
    <x v="0"/>
    <x v="1"/>
    <x v="1797"/>
    <x v="103"/>
    <x v="1964"/>
    <x v="323"/>
  </r>
  <r>
    <x v="38"/>
    <x v="106"/>
    <x v="5540"/>
    <x v="0"/>
    <x v="0"/>
    <x v="3307"/>
    <x v="104"/>
    <x v="1965"/>
    <x v="323"/>
  </r>
  <r>
    <x v="38"/>
    <x v="107"/>
    <x v="5541"/>
    <x v="0"/>
    <x v="0"/>
    <x v="2794"/>
    <x v="105"/>
    <x v="1966"/>
    <x v="323"/>
  </r>
  <r>
    <x v="38"/>
    <x v="108"/>
    <x v="5542"/>
    <x v="0"/>
    <x v="0"/>
    <x v="1461"/>
    <x v="106"/>
    <x v="1967"/>
    <x v="323"/>
  </r>
  <r>
    <x v="38"/>
    <x v="109"/>
    <x v="5543"/>
    <x v="0"/>
    <x v="0"/>
    <x v="2121"/>
    <x v="107"/>
    <x v="1968"/>
    <x v="323"/>
  </r>
  <r>
    <x v="38"/>
    <x v="110"/>
    <x v="5544"/>
    <x v="0"/>
    <x v="0"/>
    <x v="3308"/>
    <x v="108"/>
    <x v="1969"/>
    <x v="323"/>
  </r>
  <r>
    <x v="38"/>
    <x v="111"/>
    <x v="5545"/>
    <x v="0"/>
    <x v="0"/>
    <x v="769"/>
    <x v="109"/>
    <x v="1970"/>
    <x v="323"/>
  </r>
  <r>
    <x v="38"/>
    <x v="112"/>
    <x v="5546"/>
    <x v="0"/>
    <x v="0"/>
    <x v="3309"/>
    <x v="110"/>
    <x v="1971"/>
    <x v="323"/>
  </r>
  <r>
    <x v="38"/>
    <x v="113"/>
    <x v="5547"/>
    <x v="0"/>
    <x v="0"/>
    <x v="3310"/>
    <x v="111"/>
    <x v="1972"/>
    <x v="324"/>
  </r>
  <r>
    <x v="38"/>
    <x v="114"/>
    <x v="5548"/>
    <x v="0"/>
    <x v="0"/>
    <x v="3006"/>
    <x v="111"/>
    <x v="1973"/>
    <x v="324"/>
  </r>
  <r>
    <x v="38"/>
    <x v="115"/>
    <x v="5549"/>
    <x v="0"/>
    <x v="0"/>
    <x v="2287"/>
    <x v="112"/>
    <x v="1974"/>
    <x v="324"/>
  </r>
  <r>
    <x v="38"/>
    <x v="116"/>
    <x v="5550"/>
    <x v="0"/>
    <x v="0"/>
    <x v="3309"/>
    <x v="113"/>
    <x v="1975"/>
    <x v="324"/>
  </r>
  <r>
    <x v="38"/>
    <x v="117"/>
    <x v="5551"/>
    <x v="0"/>
    <x v="0"/>
    <x v="1065"/>
    <x v="114"/>
    <x v="1976"/>
    <x v="324"/>
  </r>
  <r>
    <x v="38"/>
    <x v="118"/>
    <x v="5552"/>
    <x v="0"/>
    <x v="0"/>
    <x v="2742"/>
    <x v="115"/>
    <x v="1977"/>
    <x v="324"/>
  </r>
  <r>
    <x v="38"/>
    <x v="119"/>
    <x v="5553"/>
    <x v="0"/>
    <x v="0"/>
    <x v="626"/>
    <x v="106"/>
    <x v="1978"/>
    <x v="324"/>
  </r>
  <r>
    <x v="38"/>
    <x v="120"/>
    <x v="5554"/>
    <x v="0"/>
    <x v="0"/>
    <x v="1029"/>
    <x v="116"/>
    <x v="1979"/>
    <x v="324"/>
  </r>
  <r>
    <x v="38"/>
    <x v="121"/>
    <x v="5555"/>
    <x v="0"/>
    <x v="0"/>
    <x v="3311"/>
    <x v="117"/>
    <x v="1980"/>
    <x v="324"/>
  </r>
  <r>
    <x v="38"/>
    <x v="122"/>
    <x v="5556"/>
    <x v="0"/>
    <x v="0"/>
    <x v="3312"/>
    <x v="118"/>
    <x v="1981"/>
    <x v="324"/>
  </r>
  <r>
    <x v="38"/>
    <x v="123"/>
    <x v="5557"/>
    <x v="0"/>
    <x v="0"/>
    <x v="3313"/>
    <x v="119"/>
    <x v="1982"/>
    <x v="324"/>
  </r>
  <r>
    <x v="38"/>
    <x v="124"/>
    <x v="5558"/>
    <x v="0"/>
    <x v="0"/>
    <x v="3314"/>
    <x v="120"/>
    <x v="1983"/>
    <x v="324"/>
  </r>
  <r>
    <x v="38"/>
    <x v="125"/>
    <x v="5559"/>
    <x v="0"/>
    <x v="0"/>
    <x v="2346"/>
    <x v="121"/>
    <x v="1984"/>
    <x v="324"/>
  </r>
  <r>
    <x v="38"/>
    <x v="126"/>
    <x v="5560"/>
    <x v="0"/>
    <x v="0"/>
    <x v="664"/>
    <x v="122"/>
    <x v="1985"/>
    <x v="325"/>
  </r>
  <r>
    <x v="38"/>
    <x v="127"/>
    <x v="5561"/>
    <x v="0"/>
    <x v="0"/>
    <x v="3249"/>
    <x v="123"/>
    <x v="1986"/>
    <x v="325"/>
  </r>
  <r>
    <x v="38"/>
    <x v="128"/>
    <x v="5562"/>
    <x v="0"/>
    <x v="0"/>
    <x v="3315"/>
    <x v="124"/>
    <x v="1987"/>
    <x v="325"/>
  </r>
  <r>
    <x v="38"/>
    <x v="129"/>
    <x v="5563"/>
    <x v="0"/>
    <x v="0"/>
    <x v="3316"/>
    <x v="125"/>
    <x v="1988"/>
    <x v="325"/>
  </r>
  <r>
    <x v="38"/>
    <x v="130"/>
    <x v="5564"/>
    <x v="0"/>
    <x v="0"/>
    <x v="3317"/>
    <x v="126"/>
    <x v="1989"/>
    <x v="325"/>
  </r>
  <r>
    <x v="38"/>
    <x v="131"/>
    <x v="5565"/>
    <x v="0"/>
    <x v="0"/>
    <x v="3318"/>
    <x v="127"/>
    <x v="1990"/>
    <x v="325"/>
  </r>
  <r>
    <x v="38"/>
    <x v="132"/>
    <x v="5566"/>
    <x v="0"/>
    <x v="0"/>
    <x v="3319"/>
    <x v="128"/>
    <x v="1991"/>
    <x v="325"/>
  </r>
  <r>
    <x v="38"/>
    <x v="133"/>
    <x v="5567"/>
    <x v="0"/>
    <x v="0"/>
    <x v="134"/>
    <x v="129"/>
    <x v="1992"/>
    <x v="325"/>
  </r>
  <r>
    <x v="38"/>
    <x v="134"/>
    <x v="5568"/>
    <x v="0"/>
    <x v="0"/>
    <x v="566"/>
    <x v="77"/>
    <x v="1993"/>
    <x v="325"/>
  </r>
  <r>
    <x v="38"/>
    <x v="135"/>
    <x v="5569"/>
    <x v="0"/>
    <x v="1"/>
    <x v="3320"/>
    <x v="130"/>
    <x v="1994"/>
    <x v="325"/>
  </r>
  <r>
    <x v="38"/>
    <x v="136"/>
    <x v="5570"/>
    <x v="0"/>
    <x v="0"/>
    <x v="3135"/>
    <x v="131"/>
    <x v="1995"/>
    <x v="325"/>
  </r>
  <r>
    <x v="38"/>
    <x v="137"/>
    <x v="5571"/>
    <x v="0"/>
    <x v="0"/>
    <x v="3321"/>
    <x v="132"/>
    <x v="1996"/>
    <x v="325"/>
  </r>
  <r>
    <x v="38"/>
    <x v="138"/>
    <x v="5572"/>
    <x v="0"/>
    <x v="0"/>
    <x v="3134"/>
    <x v="133"/>
    <x v="1997"/>
    <x v="325"/>
  </r>
  <r>
    <x v="38"/>
    <x v="139"/>
    <x v="5573"/>
    <x v="0"/>
    <x v="0"/>
    <x v="389"/>
    <x v="134"/>
    <x v="1998"/>
    <x v="326"/>
  </r>
  <r>
    <x v="38"/>
    <x v="140"/>
    <x v="5574"/>
    <x v="0"/>
    <x v="0"/>
    <x v="3322"/>
    <x v="135"/>
    <x v="1999"/>
    <x v="326"/>
  </r>
  <r>
    <x v="38"/>
    <x v="141"/>
    <x v="5575"/>
    <x v="0"/>
    <x v="0"/>
    <x v="2707"/>
    <x v="71"/>
    <x v="2000"/>
    <x v="326"/>
  </r>
  <r>
    <x v="38"/>
    <x v="142"/>
    <x v="5576"/>
    <x v="0"/>
    <x v="0"/>
    <x v="3323"/>
    <x v="136"/>
    <x v="2001"/>
    <x v="326"/>
  </r>
  <r>
    <x v="39"/>
    <x v="0"/>
    <x v="5577"/>
    <x v="1"/>
    <x v="0"/>
    <x v="3324"/>
    <x v="258"/>
    <x v="1430"/>
    <x v="225"/>
  </r>
  <r>
    <x v="39"/>
    <x v="1"/>
    <x v="5578"/>
    <x v="1"/>
    <x v="1"/>
    <x v="3325"/>
    <x v="40"/>
    <x v="1431"/>
    <x v="225"/>
  </r>
  <r>
    <x v="39"/>
    <x v="2"/>
    <x v="5579"/>
    <x v="1"/>
    <x v="0"/>
    <x v="3326"/>
    <x v="769"/>
    <x v="1432"/>
    <x v="225"/>
  </r>
  <r>
    <x v="39"/>
    <x v="3"/>
    <x v="5580"/>
    <x v="1"/>
    <x v="0"/>
    <x v="3327"/>
    <x v="770"/>
    <x v="1433"/>
    <x v="225"/>
  </r>
  <r>
    <x v="39"/>
    <x v="4"/>
    <x v="5581"/>
    <x v="1"/>
    <x v="0"/>
    <x v="828"/>
    <x v="257"/>
    <x v="1434"/>
    <x v="225"/>
  </r>
  <r>
    <x v="39"/>
    <x v="5"/>
    <x v="5582"/>
    <x v="1"/>
    <x v="0"/>
    <x v="3328"/>
    <x v="148"/>
    <x v="1435"/>
    <x v="225"/>
  </r>
  <r>
    <x v="39"/>
    <x v="6"/>
    <x v="5583"/>
    <x v="1"/>
    <x v="0"/>
    <x v="3329"/>
    <x v="771"/>
    <x v="1436"/>
    <x v="225"/>
  </r>
  <r>
    <x v="39"/>
    <x v="7"/>
    <x v="5584"/>
    <x v="1"/>
    <x v="0"/>
    <x v="2607"/>
    <x v="544"/>
    <x v="1437"/>
    <x v="225"/>
  </r>
  <r>
    <x v="39"/>
    <x v="8"/>
    <x v="5585"/>
    <x v="1"/>
    <x v="0"/>
    <x v="1702"/>
    <x v="15"/>
    <x v="1438"/>
    <x v="226"/>
  </r>
  <r>
    <x v="39"/>
    <x v="9"/>
    <x v="5586"/>
    <x v="1"/>
    <x v="0"/>
    <x v="3330"/>
    <x v="543"/>
    <x v="1439"/>
    <x v="226"/>
  </r>
  <r>
    <x v="39"/>
    <x v="10"/>
    <x v="5587"/>
    <x v="1"/>
    <x v="0"/>
    <x v="3331"/>
    <x v="709"/>
    <x v="1440"/>
    <x v="226"/>
  </r>
  <r>
    <x v="39"/>
    <x v="11"/>
    <x v="5588"/>
    <x v="1"/>
    <x v="0"/>
    <x v="1824"/>
    <x v="772"/>
    <x v="1441"/>
    <x v="226"/>
  </r>
  <r>
    <x v="39"/>
    <x v="12"/>
    <x v="5589"/>
    <x v="1"/>
    <x v="0"/>
    <x v="4"/>
    <x v="374"/>
    <x v="1442"/>
    <x v="226"/>
  </r>
  <r>
    <x v="39"/>
    <x v="13"/>
    <x v="5590"/>
    <x v="1"/>
    <x v="0"/>
    <x v="1155"/>
    <x v="773"/>
    <x v="1443"/>
    <x v="226"/>
  </r>
  <r>
    <x v="39"/>
    <x v="14"/>
    <x v="5591"/>
    <x v="1"/>
    <x v="0"/>
    <x v="187"/>
    <x v="48"/>
    <x v="1444"/>
    <x v="226"/>
  </r>
  <r>
    <x v="39"/>
    <x v="15"/>
    <x v="5592"/>
    <x v="1"/>
    <x v="0"/>
    <x v="1191"/>
    <x v="382"/>
    <x v="1445"/>
    <x v="226"/>
  </r>
  <r>
    <x v="39"/>
    <x v="16"/>
    <x v="5593"/>
    <x v="1"/>
    <x v="0"/>
    <x v="2846"/>
    <x v="774"/>
    <x v="1446"/>
    <x v="226"/>
  </r>
  <r>
    <x v="39"/>
    <x v="17"/>
    <x v="5594"/>
    <x v="0"/>
    <x v="0"/>
    <x v="3332"/>
    <x v="775"/>
    <x v="1447"/>
    <x v="226"/>
  </r>
  <r>
    <x v="39"/>
    <x v="18"/>
    <x v="5595"/>
    <x v="1"/>
    <x v="0"/>
    <x v="2797"/>
    <x v="545"/>
    <x v="1448"/>
    <x v="226"/>
  </r>
  <r>
    <x v="39"/>
    <x v="19"/>
    <x v="5596"/>
    <x v="1"/>
    <x v="0"/>
    <x v="280"/>
    <x v="148"/>
    <x v="1449"/>
    <x v="226"/>
  </r>
  <r>
    <x v="39"/>
    <x v="20"/>
    <x v="5597"/>
    <x v="1"/>
    <x v="0"/>
    <x v="3333"/>
    <x v="147"/>
    <x v="1450"/>
    <x v="226"/>
  </r>
  <r>
    <x v="39"/>
    <x v="21"/>
    <x v="5598"/>
    <x v="0"/>
    <x v="0"/>
    <x v="3334"/>
    <x v="622"/>
    <x v="1451"/>
    <x v="227"/>
  </r>
  <r>
    <x v="39"/>
    <x v="22"/>
    <x v="5599"/>
    <x v="0"/>
    <x v="0"/>
    <x v="1164"/>
    <x v="776"/>
    <x v="1452"/>
    <x v="227"/>
  </r>
  <r>
    <x v="39"/>
    <x v="23"/>
    <x v="5600"/>
    <x v="1"/>
    <x v="0"/>
    <x v="3335"/>
    <x v="777"/>
    <x v="1453"/>
    <x v="227"/>
  </r>
  <r>
    <x v="39"/>
    <x v="24"/>
    <x v="5601"/>
    <x v="1"/>
    <x v="0"/>
    <x v="2648"/>
    <x v="609"/>
    <x v="1454"/>
    <x v="227"/>
  </r>
  <r>
    <x v="39"/>
    <x v="25"/>
    <x v="5602"/>
    <x v="1"/>
    <x v="0"/>
    <x v="3336"/>
    <x v="778"/>
    <x v="1455"/>
    <x v="227"/>
  </r>
  <r>
    <x v="39"/>
    <x v="26"/>
    <x v="5603"/>
    <x v="0"/>
    <x v="0"/>
    <x v="142"/>
    <x v="778"/>
    <x v="1456"/>
    <x v="227"/>
  </r>
  <r>
    <x v="39"/>
    <x v="27"/>
    <x v="5604"/>
    <x v="1"/>
    <x v="0"/>
    <x v="3337"/>
    <x v="147"/>
    <x v="1457"/>
    <x v="227"/>
  </r>
  <r>
    <x v="39"/>
    <x v="28"/>
    <x v="5605"/>
    <x v="1"/>
    <x v="0"/>
    <x v="2029"/>
    <x v="777"/>
    <x v="1458"/>
    <x v="227"/>
  </r>
  <r>
    <x v="39"/>
    <x v="29"/>
    <x v="5606"/>
    <x v="1"/>
    <x v="0"/>
    <x v="3338"/>
    <x v="9"/>
    <x v="1459"/>
    <x v="227"/>
  </r>
  <r>
    <x v="39"/>
    <x v="30"/>
    <x v="5607"/>
    <x v="1"/>
    <x v="0"/>
    <x v="1658"/>
    <x v="41"/>
    <x v="1460"/>
    <x v="227"/>
  </r>
  <r>
    <x v="39"/>
    <x v="31"/>
    <x v="5608"/>
    <x v="1"/>
    <x v="1"/>
    <x v="3339"/>
    <x v="253"/>
    <x v="1461"/>
    <x v="227"/>
  </r>
  <r>
    <x v="39"/>
    <x v="32"/>
    <x v="5609"/>
    <x v="1"/>
    <x v="0"/>
    <x v="2996"/>
    <x v="37"/>
    <x v="1462"/>
    <x v="227"/>
  </r>
  <r>
    <x v="39"/>
    <x v="33"/>
    <x v="5610"/>
    <x v="1"/>
    <x v="0"/>
    <x v="3340"/>
    <x v="166"/>
    <x v="1463"/>
    <x v="227"/>
  </r>
  <r>
    <x v="39"/>
    <x v="34"/>
    <x v="5611"/>
    <x v="1"/>
    <x v="0"/>
    <x v="235"/>
    <x v="253"/>
    <x v="1464"/>
    <x v="228"/>
  </r>
  <r>
    <x v="39"/>
    <x v="35"/>
    <x v="5612"/>
    <x v="1"/>
    <x v="0"/>
    <x v="1411"/>
    <x v="256"/>
    <x v="1465"/>
    <x v="228"/>
  </r>
  <r>
    <x v="39"/>
    <x v="36"/>
    <x v="5613"/>
    <x v="1"/>
    <x v="0"/>
    <x v="3341"/>
    <x v="779"/>
    <x v="1466"/>
    <x v="228"/>
  </r>
  <r>
    <x v="39"/>
    <x v="37"/>
    <x v="5614"/>
    <x v="1"/>
    <x v="0"/>
    <x v="3342"/>
    <x v="695"/>
    <x v="1467"/>
    <x v="228"/>
  </r>
  <r>
    <x v="39"/>
    <x v="38"/>
    <x v="5615"/>
    <x v="1"/>
    <x v="0"/>
    <x v="678"/>
    <x v="696"/>
    <x v="1468"/>
    <x v="228"/>
  </r>
  <r>
    <x v="39"/>
    <x v="39"/>
    <x v="5616"/>
    <x v="1"/>
    <x v="0"/>
    <x v="418"/>
    <x v="696"/>
    <x v="1469"/>
    <x v="228"/>
  </r>
  <r>
    <x v="39"/>
    <x v="40"/>
    <x v="5617"/>
    <x v="1"/>
    <x v="0"/>
    <x v="3343"/>
    <x v="382"/>
    <x v="1470"/>
    <x v="228"/>
  </r>
  <r>
    <x v="39"/>
    <x v="41"/>
    <x v="5618"/>
    <x v="1"/>
    <x v="0"/>
    <x v="3344"/>
    <x v="780"/>
    <x v="1471"/>
    <x v="228"/>
  </r>
  <r>
    <x v="39"/>
    <x v="42"/>
    <x v="5619"/>
    <x v="0"/>
    <x v="1"/>
    <x v="3345"/>
    <x v="781"/>
    <x v="1472"/>
    <x v="228"/>
  </r>
  <r>
    <x v="39"/>
    <x v="43"/>
    <x v="5620"/>
    <x v="1"/>
    <x v="0"/>
    <x v="3346"/>
    <x v="54"/>
    <x v="1473"/>
    <x v="228"/>
  </r>
  <r>
    <x v="39"/>
    <x v="44"/>
    <x v="5621"/>
    <x v="0"/>
    <x v="0"/>
    <x v="896"/>
    <x v="782"/>
    <x v="1474"/>
    <x v="228"/>
  </r>
  <r>
    <x v="39"/>
    <x v="45"/>
    <x v="5622"/>
    <x v="0"/>
    <x v="0"/>
    <x v="3347"/>
    <x v="783"/>
    <x v="1475"/>
    <x v="228"/>
  </r>
  <r>
    <x v="39"/>
    <x v="46"/>
    <x v="5623"/>
    <x v="0"/>
    <x v="0"/>
    <x v="3348"/>
    <x v="784"/>
    <x v="1476"/>
    <x v="228"/>
  </r>
  <r>
    <x v="39"/>
    <x v="47"/>
    <x v="5624"/>
    <x v="1"/>
    <x v="1"/>
    <x v="3349"/>
    <x v="785"/>
    <x v="1477"/>
    <x v="228"/>
  </r>
  <r>
    <x v="39"/>
    <x v="48"/>
    <x v="5625"/>
    <x v="1"/>
    <x v="0"/>
    <x v="1635"/>
    <x v="638"/>
    <x v="1478"/>
    <x v="229"/>
  </r>
  <r>
    <x v="39"/>
    <x v="49"/>
    <x v="5626"/>
    <x v="1"/>
    <x v="0"/>
    <x v="3350"/>
    <x v="786"/>
    <x v="1479"/>
    <x v="229"/>
  </r>
  <r>
    <x v="39"/>
    <x v="50"/>
    <x v="5627"/>
    <x v="1"/>
    <x v="0"/>
    <x v="3351"/>
    <x v="288"/>
    <x v="1480"/>
    <x v="229"/>
  </r>
  <r>
    <x v="39"/>
    <x v="51"/>
    <x v="5628"/>
    <x v="1"/>
    <x v="0"/>
    <x v="3352"/>
    <x v="787"/>
    <x v="1481"/>
    <x v="229"/>
  </r>
  <r>
    <x v="39"/>
    <x v="52"/>
    <x v="5629"/>
    <x v="1"/>
    <x v="0"/>
    <x v="3353"/>
    <x v="788"/>
    <x v="1482"/>
    <x v="229"/>
  </r>
  <r>
    <x v="39"/>
    <x v="53"/>
    <x v="5630"/>
    <x v="1"/>
    <x v="1"/>
    <x v="3354"/>
    <x v="714"/>
    <x v="1483"/>
    <x v="229"/>
  </r>
  <r>
    <x v="39"/>
    <x v="54"/>
    <x v="5631"/>
    <x v="1"/>
    <x v="0"/>
    <x v="3355"/>
    <x v="217"/>
    <x v="1484"/>
    <x v="229"/>
  </r>
  <r>
    <x v="39"/>
    <x v="55"/>
    <x v="5632"/>
    <x v="1"/>
    <x v="0"/>
    <x v="3356"/>
    <x v="789"/>
    <x v="1485"/>
    <x v="229"/>
  </r>
  <r>
    <x v="39"/>
    <x v="56"/>
    <x v="5633"/>
    <x v="1"/>
    <x v="0"/>
    <x v="3357"/>
    <x v="790"/>
    <x v="1486"/>
    <x v="229"/>
  </r>
  <r>
    <x v="39"/>
    <x v="57"/>
    <x v="5634"/>
    <x v="1"/>
    <x v="0"/>
    <x v="1730"/>
    <x v="505"/>
    <x v="1487"/>
    <x v="229"/>
  </r>
  <r>
    <x v="39"/>
    <x v="58"/>
    <x v="5635"/>
    <x v="1"/>
    <x v="0"/>
    <x v="1825"/>
    <x v="791"/>
    <x v="1488"/>
    <x v="229"/>
  </r>
  <r>
    <x v="39"/>
    <x v="59"/>
    <x v="5636"/>
    <x v="1"/>
    <x v="0"/>
    <x v="2427"/>
    <x v="603"/>
    <x v="1489"/>
    <x v="229"/>
  </r>
  <r>
    <x v="39"/>
    <x v="60"/>
    <x v="5637"/>
    <x v="1"/>
    <x v="0"/>
    <x v="1836"/>
    <x v="77"/>
    <x v="1490"/>
    <x v="230"/>
  </r>
  <r>
    <x v="39"/>
    <x v="61"/>
    <x v="5638"/>
    <x v="1"/>
    <x v="0"/>
    <x v="3358"/>
    <x v="646"/>
    <x v="1491"/>
    <x v="230"/>
  </r>
  <r>
    <x v="39"/>
    <x v="62"/>
    <x v="5639"/>
    <x v="1"/>
    <x v="0"/>
    <x v="1987"/>
    <x v="792"/>
    <x v="1492"/>
    <x v="230"/>
  </r>
  <r>
    <x v="39"/>
    <x v="63"/>
    <x v="5640"/>
    <x v="1"/>
    <x v="0"/>
    <x v="2873"/>
    <x v="793"/>
    <x v="1493"/>
    <x v="230"/>
  </r>
  <r>
    <x v="39"/>
    <x v="64"/>
    <x v="5641"/>
    <x v="1"/>
    <x v="0"/>
    <x v="2829"/>
    <x v="794"/>
    <x v="1494"/>
    <x v="230"/>
  </r>
  <r>
    <x v="39"/>
    <x v="65"/>
    <x v="5642"/>
    <x v="1"/>
    <x v="0"/>
    <x v="184"/>
    <x v="795"/>
    <x v="1495"/>
    <x v="230"/>
  </r>
  <r>
    <x v="39"/>
    <x v="66"/>
    <x v="5643"/>
    <x v="1"/>
    <x v="0"/>
    <x v="2684"/>
    <x v="796"/>
    <x v="1496"/>
    <x v="230"/>
  </r>
  <r>
    <x v="39"/>
    <x v="67"/>
    <x v="5644"/>
    <x v="1"/>
    <x v="0"/>
    <x v="3359"/>
    <x v="797"/>
    <x v="1497"/>
    <x v="230"/>
  </r>
  <r>
    <x v="39"/>
    <x v="68"/>
    <x v="5645"/>
    <x v="1"/>
    <x v="0"/>
    <x v="3300"/>
    <x v="798"/>
    <x v="1498"/>
    <x v="230"/>
  </r>
  <r>
    <x v="39"/>
    <x v="69"/>
    <x v="5646"/>
    <x v="0"/>
    <x v="0"/>
    <x v="1271"/>
    <x v="799"/>
    <x v="1499"/>
    <x v="230"/>
  </r>
  <r>
    <x v="39"/>
    <x v="70"/>
    <x v="5647"/>
    <x v="1"/>
    <x v="0"/>
    <x v="1894"/>
    <x v="800"/>
    <x v="1500"/>
    <x v="230"/>
  </r>
  <r>
    <x v="39"/>
    <x v="71"/>
    <x v="5648"/>
    <x v="1"/>
    <x v="0"/>
    <x v="3360"/>
    <x v="801"/>
    <x v="1501"/>
    <x v="230"/>
  </r>
  <r>
    <x v="39"/>
    <x v="72"/>
    <x v="5649"/>
    <x v="1"/>
    <x v="0"/>
    <x v="957"/>
    <x v="802"/>
    <x v="1502"/>
    <x v="230"/>
  </r>
  <r>
    <x v="39"/>
    <x v="73"/>
    <x v="5650"/>
    <x v="0"/>
    <x v="0"/>
    <x v="3361"/>
    <x v="606"/>
    <x v="1503"/>
    <x v="231"/>
  </r>
  <r>
    <x v="39"/>
    <x v="74"/>
    <x v="5651"/>
    <x v="0"/>
    <x v="0"/>
    <x v="3362"/>
    <x v="425"/>
    <x v="1504"/>
    <x v="231"/>
  </r>
  <r>
    <x v="39"/>
    <x v="75"/>
    <x v="5652"/>
    <x v="1"/>
    <x v="0"/>
    <x v="2847"/>
    <x v="426"/>
    <x v="1505"/>
    <x v="231"/>
  </r>
  <r>
    <x v="39"/>
    <x v="76"/>
    <x v="5653"/>
    <x v="1"/>
    <x v="0"/>
    <x v="493"/>
    <x v="441"/>
    <x v="1506"/>
    <x v="231"/>
  </r>
  <r>
    <x v="39"/>
    <x v="77"/>
    <x v="5654"/>
    <x v="1"/>
    <x v="0"/>
    <x v="3363"/>
    <x v="496"/>
    <x v="1507"/>
    <x v="231"/>
  </r>
  <r>
    <x v="39"/>
    <x v="78"/>
    <x v="5655"/>
    <x v="0"/>
    <x v="0"/>
    <x v="3364"/>
    <x v="338"/>
    <x v="1508"/>
    <x v="231"/>
  </r>
  <r>
    <x v="39"/>
    <x v="79"/>
    <x v="5656"/>
    <x v="1"/>
    <x v="0"/>
    <x v="3365"/>
    <x v="803"/>
    <x v="1509"/>
    <x v="231"/>
  </r>
  <r>
    <x v="39"/>
    <x v="80"/>
    <x v="5657"/>
    <x v="1"/>
    <x v="0"/>
    <x v="1461"/>
    <x v="227"/>
    <x v="1510"/>
    <x v="231"/>
  </r>
  <r>
    <x v="39"/>
    <x v="81"/>
    <x v="5658"/>
    <x v="1"/>
    <x v="0"/>
    <x v="2402"/>
    <x v="724"/>
    <x v="1511"/>
    <x v="231"/>
  </r>
  <r>
    <x v="39"/>
    <x v="82"/>
    <x v="5659"/>
    <x v="1"/>
    <x v="0"/>
    <x v="2765"/>
    <x v="425"/>
    <x v="1512"/>
    <x v="231"/>
  </r>
  <r>
    <x v="39"/>
    <x v="83"/>
    <x v="5660"/>
    <x v="1"/>
    <x v="1"/>
    <x v="3366"/>
    <x v="592"/>
    <x v="1513"/>
    <x v="231"/>
  </r>
  <r>
    <x v="39"/>
    <x v="84"/>
    <x v="5661"/>
    <x v="1"/>
    <x v="0"/>
    <x v="1110"/>
    <x v="592"/>
    <x v="1514"/>
    <x v="231"/>
  </r>
  <r>
    <x v="39"/>
    <x v="85"/>
    <x v="5662"/>
    <x v="1"/>
    <x v="0"/>
    <x v="2684"/>
    <x v="804"/>
    <x v="1515"/>
    <x v="231"/>
  </r>
  <r>
    <x v="39"/>
    <x v="86"/>
    <x v="5663"/>
    <x v="1"/>
    <x v="0"/>
    <x v="3367"/>
    <x v="76"/>
    <x v="1516"/>
    <x v="231"/>
  </r>
  <r>
    <x v="39"/>
    <x v="87"/>
    <x v="5664"/>
    <x v="0"/>
    <x v="0"/>
    <x v="637"/>
    <x v="805"/>
    <x v="1517"/>
    <x v="232"/>
  </r>
  <r>
    <x v="39"/>
    <x v="88"/>
    <x v="5665"/>
    <x v="1"/>
    <x v="0"/>
    <x v="3368"/>
    <x v="661"/>
    <x v="1518"/>
    <x v="232"/>
  </r>
  <r>
    <x v="39"/>
    <x v="89"/>
    <x v="5666"/>
    <x v="1"/>
    <x v="0"/>
    <x v="588"/>
    <x v="194"/>
    <x v="1519"/>
    <x v="232"/>
  </r>
  <r>
    <x v="39"/>
    <x v="90"/>
    <x v="5667"/>
    <x v="1"/>
    <x v="0"/>
    <x v="511"/>
    <x v="806"/>
    <x v="1520"/>
    <x v="232"/>
  </r>
  <r>
    <x v="39"/>
    <x v="91"/>
    <x v="5668"/>
    <x v="1"/>
    <x v="0"/>
    <x v="49"/>
    <x v="807"/>
    <x v="1521"/>
    <x v="232"/>
  </r>
  <r>
    <x v="39"/>
    <x v="92"/>
    <x v="5669"/>
    <x v="1"/>
    <x v="0"/>
    <x v="3369"/>
    <x v="195"/>
    <x v="1522"/>
    <x v="232"/>
  </r>
  <r>
    <x v="39"/>
    <x v="93"/>
    <x v="5670"/>
    <x v="1"/>
    <x v="0"/>
    <x v="3370"/>
    <x v="128"/>
    <x v="1523"/>
    <x v="232"/>
  </r>
  <r>
    <x v="39"/>
    <x v="94"/>
    <x v="5671"/>
    <x v="0"/>
    <x v="1"/>
    <x v="3371"/>
    <x v="808"/>
    <x v="1524"/>
    <x v="232"/>
  </r>
  <r>
    <x v="39"/>
    <x v="95"/>
    <x v="5672"/>
    <x v="0"/>
    <x v="0"/>
    <x v="1"/>
    <x v="117"/>
    <x v="1525"/>
    <x v="232"/>
  </r>
  <r>
    <x v="39"/>
    <x v="96"/>
    <x v="5673"/>
    <x v="0"/>
    <x v="0"/>
    <x v="1951"/>
    <x v="809"/>
    <x v="1526"/>
    <x v="232"/>
  </r>
  <r>
    <x v="39"/>
    <x v="97"/>
    <x v="5674"/>
    <x v="0"/>
    <x v="0"/>
    <x v="881"/>
    <x v="579"/>
    <x v="1527"/>
    <x v="232"/>
  </r>
  <r>
    <x v="39"/>
    <x v="98"/>
    <x v="5675"/>
    <x v="0"/>
    <x v="0"/>
    <x v="3372"/>
    <x v="665"/>
    <x v="1528"/>
    <x v="232"/>
  </r>
  <r>
    <x v="39"/>
    <x v="99"/>
    <x v="5676"/>
    <x v="1"/>
    <x v="1"/>
    <x v="2477"/>
    <x v="720"/>
    <x v="1529"/>
    <x v="232"/>
  </r>
  <r>
    <x v="39"/>
    <x v="100"/>
    <x v="5677"/>
    <x v="1"/>
    <x v="0"/>
    <x v="3373"/>
    <x v="810"/>
    <x v="1530"/>
    <x v="233"/>
  </r>
  <r>
    <x v="39"/>
    <x v="101"/>
    <x v="5678"/>
    <x v="1"/>
    <x v="0"/>
    <x v="797"/>
    <x v="79"/>
    <x v="1531"/>
    <x v="233"/>
  </r>
  <r>
    <x v="39"/>
    <x v="102"/>
    <x v="5679"/>
    <x v="1"/>
    <x v="0"/>
    <x v="3374"/>
    <x v="305"/>
    <x v="1532"/>
    <x v="233"/>
  </r>
  <r>
    <x v="39"/>
    <x v="103"/>
    <x v="5680"/>
    <x v="1"/>
    <x v="0"/>
    <x v="3375"/>
    <x v="811"/>
    <x v="1533"/>
    <x v="233"/>
  </r>
  <r>
    <x v="39"/>
    <x v="104"/>
    <x v="5681"/>
    <x v="1"/>
    <x v="0"/>
    <x v="3376"/>
    <x v="805"/>
    <x v="1534"/>
    <x v="233"/>
  </r>
  <r>
    <x v="39"/>
    <x v="105"/>
    <x v="5682"/>
    <x v="1"/>
    <x v="1"/>
    <x v="3377"/>
    <x v="559"/>
    <x v="1535"/>
    <x v="233"/>
  </r>
  <r>
    <x v="39"/>
    <x v="106"/>
    <x v="5683"/>
    <x v="1"/>
    <x v="0"/>
    <x v="831"/>
    <x v="657"/>
    <x v="1536"/>
    <x v="233"/>
  </r>
  <r>
    <x v="39"/>
    <x v="107"/>
    <x v="5684"/>
    <x v="1"/>
    <x v="0"/>
    <x v="1805"/>
    <x v="812"/>
    <x v="1537"/>
    <x v="233"/>
  </r>
  <r>
    <x v="39"/>
    <x v="108"/>
    <x v="5685"/>
    <x v="1"/>
    <x v="0"/>
    <x v="3378"/>
    <x v="426"/>
    <x v="1538"/>
    <x v="233"/>
  </r>
  <r>
    <x v="39"/>
    <x v="109"/>
    <x v="5686"/>
    <x v="1"/>
    <x v="0"/>
    <x v="3379"/>
    <x v="813"/>
    <x v="1539"/>
    <x v="233"/>
  </r>
  <r>
    <x v="39"/>
    <x v="110"/>
    <x v="5687"/>
    <x v="1"/>
    <x v="0"/>
    <x v="1602"/>
    <x v="685"/>
    <x v="1540"/>
    <x v="233"/>
  </r>
  <r>
    <x v="39"/>
    <x v="111"/>
    <x v="5688"/>
    <x v="1"/>
    <x v="0"/>
    <x v="1456"/>
    <x v="679"/>
    <x v="1541"/>
    <x v="233"/>
  </r>
  <r>
    <x v="39"/>
    <x v="112"/>
    <x v="5689"/>
    <x v="1"/>
    <x v="0"/>
    <x v="2458"/>
    <x v="814"/>
    <x v="1542"/>
    <x v="233"/>
  </r>
  <r>
    <x v="39"/>
    <x v="113"/>
    <x v="5690"/>
    <x v="0"/>
    <x v="0"/>
    <x v="3380"/>
    <x v="815"/>
    <x v="1543"/>
    <x v="234"/>
  </r>
  <r>
    <x v="39"/>
    <x v="114"/>
    <x v="5691"/>
    <x v="1"/>
    <x v="0"/>
    <x v="875"/>
    <x v="731"/>
    <x v="1544"/>
    <x v="234"/>
  </r>
  <r>
    <x v="39"/>
    <x v="115"/>
    <x v="5692"/>
    <x v="1"/>
    <x v="0"/>
    <x v="2499"/>
    <x v="648"/>
    <x v="1545"/>
    <x v="234"/>
  </r>
  <r>
    <x v="39"/>
    <x v="116"/>
    <x v="5693"/>
    <x v="1"/>
    <x v="0"/>
    <x v="2931"/>
    <x v="816"/>
    <x v="1546"/>
    <x v="234"/>
  </r>
  <r>
    <x v="39"/>
    <x v="117"/>
    <x v="5694"/>
    <x v="1"/>
    <x v="0"/>
    <x v="3381"/>
    <x v="817"/>
    <x v="1547"/>
    <x v="234"/>
  </r>
  <r>
    <x v="39"/>
    <x v="118"/>
    <x v="5695"/>
    <x v="1"/>
    <x v="0"/>
    <x v="1596"/>
    <x v="818"/>
    <x v="1548"/>
    <x v="234"/>
  </r>
  <r>
    <x v="39"/>
    <x v="119"/>
    <x v="5696"/>
    <x v="1"/>
    <x v="0"/>
    <x v="3382"/>
    <x v="65"/>
    <x v="1549"/>
    <x v="234"/>
  </r>
  <r>
    <x v="39"/>
    <x v="120"/>
    <x v="5697"/>
    <x v="1"/>
    <x v="0"/>
    <x v="3361"/>
    <x v="819"/>
    <x v="1550"/>
    <x v="234"/>
  </r>
  <r>
    <x v="39"/>
    <x v="121"/>
    <x v="5698"/>
    <x v="1"/>
    <x v="0"/>
    <x v="3383"/>
    <x v="424"/>
    <x v="1551"/>
    <x v="234"/>
  </r>
  <r>
    <x v="39"/>
    <x v="122"/>
    <x v="5699"/>
    <x v="0"/>
    <x v="0"/>
    <x v="1854"/>
    <x v="820"/>
    <x v="1552"/>
    <x v="234"/>
  </r>
  <r>
    <x v="39"/>
    <x v="123"/>
    <x v="5700"/>
    <x v="1"/>
    <x v="0"/>
    <x v="2372"/>
    <x v="192"/>
    <x v="1553"/>
    <x v="234"/>
  </r>
  <r>
    <x v="39"/>
    <x v="124"/>
    <x v="5701"/>
    <x v="1"/>
    <x v="0"/>
    <x v="1650"/>
    <x v="821"/>
    <x v="1554"/>
    <x v="234"/>
  </r>
  <r>
    <x v="39"/>
    <x v="125"/>
    <x v="5702"/>
    <x v="1"/>
    <x v="0"/>
    <x v="3384"/>
    <x v="822"/>
    <x v="1555"/>
    <x v="234"/>
  </r>
  <r>
    <x v="39"/>
    <x v="126"/>
    <x v="5703"/>
    <x v="0"/>
    <x v="0"/>
    <x v="1066"/>
    <x v="312"/>
    <x v="1556"/>
    <x v="235"/>
  </r>
  <r>
    <x v="39"/>
    <x v="127"/>
    <x v="5704"/>
    <x v="1"/>
    <x v="0"/>
    <x v="3231"/>
    <x v="116"/>
    <x v="1557"/>
    <x v="235"/>
  </r>
  <r>
    <x v="39"/>
    <x v="128"/>
    <x v="5705"/>
    <x v="1"/>
    <x v="0"/>
    <x v="655"/>
    <x v="242"/>
    <x v="1558"/>
    <x v="235"/>
  </r>
  <r>
    <x v="39"/>
    <x v="129"/>
    <x v="5706"/>
    <x v="1"/>
    <x v="0"/>
    <x v="2846"/>
    <x v="430"/>
    <x v="1559"/>
    <x v="235"/>
  </r>
  <r>
    <x v="39"/>
    <x v="130"/>
    <x v="5707"/>
    <x v="0"/>
    <x v="0"/>
    <x v="1383"/>
    <x v="427"/>
    <x v="1560"/>
    <x v="235"/>
  </r>
  <r>
    <x v="39"/>
    <x v="131"/>
    <x v="5708"/>
    <x v="1"/>
    <x v="0"/>
    <x v="2100"/>
    <x v="407"/>
    <x v="1561"/>
    <x v="235"/>
  </r>
  <r>
    <x v="39"/>
    <x v="132"/>
    <x v="5709"/>
    <x v="1"/>
    <x v="0"/>
    <x v="3385"/>
    <x v="823"/>
    <x v="1562"/>
    <x v="235"/>
  </r>
  <r>
    <x v="39"/>
    <x v="133"/>
    <x v="5710"/>
    <x v="1"/>
    <x v="0"/>
    <x v="369"/>
    <x v="749"/>
    <x v="1563"/>
    <x v="235"/>
  </r>
  <r>
    <x v="39"/>
    <x v="134"/>
    <x v="5711"/>
    <x v="1"/>
    <x v="0"/>
    <x v="2280"/>
    <x v="824"/>
    <x v="1564"/>
    <x v="235"/>
  </r>
  <r>
    <x v="39"/>
    <x v="135"/>
    <x v="5712"/>
    <x v="0"/>
    <x v="1"/>
    <x v="2683"/>
    <x v="814"/>
    <x v="1565"/>
    <x v="235"/>
  </r>
  <r>
    <x v="39"/>
    <x v="136"/>
    <x v="5713"/>
    <x v="1"/>
    <x v="0"/>
    <x v="3386"/>
    <x v="794"/>
    <x v="1566"/>
    <x v="235"/>
  </r>
  <r>
    <x v="39"/>
    <x v="137"/>
    <x v="5714"/>
    <x v="1"/>
    <x v="0"/>
    <x v="1238"/>
    <x v="825"/>
    <x v="1567"/>
    <x v="235"/>
  </r>
  <r>
    <x v="39"/>
    <x v="138"/>
    <x v="5715"/>
    <x v="1"/>
    <x v="0"/>
    <x v="3387"/>
    <x v="826"/>
    <x v="1568"/>
    <x v="235"/>
  </r>
  <r>
    <x v="39"/>
    <x v="139"/>
    <x v="5716"/>
    <x v="0"/>
    <x v="0"/>
    <x v="3388"/>
    <x v="676"/>
    <x v="1569"/>
    <x v="236"/>
  </r>
  <r>
    <x v="39"/>
    <x v="140"/>
    <x v="5717"/>
    <x v="1"/>
    <x v="0"/>
    <x v="1931"/>
    <x v="758"/>
    <x v="1570"/>
    <x v="236"/>
  </r>
  <r>
    <x v="39"/>
    <x v="141"/>
    <x v="5718"/>
    <x v="1"/>
    <x v="0"/>
    <x v="44"/>
    <x v="689"/>
    <x v="1571"/>
    <x v="236"/>
  </r>
  <r>
    <x v="39"/>
    <x v="142"/>
    <x v="5719"/>
    <x v="1"/>
    <x v="0"/>
    <x v="3389"/>
    <x v="410"/>
    <x v="1572"/>
    <x v="236"/>
  </r>
  <r>
    <x v="40"/>
    <x v="0"/>
    <x v="5720"/>
    <x v="0"/>
    <x v="0"/>
    <x v="3390"/>
    <x v="248"/>
    <x v="858"/>
    <x v="327"/>
  </r>
  <r>
    <x v="40"/>
    <x v="1"/>
    <x v="5721"/>
    <x v="0"/>
    <x v="1"/>
    <x v="3391"/>
    <x v="0"/>
    <x v="859"/>
    <x v="327"/>
  </r>
  <r>
    <x v="40"/>
    <x v="2"/>
    <x v="5722"/>
    <x v="0"/>
    <x v="0"/>
    <x v="3392"/>
    <x v="249"/>
    <x v="860"/>
    <x v="327"/>
  </r>
  <r>
    <x v="40"/>
    <x v="3"/>
    <x v="5723"/>
    <x v="1"/>
    <x v="0"/>
    <x v="846"/>
    <x v="250"/>
    <x v="861"/>
    <x v="327"/>
  </r>
  <r>
    <x v="40"/>
    <x v="4"/>
    <x v="5724"/>
    <x v="0"/>
    <x v="0"/>
    <x v="3393"/>
    <x v="251"/>
    <x v="862"/>
    <x v="327"/>
  </r>
  <r>
    <x v="40"/>
    <x v="5"/>
    <x v="5725"/>
    <x v="1"/>
    <x v="0"/>
    <x v="2982"/>
    <x v="252"/>
    <x v="863"/>
    <x v="327"/>
  </r>
  <r>
    <x v="40"/>
    <x v="6"/>
    <x v="5726"/>
    <x v="1"/>
    <x v="0"/>
    <x v="3148"/>
    <x v="27"/>
    <x v="864"/>
    <x v="327"/>
  </r>
  <r>
    <x v="40"/>
    <x v="7"/>
    <x v="5727"/>
    <x v="1"/>
    <x v="0"/>
    <x v="3394"/>
    <x v="253"/>
    <x v="865"/>
    <x v="327"/>
  </r>
  <r>
    <x v="40"/>
    <x v="8"/>
    <x v="5728"/>
    <x v="0"/>
    <x v="0"/>
    <x v="516"/>
    <x v="36"/>
    <x v="866"/>
    <x v="328"/>
  </r>
  <r>
    <x v="40"/>
    <x v="9"/>
    <x v="5729"/>
    <x v="0"/>
    <x v="0"/>
    <x v="3395"/>
    <x v="254"/>
    <x v="867"/>
    <x v="328"/>
  </r>
  <r>
    <x v="40"/>
    <x v="10"/>
    <x v="5730"/>
    <x v="1"/>
    <x v="0"/>
    <x v="3396"/>
    <x v="255"/>
    <x v="868"/>
    <x v="328"/>
  </r>
  <r>
    <x v="40"/>
    <x v="11"/>
    <x v="5731"/>
    <x v="0"/>
    <x v="0"/>
    <x v="1989"/>
    <x v="256"/>
    <x v="869"/>
    <x v="328"/>
  </r>
  <r>
    <x v="40"/>
    <x v="12"/>
    <x v="5732"/>
    <x v="0"/>
    <x v="0"/>
    <x v="3397"/>
    <x v="257"/>
    <x v="870"/>
    <x v="328"/>
  </r>
  <r>
    <x v="40"/>
    <x v="13"/>
    <x v="5733"/>
    <x v="0"/>
    <x v="0"/>
    <x v="2641"/>
    <x v="40"/>
    <x v="871"/>
    <x v="328"/>
  </r>
  <r>
    <x v="40"/>
    <x v="14"/>
    <x v="5734"/>
    <x v="0"/>
    <x v="0"/>
    <x v="1737"/>
    <x v="258"/>
    <x v="872"/>
    <x v="328"/>
  </r>
  <r>
    <x v="40"/>
    <x v="15"/>
    <x v="5735"/>
    <x v="0"/>
    <x v="0"/>
    <x v="3398"/>
    <x v="256"/>
    <x v="873"/>
    <x v="328"/>
  </r>
  <r>
    <x v="40"/>
    <x v="16"/>
    <x v="5736"/>
    <x v="0"/>
    <x v="0"/>
    <x v="3399"/>
    <x v="259"/>
    <x v="874"/>
    <x v="328"/>
  </r>
  <r>
    <x v="40"/>
    <x v="17"/>
    <x v="5737"/>
    <x v="0"/>
    <x v="0"/>
    <x v="820"/>
    <x v="260"/>
    <x v="875"/>
    <x v="328"/>
  </r>
  <r>
    <x v="40"/>
    <x v="18"/>
    <x v="5738"/>
    <x v="0"/>
    <x v="0"/>
    <x v="2129"/>
    <x v="252"/>
    <x v="876"/>
    <x v="328"/>
  </r>
  <r>
    <x v="40"/>
    <x v="19"/>
    <x v="5739"/>
    <x v="0"/>
    <x v="0"/>
    <x v="3400"/>
    <x v="261"/>
    <x v="877"/>
    <x v="328"/>
  </r>
  <r>
    <x v="40"/>
    <x v="20"/>
    <x v="5740"/>
    <x v="0"/>
    <x v="0"/>
    <x v="3401"/>
    <x v="262"/>
    <x v="878"/>
    <x v="328"/>
  </r>
  <r>
    <x v="40"/>
    <x v="21"/>
    <x v="5741"/>
    <x v="0"/>
    <x v="0"/>
    <x v="206"/>
    <x v="39"/>
    <x v="879"/>
    <x v="329"/>
  </r>
  <r>
    <x v="40"/>
    <x v="22"/>
    <x v="5742"/>
    <x v="0"/>
    <x v="0"/>
    <x v="3402"/>
    <x v="263"/>
    <x v="880"/>
    <x v="329"/>
  </r>
  <r>
    <x v="40"/>
    <x v="23"/>
    <x v="5743"/>
    <x v="0"/>
    <x v="0"/>
    <x v="3403"/>
    <x v="167"/>
    <x v="881"/>
    <x v="329"/>
  </r>
  <r>
    <x v="40"/>
    <x v="24"/>
    <x v="5744"/>
    <x v="0"/>
    <x v="0"/>
    <x v="3404"/>
    <x v="264"/>
    <x v="882"/>
    <x v="329"/>
  </r>
  <r>
    <x v="40"/>
    <x v="25"/>
    <x v="5745"/>
    <x v="0"/>
    <x v="0"/>
    <x v="3405"/>
    <x v="265"/>
    <x v="883"/>
    <x v="329"/>
  </r>
  <r>
    <x v="40"/>
    <x v="26"/>
    <x v="5746"/>
    <x v="0"/>
    <x v="0"/>
    <x v="207"/>
    <x v="265"/>
    <x v="884"/>
    <x v="329"/>
  </r>
  <r>
    <x v="40"/>
    <x v="27"/>
    <x v="5747"/>
    <x v="0"/>
    <x v="0"/>
    <x v="293"/>
    <x v="266"/>
    <x v="885"/>
    <x v="329"/>
  </r>
  <r>
    <x v="40"/>
    <x v="28"/>
    <x v="5748"/>
    <x v="0"/>
    <x v="0"/>
    <x v="3406"/>
    <x v="7"/>
    <x v="886"/>
    <x v="329"/>
  </r>
  <r>
    <x v="40"/>
    <x v="29"/>
    <x v="5749"/>
    <x v="0"/>
    <x v="0"/>
    <x v="1996"/>
    <x v="267"/>
    <x v="887"/>
    <x v="329"/>
  </r>
  <r>
    <x v="40"/>
    <x v="30"/>
    <x v="5750"/>
    <x v="0"/>
    <x v="0"/>
    <x v="3407"/>
    <x v="146"/>
    <x v="888"/>
    <x v="329"/>
  </r>
  <r>
    <x v="40"/>
    <x v="31"/>
    <x v="5751"/>
    <x v="0"/>
    <x v="1"/>
    <x v="3408"/>
    <x v="12"/>
    <x v="889"/>
    <x v="329"/>
  </r>
  <r>
    <x v="40"/>
    <x v="32"/>
    <x v="5752"/>
    <x v="0"/>
    <x v="0"/>
    <x v="3409"/>
    <x v="268"/>
    <x v="890"/>
    <x v="329"/>
  </r>
  <r>
    <x v="40"/>
    <x v="33"/>
    <x v="5753"/>
    <x v="0"/>
    <x v="0"/>
    <x v="2284"/>
    <x v="269"/>
    <x v="891"/>
    <x v="329"/>
  </r>
  <r>
    <x v="40"/>
    <x v="34"/>
    <x v="5754"/>
    <x v="0"/>
    <x v="0"/>
    <x v="3410"/>
    <x v="16"/>
    <x v="892"/>
    <x v="330"/>
  </r>
  <r>
    <x v="40"/>
    <x v="35"/>
    <x v="5755"/>
    <x v="0"/>
    <x v="0"/>
    <x v="2304"/>
    <x v="270"/>
    <x v="893"/>
    <x v="330"/>
  </r>
  <r>
    <x v="40"/>
    <x v="36"/>
    <x v="5756"/>
    <x v="0"/>
    <x v="0"/>
    <x v="2053"/>
    <x v="271"/>
    <x v="894"/>
    <x v="330"/>
  </r>
  <r>
    <x v="40"/>
    <x v="37"/>
    <x v="5757"/>
    <x v="0"/>
    <x v="0"/>
    <x v="3152"/>
    <x v="271"/>
    <x v="895"/>
    <x v="330"/>
  </r>
  <r>
    <x v="40"/>
    <x v="38"/>
    <x v="5758"/>
    <x v="0"/>
    <x v="0"/>
    <x v="3411"/>
    <x v="272"/>
    <x v="896"/>
    <x v="330"/>
  </r>
  <r>
    <x v="40"/>
    <x v="39"/>
    <x v="5759"/>
    <x v="0"/>
    <x v="0"/>
    <x v="3412"/>
    <x v="273"/>
    <x v="897"/>
    <x v="330"/>
  </r>
  <r>
    <x v="40"/>
    <x v="40"/>
    <x v="5760"/>
    <x v="0"/>
    <x v="0"/>
    <x v="808"/>
    <x v="259"/>
    <x v="898"/>
    <x v="330"/>
  </r>
  <r>
    <x v="40"/>
    <x v="41"/>
    <x v="5761"/>
    <x v="0"/>
    <x v="0"/>
    <x v="2143"/>
    <x v="274"/>
    <x v="899"/>
    <x v="330"/>
  </r>
  <r>
    <x v="40"/>
    <x v="42"/>
    <x v="5762"/>
    <x v="0"/>
    <x v="1"/>
    <x v="1728"/>
    <x v="275"/>
    <x v="900"/>
    <x v="330"/>
  </r>
  <r>
    <x v="40"/>
    <x v="43"/>
    <x v="5763"/>
    <x v="0"/>
    <x v="0"/>
    <x v="514"/>
    <x v="276"/>
    <x v="901"/>
    <x v="330"/>
  </r>
  <r>
    <x v="40"/>
    <x v="44"/>
    <x v="5764"/>
    <x v="0"/>
    <x v="0"/>
    <x v="3413"/>
    <x v="39"/>
    <x v="902"/>
    <x v="330"/>
  </r>
  <r>
    <x v="40"/>
    <x v="45"/>
    <x v="5765"/>
    <x v="0"/>
    <x v="0"/>
    <x v="3414"/>
    <x v="277"/>
    <x v="903"/>
    <x v="330"/>
  </r>
  <r>
    <x v="40"/>
    <x v="46"/>
    <x v="5766"/>
    <x v="0"/>
    <x v="0"/>
    <x v="2835"/>
    <x v="278"/>
    <x v="904"/>
    <x v="330"/>
  </r>
  <r>
    <x v="40"/>
    <x v="47"/>
    <x v="5767"/>
    <x v="1"/>
    <x v="1"/>
    <x v="3415"/>
    <x v="279"/>
    <x v="905"/>
    <x v="330"/>
  </r>
  <r>
    <x v="40"/>
    <x v="48"/>
    <x v="5768"/>
    <x v="0"/>
    <x v="0"/>
    <x v="3416"/>
    <x v="280"/>
    <x v="906"/>
    <x v="331"/>
  </r>
  <r>
    <x v="40"/>
    <x v="49"/>
    <x v="5769"/>
    <x v="0"/>
    <x v="0"/>
    <x v="3417"/>
    <x v="281"/>
    <x v="907"/>
    <x v="331"/>
  </r>
  <r>
    <x v="40"/>
    <x v="50"/>
    <x v="5770"/>
    <x v="0"/>
    <x v="0"/>
    <x v="3418"/>
    <x v="282"/>
    <x v="908"/>
    <x v="331"/>
  </r>
  <r>
    <x v="40"/>
    <x v="51"/>
    <x v="5771"/>
    <x v="1"/>
    <x v="0"/>
    <x v="2730"/>
    <x v="283"/>
    <x v="909"/>
    <x v="331"/>
  </r>
  <r>
    <x v="40"/>
    <x v="52"/>
    <x v="5772"/>
    <x v="0"/>
    <x v="0"/>
    <x v="3419"/>
    <x v="284"/>
    <x v="910"/>
    <x v="331"/>
  </r>
  <r>
    <x v="40"/>
    <x v="53"/>
    <x v="5773"/>
    <x v="0"/>
    <x v="1"/>
    <x v="3420"/>
    <x v="285"/>
    <x v="911"/>
    <x v="331"/>
  </r>
  <r>
    <x v="40"/>
    <x v="54"/>
    <x v="5774"/>
    <x v="0"/>
    <x v="0"/>
    <x v="3421"/>
    <x v="286"/>
    <x v="912"/>
    <x v="331"/>
  </r>
  <r>
    <x v="40"/>
    <x v="55"/>
    <x v="5775"/>
    <x v="0"/>
    <x v="0"/>
    <x v="2042"/>
    <x v="287"/>
    <x v="913"/>
    <x v="331"/>
  </r>
  <r>
    <x v="40"/>
    <x v="56"/>
    <x v="5776"/>
    <x v="0"/>
    <x v="0"/>
    <x v="3422"/>
    <x v="288"/>
    <x v="914"/>
    <x v="331"/>
  </r>
  <r>
    <x v="40"/>
    <x v="57"/>
    <x v="5777"/>
    <x v="0"/>
    <x v="0"/>
    <x v="460"/>
    <x v="88"/>
    <x v="915"/>
    <x v="331"/>
  </r>
  <r>
    <x v="40"/>
    <x v="58"/>
    <x v="5778"/>
    <x v="0"/>
    <x v="0"/>
    <x v="143"/>
    <x v="289"/>
    <x v="916"/>
    <x v="331"/>
  </r>
  <r>
    <x v="40"/>
    <x v="59"/>
    <x v="5779"/>
    <x v="0"/>
    <x v="0"/>
    <x v="3423"/>
    <x v="290"/>
    <x v="917"/>
    <x v="331"/>
  </r>
  <r>
    <x v="40"/>
    <x v="60"/>
    <x v="5780"/>
    <x v="0"/>
    <x v="0"/>
    <x v="1010"/>
    <x v="182"/>
    <x v="918"/>
    <x v="332"/>
  </r>
  <r>
    <x v="40"/>
    <x v="61"/>
    <x v="5781"/>
    <x v="0"/>
    <x v="0"/>
    <x v="3194"/>
    <x v="203"/>
    <x v="919"/>
    <x v="332"/>
  </r>
  <r>
    <x v="40"/>
    <x v="62"/>
    <x v="5782"/>
    <x v="0"/>
    <x v="0"/>
    <x v="1826"/>
    <x v="291"/>
    <x v="920"/>
    <x v="332"/>
  </r>
  <r>
    <x v="40"/>
    <x v="63"/>
    <x v="5783"/>
    <x v="0"/>
    <x v="0"/>
    <x v="1674"/>
    <x v="292"/>
    <x v="921"/>
    <x v="332"/>
  </r>
  <r>
    <x v="40"/>
    <x v="64"/>
    <x v="5784"/>
    <x v="0"/>
    <x v="0"/>
    <x v="548"/>
    <x v="293"/>
    <x v="922"/>
    <x v="332"/>
  </r>
  <r>
    <x v="40"/>
    <x v="65"/>
    <x v="5785"/>
    <x v="0"/>
    <x v="0"/>
    <x v="3424"/>
    <x v="294"/>
    <x v="923"/>
    <x v="332"/>
  </r>
  <r>
    <x v="40"/>
    <x v="66"/>
    <x v="5786"/>
    <x v="0"/>
    <x v="0"/>
    <x v="3425"/>
    <x v="295"/>
    <x v="924"/>
    <x v="332"/>
  </r>
  <r>
    <x v="40"/>
    <x v="67"/>
    <x v="5787"/>
    <x v="0"/>
    <x v="0"/>
    <x v="3423"/>
    <x v="296"/>
    <x v="925"/>
    <x v="332"/>
  </r>
  <r>
    <x v="40"/>
    <x v="68"/>
    <x v="5788"/>
    <x v="0"/>
    <x v="0"/>
    <x v="1004"/>
    <x v="297"/>
    <x v="926"/>
    <x v="332"/>
  </r>
  <r>
    <x v="40"/>
    <x v="69"/>
    <x v="5789"/>
    <x v="0"/>
    <x v="0"/>
    <x v="2370"/>
    <x v="298"/>
    <x v="927"/>
    <x v="332"/>
  </r>
  <r>
    <x v="40"/>
    <x v="70"/>
    <x v="5790"/>
    <x v="0"/>
    <x v="0"/>
    <x v="2794"/>
    <x v="294"/>
    <x v="928"/>
    <x v="332"/>
  </r>
  <r>
    <x v="40"/>
    <x v="71"/>
    <x v="5791"/>
    <x v="0"/>
    <x v="0"/>
    <x v="3426"/>
    <x v="299"/>
    <x v="929"/>
    <x v="332"/>
  </r>
  <r>
    <x v="40"/>
    <x v="72"/>
    <x v="5792"/>
    <x v="0"/>
    <x v="0"/>
    <x v="3427"/>
    <x v="300"/>
    <x v="930"/>
    <x v="332"/>
  </r>
  <r>
    <x v="40"/>
    <x v="73"/>
    <x v="5793"/>
    <x v="0"/>
    <x v="0"/>
    <x v="2827"/>
    <x v="301"/>
    <x v="931"/>
    <x v="333"/>
  </r>
  <r>
    <x v="40"/>
    <x v="74"/>
    <x v="5794"/>
    <x v="0"/>
    <x v="0"/>
    <x v="3428"/>
    <x v="302"/>
    <x v="932"/>
    <x v="333"/>
  </r>
  <r>
    <x v="40"/>
    <x v="75"/>
    <x v="5795"/>
    <x v="0"/>
    <x v="0"/>
    <x v="2191"/>
    <x v="203"/>
    <x v="933"/>
    <x v="333"/>
  </r>
  <r>
    <x v="40"/>
    <x v="76"/>
    <x v="5796"/>
    <x v="0"/>
    <x v="0"/>
    <x v="3429"/>
    <x v="303"/>
    <x v="934"/>
    <x v="333"/>
  </r>
  <r>
    <x v="40"/>
    <x v="77"/>
    <x v="5797"/>
    <x v="0"/>
    <x v="0"/>
    <x v="2441"/>
    <x v="304"/>
    <x v="935"/>
    <x v="333"/>
  </r>
  <r>
    <x v="40"/>
    <x v="78"/>
    <x v="5798"/>
    <x v="0"/>
    <x v="0"/>
    <x v="3430"/>
    <x v="78"/>
    <x v="936"/>
    <x v="333"/>
  </r>
  <r>
    <x v="40"/>
    <x v="79"/>
    <x v="5799"/>
    <x v="0"/>
    <x v="0"/>
    <x v="3297"/>
    <x v="305"/>
    <x v="937"/>
    <x v="333"/>
  </r>
  <r>
    <x v="40"/>
    <x v="80"/>
    <x v="5800"/>
    <x v="0"/>
    <x v="0"/>
    <x v="2963"/>
    <x v="306"/>
    <x v="938"/>
    <x v="333"/>
  </r>
  <r>
    <x v="40"/>
    <x v="81"/>
    <x v="5801"/>
    <x v="0"/>
    <x v="0"/>
    <x v="1792"/>
    <x v="307"/>
    <x v="939"/>
    <x v="333"/>
  </r>
  <r>
    <x v="40"/>
    <x v="82"/>
    <x v="5802"/>
    <x v="0"/>
    <x v="0"/>
    <x v="3431"/>
    <x v="308"/>
    <x v="940"/>
    <x v="333"/>
  </r>
  <r>
    <x v="40"/>
    <x v="83"/>
    <x v="5803"/>
    <x v="0"/>
    <x v="1"/>
    <x v="3222"/>
    <x v="309"/>
    <x v="941"/>
    <x v="333"/>
  </r>
  <r>
    <x v="40"/>
    <x v="84"/>
    <x v="5804"/>
    <x v="0"/>
    <x v="0"/>
    <x v="2592"/>
    <x v="310"/>
    <x v="942"/>
    <x v="333"/>
  </r>
  <r>
    <x v="40"/>
    <x v="85"/>
    <x v="5805"/>
    <x v="0"/>
    <x v="0"/>
    <x v="909"/>
    <x v="311"/>
    <x v="943"/>
    <x v="333"/>
  </r>
  <r>
    <x v="40"/>
    <x v="86"/>
    <x v="5806"/>
    <x v="0"/>
    <x v="0"/>
    <x v="1195"/>
    <x v="312"/>
    <x v="944"/>
    <x v="333"/>
  </r>
  <r>
    <x v="40"/>
    <x v="87"/>
    <x v="5807"/>
    <x v="0"/>
    <x v="0"/>
    <x v="39"/>
    <x v="313"/>
    <x v="945"/>
    <x v="334"/>
  </r>
  <r>
    <x v="40"/>
    <x v="88"/>
    <x v="5808"/>
    <x v="0"/>
    <x v="0"/>
    <x v="3432"/>
    <x v="314"/>
    <x v="946"/>
    <x v="334"/>
  </r>
  <r>
    <x v="40"/>
    <x v="89"/>
    <x v="5809"/>
    <x v="0"/>
    <x v="0"/>
    <x v="636"/>
    <x v="315"/>
    <x v="947"/>
    <x v="334"/>
  </r>
  <r>
    <x v="40"/>
    <x v="90"/>
    <x v="5810"/>
    <x v="0"/>
    <x v="0"/>
    <x v="3433"/>
    <x v="202"/>
    <x v="948"/>
    <x v="334"/>
  </r>
  <r>
    <x v="40"/>
    <x v="91"/>
    <x v="5811"/>
    <x v="0"/>
    <x v="0"/>
    <x v="3434"/>
    <x v="316"/>
    <x v="949"/>
    <x v="334"/>
  </r>
  <r>
    <x v="40"/>
    <x v="92"/>
    <x v="5812"/>
    <x v="0"/>
    <x v="0"/>
    <x v="2081"/>
    <x v="317"/>
    <x v="950"/>
    <x v="334"/>
  </r>
  <r>
    <x v="40"/>
    <x v="93"/>
    <x v="5813"/>
    <x v="0"/>
    <x v="0"/>
    <x v="2138"/>
    <x v="318"/>
    <x v="951"/>
    <x v="334"/>
  </r>
  <r>
    <x v="40"/>
    <x v="94"/>
    <x v="5814"/>
    <x v="0"/>
    <x v="1"/>
    <x v="3435"/>
    <x v="319"/>
    <x v="952"/>
    <x v="334"/>
  </r>
  <r>
    <x v="40"/>
    <x v="95"/>
    <x v="5815"/>
    <x v="0"/>
    <x v="0"/>
    <x v="3436"/>
    <x v="320"/>
    <x v="953"/>
    <x v="334"/>
  </r>
  <r>
    <x v="40"/>
    <x v="96"/>
    <x v="5816"/>
    <x v="0"/>
    <x v="0"/>
    <x v="3437"/>
    <x v="321"/>
    <x v="954"/>
    <x v="334"/>
  </r>
  <r>
    <x v="40"/>
    <x v="97"/>
    <x v="5817"/>
    <x v="0"/>
    <x v="0"/>
    <x v="3438"/>
    <x v="322"/>
    <x v="955"/>
    <x v="334"/>
  </r>
  <r>
    <x v="40"/>
    <x v="98"/>
    <x v="5818"/>
    <x v="0"/>
    <x v="0"/>
    <x v="3439"/>
    <x v="323"/>
    <x v="956"/>
    <x v="334"/>
  </r>
  <r>
    <x v="40"/>
    <x v="99"/>
    <x v="5819"/>
    <x v="0"/>
    <x v="1"/>
    <x v="3440"/>
    <x v="216"/>
    <x v="957"/>
    <x v="334"/>
  </r>
  <r>
    <x v="40"/>
    <x v="100"/>
    <x v="5820"/>
    <x v="0"/>
    <x v="0"/>
    <x v="3441"/>
    <x v="324"/>
    <x v="958"/>
    <x v="335"/>
  </r>
  <r>
    <x v="40"/>
    <x v="101"/>
    <x v="5821"/>
    <x v="0"/>
    <x v="0"/>
    <x v="3442"/>
    <x v="325"/>
    <x v="959"/>
    <x v="335"/>
  </r>
  <r>
    <x v="40"/>
    <x v="102"/>
    <x v="5822"/>
    <x v="0"/>
    <x v="0"/>
    <x v="3443"/>
    <x v="326"/>
    <x v="960"/>
    <x v="335"/>
  </r>
  <r>
    <x v="40"/>
    <x v="103"/>
    <x v="5823"/>
    <x v="0"/>
    <x v="0"/>
    <x v="2480"/>
    <x v="327"/>
    <x v="961"/>
    <x v="335"/>
  </r>
  <r>
    <x v="40"/>
    <x v="104"/>
    <x v="5824"/>
    <x v="0"/>
    <x v="0"/>
    <x v="2176"/>
    <x v="328"/>
    <x v="962"/>
    <x v="335"/>
  </r>
  <r>
    <x v="40"/>
    <x v="105"/>
    <x v="5825"/>
    <x v="0"/>
    <x v="1"/>
    <x v="1698"/>
    <x v="215"/>
    <x v="963"/>
    <x v="335"/>
  </r>
  <r>
    <x v="40"/>
    <x v="106"/>
    <x v="5826"/>
    <x v="0"/>
    <x v="0"/>
    <x v="3444"/>
    <x v="329"/>
    <x v="964"/>
    <x v="335"/>
  </r>
  <r>
    <x v="40"/>
    <x v="107"/>
    <x v="5827"/>
    <x v="0"/>
    <x v="0"/>
    <x v="3445"/>
    <x v="97"/>
    <x v="965"/>
    <x v="335"/>
  </r>
  <r>
    <x v="40"/>
    <x v="108"/>
    <x v="5828"/>
    <x v="0"/>
    <x v="0"/>
    <x v="3446"/>
    <x v="330"/>
    <x v="966"/>
    <x v="335"/>
  </r>
  <r>
    <x v="40"/>
    <x v="109"/>
    <x v="5829"/>
    <x v="0"/>
    <x v="0"/>
    <x v="1771"/>
    <x v="121"/>
    <x v="967"/>
    <x v="335"/>
  </r>
  <r>
    <x v="40"/>
    <x v="110"/>
    <x v="5830"/>
    <x v="0"/>
    <x v="0"/>
    <x v="2436"/>
    <x v="331"/>
    <x v="968"/>
    <x v="335"/>
  </r>
  <r>
    <x v="40"/>
    <x v="111"/>
    <x v="5831"/>
    <x v="0"/>
    <x v="0"/>
    <x v="50"/>
    <x v="332"/>
    <x v="969"/>
    <x v="335"/>
  </r>
  <r>
    <x v="40"/>
    <x v="112"/>
    <x v="5832"/>
    <x v="0"/>
    <x v="0"/>
    <x v="1120"/>
    <x v="333"/>
    <x v="970"/>
    <x v="335"/>
  </r>
  <r>
    <x v="40"/>
    <x v="113"/>
    <x v="5833"/>
    <x v="0"/>
    <x v="0"/>
    <x v="3447"/>
    <x v="334"/>
    <x v="971"/>
    <x v="336"/>
  </r>
  <r>
    <x v="40"/>
    <x v="114"/>
    <x v="5834"/>
    <x v="0"/>
    <x v="0"/>
    <x v="1113"/>
    <x v="335"/>
    <x v="972"/>
    <x v="336"/>
  </r>
  <r>
    <x v="40"/>
    <x v="115"/>
    <x v="5835"/>
    <x v="0"/>
    <x v="0"/>
    <x v="334"/>
    <x v="336"/>
    <x v="973"/>
    <x v="336"/>
  </r>
  <r>
    <x v="40"/>
    <x v="116"/>
    <x v="5836"/>
    <x v="0"/>
    <x v="0"/>
    <x v="3448"/>
    <x v="337"/>
    <x v="974"/>
    <x v="336"/>
  </r>
  <r>
    <x v="40"/>
    <x v="117"/>
    <x v="5837"/>
    <x v="0"/>
    <x v="0"/>
    <x v="3449"/>
    <x v="338"/>
    <x v="975"/>
    <x v="336"/>
  </r>
  <r>
    <x v="40"/>
    <x v="118"/>
    <x v="5838"/>
    <x v="0"/>
    <x v="0"/>
    <x v="2718"/>
    <x v="339"/>
    <x v="976"/>
    <x v="336"/>
  </r>
  <r>
    <x v="40"/>
    <x v="119"/>
    <x v="5839"/>
    <x v="0"/>
    <x v="0"/>
    <x v="3450"/>
    <x v="340"/>
    <x v="977"/>
    <x v="336"/>
  </r>
  <r>
    <x v="40"/>
    <x v="120"/>
    <x v="5840"/>
    <x v="0"/>
    <x v="0"/>
    <x v="960"/>
    <x v="341"/>
    <x v="978"/>
    <x v="336"/>
  </r>
  <r>
    <x v="40"/>
    <x v="121"/>
    <x v="5841"/>
    <x v="0"/>
    <x v="0"/>
    <x v="1228"/>
    <x v="342"/>
    <x v="979"/>
    <x v="336"/>
  </r>
  <r>
    <x v="40"/>
    <x v="122"/>
    <x v="5842"/>
    <x v="0"/>
    <x v="0"/>
    <x v="154"/>
    <x v="343"/>
    <x v="980"/>
    <x v="336"/>
  </r>
  <r>
    <x v="40"/>
    <x v="123"/>
    <x v="5843"/>
    <x v="0"/>
    <x v="0"/>
    <x v="2918"/>
    <x v="344"/>
    <x v="981"/>
    <x v="336"/>
  </r>
  <r>
    <x v="40"/>
    <x v="124"/>
    <x v="5844"/>
    <x v="0"/>
    <x v="0"/>
    <x v="2591"/>
    <x v="294"/>
    <x v="982"/>
    <x v="336"/>
  </r>
  <r>
    <x v="40"/>
    <x v="125"/>
    <x v="5845"/>
    <x v="0"/>
    <x v="0"/>
    <x v="3451"/>
    <x v="345"/>
    <x v="983"/>
    <x v="336"/>
  </r>
  <r>
    <x v="40"/>
    <x v="126"/>
    <x v="5846"/>
    <x v="0"/>
    <x v="0"/>
    <x v="3452"/>
    <x v="243"/>
    <x v="984"/>
    <x v="337"/>
  </r>
  <r>
    <x v="40"/>
    <x v="127"/>
    <x v="5847"/>
    <x v="0"/>
    <x v="0"/>
    <x v="3453"/>
    <x v="346"/>
    <x v="985"/>
    <x v="337"/>
  </r>
  <r>
    <x v="40"/>
    <x v="128"/>
    <x v="5848"/>
    <x v="0"/>
    <x v="0"/>
    <x v="3250"/>
    <x v="347"/>
    <x v="986"/>
    <x v="337"/>
  </r>
  <r>
    <x v="40"/>
    <x v="129"/>
    <x v="5849"/>
    <x v="0"/>
    <x v="0"/>
    <x v="157"/>
    <x v="195"/>
    <x v="987"/>
    <x v="337"/>
  </r>
  <r>
    <x v="40"/>
    <x v="130"/>
    <x v="5850"/>
    <x v="0"/>
    <x v="0"/>
    <x v="3454"/>
    <x v="348"/>
    <x v="988"/>
    <x v="337"/>
  </r>
  <r>
    <x v="40"/>
    <x v="131"/>
    <x v="5851"/>
    <x v="0"/>
    <x v="0"/>
    <x v="3268"/>
    <x v="349"/>
    <x v="989"/>
    <x v="337"/>
  </r>
  <r>
    <x v="40"/>
    <x v="132"/>
    <x v="5852"/>
    <x v="0"/>
    <x v="0"/>
    <x v="3455"/>
    <x v="303"/>
    <x v="990"/>
    <x v="337"/>
  </r>
  <r>
    <x v="40"/>
    <x v="133"/>
    <x v="5853"/>
    <x v="0"/>
    <x v="0"/>
    <x v="114"/>
    <x v="350"/>
    <x v="991"/>
    <x v="337"/>
  </r>
  <r>
    <x v="40"/>
    <x v="134"/>
    <x v="5854"/>
    <x v="0"/>
    <x v="0"/>
    <x v="3456"/>
    <x v="351"/>
    <x v="992"/>
    <x v="337"/>
  </r>
  <r>
    <x v="40"/>
    <x v="135"/>
    <x v="5855"/>
    <x v="0"/>
    <x v="1"/>
    <x v="12"/>
    <x v="310"/>
    <x v="993"/>
    <x v="337"/>
  </r>
  <r>
    <x v="40"/>
    <x v="136"/>
    <x v="5856"/>
    <x v="0"/>
    <x v="0"/>
    <x v="1822"/>
    <x v="200"/>
    <x v="994"/>
    <x v="337"/>
  </r>
  <r>
    <x v="40"/>
    <x v="137"/>
    <x v="5857"/>
    <x v="0"/>
    <x v="0"/>
    <x v="519"/>
    <x v="352"/>
    <x v="995"/>
    <x v="337"/>
  </r>
  <r>
    <x v="40"/>
    <x v="138"/>
    <x v="5858"/>
    <x v="0"/>
    <x v="0"/>
    <x v="3457"/>
    <x v="353"/>
    <x v="996"/>
    <x v="337"/>
  </r>
  <r>
    <x v="40"/>
    <x v="139"/>
    <x v="5859"/>
    <x v="0"/>
    <x v="0"/>
    <x v="3458"/>
    <x v="354"/>
    <x v="997"/>
    <x v="338"/>
  </r>
  <r>
    <x v="40"/>
    <x v="140"/>
    <x v="5860"/>
    <x v="0"/>
    <x v="0"/>
    <x v="720"/>
    <x v="355"/>
    <x v="998"/>
    <x v="338"/>
  </r>
  <r>
    <x v="40"/>
    <x v="141"/>
    <x v="5861"/>
    <x v="0"/>
    <x v="0"/>
    <x v="3459"/>
    <x v="333"/>
    <x v="999"/>
    <x v="338"/>
  </r>
  <r>
    <x v="40"/>
    <x v="142"/>
    <x v="5862"/>
    <x v="0"/>
    <x v="0"/>
    <x v="3460"/>
    <x v="356"/>
    <x v="1000"/>
    <x v="338"/>
  </r>
  <r>
    <x v="41"/>
    <x v="0"/>
    <x v="5863"/>
    <x v="1"/>
    <x v="0"/>
    <x v="1150"/>
    <x v="357"/>
    <x v="429"/>
    <x v="108"/>
  </r>
  <r>
    <x v="41"/>
    <x v="1"/>
    <x v="5864"/>
    <x v="1"/>
    <x v="1"/>
    <x v="1073"/>
    <x v="358"/>
    <x v="430"/>
    <x v="108"/>
  </r>
  <r>
    <x v="41"/>
    <x v="2"/>
    <x v="5865"/>
    <x v="1"/>
    <x v="0"/>
    <x v="1151"/>
    <x v="359"/>
    <x v="431"/>
    <x v="108"/>
  </r>
  <r>
    <x v="41"/>
    <x v="3"/>
    <x v="5866"/>
    <x v="1"/>
    <x v="0"/>
    <x v="1152"/>
    <x v="360"/>
    <x v="432"/>
    <x v="108"/>
  </r>
  <r>
    <x v="41"/>
    <x v="4"/>
    <x v="5867"/>
    <x v="1"/>
    <x v="0"/>
    <x v="1153"/>
    <x v="361"/>
    <x v="433"/>
    <x v="108"/>
  </r>
  <r>
    <x v="41"/>
    <x v="5"/>
    <x v="5868"/>
    <x v="1"/>
    <x v="0"/>
    <x v="46"/>
    <x v="362"/>
    <x v="434"/>
    <x v="108"/>
  </r>
  <r>
    <x v="41"/>
    <x v="6"/>
    <x v="5869"/>
    <x v="1"/>
    <x v="0"/>
    <x v="1154"/>
    <x v="363"/>
    <x v="435"/>
    <x v="108"/>
  </r>
  <r>
    <x v="41"/>
    <x v="7"/>
    <x v="5870"/>
    <x v="1"/>
    <x v="0"/>
    <x v="1155"/>
    <x v="174"/>
    <x v="436"/>
    <x v="108"/>
  </r>
  <r>
    <x v="41"/>
    <x v="8"/>
    <x v="5871"/>
    <x v="1"/>
    <x v="0"/>
    <x v="1156"/>
    <x v="364"/>
    <x v="437"/>
    <x v="109"/>
  </r>
  <r>
    <x v="41"/>
    <x v="9"/>
    <x v="5872"/>
    <x v="1"/>
    <x v="0"/>
    <x v="1157"/>
    <x v="365"/>
    <x v="438"/>
    <x v="109"/>
  </r>
  <r>
    <x v="41"/>
    <x v="10"/>
    <x v="5873"/>
    <x v="1"/>
    <x v="0"/>
    <x v="1158"/>
    <x v="366"/>
    <x v="439"/>
    <x v="109"/>
  </r>
  <r>
    <x v="41"/>
    <x v="11"/>
    <x v="5874"/>
    <x v="1"/>
    <x v="0"/>
    <x v="1159"/>
    <x v="367"/>
    <x v="440"/>
    <x v="109"/>
  </r>
  <r>
    <x v="41"/>
    <x v="12"/>
    <x v="5875"/>
    <x v="1"/>
    <x v="0"/>
    <x v="1160"/>
    <x v="368"/>
    <x v="441"/>
    <x v="109"/>
  </r>
  <r>
    <x v="41"/>
    <x v="13"/>
    <x v="5876"/>
    <x v="1"/>
    <x v="0"/>
    <x v="1161"/>
    <x v="369"/>
    <x v="442"/>
    <x v="109"/>
  </r>
  <r>
    <x v="41"/>
    <x v="14"/>
    <x v="5877"/>
    <x v="1"/>
    <x v="0"/>
    <x v="1162"/>
    <x v="370"/>
    <x v="443"/>
    <x v="109"/>
  </r>
  <r>
    <x v="41"/>
    <x v="15"/>
    <x v="5878"/>
    <x v="1"/>
    <x v="0"/>
    <x v="1163"/>
    <x v="371"/>
    <x v="444"/>
    <x v="109"/>
  </r>
  <r>
    <x v="41"/>
    <x v="16"/>
    <x v="5879"/>
    <x v="1"/>
    <x v="0"/>
    <x v="1164"/>
    <x v="179"/>
    <x v="445"/>
    <x v="109"/>
  </r>
  <r>
    <x v="41"/>
    <x v="17"/>
    <x v="5880"/>
    <x v="1"/>
    <x v="0"/>
    <x v="1165"/>
    <x v="372"/>
    <x v="446"/>
    <x v="109"/>
  </r>
  <r>
    <x v="41"/>
    <x v="18"/>
    <x v="5881"/>
    <x v="1"/>
    <x v="0"/>
    <x v="1166"/>
    <x v="373"/>
    <x v="447"/>
    <x v="109"/>
  </r>
  <r>
    <x v="41"/>
    <x v="19"/>
    <x v="5882"/>
    <x v="1"/>
    <x v="0"/>
    <x v="168"/>
    <x v="374"/>
    <x v="448"/>
    <x v="109"/>
  </r>
  <r>
    <x v="41"/>
    <x v="20"/>
    <x v="5883"/>
    <x v="1"/>
    <x v="0"/>
    <x v="1167"/>
    <x v="375"/>
    <x v="449"/>
    <x v="109"/>
  </r>
  <r>
    <x v="41"/>
    <x v="21"/>
    <x v="5884"/>
    <x v="1"/>
    <x v="0"/>
    <x v="1168"/>
    <x v="376"/>
    <x v="450"/>
    <x v="110"/>
  </r>
  <r>
    <x v="41"/>
    <x v="22"/>
    <x v="5885"/>
    <x v="1"/>
    <x v="0"/>
    <x v="1169"/>
    <x v="377"/>
    <x v="451"/>
    <x v="110"/>
  </r>
  <r>
    <x v="41"/>
    <x v="23"/>
    <x v="5886"/>
    <x v="1"/>
    <x v="0"/>
    <x v="1170"/>
    <x v="378"/>
    <x v="452"/>
    <x v="110"/>
  </r>
  <r>
    <x v="41"/>
    <x v="24"/>
    <x v="5887"/>
    <x v="1"/>
    <x v="0"/>
    <x v="356"/>
    <x v="96"/>
    <x v="453"/>
    <x v="110"/>
  </r>
  <r>
    <x v="41"/>
    <x v="25"/>
    <x v="5888"/>
    <x v="1"/>
    <x v="0"/>
    <x v="1171"/>
    <x v="176"/>
    <x v="454"/>
    <x v="110"/>
  </r>
  <r>
    <x v="41"/>
    <x v="26"/>
    <x v="5889"/>
    <x v="1"/>
    <x v="0"/>
    <x v="1172"/>
    <x v="379"/>
    <x v="455"/>
    <x v="110"/>
  </r>
  <r>
    <x v="41"/>
    <x v="27"/>
    <x v="5890"/>
    <x v="1"/>
    <x v="0"/>
    <x v="1173"/>
    <x v="380"/>
    <x v="456"/>
    <x v="110"/>
  </r>
  <r>
    <x v="41"/>
    <x v="28"/>
    <x v="5891"/>
    <x v="1"/>
    <x v="0"/>
    <x v="1174"/>
    <x v="381"/>
    <x v="457"/>
    <x v="110"/>
  </r>
  <r>
    <x v="41"/>
    <x v="29"/>
    <x v="5892"/>
    <x v="1"/>
    <x v="0"/>
    <x v="408"/>
    <x v="52"/>
    <x v="458"/>
    <x v="110"/>
  </r>
  <r>
    <x v="41"/>
    <x v="30"/>
    <x v="5893"/>
    <x v="1"/>
    <x v="0"/>
    <x v="1175"/>
    <x v="180"/>
    <x v="459"/>
    <x v="110"/>
  </r>
  <r>
    <x v="41"/>
    <x v="31"/>
    <x v="5894"/>
    <x v="1"/>
    <x v="1"/>
    <x v="1176"/>
    <x v="382"/>
    <x v="460"/>
    <x v="110"/>
  </r>
  <r>
    <x v="41"/>
    <x v="32"/>
    <x v="5895"/>
    <x v="1"/>
    <x v="0"/>
    <x v="1177"/>
    <x v="383"/>
    <x v="461"/>
    <x v="110"/>
  </r>
  <r>
    <x v="41"/>
    <x v="33"/>
    <x v="5896"/>
    <x v="1"/>
    <x v="0"/>
    <x v="1178"/>
    <x v="384"/>
    <x v="462"/>
    <x v="110"/>
  </r>
  <r>
    <x v="41"/>
    <x v="34"/>
    <x v="5897"/>
    <x v="1"/>
    <x v="0"/>
    <x v="1179"/>
    <x v="385"/>
    <x v="463"/>
    <x v="111"/>
  </r>
  <r>
    <x v="41"/>
    <x v="35"/>
    <x v="5898"/>
    <x v="1"/>
    <x v="0"/>
    <x v="1180"/>
    <x v="386"/>
    <x v="464"/>
    <x v="111"/>
  </r>
  <r>
    <x v="41"/>
    <x v="36"/>
    <x v="5899"/>
    <x v="1"/>
    <x v="0"/>
    <x v="1181"/>
    <x v="387"/>
    <x v="465"/>
    <x v="111"/>
  </r>
  <r>
    <x v="41"/>
    <x v="37"/>
    <x v="5900"/>
    <x v="1"/>
    <x v="0"/>
    <x v="1182"/>
    <x v="388"/>
    <x v="466"/>
    <x v="111"/>
  </r>
  <r>
    <x v="41"/>
    <x v="38"/>
    <x v="5901"/>
    <x v="1"/>
    <x v="0"/>
    <x v="340"/>
    <x v="389"/>
    <x v="467"/>
    <x v="111"/>
  </r>
  <r>
    <x v="41"/>
    <x v="39"/>
    <x v="5902"/>
    <x v="1"/>
    <x v="0"/>
    <x v="366"/>
    <x v="390"/>
    <x v="468"/>
    <x v="111"/>
  </r>
  <r>
    <x v="41"/>
    <x v="40"/>
    <x v="5903"/>
    <x v="1"/>
    <x v="0"/>
    <x v="1183"/>
    <x v="389"/>
    <x v="469"/>
    <x v="111"/>
  </r>
  <r>
    <x v="41"/>
    <x v="41"/>
    <x v="5904"/>
    <x v="1"/>
    <x v="0"/>
    <x v="596"/>
    <x v="391"/>
    <x v="470"/>
    <x v="111"/>
  </r>
  <r>
    <x v="41"/>
    <x v="42"/>
    <x v="5905"/>
    <x v="1"/>
    <x v="1"/>
    <x v="1184"/>
    <x v="392"/>
    <x v="471"/>
    <x v="111"/>
  </r>
  <r>
    <x v="41"/>
    <x v="43"/>
    <x v="5906"/>
    <x v="1"/>
    <x v="0"/>
    <x v="1185"/>
    <x v="381"/>
    <x v="472"/>
    <x v="111"/>
  </r>
  <r>
    <x v="41"/>
    <x v="44"/>
    <x v="5907"/>
    <x v="1"/>
    <x v="0"/>
    <x v="1186"/>
    <x v="393"/>
    <x v="473"/>
    <x v="111"/>
  </r>
  <r>
    <x v="41"/>
    <x v="45"/>
    <x v="5908"/>
    <x v="1"/>
    <x v="0"/>
    <x v="1187"/>
    <x v="394"/>
    <x v="474"/>
    <x v="111"/>
  </r>
  <r>
    <x v="41"/>
    <x v="46"/>
    <x v="5909"/>
    <x v="1"/>
    <x v="0"/>
    <x v="289"/>
    <x v="92"/>
    <x v="475"/>
    <x v="111"/>
  </r>
  <r>
    <x v="41"/>
    <x v="47"/>
    <x v="5910"/>
    <x v="1"/>
    <x v="1"/>
    <x v="1188"/>
    <x v="395"/>
    <x v="476"/>
    <x v="111"/>
  </r>
  <r>
    <x v="41"/>
    <x v="48"/>
    <x v="5911"/>
    <x v="1"/>
    <x v="0"/>
    <x v="1189"/>
    <x v="396"/>
    <x v="477"/>
    <x v="112"/>
  </r>
  <r>
    <x v="41"/>
    <x v="49"/>
    <x v="5912"/>
    <x v="1"/>
    <x v="0"/>
    <x v="1190"/>
    <x v="397"/>
    <x v="478"/>
    <x v="112"/>
  </r>
  <r>
    <x v="41"/>
    <x v="50"/>
    <x v="5913"/>
    <x v="1"/>
    <x v="0"/>
    <x v="1191"/>
    <x v="398"/>
    <x v="479"/>
    <x v="112"/>
  </r>
  <r>
    <x v="41"/>
    <x v="51"/>
    <x v="5914"/>
    <x v="1"/>
    <x v="0"/>
    <x v="1192"/>
    <x v="399"/>
    <x v="480"/>
    <x v="112"/>
  </r>
  <r>
    <x v="41"/>
    <x v="52"/>
    <x v="5915"/>
    <x v="1"/>
    <x v="0"/>
    <x v="1193"/>
    <x v="400"/>
    <x v="481"/>
    <x v="112"/>
  </r>
  <r>
    <x v="41"/>
    <x v="53"/>
    <x v="5916"/>
    <x v="1"/>
    <x v="1"/>
    <x v="1194"/>
    <x v="401"/>
    <x v="482"/>
    <x v="112"/>
  </r>
  <r>
    <x v="41"/>
    <x v="54"/>
    <x v="5917"/>
    <x v="1"/>
    <x v="0"/>
    <x v="1195"/>
    <x v="402"/>
    <x v="483"/>
    <x v="112"/>
  </r>
  <r>
    <x v="41"/>
    <x v="55"/>
    <x v="5918"/>
    <x v="1"/>
    <x v="0"/>
    <x v="1196"/>
    <x v="403"/>
    <x v="484"/>
    <x v="112"/>
  </r>
  <r>
    <x v="41"/>
    <x v="56"/>
    <x v="5919"/>
    <x v="1"/>
    <x v="0"/>
    <x v="1197"/>
    <x v="404"/>
    <x v="485"/>
    <x v="112"/>
  </r>
  <r>
    <x v="41"/>
    <x v="57"/>
    <x v="5920"/>
    <x v="1"/>
    <x v="0"/>
    <x v="474"/>
    <x v="106"/>
    <x v="486"/>
    <x v="112"/>
  </r>
  <r>
    <x v="41"/>
    <x v="58"/>
    <x v="5921"/>
    <x v="1"/>
    <x v="0"/>
    <x v="1198"/>
    <x v="405"/>
    <x v="487"/>
    <x v="112"/>
  </r>
  <r>
    <x v="41"/>
    <x v="59"/>
    <x v="5922"/>
    <x v="1"/>
    <x v="0"/>
    <x v="1199"/>
    <x v="406"/>
    <x v="488"/>
    <x v="112"/>
  </r>
  <r>
    <x v="41"/>
    <x v="60"/>
    <x v="5923"/>
    <x v="1"/>
    <x v="0"/>
    <x v="527"/>
    <x v="407"/>
    <x v="489"/>
    <x v="113"/>
  </r>
  <r>
    <x v="41"/>
    <x v="61"/>
    <x v="5924"/>
    <x v="1"/>
    <x v="0"/>
    <x v="1200"/>
    <x v="408"/>
    <x v="490"/>
    <x v="113"/>
  </r>
  <r>
    <x v="41"/>
    <x v="62"/>
    <x v="5925"/>
    <x v="1"/>
    <x v="0"/>
    <x v="1201"/>
    <x v="409"/>
    <x v="491"/>
    <x v="113"/>
  </r>
  <r>
    <x v="41"/>
    <x v="63"/>
    <x v="5926"/>
    <x v="1"/>
    <x v="0"/>
    <x v="1202"/>
    <x v="410"/>
    <x v="492"/>
    <x v="113"/>
  </r>
  <r>
    <x v="41"/>
    <x v="64"/>
    <x v="5927"/>
    <x v="1"/>
    <x v="0"/>
    <x v="1203"/>
    <x v="411"/>
    <x v="493"/>
    <x v="113"/>
  </r>
  <r>
    <x v="41"/>
    <x v="65"/>
    <x v="5928"/>
    <x v="1"/>
    <x v="0"/>
    <x v="1204"/>
    <x v="412"/>
    <x v="494"/>
    <x v="113"/>
  </r>
  <r>
    <x v="41"/>
    <x v="66"/>
    <x v="5929"/>
    <x v="1"/>
    <x v="0"/>
    <x v="1205"/>
    <x v="413"/>
    <x v="495"/>
    <x v="113"/>
  </r>
  <r>
    <x v="41"/>
    <x v="67"/>
    <x v="5930"/>
    <x v="1"/>
    <x v="0"/>
    <x v="1106"/>
    <x v="414"/>
    <x v="496"/>
    <x v="113"/>
  </r>
  <r>
    <x v="41"/>
    <x v="68"/>
    <x v="5931"/>
    <x v="1"/>
    <x v="0"/>
    <x v="1206"/>
    <x v="415"/>
    <x v="497"/>
    <x v="113"/>
  </r>
  <r>
    <x v="41"/>
    <x v="69"/>
    <x v="5932"/>
    <x v="1"/>
    <x v="0"/>
    <x v="1207"/>
    <x v="416"/>
    <x v="498"/>
    <x v="113"/>
  </r>
  <r>
    <x v="41"/>
    <x v="70"/>
    <x v="5933"/>
    <x v="1"/>
    <x v="0"/>
    <x v="1208"/>
    <x v="417"/>
    <x v="499"/>
    <x v="113"/>
  </r>
  <r>
    <x v="41"/>
    <x v="71"/>
    <x v="5934"/>
    <x v="1"/>
    <x v="0"/>
    <x v="81"/>
    <x v="418"/>
    <x v="500"/>
    <x v="113"/>
  </r>
  <r>
    <x v="41"/>
    <x v="72"/>
    <x v="5935"/>
    <x v="1"/>
    <x v="0"/>
    <x v="1209"/>
    <x v="62"/>
    <x v="501"/>
    <x v="113"/>
  </r>
  <r>
    <x v="41"/>
    <x v="73"/>
    <x v="5936"/>
    <x v="1"/>
    <x v="0"/>
    <x v="1210"/>
    <x v="419"/>
    <x v="502"/>
    <x v="114"/>
  </r>
  <r>
    <x v="41"/>
    <x v="74"/>
    <x v="5937"/>
    <x v="1"/>
    <x v="0"/>
    <x v="1211"/>
    <x v="420"/>
    <x v="503"/>
    <x v="114"/>
  </r>
  <r>
    <x v="41"/>
    <x v="75"/>
    <x v="5938"/>
    <x v="1"/>
    <x v="0"/>
    <x v="1179"/>
    <x v="354"/>
    <x v="504"/>
    <x v="114"/>
  </r>
  <r>
    <x v="41"/>
    <x v="76"/>
    <x v="5939"/>
    <x v="1"/>
    <x v="0"/>
    <x v="1212"/>
    <x v="299"/>
    <x v="505"/>
    <x v="114"/>
  </r>
  <r>
    <x v="41"/>
    <x v="77"/>
    <x v="5940"/>
    <x v="1"/>
    <x v="0"/>
    <x v="1213"/>
    <x v="421"/>
    <x v="506"/>
    <x v="114"/>
  </r>
  <r>
    <x v="41"/>
    <x v="78"/>
    <x v="5941"/>
    <x v="1"/>
    <x v="0"/>
    <x v="1214"/>
    <x v="422"/>
    <x v="507"/>
    <x v="114"/>
  </r>
  <r>
    <x v="41"/>
    <x v="79"/>
    <x v="5942"/>
    <x v="1"/>
    <x v="0"/>
    <x v="1215"/>
    <x v="423"/>
    <x v="508"/>
    <x v="114"/>
  </r>
  <r>
    <x v="41"/>
    <x v="80"/>
    <x v="5943"/>
    <x v="1"/>
    <x v="0"/>
    <x v="1216"/>
    <x v="61"/>
    <x v="509"/>
    <x v="114"/>
  </r>
  <r>
    <x v="41"/>
    <x v="81"/>
    <x v="5944"/>
    <x v="1"/>
    <x v="0"/>
    <x v="1217"/>
    <x v="293"/>
    <x v="510"/>
    <x v="114"/>
  </r>
  <r>
    <x v="41"/>
    <x v="82"/>
    <x v="5945"/>
    <x v="1"/>
    <x v="0"/>
    <x v="1218"/>
    <x v="424"/>
    <x v="511"/>
    <x v="114"/>
  </r>
  <r>
    <x v="41"/>
    <x v="83"/>
    <x v="5946"/>
    <x v="1"/>
    <x v="1"/>
    <x v="1219"/>
    <x v="191"/>
    <x v="512"/>
    <x v="114"/>
  </r>
  <r>
    <x v="41"/>
    <x v="84"/>
    <x v="5947"/>
    <x v="1"/>
    <x v="0"/>
    <x v="947"/>
    <x v="425"/>
    <x v="513"/>
    <x v="114"/>
  </r>
  <r>
    <x v="41"/>
    <x v="85"/>
    <x v="5948"/>
    <x v="1"/>
    <x v="0"/>
    <x v="745"/>
    <x v="353"/>
    <x v="514"/>
    <x v="114"/>
  </r>
  <r>
    <x v="41"/>
    <x v="86"/>
    <x v="5949"/>
    <x v="1"/>
    <x v="0"/>
    <x v="1220"/>
    <x v="112"/>
    <x v="515"/>
    <x v="114"/>
  </r>
  <r>
    <x v="41"/>
    <x v="87"/>
    <x v="5950"/>
    <x v="1"/>
    <x v="0"/>
    <x v="1221"/>
    <x v="426"/>
    <x v="516"/>
    <x v="115"/>
  </r>
  <r>
    <x v="41"/>
    <x v="88"/>
    <x v="5951"/>
    <x v="1"/>
    <x v="0"/>
    <x v="279"/>
    <x v="427"/>
    <x v="517"/>
    <x v="115"/>
  </r>
  <r>
    <x v="41"/>
    <x v="89"/>
    <x v="5952"/>
    <x v="1"/>
    <x v="0"/>
    <x v="1222"/>
    <x v="419"/>
    <x v="518"/>
    <x v="115"/>
  </r>
  <r>
    <x v="41"/>
    <x v="90"/>
    <x v="5953"/>
    <x v="1"/>
    <x v="0"/>
    <x v="1223"/>
    <x v="428"/>
    <x v="519"/>
    <x v="115"/>
  </r>
  <r>
    <x v="41"/>
    <x v="91"/>
    <x v="5954"/>
    <x v="1"/>
    <x v="0"/>
    <x v="1224"/>
    <x v="296"/>
    <x v="520"/>
    <x v="115"/>
  </r>
  <r>
    <x v="41"/>
    <x v="92"/>
    <x v="5955"/>
    <x v="1"/>
    <x v="0"/>
    <x v="1225"/>
    <x v="429"/>
    <x v="521"/>
    <x v="115"/>
  </r>
  <r>
    <x v="41"/>
    <x v="93"/>
    <x v="5956"/>
    <x v="1"/>
    <x v="0"/>
    <x v="1226"/>
    <x v="107"/>
    <x v="522"/>
    <x v="115"/>
  </r>
  <r>
    <x v="41"/>
    <x v="94"/>
    <x v="5957"/>
    <x v="1"/>
    <x v="1"/>
    <x v="1227"/>
    <x v="355"/>
    <x v="523"/>
    <x v="115"/>
  </r>
  <r>
    <x v="41"/>
    <x v="95"/>
    <x v="5958"/>
    <x v="1"/>
    <x v="0"/>
    <x v="1228"/>
    <x v="430"/>
    <x v="524"/>
    <x v="115"/>
  </r>
  <r>
    <x v="41"/>
    <x v="96"/>
    <x v="5959"/>
    <x v="1"/>
    <x v="0"/>
    <x v="1229"/>
    <x v="431"/>
    <x v="525"/>
    <x v="115"/>
  </r>
  <r>
    <x v="41"/>
    <x v="97"/>
    <x v="5960"/>
    <x v="1"/>
    <x v="0"/>
    <x v="1230"/>
    <x v="432"/>
    <x v="526"/>
    <x v="115"/>
  </r>
  <r>
    <x v="41"/>
    <x v="98"/>
    <x v="5961"/>
    <x v="1"/>
    <x v="0"/>
    <x v="1231"/>
    <x v="222"/>
    <x v="527"/>
    <x v="115"/>
  </r>
  <r>
    <x v="41"/>
    <x v="99"/>
    <x v="5962"/>
    <x v="1"/>
    <x v="1"/>
    <x v="1232"/>
    <x v="433"/>
    <x v="528"/>
    <x v="115"/>
  </r>
  <r>
    <x v="41"/>
    <x v="100"/>
    <x v="5963"/>
    <x v="1"/>
    <x v="0"/>
    <x v="1233"/>
    <x v="434"/>
    <x v="529"/>
    <x v="116"/>
  </r>
  <r>
    <x v="41"/>
    <x v="101"/>
    <x v="5964"/>
    <x v="1"/>
    <x v="0"/>
    <x v="1234"/>
    <x v="435"/>
    <x v="530"/>
    <x v="116"/>
  </r>
  <r>
    <x v="41"/>
    <x v="102"/>
    <x v="5965"/>
    <x v="1"/>
    <x v="0"/>
    <x v="1235"/>
    <x v="436"/>
    <x v="531"/>
    <x v="116"/>
  </r>
  <r>
    <x v="41"/>
    <x v="103"/>
    <x v="5966"/>
    <x v="1"/>
    <x v="0"/>
    <x v="1196"/>
    <x v="437"/>
    <x v="532"/>
    <x v="116"/>
  </r>
  <r>
    <x v="41"/>
    <x v="104"/>
    <x v="5967"/>
    <x v="1"/>
    <x v="0"/>
    <x v="1236"/>
    <x v="438"/>
    <x v="533"/>
    <x v="116"/>
  </r>
  <r>
    <x v="41"/>
    <x v="105"/>
    <x v="5968"/>
    <x v="1"/>
    <x v="1"/>
    <x v="1237"/>
    <x v="439"/>
    <x v="534"/>
    <x v="116"/>
  </r>
  <r>
    <x v="41"/>
    <x v="106"/>
    <x v="5969"/>
    <x v="1"/>
    <x v="0"/>
    <x v="1238"/>
    <x v="187"/>
    <x v="535"/>
    <x v="116"/>
  </r>
  <r>
    <x v="41"/>
    <x v="107"/>
    <x v="5970"/>
    <x v="1"/>
    <x v="0"/>
    <x v="1239"/>
    <x v="440"/>
    <x v="536"/>
    <x v="116"/>
  </r>
  <r>
    <x v="41"/>
    <x v="108"/>
    <x v="5971"/>
    <x v="1"/>
    <x v="0"/>
    <x v="1240"/>
    <x v="441"/>
    <x v="537"/>
    <x v="116"/>
  </r>
  <r>
    <x v="41"/>
    <x v="109"/>
    <x v="5972"/>
    <x v="1"/>
    <x v="0"/>
    <x v="1241"/>
    <x v="442"/>
    <x v="538"/>
    <x v="116"/>
  </r>
  <r>
    <x v="41"/>
    <x v="110"/>
    <x v="5973"/>
    <x v="1"/>
    <x v="0"/>
    <x v="708"/>
    <x v="443"/>
    <x v="539"/>
    <x v="116"/>
  </r>
  <r>
    <x v="41"/>
    <x v="111"/>
    <x v="5974"/>
    <x v="1"/>
    <x v="0"/>
    <x v="1242"/>
    <x v="444"/>
    <x v="540"/>
    <x v="116"/>
  </r>
  <r>
    <x v="41"/>
    <x v="112"/>
    <x v="5975"/>
    <x v="1"/>
    <x v="0"/>
    <x v="1243"/>
    <x v="445"/>
    <x v="541"/>
    <x v="116"/>
  </r>
  <r>
    <x v="41"/>
    <x v="113"/>
    <x v="5976"/>
    <x v="1"/>
    <x v="0"/>
    <x v="1244"/>
    <x v="446"/>
    <x v="542"/>
    <x v="117"/>
  </r>
  <r>
    <x v="41"/>
    <x v="114"/>
    <x v="5977"/>
    <x v="1"/>
    <x v="0"/>
    <x v="1245"/>
    <x v="447"/>
    <x v="543"/>
    <x v="117"/>
  </r>
  <r>
    <x v="41"/>
    <x v="115"/>
    <x v="5978"/>
    <x v="1"/>
    <x v="0"/>
    <x v="1246"/>
    <x v="448"/>
    <x v="544"/>
    <x v="117"/>
  </r>
  <r>
    <x v="41"/>
    <x v="116"/>
    <x v="5979"/>
    <x v="1"/>
    <x v="0"/>
    <x v="950"/>
    <x v="449"/>
    <x v="545"/>
    <x v="117"/>
  </r>
  <r>
    <x v="41"/>
    <x v="117"/>
    <x v="5980"/>
    <x v="1"/>
    <x v="0"/>
    <x v="1247"/>
    <x v="450"/>
    <x v="546"/>
    <x v="117"/>
  </r>
  <r>
    <x v="41"/>
    <x v="118"/>
    <x v="5981"/>
    <x v="1"/>
    <x v="0"/>
    <x v="1248"/>
    <x v="451"/>
    <x v="547"/>
    <x v="117"/>
  </r>
  <r>
    <x v="41"/>
    <x v="119"/>
    <x v="5982"/>
    <x v="1"/>
    <x v="0"/>
    <x v="1249"/>
    <x v="452"/>
    <x v="548"/>
    <x v="117"/>
  </r>
  <r>
    <x v="41"/>
    <x v="120"/>
    <x v="5983"/>
    <x v="1"/>
    <x v="0"/>
    <x v="1250"/>
    <x v="453"/>
    <x v="549"/>
    <x v="117"/>
  </r>
  <r>
    <x v="41"/>
    <x v="121"/>
    <x v="5984"/>
    <x v="1"/>
    <x v="0"/>
    <x v="1251"/>
    <x v="454"/>
    <x v="550"/>
    <x v="117"/>
  </r>
  <r>
    <x v="41"/>
    <x v="122"/>
    <x v="5985"/>
    <x v="1"/>
    <x v="0"/>
    <x v="1252"/>
    <x v="455"/>
    <x v="551"/>
    <x v="117"/>
  </r>
  <r>
    <x v="41"/>
    <x v="123"/>
    <x v="5986"/>
    <x v="1"/>
    <x v="0"/>
    <x v="1253"/>
    <x v="456"/>
    <x v="552"/>
    <x v="117"/>
  </r>
  <r>
    <x v="41"/>
    <x v="124"/>
    <x v="5987"/>
    <x v="1"/>
    <x v="0"/>
    <x v="1254"/>
    <x v="457"/>
    <x v="553"/>
    <x v="117"/>
  </r>
  <r>
    <x v="41"/>
    <x v="125"/>
    <x v="5988"/>
    <x v="1"/>
    <x v="0"/>
    <x v="1255"/>
    <x v="458"/>
    <x v="554"/>
    <x v="117"/>
  </r>
  <r>
    <x v="41"/>
    <x v="126"/>
    <x v="5989"/>
    <x v="1"/>
    <x v="0"/>
    <x v="1252"/>
    <x v="133"/>
    <x v="555"/>
    <x v="118"/>
  </r>
  <r>
    <x v="41"/>
    <x v="127"/>
    <x v="5990"/>
    <x v="1"/>
    <x v="0"/>
    <x v="1214"/>
    <x v="344"/>
    <x v="556"/>
    <x v="118"/>
  </r>
  <r>
    <x v="41"/>
    <x v="128"/>
    <x v="5991"/>
    <x v="1"/>
    <x v="0"/>
    <x v="1256"/>
    <x v="459"/>
    <x v="557"/>
    <x v="118"/>
  </r>
  <r>
    <x v="41"/>
    <x v="129"/>
    <x v="5992"/>
    <x v="1"/>
    <x v="0"/>
    <x v="569"/>
    <x v="460"/>
    <x v="558"/>
    <x v="118"/>
  </r>
  <r>
    <x v="41"/>
    <x v="130"/>
    <x v="5993"/>
    <x v="1"/>
    <x v="0"/>
    <x v="612"/>
    <x v="461"/>
    <x v="559"/>
    <x v="118"/>
  </r>
  <r>
    <x v="41"/>
    <x v="131"/>
    <x v="5994"/>
    <x v="1"/>
    <x v="0"/>
    <x v="1257"/>
    <x v="462"/>
    <x v="560"/>
    <x v="118"/>
  </r>
  <r>
    <x v="41"/>
    <x v="132"/>
    <x v="5995"/>
    <x v="1"/>
    <x v="0"/>
    <x v="1258"/>
    <x v="463"/>
    <x v="561"/>
    <x v="118"/>
  </r>
  <r>
    <x v="41"/>
    <x v="133"/>
    <x v="5996"/>
    <x v="1"/>
    <x v="0"/>
    <x v="1259"/>
    <x v="464"/>
    <x v="562"/>
    <x v="118"/>
  </r>
  <r>
    <x v="41"/>
    <x v="134"/>
    <x v="5997"/>
    <x v="1"/>
    <x v="0"/>
    <x v="615"/>
    <x v="465"/>
    <x v="563"/>
    <x v="118"/>
  </r>
  <r>
    <x v="41"/>
    <x v="135"/>
    <x v="5998"/>
    <x v="1"/>
    <x v="1"/>
    <x v="212"/>
    <x v="466"/>
    <x v="564"/>
    <x v="118"/>
  </r>
  <r>
    <x v="41"/>
    <x v="136"/>
    <x v="5999"/>
    <x v="1"/>
    <x v="0"/>
    <x v="776"/>
    <x v="467"/>
    <x v="565"/>
    <x v="118"/>
  </r>
  <r>
    <x v="41"/>
    <x v="137"/>
    <x v="6000"/>
    <x v="1"/>
    <x v="0"/>
    <x v="1260"/>
    <x v="468"/>
    <x v="566"/>
    <x v="118"/>
  </r>
  <r>
    <x v="41"/>
    <x v="138"/>
    <x v="6001"/>
    <x v="1"/>
    <x v="0"/>
    <x v="1261"/>
    <x v="467"/>
    <x v="567"/>
    <x v="118"/>
  </r>
  <r>
    <x v="41"/>
    <x v="139"/>
    <x v="6002"/>
    <x v="1"/>
    <x v="0"/>
    <x v="1262"/>
    <x v="469"/>
    <x v="568"/>
    <x v="119"/>
  </r>
  <r>
    <x v="41"/>
    <x v="140"/>
    <x v="6003"/>
    <x v="1"/>
    <x v="0"/>
    <x v="1248"/>
    <x v="470"/>
    <x v="569"/>
    <x v="119"/>
  </r>
  <r>
    <x v="41"/>
    <x v="141"/>
    <x v="6004"/>
    <x v="1"/>
    <x v="0"/>
    <x v="1263"/>
    <x v="471"/>
    <x v="570"/>
    <x v="119"/>
  </r>
  <r>
    <x v="41"/>
    <x v="142"/>
    <x v="6005"/>
    <x v="1"/>
    <x v="0"/>
    <x v="775"/>
    <x v="472"/>
    <x v="571"/>
    <x v="119"/>
  </r>
  <r>
    <x v="42"/>
    <x v="0"/>
    <x v="6006"/>
    <x v="1"/>
    <x v="0"/>
    <x v="1115"/>
    <x v="0"/>
    <x v="2002"/>
    <x v="296"/>
  </r>
  <r>
    <x v="42"/>
    <x v="1"/>
    <x v="6007"/>
    <x v="1"/>
    <x v="1"/>
    <x v="3461"/>
    <x v="1"/>
    <x v="2003"/>
    <x v="296"/>
  </r>
  <r>
    <x v="42"/>
    <x v="2"/>
    <x v="6008"/>
    <x v="1"/>
    <x v="0"/>
    <x v="424"/>
    <x v="2"/>
    <x v="2004"/>
    <x v="296"/>
  </r>
  <r>
    <x v="42"/>
    <x v="3"/>
    <x v="6009"/>
    <x v="1"/>
    <x v="0"/>
    <x v="424"/>
    <x v="3"/>
    <x v="2005"/>
    <x v="296"/>
  </r>
  <r>
    <x v="42"/>
    <x v="4"/>
    <x v="6010"/>
    <x v="1"/>
    <x v="0"/>
    <x v="1797"/>
    <x v="4"/>
    <x v="2006"/>
    <x v="296"/>
  </r>
  <r>
    <x v="42"/>
    <x v="5"/>
    <x v="6011"/>
    <x v="1"/>
    <x v="0"/>
    <x v="1125"/>
    <x v="5"/>
    <x v="2007"/>
    <x v="296"/>
  </r>
  <r>
    <x v="42"/>
    <x v="6"/>
    <x v="6012"/>
    <x v="1"/>
    <x v="0"/>
    <x v="3462"/>
    <x v="6"/>
    <x v="2008"/>
    <x v="296"/>
  </r>
  <r>
    <x v="42"/>
    <x v="7"/>
    <x v="6013"/>
    <x v="1"/>
    <x v="0"/>
    <x v="3463"/>
    <x v="7"/>
    <x v="2009"/>
    <x v="296"/>
  </r>
  <r>
    <x v="42"/>
    <x v="8"/>
    <x v="6014"/>
    <x v="1"/>
    <x v="0"/>
    <x v="817"/>
    <x v="8"/>
    <x v="2010"/>
    <x v="297"/>
  </r>
  <r>
    <x v="42"/>
    <x v="9"/>
    <x v="6015"/>
    <x v="1"/>
    <x v="0"/>
    <x v="3464"/>
    <x v="9"/>
    <x v="2011"/>
    <x v="297"/>
  </r>
  <r>
    <x v="42"/>
    <x v="10"/>
    <x v="6016"/>
    <x v="1"/>
    <x v="0"/>
    <x v="3465"/>
    <x v="10"/>
    <x v="2012"/>
    <x v="297"/>
  </r>
  <r>
    <x v="42"/>
    <x v="11"/>
    <x v="6017"/>
    <x v="1"/>
    <x v="0"/>
    <x v="3466"/>
    <x v="11"/>
    <x v="2013"/>
    <x v="297"/>
  </r>
  <r>
    <x v="42"/>
    <x v="12"/>
    <x v="6018"/>
    <x v="1"/>
    <x v="0"/>
    <x v="3467"/>
    <x v="12"/>
    <x v="2014"/>
    <x v="297"/>
  </r>
  <r>
    <x v="42"/>
    <x v="13"/>
    <x v="6019"/>
    <x v="1"/>
    <x v="0"/>
    <x v="1347"/>
    <x v="13"/>
    <x v="2015"/>
    <x v="297"/>
  </r>
  <r>
    <x v="42"/>
    <x v="14"/>
    <x v="6020"/>
    <x v="1"/>
    <x v="0"/>
    <x v="3468"/>
    <x v="14"/>
    <x v="2016"/>
    <x v="297"/>
  </r>
  <r>
    <x v="42"/>
    <x v="15"/>
    <x v="6021"/>
    <x v="1"/>
    <x v="0"/>
    <x v="2936"/>
    <x v="15"/>
    <x v="2017"/>
    <x v="297"/>
  </r>
  <r>
    <x v="42"/>
    <x v="16"/>
    <x v="6022"/>
    <x v="1"/>
    <x v="0"/>
    <x v="3469"/>
    <x v="16"/>
    <x v="2018"/>
    <x v="297"/>
  </r>
  <r>
    <x v="42"/>
    <x v="17"/>
    <x v="6023"/>
    <x v="1"/>
    <x v="0"/>
    <x v="3470"/>
    <x v="17"/>
    <x v="2019"/>
    <x v="297"/>
  </r>
  <r>
    <x v="42"/>
    <x v="18"/>
    <x v="6024"/>
    <x v="1"/>
    <x v="0"/>
    <x v="3471"/>
    <x v="18"/>
    <x v="2020"/>
    <x v="297"/>
  </r>
  <r>
    <x v="42"/>
    <x v="19"/>
    <x v="6025"/>
    <x v="1"/>
    <x v="0"/>
    <x v="1284"/>
    <x v="19"/>
    <x v="2021"/>
    <x v="297"/>
  </r>
  <r>
    <x v="42"/>
    <x v="20"/>
    <x v="6026"/>
    <x v="1"/>
    <x v="0"/>
    <x v="3472"/>
    <x v="20"/>
    <x v="2022"/>
    <x v="297"/>
  </r>
  <r>
    <x v="42"/>
    <x v="21"/>
    <x v="6027"/>
    <x v="1"/>
    <x v="0"/>
    <x v="267"/>
    <x v="21"/>
    <x v="2023"/>
    <x v="298"/>
  </r>
  <r>
    <x v="42"/>
    <x v="22"/>
    <x v="6028"/>
    <x v="1"/>
    <x v="0"/>
    <x v="3215"/>
    <x v="22"/>
    <x v="2024"/>
    <x v="298"/>
  </r>
  <r>
    <x v="42"/>
    <x v="23"/>
    <x v="6029"/>
    <x v="1"/>
    <x v="0"/>
    <x v="3473"/>
    <x v="23"/>
    <x v="2025"/>
    <x v="298"/>
  </r>
  <r>
    <x v="42"/>
    <x v="24"/>
    <x v="6030"/>
    <x v="1"/>
    <x v="0"/>
    <x v="3474"/>
    <x v="24"/>
    <x v="2026"/>
    <x v="298"/>
  </r>
  <r>
    <x v="42"/>
    <x v="25"/>
    <x v="6031"/>
    <x v="1"/>
    <x v="0"/>
    <x v="3475"/>
    <x v="25"/>
    <x v="2027"/>
    <x v="298"/>
  </r>
  <r>
    <x v="42"/>
    <x v="26"/>
    <x v="6032"/>
    <x v="1"/>
    <x v="0"/>
    <x v="397"/>
    <x v="26"/>
    <x v="2028"/>
    <x v="298"/>
  </r>
  <r>
    <x v="42"/>
    <x v="27"/>
    <x v="6033"/>
    <x v="1"/>
    <x v="0"/>
    <x v="3476"/>
    <x v="27"/>
    <x v="2029"/>
    <x v="298"/>
  </r>
  <r>
    <x v="42"/>
    <x v="28"/>
    <x v="6034"/>
    <x v="1"/>
    <x v="0"/>
    <x v="2383"/>
    <x v="28"/>
    <x v="2030"/>
    <x v="298"/>
  </r>
  <r>
    <x v="42"/>
    <x v="29"/>
    <x v="6035"/>
    <x v="1"/>
    <x v="0"/>
    <x v="3315"/>
    <x v="29"/>
    <x v="2031"/>
    <x v="298"/>
  </r>
  <r>
    <x v="42"/>
    <x v="30"/>
    <x v="6036"/>
    <x v="1"/>
    <x v="0"/>
    <x v="18"/>
    <x v="30"/>
    <x v="2032"/>
    <x v="298"/>
  </r>
  <r>
    <x v="42"/>
    <x v="31"/>
    <x v="6037"/>
    <x v="1"/>
    <x v="1"/>
    <x v="3477"/>
    <x v="31"/>
    <x v="2033"/>
    <x v="298"/>
  </r>
  <r>
    <x v="42"/>
    <x v="32"/>
    <x v="6038"/>
    <x v="1"/>
    <x v="0"/>
    <x v="3478"/>
    <x v="32"/>
    <x v="2034"/>
    <x v="298"/>
  </r>
  <r>
    <x v="42"/>
    <x v="33"/>
    <x v="6039"/>
    <x v="1"/>
    <x v="0"/>
    <x v="3479"/>
    <x v="33"/>
    <x v="2035"/>
    <x v="298"/>
  </r>
  <r>
    <x v="42"/>
    <x v="34"/>
    <x v="6040"/>
    <x v="1"/>
    <x v="0"/>
    <x v="3480"/>
    <x v="34"/>
    <x v="2036"/>
    <x v="299"/>
  </r>
  <r>
    <x v="42"/>
    <x v="35"/>
    <x v="6041"/>
    <x v="1"/>
    <x v="0"/>
    <x v="2658"/>
    <x v="35"/>
    <x v="2037"/>
    <x v="299"/>
  </r>
  <r>
    <x v="42"/>
    <x v="36"/>
    <x v="6042"/>
    <x v="1"/>
    <x v="0"/>
    <x v="3481"/>
    <x v="6"/>
    <x v="2038"/>
    <x v="299"/>
  </r>
  <r>
    <x v="42"/>
    <x v="37"/>
    <x v="6043"/>
    <x v="1"/>
    <x v="0"/>
    <x v="3465"/>
    <x v="36"/>
    <x v="2039"/>
    <x v="299"/>
  </r>
  <r>
    <x v="42"/>
    <x v="38"/>
    <x v="6044"/>
    <x v="1"/>
    <x v="0"/>
    <x v="3482"/>
    <x v="37"/>
    <x v="2040"/>
    <x v="299"/>
  </r>
  <r>
    <x v="42"/>
    <x v="39"/>
    <x v="6045"/>
    <x v="1"/>
    <x v="0"/>
    <x v="3483"/>
    <x v="38"/>
    <x v="2041"/>
    <x v="299"/>
  </r>
  <r>
    <x v="42"/>
    <x v="40"/>
    <x v="6046"/>
    <x v="1"/>
    <x v="0"/>
    <x v="3484"/>
    <x v="39"/>
    <x v="2042"/>
    <x v="299"/>
  </r>
  <r>
    <x v="42"/>
    <x v="41"/>
    <x v="6047"/>
    <x v="1"/>
    <x v="0"/>
    <x v="3485"/>
    <x v="40"/>
    <x v="2043"/>
    <x v="299"/>
  </r>
  <r>
    <x v="42"/>
    <x v="42"/>
    <x v="6048"/>
    <x v="1"/>
    <x v="1"/>
    <x v="3486"/>
    <x v="41"/>
    <x v="2044"/>
    <x v="299"/>
  </r>
  <r>
    <x v="42"/>
    <x v="43"/>
    <x v="6049"/>
    <x v="1"/>
    <x v="0"/>
    <x v="3341"/>
    <x v="42"/>
    <x v="2045"/>
    <x v="299"/>
  </r>
  <r>
    <x v="42"/>
    <x v="44"/>
    <x v="6050"/>
    <x v="1"/>
    <x v="0"/>
    <x v="585"/>
    <x v="43"/>
    <x v="2046"/>
    <x v="299"/>
  </r>
  <r>
    <x v="42"/>
    <x v="45"/>
    <x v="6051"/>
    <x v="1"/>
    <x v="0"/>
    <x v="3487"/>
    <x v="44"/>
    <x v="2047"/>
    <x v="299"/>
  </r>
  <r>
    <x v="42"/>
    <x v="46"/>
    <x v="6052"/>
    <x v="1"/>
    <x v="0"/>
    <x v="3488"/>
    <x v="45"/>
    <x v="2048"/>
    <x v="299"/>
  </r>
  <r>
    <x v="42"/>
    <x v="47"/>
    <x v="6053"/>
    <x v="1"/>
    <x v="1"/>
    <x v="2303"/>
    <x v="46"/>
    <x v="2049"/>
    <x v="299"/>
  </r>
  <r>
    <x v="42"/>
    <x v="48"/>
    <x v="6054"/>
    <x v="1"/>
    <x v="0"/>
    <x v="3489"/>
    <x v="47"/>
    <x v="2050"/>
    <x v="300"/>
  </r>
  <r>
    <x v="42"/>
    <x v="49"/>
    <x v="6055"/>
    <x v="1"/>
    <x v="0"/>
    <x v="3490"/>
    <x v="48"/>
    <x v="2051"/>
    <x v="300"/>
  </r>
  <r>
    <x v="42"/>
    <x v="50"/>
    <x v="6056"/>
    <x v="1"/>
    <x v="0"/>
    <x v="3491"/>
    <x v="49"/>
    <x v="2052"/>
    <x v="300"/>
  </r>
  <r>
    <x v="42"/>
    <x v="51"/>
    <x v="6057"/>
    <x v="1"/>
    <x v="0"/>
    <x v="718"/>
    <x v="50"/>
    <x v="2053"/>
    <x v="300"/>
  </r>
  <r>
    <x v="42"/>
    <x v="52"/>
    <x v="6058"/>
    <x v="1"/>
    <x v="0"/>
    <x v="3492"/>
    <x v="51"/>
    <x v="2054"/>
    <x v="300"/>
  </r>
  <r>
    <x v="42"/>
    <x v="53"/>
    <x v="6059"/>
    <x v="1"/>
    <x v="1"/>
    <x v="875"/>
    <x v="52"/>
    <x v="2055"/>
    <x v="300"/>
  </r>
  <r>
    <x v="42"/>
    <x v="54"/>
    <x v="6060"/>
    <x v="1"/>
    <x v="0"/>
    <x v="1187"/>
    <x v="53"/>
    <x v="2056"/>
    <x v="300"/>
  </r>
  <r>
    <x v="42"/>
    <x v="55"/>
    <x v="6061"/>
    <x v="1"/>
    <x v="0"/>
    <x v="3493"/>
    <x v="54"/>
    <x v="2057"/>
    <x v="300"/>
  </r>
  <r>
    <x v="42"/>
    <x v="56"/>
    <x v="6062"/>
    <x v="1"/>
    <x v="0"/>
    <x v="2070"/>
    <x v="55"/>
    <x v="2058"/>
    <x v="300"/>
  </r>
  <r>
    <x v="42"/>
    <x v="57"/>
    <x v="6063"/>
    <x v="1"/>
    <x v="0"/>
    <x v="1343"/>
    <x v="56"/>
    <x v="2059"/>
    <x v="300"/>
  </r>
  <r>
    <x v="42"/>
    <x v="58"/>
    <x v="6064"/>
    <x v="1"/>
    <x v="0"/>
    <x v="1921"/>
    <x v="57"/>
    <x v="2060"/>
    <x v="300"/>
  </r>
  <r>
    <x v="42"/>
    <x v="59"/>
    <x v="6065"/>
    <x v="1"/>
    <x v="0"/>
    <x v="3494"/>
    <x v="58"/>
    <x v="2061"/>
    <x v="300"/>
  </r>
  <r>
    <x v="42"/>
    <x v="60"/>
    <x v="6066"/>
    <x v="1"/>
    <x v="0"/>
    <x v="2190"/>
    <x v="59"/>
    <x v="2062"/>
    <x v="301"/>
  </r>
  <r>
    <x v="42"/>
    <x v="61"/>
    <x v="6067"/>
    <x v="1"/>
    <x v="0"/>
    <x v="725"/>
    <x v="60"/>
    <x v="2063"/>
    <x v="301"/>
  </r>
  <r>
    <x v="42"/>
    <x v="62"/>
    <x v="6068"/>
    <x v="1"/>
    <x v="0"/>
    <x v="2402"/>
    <x v="61"/>
    <x v="2064"/>
    <x v="301"/>
  </r>
  <r>
    <x v="42"/>
    <x v="63"/>
    <x v="6069"/>
    <x v="1"/>
    <x v="0"/>
    <x v="3495"/>
    <x v="62"/>
    <x v="2065"/>
    <x v="301"/>
  </r>
  <r>
    <x v="42"/>
    <x v="64"/>
    <x v="6070"/>
    <x v="1"/>
    <x v="0"/>
    <x v="3026"/>
    <x v="63"/>
    <x v="2066"/>
    <x v="301"/>
  </r>
  <r>
    <x v="42"/>
    <x v="65"/>
    <x v="6071"/>
    <x v="1"/>
    <x v="0"/>
    <x v="3496"/>
    <x v="64"/>
    <x v="2067"/>
    <x v="301"/>
  </r>
  <r>
    <x v="42"/>
    <x v="66"/>
    <x v="6072"/>
    <x v="1"/>
    <x v="0"/>
    <x v="1248"/>
    <x v="65"/>
    <x v="2068"/>
    <x v="301"/>
  </r>
  <r>
    <x v="42"/>
    <x v="67"/>
    <x v="6073"/>
    <x v="1"/>
    <x v="0"/>
    <x v="1293"/>
    <x v="66"/>
    <x v="2069"/>
    <x v="301"/>
  </r>
  <r>
    <x v="42"/>
    <x v="68"/>
    <x v="6074"/>
    <x v="1"/>
    <x v="0"/>
    <x v="3497"/>
    <x v="67"/>
    <x v="2070"/>
    <x v="301"/>
  </r>
  <r>
    <x v="42"/>
    <x v="69"/>
    <x v="6075"/>
    <x v="1"/>
    <x v="0"/>
    <x v="168"/>
    <x v="68"/>
    <x v="2071"/>
    <x v="301"/>
  </r>
  <r>
    <x v="42"/>
    <x v="70"/>
    <x v="6076"/>
    <x v="1"/>
    <x v="0"/>
    <x v="162"/>
    <x v="69"/>
    <x v="2072"/>
    <x v="301"/>
  </r>
  <r>
    <x v="42"/>
    <x v="71"/>
    <x v="6077"/>
    <x v="1"/>
    <x v="0"/>
    <x v="3498"/>
    <x v="70"/>
    <x v="2073"/>
    <x v="301"/>
  </r>
  <r>
    <x v="42"/>
    <x v="72"/>
    <x v="6078"/>
    <x v="1"/>
    <x v="0"/>
    <x v="1318"/>
    <x v="71"/>
    <x v="2074"/>
    <x v="301"/>
  </r>
  <r>
    <x v="42"/>
    <x v="73"/>
    <x v="6079"/>
    <x v="1"/>
    <x v="0"/>
    <x v="1255"/>
    <x v="59"/>
    <x v="2075"/>
    <x v="302"/>
  </r>
  <r>
    <x v="42"/>
    <x v="74"/>
    <x v="6080"/>
    <x v="1"/>
    <x v="0"/>
    <x v="3043"/>
    <x v="72"/>
    <x v="2076"/>
    <x v="302"/>
  </r>
  <r>
    <x v="42"/>
    <x v="75"/>
    <x v="6081"/>
    <x v="1"/>
    <x v="0"/>
    <x v="3499"/>
    <x v="73"/>
    <x v="2077"/>
    <x v="302"/>
  </r>
  <r>
    <x v="42"/>
    <x v="76"/>
    <x v="6082"/>
    <x v="1"/>
    <x v="0"/>
    <x v="1253"/>
    <x v="74"/>
    <x v="2078"/>
    <x v="302"/>
  </r>
  <r>
    <x v="42"/>
    <x v="77"/>
    <x v="6083"/>
    <x v="1"/>
    <x v="0"/>
    <x v="3500"/>
    <x v="75"/>
    <x v="2079"/>
    <x v="302"/>
  </r>
  <r>
    <x v="42"/>
    <x v="78"/>
    <x v="6084"/>
    <x v="1"/>
    <x v="0"/>
    <x v="3501"/>
    <x v="76"/>
    <x v="2080"/>
    <x v="302"/>
  </r>
  <r>
    <x v="42"/>
    <x v="79"/>
    <x v="6085"/>
    <x v="1"/>
    <x v="0"/>
    <x v="613"/>
    <x v="77"/>
    <x v="2081"/>
    <x v="302"/>
  </r>
  <r>
    <x v="42"/>
    <x v="80"/>
    <x v="6086"/>
    <x v="1"/>
    <x v="0"/>
    <x v="2913"/>
    <x v="78"/>
    <x v="2082"/>
    <x v="302"/>
  </r>
  <r>
    <x v="42"/>
    <x v="81"/>
    <x v="6087"/>
    <x v="1"/>
    <x v="0"/>
    <x v="3502"/>
    <x v="79"/>
    <x v="2083"/>
    <x v="302"/>
  </r>
  <r>
    <x v="42"/>
    <x v="82"/>
    <x v="6088"/>
    <x v="1"/>
    <x v="0"/>
    <x v="3503"/>
    <x v="80"/>
    <x v="2084"/>
    <x v="302"/>
  </r>
  <r>
    <x v="42"/>
    <x v="83"/>
    <x v="6089"/>
    <x v="1"/>
    <x v="1"/>
    <x v="2618"/>
    <x v="81"/>
    <x v="2085"/>
    <x v="302"/>
  </r>
  <r>
    <x v="42"/>
    <x v="84"/>
    <x v="6090"/>
    <x v="1"/>
    <x v="0"/>
    <x v="1615"/>
    <x v="82"/>
    <x v="2086"/>
    <x v="302"/>
  </r>
  <r>
    <x v="42"/>
    <x v="85"/>
    <x v="6091"/>
    <x v="1"/>
    <x v="0"/>
    <x v="1132"/>
    <x v="83"/>
    <x v="2087"/>
    <x v="302"/>
  </r>
  <r>
    <x v="42"/>
    <x v="86"/>
    <x v="6092"/>
    <x v="1"/>
    <x v="0"/>
    <x v="3504"/>
    <x v="84"/>
    <x v="2088"/>
    <x v="302"/>
  </r>
  <r>
    <x v="42"/>
    <x v="87"/>
    <x v="6093"/>
    <x v="1"/>
    <x v="0"/>
    <x v="2588"/>
    <x v="85"/>
    <x v="2089"/>
    <x v="303"/>
  </r>
  <r>
    <x v="42"/>
    <x v="88"/>
    <x v="6094"/>
    <x v="1"/>
    <x v="0"/>
    <x v="2712"/>
    <x v="86"/>
    <x v="2090"/>
    <x v="303"/>
  </r>
  <r>
    <x v="42"/>
    <x v="89"/>
    <x v="6095"/>
    <x v="1"/>
    <x v="0"/>
    <x v="3505"/>
    <x v="87"/>
    <x v="2091"/>
    <x v="303"/>
  </r>
  <r>
    <x v="42"/>
    <x v="90"/>
    <x v="6096"/>
    <x v="1"/>
    <x v="0"/>
    <x v="3506"/>
    <x v="88"/>
    <x v="2092"/>
    <x v="303"/>
  </r>
  <r>
    <x v="42"/>
    <x v="91"/>
    <x v="6097"/>
    <x v="1"/>
    <x v="0"/>
    <x v="863"/>
    <x v="89"/>
    <x v="2093"/>
    <x v="303"/>
  </r>
  <r>
    <x v="42"/>
    <x v="92"/>
    <x v="6098"/>
    <x v="1"/>
    <x v="0"/>
    <x v="150"/>
    <x v="90"/>
    <x v="2094"/>
    <x v="303"/>
  </r>
  <r>
    <x v="42"/>
    <x v="93"/>
    <x v="6099"/>
    <x v="1"/>
    <x v="0"/>
    <x v="643"/>
    <x v="91"/>
    <x v="2095"/>
    <x v="303"/>
  </r>
  <r>
    <x v="42"/>
    <x v="94"/>
    <x v="6100"/>
    <x v="1"/>
    <x v="1"/>
    <x v="3507"/>
    <x v="92"/>
    <x v="2096"/>
    <x v="303"/>
  </r>
  <r>
    <x v="42"/>
    <x v="95"/>
    <x v="6101"/>
    <x v="1"/>
    <x v="0"/>
    <x v="3508"/>
    <x v="93"/>
    <x v="2097"/>
    <x v="303"/>
  </r>
  <r>
    <x v="42"/>
    <x v="96"/>
    <x v="6102"/>
    <x v="1"/>
    <x v="0"/>
    <x v="1529"/>
    <x v="94"/>
    <x v="2098"/>
    <x v="303"/>
  </r>
  <r>
    <x v="42"/>
    <x v="97"/>
    <x v="6103"/>
    <x v="1"/>
    <x v="0"/>
    <x v="3509"/>
    <x v="95"/>
    <x v="2099"/>
    <x v="303"/>
  </r>
  <r>
    <x v="42"/>
    <x v="98"/>
    <x v="6104"/>
    <x v="1"/>
    <x v="0"/>
    <x v="3510"/>
    <x v="96"/>
    <x v="2100"/>
    <x v="303"/>
  </r>
  <r>
    <x v="42"/>
    <x v="99"/>
    <x v="6105"/>
    <x v="1"/>
    <x v="1"/>
    <x v="2629"/>
    <x v="97"/>
    <x v="2101"/>
    <x v="303"/>
  </r>
  <r>
    <x v="42"/>
    <x v="100"/>
    <x v="6106"/>
    <x v="1"/>
    <x v="0"/>
    <x v="3511"/>
    <x v="98"/>
    <x v="2102"/>
    <x v="304"/>
  </r>
  <r>
    <x v="42"/>
    <x v="101"/>
    <x v="6107"/>
    <x v="1"/>
    <x v="0"/>
    <x v="3512"/>
    <x v="99"/>
    <x v="2103"/>
    <x v="304"/>
  </r>
  <r>
    <x v="42"/>
    <x v="102"/>
    <x v="6108"/>
    <x v="1"/>
    <x v="0"/>
    <x v="3513"/>
    <x v="100"/>
    <x v="2104"/>
    <x v="304"/>
  </r>
  <r>
    <x v="42"/>
    <x v="103"/>
    <x v="6109"/>
    <x v="1"/>
    <x v="0"/>
    <x v="2984"/>
    <x v="101"/>
    <x v="2105"/>
    <x v="304"/>
  </r>
  <r>
    <x v="42"/>
    <x v="104"/>
    <x v="6110"/>
    <x v="1"/>
    <x v="0"/>
    <x v="3514"/>
    <x v="102"/>
    <x v="2106"/>
    <x v="304"/>
  </r>
  <r>
    <x v="42"/>
    <x v="105"/>
    <x v="6111"/>
    <x v="1"/>
    <x v="1"/>
    <x v="1705"/>
    <x v="103"/>
    <x v="2107"/>
    <x v="304"/>
  </r>
  <r>
    <x v="42"/>
    <x v="106"/>
    <x v="6112"/>
    <x v="1"/>
    <x v="0"/>
    <x v="1121"/>
    <x v="104"/>
    <x v="2108"/>
    <x v="304"/>
  </r>
  <r>
    <x v="42"/>
    <x v="107"/>
    <x v="6113"/>
    <x v="1"/>
    <x v="0"/>
    <x v="1414"/>
    <x v="105"/>
    <x v="2109"/>
    <x v="304"/>
  </r>
  <r>
    <x v="42"/>
    <x v="108"/>
    <x v="6114"/>
    <x v="1"/>
    <x v="0"/>
    <x v="1341"/>
    <x v="106"/>
    <x v="2110"/>
    <x v="304"/>
  </r>
  <r>
    <x v="42"/>
    <x v="109"/>
    <x v="6115"/>
    <x v="1"/>
    <x v="0"/>
    <x v="149"/>
    <x v="107"/>
    <x v="2111"/>
    <x v="304"/>
  </r>
  <r>
    <x v="42"/>
    <x v="110"/>
    <x v="6116"/>
    <x v="1"/>
    <x v="0"/>
    <x v="3515"/>
    <x v="108"/>
    <x v="2112"/>
    <x v="304"/>
  </r>
  <r>
    <x v="42"/>
    <x v="111"/>
    <x v="6117"/>
    <x v="1"/>
    <x v="0"/>
    <x v="1927"/>
    <x v="109"/>
    <x v="2113"/>
    <x v="304"/>
  </r>
  <r>
    <x v="42"/>
    <x v="112"/>
    <x v="6118"/>
    <x v="1"/>
    <x v="0"/>
    <x v="3322"/>
    <x v="110"/>
    <x v="2114"/>
    <x v="304"/>
  </r>
  <r>
    <x v="42"/>
    <x v="113"/>
    <x v="6119"/>
    <x v="1"/>
    <x v="0"/>
    <x v="3516"/>
    <x v="111"/>
    <x v="2115"/>
    <x v="305"/>
  </r>
  <r>
    <x v="42"/>
    <x v="114"/>
    <x v="6120"/>
    <x v="1"/>
    <x v="0"/>
    <x v="3517"/>
    <x v="111"/>
    <x v="2116"/>
    <x v="305"/>
  </r>
  <r>
    <x v="42"/>
    <x v="115"/>
    <x v="6121"/>
    <x v="1"/>
    <x v="0"/>
    <x v="3518"/>
    <x v="112"/>
    <x v="2117"/>
    <x v="305"/>
  </r>
  <r>
    <x v="42"/>
    <x v="116"/>
    <x v="6122"/>
    <x v="1"/>
    <x v="0"/>
    <x v="2292"/>
    <x v="113"/>
    <x v="2118"/>
    <x v="305"/>
  </r>
  <r>
    <x v="42"/>
    <x v="117"/>
    <x v="6123"/>
    <x v="1"/>
    <x v="0"/>
    <x v="528"/>
    <x v="114"/>
    <x v="2119"/>
    <x v="305"/>
  </r>
  <r>
    <x v="42"/>
    <x v="118"/>
    <x v="6124"/>
    <x v="1"/>
    <x v="0"/>
    <x v="1753"/>
    <x v="115"/>
    <x v="2120"/>
    <x v="305"/>
  </r>
  <r>
    <x v="42"/>
    <x v="119"/>
    <x v="6125"/>
    <x v="1"/>
    <x v="0"/>
    <x v="3519"/>
    <x v="106"/>
    <x v="2121"/>
    <x v="305"/>
  </r>
  <r>
    <x v="42"/>
    <x v="120"/>
    <x v="6126"/>
    <x v="1"/>
    <x v="0"/>
    <x v="1360"/>
    <x v="116"/>
    <x v="2122"/>
    <x v="305"/>
  </r>
  <r>
    <x v="42"/>
    <x v="121"/>
    <x v="6127"/>
    <x v="1"/>
    <x v="0"/>
    <x v="3497"/>
    <x v="117"/>
    <x v="2123"/>
    <x v="305"/>
  </r>
  <r>
    <x v="42"/>
    <x v="122"/>
    <x v="6128"/>
    <x v="1"/>
    <x v="0"/>
    <x v="3265"/>
    <x v="118"/>
    <x v="2124"/>
    <x v="305"/>
  </r>
  <r>
    <x v="42"/>
    <x v="123"/>
    <x v="6129"/>
    <x v="1"/>
    <x v="0"/>
    <x v="3520"/>
    <x v="119"/>
    <x v="2125"/>
    <x v="305"/>
  </r>
  <r>
    <x v="42"/>
    <x v="124"/>
    <x v="6130"/>
    <x v="1"/>
    <x v="0"/>
    <x v="3521"/>
    <x v="120"/>
    <x v="2126"/>
    <x v="305"/>
  </r>
  <r>
    <x v="42"/>
    <x v="125"/>
    <x v="6131"/>
    <x v="1"/>
    <x v="0"/>
    <x v="1429"/>
    <x v="121"/>
    <x v="2127"/>
    <x v="305"/>
  </r>
  <r>
    <x v="42"/>
    <x v="126"/>
    <x v="6132"/>
    <x v="1"/>
    <x v="0"/>
    <x v="2310"/>
    <x v="122"/>
    <x v="2128"/>
    <x v="306"/>
  </r>
  <r>
    <x v="42"/>
    <x v="127"/>
    <x v="6133"/>
    <x v="1"/>
    <x v="0"/>
    <x v="1502"/>
    <x v="123"/>
    <x v="2129"/>
    <x v="306"/>
  </r>
  <r>
    <x v="42"/>
    <x v="128"/>
    <x v="6134"/>
    <x v="1"/>
    <x v="0"/>
    <x v="3522"/>
    <x v="124"/>
    <x v="2130"/>
    <x v="306"/>
  </r>
  <r>
    <x v="42"/>
    <x v="129"/>
    <x v="6135"/>
    <x v="1"/>
    <x v="0"/>
    <x v="3523"/>
    <x v="125"/>
    <x v="2131"/>
    <x v="306"/>
  </r>
  <r>
    <x v="42"/>
    <x v="130"/>
    <x v="6136"/>
    <x v="1"/>
    <x v="0"/>
    <x v="665"/>
    <x v="126"/>
    <x v="2132"/>
    <x v="306"/>
  </r>
  <r>
    <x v="42"/>
    <x v="131"/>
    <x v="6137"/>
    <x v="1"/>
    <x v="0"/>
    <x v="3524"/>
    <x v="127"/>
    <x v="2133"/>
    <x v="306"/>
  </r>
  <r>
    <x v="42"/>
    <x v="132"/>
    <x v="6138"/>
    <x v="1"/>
    <x v="0"/>
    <x v="3264"/>
    <x v="128"/>
    <x v="2134"/>
    <x v="306"/>
  </r>
  <r>
    <x v="42"/>
    <x v="133"/>
    <x v="6139"/>
    <x v="1"/>
    <x v="0"/>
    <x v="396"/>
    <x v="129"/>
    <x v="2135"/>
    <x v="306"/>
  </r>
  <r>
    <x v="42"/>
    <x v="134"/>
    <x v="6140"/>
    <x v="1"/>
    <x v="0"/>
    <x v="3312"/>
    <x v="77"/>
    <x v="2136"/>
    <x v="306"/>
  </r>
  <r>
    <x v="42"/>
    <x v="135"/>
    <x v="6141"/>
    <x v="1"/>
    <x v="1"/>
    <x v="408"/>
    <x v="130"/>
    <x v="2137"/>
    <x v="306"/>
  </r>
  <r>
    <x v="42"/>
    <x v="136"/>
    <x v="6142"/>
    <x v="1"/>
    <x v="0"/>
    <x v="1200"/>
    <x v="131"/>
    <x v="2138"/>
    <x v="306"/>
  </r>
  <r>
    <x v="42"/>
    <x v="137"/>
    <x v="6143"/>
    <x v="1"/>
    <x v="0"/>
    <x v="3525"/>
    <x v="132"/>
    <x v="2139"/>
    <x v="306"/>
  </r>
  <r>
    <x v="42"/>
    <x v="138"/>
    <x v="6144"/>
    <x v="1"/>
    <x v="0"/>
    <x v="3526"/>
    <x v="133"/>
    <x v="2140"/>
    <x v="306"/>
  </r>
  <r>
    <x v="42"/>
    <x v="139"/>
    <x v="6145"/>
    <x v="1"/>
    <x v="0"/>
    <x v="3527"/>
    <x v="134"/>
    <x v="2141"/>
    <x v="307"/>
  </r>
  <r>
    <x v="42"/>
    <x v="140"/>
    <x v="6146"/>
    <x v="1"/>
    <x v="0"/>
    <x v="1995"/>
    <x v="135"/>
    <x v="2142"/>
    <x v="307"/>
  </r>
  <r>
    <x v="42"/>
    <x v="141"/>
    <x v="6147"/>
    <x v="1"/>
    <x v="0"/>
    <x v="2263"/>
    <x v="71"/>
    <x v="2143"/>
    <x v="307"/>
  </r>
  <r>
    <x v="42"/>
    <x v="142"/>
    <x v="6148"/>
    <x v="1"/>
    <x v="0"/>
    <x v="673"/>
    <x v="136"/>
    <x v="2144"/>
    <x v="307"/>
  </r>
  <r>
    <x v="43"/>
    <x v="0"/>
    <x v="6149"/>
    <x v="1"/>
    <x v="0"/>
    <x v="1485"/>
    <x v="520"/>
    <x v="429"/>
    <x v="339"/>
  </r>
  <r>
    <x v="43"/>
    <x v="1"/>
    <x v="6150"/>
    <x v="1"/>
    <x v="1"/>
    <x v="1486"/>
    <x v="160"/>
    <x v="430"/>
    <x v="339"/>
  </r>
  <r>
    <x v="43"/>
    <x v="2"/>
    <x v="6151"/>
    <x v="1"/>
    <x v="0"/>
    <x v="1487"/>
    <x v="141"/>
    <x v="431"/>
    <x v="339"/>
  </r>
  <r>
    <x v="43"/>
    <x v="3"/>
    <x v="6152"/>
    <x v="1"/>
    <x v="0"/>
    <x v="1488"/>
    <x v="5"/>
    <x v="432"/>
    <x v="339"/>
  </r>
  <r>
    <x v="43"/>
    <x v="4"/>
    <x v="6153"/>
    <x v="1"/>
    <x v="0"/>
    <x v="875"/>
    <x v="521"/>
    <x v="433"/>
    <x v="339"/>
  </r>
  <r>
    <x v="43"/>
    <x v="5"/>
    <x v="6154"/>
    <x v="1"/>
    <x v="0"/>
    <x v="1489"/>
    <x v="522"/>
    <x v="434"/>
    <x v="339"/>
  </r>
  <r>
    <x v="43"/>
    <x v="6"/>
    <x v="6155"/>
    <x v="1"/>
    <x v="0"/>
    <x v="1490"/>
    <x v="523"/>
    <x v="435"/>
    <x v="339"/>
  </r>
  <r>
    <x v="43"/>
    <x v="7"/>
    <x v="6156"/>
    <x v="1"/>
    <x v="0"/>
    <x v="1491"/>
    <x v="524"/>
    <x v="436"/>
    <x v="339"/>
  </r>
  <r>
    <x v="43"/>
    <x v="8"/>
    <x v="6157"/>
    <x v="1"/>
    <x v="0"/>
    <x v="1492"/>
    <x v="525"/>
    <x v="437"/>
    <x v="340"/>
  </r>
  <r>
    <x v="43"/>
    <x v="9"/>
    <x v="6158"/>
    <x v="1"/>
    <x v="0"/>
    <x v="1493"/>
    <x v="361"/>
    <x v="438"/>
    <x v="340"/>
  </r>
  <r>
    <x v="43"/>
    <x v="10"/>
    <x v="6159"/>
    <x v="1"/>
    <x v="0"/>
    <x v="1494"/>
    <x v="359"/>
    <x v="439"/>
    <x v="340"/>
  </r>
  <r>
    <x v="43"/>
    <x v="11"/>
    <x v="6160"/>
    <x v="1"/>
    <x v="0"/>
    <x v="1495"/>
    <x v="526"/>
    <x v="440"/>
    <x v="340"/>
  </r>
  <r>
    <x v="43"/>
    <x v="12"/>
    <x v="6161"/>
    <x v="1"/>
    <x v="0"/>
    <x v="760"/>
    <x v="372"/>
    <x v="441"/>
    <x v="340"/>
  </r>
  <r>
    <x v="43"/>
    <x v="13"/>
    <x v="6162"/>
    <x v="1"/>
    <x v="0"/>
    <x v="1496"/>
    <x v="527"/>
    <x v="442"/>
    <x v="340"/>
  </r>
  <r>
    <x v="43"/>
    <x v="14"/>
    <x v="6163"/>
    <x v="1"/>
    <x v="0"/>
    <x v="1497"/>
    <x v="357"/>
    <x v="443"/>
    <x v="340"/>
  </r>
  <r>
    <x v="43"/>
    <x v="15"/>
    <x v="6164"/>
    <x v="1"/>
    <x v="0"/>
    <x v="723"/>
    <x v="528"/>
    <x v="444"/>
    <x v="340"/>
  </r>
  <r>
    <x v="43"/>
    <x v="16"/>
    <x v="6165"/>
    <x v="1"/>
    <x v="0"/>
    <x v="1498"/>
    <x v="529"/>
    <x v="445"/>
    <x v="340"/>
  </r>
  <r>
    <x v="43"/>
    <x v="17"/>
    <x v="6166"/>
    <x v="1"/>
    <x v="0"/>
    <x v="1233"/>
    <x v="530"/>
    <x v="446"/>
    <x v="340"/>
  </r>
  <r>
    <x v="43"/>
    <x v="18"/>
    <x v="6167"/>
    <x v="1"/>
    <x v="0"/>
    <x v="1499"/>
    <x v="531"/>
    <x v="447"/>
    <x v="340"/>
  </r>
  <r>
    <x v="43"/>
    <x v="19"/>
    <x v="6168"/>
    <x v="1"/>
    <x v="0"/>
    <x v="1500"/>
    <x v="524"/>
    <x v="448"/>
    <x v="340"/>
  </r>
  <r>
    <x v="43"/>
    <x v="20"/>
    <x v="6169"/>
    <x v="1"/>
    <x v="0"/>
    <x v="1501"/>
    <x v="152"/>
    <x v="449"/>
    <x v="340"/>
  </r>
  <r>
    <x v="43"/>
    <x v="21"/>
    <x v="6170"/>
    <x v="1"/>
    <x v="0"/>
    <x v="1502"/>
    <x v="532"/>
    <x v="450"/>
    <x v="341"/>
  </r>
  <r>
    <x v="43"/>
    <x v="22"/>
    <x v="6171"/>
    <x v="1"/>
    <x v="0"/>
    <x v="1503"/>
    <x v="533"/>
    <x v="451"/>
    <x v="341"/>
  </r>
  <r>
    <x v="43"/>
    <x v="23"/>
    <x v="6172"/>
    <x v="1"/>
    <x v="0"/>
    <x v="1504"/>
    <x v="534"/>
    <x v="452"/>
    <x v="341"/>
  </r>
  <r>
    <x v="43"/>
    <x v="24"/>
    <x v="6173"/>
    <x v="1"/>
    <x v="0"/>
    <x v="1220"/>
    <x v="535"/>
    <x v="453"/>
    <x v="341"/>
  </r>
  <r>
    <x v="43"/>
    <x v="25"/>
    <x v="6174"/>
    <x v="1"/>
    <x v="0"/>
    <x v="1505"/>
    <x v="535"/>
    <x v="454"/>
    <x v="341"/>
  </r>
  <r>
    <x v="43"/>
    <x v="26"/>
    <x v="6175"/>
    <x v="1"/>
    <x v="0"/>
    <x v="1033"/>
    <x v="533"/>
    <x v="455"/>
    <x v="341"/>
  </r>
  <r>
    <x v="43"/>
    <x v="27"/>
    <x v="6176"/>
    <x v="1"/>
    <x v="0"/>
    <x v="1506"/>
    <x v="536"/>
    <x v="456"/>
    <x v="341"/>
  </r>
  <r>
    <x v="43"/>
    <x v="28"/>
    <x v="6177"/>
    <x v="1"/>
    <x v="0"/>
    <x v="1507"/>
    <x v="537"/>
    <x v="457"/>
    <x v="341"/>
  </r>
  <r>
    <x v="43"/>
    <x v="29"/>
    <x v="6178"/>
    <x v="1"/>
    <x v="0"/>
    <x v="1508"/>
    <x v="14"/>
    <x v="458"/>
    <x v="341"/>
  </r>
  <r>
    <x v="43"/>
    <x v="30"/>
    <x v="6179"/>
    <x v="1"/>
    <x v="0"/>
    <x v="1509"/>
    <x v="538"/>
    <x v="459"/>
    <x v="341"/>
  </r>
  <r>
    <x v="43"/>
    <x v="31"/>
    <x v="6180"/>
    <x v="1"/>
    <x v="1"/>
    <x v="1510"/>
    <x v="539"/>
    <x v="460"/>
    <x v="341"/>
  </r>
  <r>
    <x v="43"/>
    <x v="32"/>
    <x v="6181"/>
    <x v="1"/>
    <x v="0"/>
    <x v="1511"/>
    <x v="540"/>
    <x v="461"/>
    <x v="341"/>
  </r>
  <r>
    <x v="43"/>
    <x v="33"/>
    <x v="6182"/>
    <x v="1"/>
    <x v="0"/>
    <x v="1512"/>
    <x v="541"/>
    <x v="462"/>
    <x v="341"/>
  </r>
  <r>
    <x v="43"/>
    <x v="34"/>
    <x v="6183"/>
    <x v="1"/>
    <x v="0"/>
    <x v="1303"/>
    <x v="542"/>
    <x v="463"/>
    <x v="342"/>
  </r>
  <r>
    <x v="43"/>
    <x v="35"/>
    <x v="6184"/>
    <x v="1"/>
    <x v="0"/>
    <x v="1513"/>
    <x v="531"/>
    <x v="464"/>
    <x v="342"/>
  </r>
  <r>
    <x v="43"/>
    <x v="36"/>
    <x v="6185"/>
    <x v="1"/>
    <x v="0"/>
    <x v="1238"/>
    <x v="151"/>
    <x v="465"/>
    <x v="342"/>
  </r>
  <r>
    <x v="43"/>
    <x v="37"/>
    <x v="6186"/>
    <x v="1"/>
    <x v="0"/>
    <x v="1336"/>
    <x v="543"/>
    <x v="466"/>
    <x v="342"/>
  </r>
  <r>
    <x v="43"/>
    <x v="38"/>
    <x v="6187"/>
    <x v="1"/>
    <x v="0"/>
    <x v="1514"/>
    <x v="531"/>
    <x v="467"/>
    <x v="342"/>
  </r>
  <r>
    <x v="43"/>
    <x v="39"/>
    <x v="6188"/>
    <x v="1"/>
    <x v="0"/>
    <x v="1073"/>
    <x v="544"/>
    <x v="468"/>
    <x v="342"/>
  </r>
  <r>
    <x v="43"/>
    <x v="40"/>
    <x v="6189"/>
    <x v="1"/>
    <x v="0"/>
    <x v="1515"/>
    <x v="544"/>
    <x v="469"/>
    <x v="342"/>
  </r>
  <r>
    <x v="43"/>
    <x v="41"/>
    <x v="6190"/>
    <x v="1"/>
    <x v="0"/>
    <x v="1516"/>
    <x v="525"/>
    <x v="470"/>
    <x v="342"/>
  </r>
  <r>
    <x v="43"/>
    <x v="42"/>
    <x v="6191"/>
    <x v="1"/>
    <x v="1"/>
    <x v="1517"/>
    <x v="545"/>
    <x v="471"/>
    <x v="342"/>
  </r>
  <r>
    <x v="43"/>
    <x v="43"/>
    <x v="6192"/>
    <x v="1"/>
    <x v="0"/>
    <x v="1518"/>
    <x v="546"/>
    <x v="472"/>
    <x v="342"/>
  </r>
  <r>
    <x v="43"/>
    <x v="44"/>
    <x v="6193"/>
    <x v="1"/>
    <x v="0"/>
    <x v="1519"/>
    <x v="547"/>
    <x v="473"/>
    <x v="342"/>
  </r>
  <r>
    <x v="43"/>
    <x v="45"/>
    <x v="6194"/>
    <x v="1"/>
    <x v="0"/>
    <x v="1520"/>
    <x v="525"/>
    <x v="474"/>
    <x v="342"/>
  </r>
  <r>
    <x v="43"/>
    <x v="46"/>
    <x v="6195"/>
    <x v="1"/>
    <x v="0"/>
    <x v="1521"/>
    <x v="548"/>
    <x v="475"/>
    <x v="342"/>
  </r>
  <r>
    <x v="43"/>
    <x v="47"/>
    <x v="6196"/>
    <x v="1"/>
    <x v="1"/>
    <x v="854"/>
    <x v="538"/>
    <x v="476"/>
    <x v="342"/>
  </r>
  <r>
    <x v="43"/>
    <x v="48"/>
    <x v="6197"/>
    <x v="1"/>
    <x v="0"/>
    <x v="1522"/>
    <x v="549"/>
    <x v="477"/>
    <x v="343"/>
  </r>
  <r>
    <x v="43"/>
    <x v="49"/>
    <x v="6198"/>
    <x v="1"/>
    <x v="0"/>
    <x v="1523"/>
    <x v="550"/>
    <x v="478"/>
    <x v="343"/>
  </r>
  <r>
    <x v="43"/>
    <x v="50"/>
    <x v="6199"/>
    <x v="1"/>
    <x v="0"/>
    <x v="1524"/>
    <x v="551"/>
    <x v="479"/>
    <x v="343"/>
  </r>
  <r>
    <x v="43"/>
    <x v="51"/>
    <x v="6200"/>
    <x v="1"/>
    <x v="0"/>
    <x v="505"/>
    <x v="552"/>
    <x v="480"/>
    <x v="343"/>
  </r>
  <r>
    <x v="43"/>
    <x v="52"/>
    <x v="6201"/>
    <x v="1"/>
    <x v="0"/>
    <x v="1525"/>
    <x v="553"/>
    <x v="481"/>
    <x v="343"/>
  </r>
  <r>
    <x v="43"/>
    <x v="53"/>
    <x v="6202"/>
    <x v="1"/>
    <x v="1"/>
    <x v="1526"/>
    <x v="362"/>
    <x v="482"/>
    <x v="343"/>
  </r>
  <r>
    <x v="43"/>
    <x v="54"/>
    <x v="6203"/>
    <x v="1"/>
    <x v="0"/>
    <x v="1527"/>
    <x v="554"/>
    <x v="483"/>
    <x v="343"/>
  </r>
  <r>
    <x v="43"/>
    <x v="55"/>
    <x v="6204"/>
    <x v="1"/>
    <x v="0"/>
    <x v="1528"/>
    <x v="371"/>
    <x v="484"/>
    <x v="343"/>
  </r>
  <r>
    <x v="43"/>
    <x v="56"/>
    <x v="6205"/>
    <x v="1"/>
    <x v="0"/>
    <x v="1529"/>
    <x v="555"/>
    <x v="485"/>
    <x v="343"/>
  </r>
  <r>
    <x v="43"/>
    <x v="57"/>
    <x v="6206"/>
    <x v="1"/>
    <x v="0"/>
    <x v="1530"/>
    <x v="120"/>
    <x v="486"/>
    <x v="343"/>
  </r>
  <r>
    <x v="43"/>
    <x v="58"/>
    <x v="6207"/>
    <x v="1"/>
    <x v="0"/>
    <x v="191"/>
    <x v="125"/>
    <x v="487"/>
    <x v="343"/>
  </r>
  <r>
    <x v="43"/>
    <x v="59"/>
    <x v="6208"/>
    <x v="1"/>
    <x v="0"/>
    <x v="1531"/>
    <x v="556"/>
    <x v="488"/>
    <x v="343"/>
  </r>
  <r>
    <x v="43"/>
    <x v="60"/>
    <x v="6209"/>
    <x v="1"/>
    <x v="0"/>
    <x v="1490"/>
    <x v="557"/>
    <x v="489"/>
    <x v="344"/>
  </r>
  <r>
    <x v="43"/>
    <x v="61"/>
    <x v="6210"/>
    <x v="1"/>
    <x v="0"/>
    <x v="1532"/>
    <x v="304"/>
    <x v="490"/>
    <x v="344"/>
  </r>
  <r>
    <x v="43"/>
    <x v="62"/>
    <x v="6211"/>
    <x v="1"/>
    <x v="0"/>
    <x v="1533"/>
    <x v="558"/>
    <x v="491"/>
    <x v="344"/>
  </r>
  <r>
    <x v="43"/>
    <x v="63"/>
    <x v="6212"/>
    <x v="1"/>
    <x v="0"/>
    <x v="188"/>
    <x v="559"/>
    <x v="492"/>
    <x v="344"/>
  </r>
  <r>
    <x v="43"/>
    <x v="64"/>
    <x v="6213"/>
    <x v="1"/>
    <x v="0"/>
    <x v="1534"/>
    <x v="192"/>
    <x v="493"/>
    <x v="344"/>
  </r>
  <r>
    <x v="43"/>
    <x v="65"/>
    <x v="6214"/>
    <x v="1"/>
    <x v="0"/>
    <x v="1535"/>
    <x v="560"/>
    <x v="494"/>
    <x v="344"/>
  </r>
  <r>
    <x v="43"/>
    <x v="66"/>
    <x v="6215"/>
    <x v="1"/>
    <x v="0"/>
    <x v="1536"/>
    <x v="561"/>
    <x v="495"/>
    <x v="344"/>
  </r>
  <r>
    <x v="43"/>
    <x v="67"/>
    <x v="6216"/>
    <x v="1"/>
    <x v="0"/>
    <x v="1537"/>
    <x v="562"/>
    <x v="496"/>
    <x v="344"/>
  </r>
  <r>
    <x v="43"/>
    <x v="68"/>
    <x v="6217"/>
    <x v="1"/>
    <x v="0"/>
    <x v="1538"/>
    <x v="563"/>
    <x v="497"/>
    <x v="344"/>
  </r>
  <r>
    <x v="43"/>
    <x v="69"/>
    <x v="6218"/>
    <x v="1"/>
    <x v="0"/>
    <x v="1539"/>
    <x v="564"/>
    <x v="498"/>
    <x v="344"/>
  </r>
  <r>
    <x v="43"/>
    <x v="70"/>
    <x v="6219"/>
    <x v="1"/>
    <x v="0"/>
    <x v="1540"/>
    <x v="565"/>
    <x v="499"/>
    <x v="344"/>
  </r>
  <r>
    <x v="43"/>
    <x v="71"/>
    <x v="6220"/>
    <x v="1"/>
    <x v="0"/>
    <x v="597"/>
    <x v="566"/>
    <x v="500"/>
    <x v="344"/>
  </r>
  <r>
    <x v="43"/>
    <x v="72"/>
    <x v="6221"/>
    <x v="1"/>
    <x v="0"/>
    <x v="1541"/>
    <x v="567"/>
    <x v="501"/>
    <x v="344"/>
  </r>
  <r>
    <x v="43"/>
    <x v="73"/>
    <x v="6222"/>
    <x v="1"/>
    <x v="0"/>
    <x v="1542"/>
    <x v="346"/>
    <x v="502"/>
    <x v="99"/>
  </r>
  <r>
    <x v="43"/>
    <x v="74"/>
    <x v="6223"/>
    <x v="1"/>
    <x v="0"/>
    <x v="1543"/>
    <x v="198"/>
    <x v="503"/>
    <x v="99"/>
  </r>
  <r>
    <x v="43"/>
    <x v="75"/>
    <x v="6224"/>
    <x v="1"/>
    <x v="0"/>
    <x v="1544"/>
    <x v="568"/>
    <x v="504"/>
    <x v="99"/>
  </r>
  <r>
    <x v="43"/>
    <x v="76"/>
    <x v="6225"/>
    <x v="1"/>
    <x v="0"/>
    <x v="1545"/>
    <x v="198"/>
    <x v="505"/>
    <x v="99"/>
  </r>
  <r>
    <x v="43"/>
    <x v="77"/>
    <x v="6226"/>
    <x v="1"/>
    <x v="0"/>
    <x v="1546"/>
    <x v="569"/>
    <x v="506"/>
    <x v="99"/>
  </r>
  <r>
    <x v="43"/>
    <x v="78"/>
    <x v="6227"/>
    <x v="1"/>
    <x v="0"/>
    <x v="1330"/>
    <x v="461"/>
    <x v="507"/>
    <x v="99"/>
  </r>
  <r>
    <x v="43"/>
    <x v="79"/>
    <x v="6228"/>
    <x v="1"/>
    <x v="0"/>
    <x v="1547"/>
    <x v="570"/>
    <x v="508"/>
    <x v="99"/>
  </r>
  <r>
    <x v="43"/>
    <x v="80"/>
    <x v="6229"/>
    <x v="1"/>
    <x v="0"/>
    <x v="1548"/>
    <x v="571"/>
    <x v="509"/>
    <x v="99"/>
  </r>
  <r>
    <x v="43"/>
    <x v="81"/>
    <x v="6230"/>
    <x v="1"/>
    <x v="0"/>
    <x v="433"/>
    <x v="195"/>
    <x v="510"/>
    <x v="99"/>
  </r>
  <r>
    <x v="43"/>
    <x v="82"/>
    <x v="6231"/>
    <x v="1"/>
    <x v="0"/>
    <x v="1549"/>
    <x v="572"/>
    <x v="511"/>
    <x v="99"/>
  </r>
  <r>
    <x v="43"/>
    <x v="83"/>
    <x v="6232"/>
    <x v="1"/>
    <x v="1"/>
    <x v="1550"/>
    <x v="223"/>
    <x v="512"/>
    <x v="99"/>
  </r>
  <r>
    <x v="43"/>
    <x v="84"/>
    <x v="6233"/>
    <x v="1"/>
    <x v="0"/>
    <x v="1551"/>
    <x v="573"/>
    <x v="513"/>
    <x v="99"/>
  </r>
  <r>
    <x v="43"/>
    <x v="85"/>
    <x v="6234"/>
    <x v="1"/>
    <x v="0"/>
    <x v="1552"/>
    <x v="69"/>
    <x v="514"/>
    <x v="99"/>
  </r>
  <r>
    <x v="43"/>
    <x v="86"/>
    <x v="6235"/>
    <x v="1"/>
    <x v="0"/>
    <x v="1553"/>
    <x v="574"/>
    <x v="515"/>
    <x v="99"/>
  </r>
  <r>
    <x v="43"/>
    <x v="87"/>
    <x v="6236"/>
    <x v="1"/>
    <x v="0"/>
    <x v="1554"/>
    <x v="575"/>
    <x v="516"/>
    <x v="345"/>
  </r>
  <r>
    <x v="43"/>
    <x v="88"/>
    <x v="6237"/>
    <x v="1"/>
    <x v="0"/>
    <x v="1555"/>
    <x v="576"/>
    <x v="517"/>
    <x v="345"/>
  </r>
  <r>
    <x v="43"/>
    <x v="89"/>
    <x v="6238"/>
    <x v="1"/>
    <x v="0"/>
    <x v="1556"/>
    <x v="577"/>
    <x v="518"/>
    <x v="345"/>
  </r>
  <r>
    <x v="43"/>
    <x v="90"/>
    <x v="6239"/>
    <x v="1"/>
    <x v="0"/>
    <x v="1557"/>
    <x v="576"/>
    <x v="519"/>
    <x v="345"/>
  </r>
  <r>
    <x v="43"/>
    <x v="91"/>
    <x v="6240"/>
    <x v="1"/>
    <x v="0"/>
    <x v="1558"/>
    <x v="312"/>
    <x v="520"/>
    <x v="345"/>
  </r>
  <r>
    <x v="43"/>
    <x v="92"/>
    <x v="6241"/>
    <x v="1"/>
    <x v="0"/>
    <x v="1559"/>
    <x v="578"/>
    <x v="521"/>
    <x v="345"/>
  </r>
  <r>
    <x v="43"/>
    <x v="93"/>
    <x v="6242"/>
    <x v="1"/>
    <x v="0"/>
    <x v="875"/>
    <x v="432"/>
    <x v="522"/>
    <x v="345"/>
  </r>
  <r>
    <x v="43"/>
    <x v="94"/>
    <x v="6243"/>
    <x v="1"/>
    <x v="1"/>
    <x v="1560"/>
    <x v="579"/>
    <x v="523"/>
    <x v="345"/>
  </r>
  <r>
    <x v="43"/>
    <x v="95"/>
    <x v="6244"/>
    <x v="1"/>
    <x v="0"/>
    <x v="1561"/>
    <x v="580"/>
    <x v="524"/>
    <x v="345"/>
  </r>
  <r>
    <x v="43"/>
    <x v="96"/>
    <x v="6245"/>
    <x v="1"/>
    <x v="0"/>
    <x v="1562"/>
    <x v="581"/>
    <x v="525"/>
    <x v="345"/>
  </r>
  <r>
    <x v="43"/>
    <x v="97"/>
    <x v="6246"/>
    <x v="1"/>
    <x v="0"/>
    <x v="1563"/>
    <x v="582"/>
    <x v="526"/>
    <x v="345"/>
  </r>
  <r>
    <x v="43"/>
    <x v="98"/>
    <x v="6247"/>
    <x v="1"/>
    <x v="0"/>
    <x v="1564"/>
    <x v="583"/>
    <x v="527"/>
    <x v="345"/>
  </r>
  <r>
    <x v="43"/>
    <x v="99"/>
    <x v="6248"/>
    <x v="1"/>
    <x v="1"/>
    <x v="1485"/>
    <x v="216"/>
    <x v="528"/>
    <x v="345"/>
  </r>
  <r>
    <x v="43"/>
    <x v="100"/>
    <x v="6249"/>
    <x v="1"/>
    <x v="0"/>
    <x v="1559"/>
    <x v="387"/>
    <x v="529"/>
    <x v="346"/>
  </r>
  <r>
    <x v="43"/>
    <x v="101"/>
    <x v="6250"/>
    <x v="1"/>
    <x v="0"/>
    <x v="1565"/>
    <x v="584"/>
    <x v="530"/>
    <x v="346"/>
  </r>
  <r>
    <x v="43"/>
    <x v="102"/>
    <x v="6251"/>
    <x v="1"/>
    <x v="0"/>
    <x v="1566"/>
    <x v="391"/>
    <x v="531"/>
    <x v="346"/>
  </r>
  <r>
    <x v="43"/>
    <x v="103"/>
    <x v="6252"/>
    <x v="1"/>
    <x v="0"/>
    <x v="1567"/>
    <x v="179"/>
    <x v="532"/>
    <x v="346"/>
  </r>
  <r>
    <x v="43"/>
    <x v="104"/>
    <x v="6253"/>
    <x v="1"/>
    <x v="0"/>
    <x v="1568"/>
    <x v="325"/>
    <x v="533"/>
    <x v="346"/>
  </r>
  <r>
    <x v="43"/>
    <x v="105"/>
    <x v="6254"/>
    <x v="1"/>
    <x v="1"/>
    <x v="1569"/>
    <x v="585"/>
    <x v="534"/>
    <x v="346"/>
  </r>
  <r>
    <x v="43"/>
    <x v="106"/>
    <x v="6255"/>
    <x v="1"/>
    <x v="0"/>
    <x v="1570"/>
    <x v="216"/>
    <x v="535"/>
    <x v="346"/>
  </r>
  <r>
    <x v="43"/>
    <x v="107"/>
    <x v="6256"/>
    <x v="1"/>
    <x v="0"/>
    <x v="1571"/>
    <x v="370"/>
    <x v="536"/>
    <x v="346"/>
  </r>
  <r>
    <x v="43"/>
    <x v="108"/>
    <x v="6257"/>
    <x v="1"/>
    <x v="0"/>
    <x v="1572"/>
    <x v="586"/>
    <x v="537"/>
    <x v="346"/>
  </r>
  <r>
    <x v="43"/>
    <x v="109"/>
    <x v="6258"/>
    <x v="1"/>
    <x v="0"/>
    <x v="1573"/>
    <x v="587"/>
    <x v="538"/>
    <x v="346"/>
  </r>
  <r>
    <x v="43"/>
    <x v="110"/>
    <x v="6259"/>
    <x v="1"/>
    <x v="0"/>
    <x v="1448"/>
    <x v="588"/>
    <x v="539"/>
    <x v="346"/>
  </r>
  <r>
    <x v="43"/>
    <x v="111"/>
    <x v="6260"/>
    <x v="1"/>
    <x v="0"/>
    <x v="1574"/>
    <x v="589"/>
    <x v="540"/>
    <x v="346"/>
  </r>
  <r>
    <x v="43"/>
    <x v="112"/>
    <x v="6261"/>
    <x v="1"/>
    <x v="0"/>
    <x v="328"/>
    <x v="108"/>
    <x v="541"/>
    <x v="346"/>
  </r>
  <r>
    <x v="43"/>
    <x v="113"/>
    <x v="6262"/>
    <x v="1"/>
    <x v="0"/>
    <x v="1575"/>
    <x v="420"/>
    <x v="542"/>
    <x v="143"/>
  </r>
  <r>
    <x v="43"/>
    <x v="114"/>
    <x v="6263"/>
    <x v="1"/>
    <x v="0"/>
    <x v="244"/>
    <x v="590"/>
    <x v="543"/>
    <x v="143"/>
  </r>
  <r>
    <x v="43"/>
    <x v="115"/>
    <x v="6264"/>
    <x v="1"/>
    <x v="0"/>
    <x v="1576"/>
    <x v="110"/>
    <x v="544"/>
    <x v="143"/>
  </r>
  <r>
    <x v="43"/>
    <x v="116"/>
    <x v="6265"/>
    <x v="1"/>
    <x v="0"/>
    <x v="1577"/>
    <x v="419"/>
    <x v="545"/>
    <x v="143"/>
  </r>
  <r>
    <x v="43"/>
    <x v="117"/>
    <x v="6266"/>
    <x v="1"/>
    <x v="0"/>
    <x v="1578"/>
    <x v="591"/>
    <x v="546"/>
    <x v="143"/>
  </r>
  <r>
    <x v="43"/>
    <x v="118"/>
    <x v="6267"/>
    <x v="1"/>
    <x v="0"/>
    <x v="1579"/>
    <x v="592"/>
    <x v="547"/>
    <x v="143"/>
  </r>
  <r>
    <x v="43"/>
    <x v="119"/>
    <x v="6268"/>
    <x v="1"/>
    <x v="0"/>
    <x v="1580"/>
    <x v="593"/>
    <x v="548"/>
    <x v="143"/>
  </r>
  <r>
    <x v="43"/>
    <x v="120"/>
    <x v="6269"/>
    <x v="1"/>
    <x v="0"/>
    <x v="1581"/>
    <x v="594"/>
    <x v="549"/>
    <x v="143"/>
  </r>
  <r>
    <x v="43"/>
    <x v="121"/>
    <x v="6270"/>
    <x v="1"/>
    <x v="0"/>
    <x v="1345"/>
    <x v="595"/>
    <x v="550"/>
    <x v="143"/>
  </r>
  <r>
    <x v="43"/>
    <x v="122"/>
    <x v="6271"/>
    <x v="1"/>
    <x v="0"/>
    <x v="1424"/>
    <x v="596"/>
    <x v="551"/>
    <x v="143"/>
  </r>
  <r>
    <x v="43"/>
    <x v="123"/>
    <x v="6272"/>
    <x v="1"/>
    <x v="0"/>
    <x v="1582"/>
    <x v="597"/>
    <x v="552"/>
    <x v="143"/>
  </r>
  <r>
    <x v="43"/>
    <x v="124"/>
    <x v="6273"/>
    <x v="1"/>
    <x v="0"/>
    <x v="1583"/>
    <x v="598"/>
    <x v="553"/>
    <x v="143"/>
  </r>
  <r>
    <x v="43"/>
    <x v="125"/>
    <x v="6274"/>
    <x v="1"/>
    <x v="0"/>
    <x v="1584"/>
    <x v="599"/>
    <x v="554"/>
    <x v="143"/>
  </r>
  <r>
    <x v="43"/>
    <x v="126"/>
    <x v="6275"/>
    <x v="1"/>
    <x v="0"/>
    <x v="1585"/>
    <x v="106"/>
    <x v="555"/>
    <x v="347"/>
  </r>
  <r>
    <x v="43"/>
    <x v="127"/>
    <x v="6276"/>
    <x v="1"/>
    <x v="0"/>
    <x v="1586"/>
    <x v="461"/>
    <x v="556"/>
    <x v="347"/>
  </r>
  <r>
    <x v="43"/>
    <x v="128"/>
    <x v="6277"/>
    <x v="1"/>
    <x v="0"/>
    <x v="1587"/>
    <x v="351"/>
    <x v="557"/>
    <x v="347"/>
  </r>
  <r>
    <x v="43"/>
    <x v="129"/>
    <x v="6278"/>
    <x v="1"/>
    <x v="0"/>
    <x v="128"/>
    <x v="600"/>
    <x v="558"/>
    <x v="347"/>
  </r>
  <r>
    <x v="43"/>
    <x v="130"/>
    <x v="6279"/>
    <x v="1"/>
    <x v="0"/>
    <x v="1588"/>
    <x v="601"/>
    <x v="559"/>
    <x v="347"/>
  </r>
  <r>
    <x v="43"/>
    <x v="131"/>
    <x v="6280"/>
    <x v="1"/>
    <x v="0"/>
    <x v="1589"/>
    <x v="349"/>
    <x v="560"/>
    <x v="347"/>
  </r>
  <r>
    <x v="43"/>
    <x v="132"/>
    <x v="6281"/>
    <x v="1"/>
    <x v="0"/>
    <x v="1590"/>
    <x v="303"/>
    <x v="561"/>
    <x v="347"/>
  </r>
  <r>
    <x v="43"/>
    <x v="133"/>
    <x v="6282"/>
    <x v="1"/>
    <x v="0"/>
    <x v="1591"/>
    <x v="602"/>
    <x v="562"/>
    <x v="347"/>
  </r>
  <r>
    <x v="43"/>
    <x v="134"/>
    <x v="6283"/>
    <x v="1"/>
    <x v="0"/>
    <x v="1592"/>
    <x v="603"/>
    <x v="563"/>
    <x v="347"/>
  </r>
  <r>
    <x v="43"/>
    <x v="135"/>
    <x v="6284"/>
    <x v="1"/>
    <x v="1"/>
    <x v="476"/>
    <x v="604"/>
    <x v="564"/>
    <x v="347"/>
  </r>
  <r>
    <x v="43"/>
    <x v="136"/>
    <x v="6285"/>
    <x v="1"/>
    <x v="0"/>
    <x v="139"/>
    <x v="114"/>
    <x v="565"/>
    <x v="347"/>
  </r>
  <r>
    <x v="43"/>
    <x v="137"/>
    <x v="6286"/>
    <x v="1"/>
    <x v="0"/>
    <x v="1593"/>
    <x v="605"/>
    <x v="566"/>
    <x v="347"/>
  </r>
  <r>
    <x v="43"/>
    <x v="138"/>
    <x v="6287"/>
    <x v="1"/>
    <x v="0"/>
    <x v="1577"/>
    <x v="605"/>
    <x v="567"/>
    <x v="347"/>
  </r>
  <r>
    <x v="43"/>
    <x v="139"/>
    <x v="6288"/>
    <x v="1"/>
    <x v="0"/>
    <x v="1594"/>
    <x v="606"/>
    <x v="568"/>
    <x v="348"/>
  </r>
  <r>
    <x v="43"/>
    <x v="140"/>
    <x v="6289"/>
    <x v="1"/>
    <x v="0"/>
    <x v="1595"/>
    <x v="607"/>
    <x v="569"/>
    <x v="348"/>
  </r>
  <r>
    <x v="43"/>
    <x v="141"/>
    <x v="6290"/>
    <x v="1"/>
    <x v="0"/>
    <x v="1596"/>
    <x v="187"/>
    <x v="570"/>
    <x v="348"/>
  </r>
  <r>
    <x v="43"/>
    <x v="142"/>
    <x v="6291"/>
    <x v="1"/>
    <x v="0"/>
    <x v="1597"/>
    <x v="608"/>
    <x v="571"/>
    <x v="348"/>
  </r>
  <r>
    <x v="44"/>
    <x v="0"/>
    <x v="6292"/>
    <x v="1"/>
    <x v="0"/>
    <x v="1598"/>
    <x v="609"/>
    <x v="1287"/>
    <x v="144"/>
  </r>
  <r>
    <x v="44"/>
    <x v="1"/>
    <x v="6293"/>
    <x v="1"/>
    <x v="1"/>
    <x v="1599"/>
    <x v="146"/>
    <x v="1288"/>
    <x v="144"/>
  </r>
  <r>
    <x v="44"/>
    <x v="2"/>
    <x v="6294"/>
    <x v="1"/>
    <x v="0"/>
    <x v="1600"/>
    <x v="270"/>
    <x v="1289"/>
    <x v="144"/>
  </r>
  <r>
    <x v="44"/>
    <x v="3"/>
    <x v="6295"/>
    <x v="1"/>
    <x v="0"/>
    <x v="1601"/>
    <x v="610"/>
    <x v="1290"/>
    <x v="144"/>
  </r>
  <r>
    <x v="44"/>
    <x v="4"/>
    <x v="6296"/>
    <x v="1"/>
    <x v="0"/>
    <x v="1602"/>
    <x v="611"/>
    <x v="1291"/>
    <x v="144"/>
  </r>
  <r>
    <x v="44"/>
    <x v="5"/>
    <x v="6297"/>
    <x v="1"/>
    <x v="0"/>
    <x v="1603"/>
    <x v="612"/>
    <x v="1292"/>
    <x v="144"/>
  </r>
  <r>
    <x v="44"/>
    <x v="6"/>
    <x v="6298"/>
    <x v="1"/>
    <x v="0"/>
    <x v="861"/>
    <x v="613"/>
    <x v="1293"/>
    <x v="144"/>
  </r>
  <r>
    <x v="44"/>
    <x v="7"/>
    <x v="6299"/>
    <x v="1"/>
    <x v="0"/>
    <x v="1604"/>
    <x v="14"/>
    <x v="1294"/>
    <x v="144"/>
  </r>
  <r>
    <x v="44"/>
    <x v="8"/>
    <x v="6300"/>
    <x v="1"/>
    <x v="0"/>
    <x v="1605"/>
    <x v="537"/>
    <x v="1295"/>
    <x v="145"/>
  </r>
  <r>
    <x v="44"/>
    <x v="9"/>
    <x v="6301"/>
    <x v="1"/>
    <x v="0"/>
    <x v="1606"/>
    <x v="44"/>
    <x v="1296"/>
    <x v="145"/>
  </r>
  <r>
    <x v="44"/>
    <x v="10"/>
    <x v="6302"/>
    <x v="1"/>
    <x v="0"/>
    <x v="1607"/>
    <x v="614"/>
    <x v="1297"/>
    <x v="145"/>
  </r>
  <r>
    <x v="44"/>
    <x v="11"/>
    <x v="6303"/>
    <x v="1"/>
    <x v="0"/>
    <x v="1608"/>
    <x v="615"/>
    <x v="1298"/>
    <x v="145"/>
  </r>
  <r>
    <x v="44"/>
    <x v="12"/>
    <x v="6304"/>
    <x v="1"/>
    <x v="0"/>
    <x v="1046"/>
    <x v="616"/>
    <x v="1299"/>
    <x v="145"/>
  </r>
  <r>
    <x v="44"/>
    <x v="13"/>
    <x v="6305"/>
    <x v="1"/>
    <x v="0"/>
    <x v="1609"/>
    <x v="617"/>
    <x v="1300"/>
    <x v="145"/>
  </r>
  <r>
    <x v="44"/>
    <x v="14"/>
    <x v="6306"/>
    <x v="1"/>
    <x v="0"/>
    <x v="103"/>
    <x v="618"/>
    <x v="1301"/>
    <x v="145"/>
  </r>
  <r>
    <x v="44"/>
    <x v="15"/>
    <x v="6307"/>
    <x v="1"/>
    <x v="0"/>
    <x v="1610"/>
    <x v="619"/>
    <x v="1302"/>
    <x v="145"/>
  </r>
  <r>
    <x v="44"/>
    <x v="16"/>
    <x v="6308"/>
    <x v="1"/>
    <x v="0"/>
    <x v="628"/>
    <x v="614"/>
    <x v="1303"/>
    <x v="145"/>
  </r>
  <r>
    <x v="44"/>
    <x v="17"/>
    <x v="6309"/>
    <x v="1"/>
    <x v="0"/>
    <x v="1202"/>
    <x v="620"/>
    <x v="1304"/>
    <x v="145"/>
  </r>
  <r>
    <x v="44"/>
    <x v="18"/>
    <x v="6310"/>
    <x v="1"/>
    <x v="0"/>
    <x v="317"/>
    <x v="621"/>
    <x v="1305"/>
    <x v="145"/>
  </r>
  <r>
    <x v="44"/>
    <x v="19"/>
    <x v="6311"/>
    <x v="1"/>
    <x v="0"/>
    <x v="1106"/>
    <x v="12"/>
    <x v="1306"/>
    <x v="145"/>
  </r>
  <r>
    <x v="44"/>
    <x v="20"/>
    <x v="6312"/>
    <x v="1"/>
    <x v="0"/>
    <x v="1611"/>
    <x v="10"/>
    <x v="1307"/>
    <x v="145"/>
  </r>
  <r>
    <x v="44"/>
    <x v="21"/>
    <x v="6313"/>
    <x v="1"/>
    <x v="0"/>
    <x v="1612"/>
    <x v="622"/>
    <x v="1308"/>
    <x v="146"/>
  </r>
  <r>
    <x v="44"/>
    <x v="22"/>
    <x v="6314"/>
    <x v="1"/>
    <x v="0"/>
    <x v="1399"/>
    <x v="269"/>
    <x v="1309"/>
    <x v="146"/>
  </r>
  <r>
    <x v="44"/>
    <x v="23"/>
    <x v="6315"/>
    <x v="1"/>
    <x v="0"/>
    <x v="1613"/>
    <x v="623"/>
    <x v="1310"/>
    <x v="146"/>
  </r>
  <r>
    <x v="44"/>
    <x v="24"/>
    <x v="6316"/>
    <x v="1"/>
    <x v="0"/>
    <x v="1614"/>
    <x v="40"/>
    <x v="1311"/>
    <x v="146"/>
  </r>
  <r>
    <x v="44"/>
    <x v="25"/>
    <x v="6317"/>
    <x v="1"/>
    <x v="0"/>
    <x v="437"/>
    <x v="278"/>
    <x v="1312"/>
    <x v="146"/>
  </r>
  <r>
    <x v="44"/>
    <x v="26"/>
    <x v="6318"/>
    <x v="1"/>
    <x v="0"/>
    <x v="1615"/>
    <x v="609"/>
    <x v="1313"/>
    <x v="146"/>
  </r>
  <r>
    <x v="44"/>
    <x v="27"/>
    <x v="6319"/>
    <x v="1"/>
    <x v="0"/>
    <x v="1355"/>
    <x v="148"/>
    <x v="1314"/>
    <x v="146"/>
  </r>
  <r>
    <x v="44"/>
    <x v="28"/>
    <x v="6320"/>
    <x v="1"/>
    <x v="0"/>
    <x v="1616"/>
    <x v="624"/>
    <x v="1315"/>
    <x v="146"/>
  </r>
  <r>
    <x v="44"/>
    <x v="29"/>
    <x v="6321"/>
    <x v="1"/>
    <x v="0"/>
    <x v="1617"/>
    <x v="625"/>
    <x v="1316"/>
    <x v="146"/>
  </r>
  <r>
    <x v="44"/>
    <x v="30"/>
    <x v="6322"/>
    <x v="1"/>
    <x v="0"/>
    <x v="1618"/>
    <x v="262"/>
    <x v="1317"/>
    <x v="146"/>
  </r>
  <r>
    <x v="44"/>
    <x v="31"/>
    <x v="6323"/>
    <x v="1"/>
    <x v="1"/>
    <x v="1619"/>
    <x v="167"/>
    <x v="1318"/>
    <x v="146"/>
  </r>
  <r>
    <x v="44"/>
    <x v="32"/>
    <x v="6324"/>
    <x v="1"/>
    <x v="0"/>
    <x v="1620"/>
    <x v="626"/>
    <x v="1319"/>
    <x v="146"/>
  </r>
  <r>
    <x v="44"/>
    <x v="33"/>
    <x v="6325"/>
    <x v="1"/>
    <x v="0"/>
    <x v="1621"/>
    <x v="627"/>
    <x v="1320"/>
    <x v="146"/>
  </r>
  <r>
    <x v="44"/>
    <x v="34"/>
    <x v="6326"/>
    <x v="1"/>
    <x v="0"/>
    <x v="582"/>
    <x v="628"/>
    <x v="1321"/>
    <x v="147"/>
  </r>
  <r>
    <x v="44"/>
    <x v="35"/>
    <x v="6327"/>
    <x v="1"/>
    <x v="0"/>
    <x v="1622"/>
    <x v="629"/>
    <x v="1322"/>
    <x v="147"/>
  </r>
  <r>
    <x v="44"/>
    <x v="36"/>
    <x v="6328"/>
    <x v="1"/>
    <x v="0"/>
    <x v="1623"/>
    <x v="538"/>
    <x v="1323"/>
    <x v="147"/>
  </r>
  <r>
    <x v="44"/>
    <x v="37"/>
    <x v="6329"/>
    <x v="1"/>
    <x v="0"/>
    <x v="1046"/>
    <x v="630"/>
    <x v="1324"/>
    <x v="147"/>
  </r>
  <r>
    <x v="44"/>
    <x v="38"/>
    <x v="6330"/>
    <x v="1"/>
    <x v="0"/>
    <x v="1624"/>
    <x v="616"/>
    <x v="1325"/>
    <x v="147"/>
  </r>
  <r>
    <x v="44"/>
    <x v="39"/>
    <x v="6331"/>
    <x v="1"/>
    <x v="0"/>
    <x v="1625"/>
    <x v="630"/>
    <x v="1326"/>
    <x v="147"/>
  </r>
  <r>
    <x v="44"/>
    <x v="40"/>
    <x v="6332"/>
    <x v="1"/>
    <x v="0"/>
    <x v="1626"/>
    <x v="631"/>
    <x v="1327"/>
    <x v="147"/>
  </r>
  <r>
    <x v="44"/>
    <x v="41"/>
    <x v="6333"/>
    <x v="1"/>
    <x v="0"/>
    <x v="1627"/>
    <x v="632"/>
    <x v="1328"/>
    <x v="147"/>
  </r>
  <r>
    <x v="44"/>
    <x v="42"/>
    <x v="6334"/>
    <x v="0"/>
    <x v="1"/>
    <x v="1628"/>
    <x v="633"/>
    <x v="1329"/>
    <x v="147"/>
  </r>
  <r>
    <x v="44"/>
    <x v="43"/>
    <x v="6335"/>
    <x v="1"/>
    <x v="0"/>
    <x v="1629"/>
    <x v="634"/>
    <x v="1330"/>
    <x v="147"/>
  </r>
  <r>
    <x v="44"/>
    <x v="44"/>
    <x v="6336"/>
    <x v="1"/>
    <x v="0"/>
    <x v="1630"/>
    <x v="366"/>
    <x v="1331"/>
    <x v="147"/>
  </r>
  <r>
    <x v="44"/>
    <x v="45"/>
    <x v="6337"/>
    <x v="0"/>
    <x v="0"/>
    <x v="1008"/>
    <x v="635"/>
    <x v="1332"/>
    <x v="147"/>
  </r>
  <r>
    <x v="44"/>
    <x v="46"/>
    <x v="6338"/>
    <x v="0"/>
    <x v="0"/>
    <x v="1631"/>
    <x v="636"/>
    <x v="1333"/>
    <x v="147"/>
  </r>
  <r>
    <x v="44"/>
    <x v="47"/>
    <x v="6339"/>
    <x v="1"/>
    <x v="1"/>
    <x v="1632"/>
    <x v="637"/>
    <x v="1334"/>
    <x v="147"/>
  </r>
  <r>
    <x v="44"/>
    <x v="48"/>
    <x v="6340"/>
    <x v="1"/>
    <x v="0"/>
    <x v="1567"/>
    <x v="638"/>
    <x v="1335"/>
    <x v="148"/>
  </r>
  <r>
    <x v="44"/>
    <x v="49"/>
    <x v="6341"/>
    <x v="1"/>
    <x v="0"/>
    <x v="1633"/>
    <x v="639"/>
    <x v="1336"/>
    <x v="148"/>
  </r>
  <r>
    <x v="44"/>
    <x v="50"/>
    <x v="6342"/>
    <x v="1"/>
    <x v="0"/>
    <x v="1634"/>
    <x v="640"/>
    <x v="1337"/>
    <x v="148"/>
  </r>
  <r>
    <x v="44"/>
    <x v="51"/>
    <x v="6343"/>
    <x v="1"/>
    <x v="0"/>
    <x v="1635"/>
    <x v="641"/>
    <x v="1338"/>
    <x v="148"/>
  </r>
  <r>
    <x v="44"/>
    <x v="52"/>
    <x v="6344"/>
    <x v="1"/>
    <x v="0"/>
    <x v="1636"/>
    <x v="399"/>
    <x v="1339"/>
    <x v="148"/>
  </r>
  <r>
    <x v="44"/>
    <x v="53"/>
    <x v="6345"/>
    <x v="1"/>
    <x v="1"/>
    <x v="1637"/>
    <x v="642"/>
    <x v="1340"/>
    <x v="148"/>
  </r>
  <r>
    <x v="44"/>
    <x v="54"/>
    <x v="6346"/>
    <x v="1"/>
    <x v="0"/>
    <x v="1638"/>
    <x v="643"/>
    <x v="1341"/>
    <x v="148"/>
  </r>
  <r>
    <x v="44"/>
    <x v="55"/>
    <x v="6347"/>
    <x v="1"/>
    <x v="0"/>
    <x v="1639"/>
    <x v="86"/>
    <x v="1342"/>
    <x v="148"/>
  </r>
  <r>
    <x v="44"/>
    <x v="56"/>
    <x v="6348"/>
    <x v="1"/>
    <x v="0"/>
    <x v="1640"/>
    <x v="233"/>
    <x v="1343"/>
    <x v="148"/>
  </r>
  <r>
    <x v="44"/>
    <x v="57"/>
    <x v="6349"/>
    <x v="1"/>
    <x v="0"/>
    <x v="1641"/>
    <x v="602"/>
    <x v="1344"/>
    <x v="148"/>
  </r>
  <r>
    <x v="44"/>
    <x v="58"/>
    <x v="6350"/>
    <x v="1"/>
    <x v="0"/>
    <x v="240"/>
    <x v="644"/>
    <x v="1345"/>
    <x v="148"/>
  </r>
  <r>
    <x v="44"/>
    <x v="59"/>
    <x v="6351"/>
    <x v="1"/>
    <x v="0"/>
    <x v="238"/>
    <x v="645"/>
    <x v="1346"/>
    <x v="148"/>
  </r>
  <r>
    <x v="44"/>
    <x v="60"/>
    <x v="6352"/>
    <x v="1"/>
    <x v="0"/>
    <x v="1642"/>
    <x v="77"/>
    <x v="1347"/>
    <x v="149"/>
  </r>
  <r>
    <x v="44"/>
    <x v="61"/>
    <x v="6353"/>
    <x v="1"/>
    <x v="0"/>
    <x v="332"/>
    <x v="646"/>
    <x v="1348"/>
    <x v="149"/>
  </r>
  <r>
    <x v="44"/>
    <x v="62"/>
    <x v="6354"/>
    <x v="1"/>
    <x v="0"/>
    <x v="1643"/>
    <x v="605"/>
    <x v="1349"/>
    <x v="149"/>
  </r>
  <r>
    <x v="44"/>
    <x v="63"/>
    <x v="6355"/>
    <x v="1"/>
    <x v="0"/>
    <x v="286"/>
    <x v="405"/>
    <x v="1350"/>
    <x v="149"/>
  </r>
  <r>
    <x v="44"/>
    <x v="64"/>
    <x v="6356"/>
    <x v="1"/>
    <x v="0"/>
    <x v="1644"/>
    <x v="647"/>
    <x v="1351"/>
    <x v="149"/>
  </r>
  <r>
    <x v="44"/>
    <x v="65"/>
    <x v="6357"/>
    <x v="1"/>
    <x v="0"/>
    <x v="1645"/>
    <x v="648"/>
    <x v="1352"/>
    <x v="149"/>
  </r>
  <r>
    <x v="44"/>
    <x v="66"/>
    <x v="6358"/>
    <x v="1"/>
    <x v="0"/>
    <x v="1646"/>
    <x v="649"/>
    <x v="1353"/>
    <x v="149"/>
  </r>
  <r>
    <x v="44"/>
    <x v="67"/>
    <x v="6359"/>
    <x v="1"/>
    <x v="0"/>
    <x v="1647"/>
    <x v="650"/>
    <x v="1354"/>
    <x v="149"/>
  </r>
  <r>
    <x v="44"/>
    <x v="68"/>
    <x v="6360"/>
    <x v="1"/>
    <x v="0"/>
    <x v="1648"/>
    <x v="651"/>
    <x v="1355"/>
    <x v="149"/>
  </r>
  <r>
    <x v="44"/>
    <x v="69"/>
    <x v="6361"/>
    <x v="1"/>
    <x v="0"/>
    <x v="1649"/>
    <x v="652"/>
    <x v="1356"/>
    <x v="149"/>
  </r>
  <r>
    <x v="44"/>
    <x v="70"/>
    <x v="6362"/>
    <x v="1"/>
    <x v="0"/>
    <x v="1162"/>
    <x v="190"/>
    <x v="1357"/>
    <x v="149"/>
  </r>
  <r>
    <x v="44"/>
    <x v="71"/>
    <x v="6363"/>
    <x v="1"/>
    <x v="0"/>
    <x v="1650"/>
    <x v="419"/>
    <x v="1358"/>
    <x v="149"/>
  </r>
  <r>
    <x v="44"/>
    <x v="72"/>
    <x v="6364"/>
    <x v="1"/>
    <x v="0"/>
    <x v="1651"/>
    <x v="341"/>
    <x v="1359"/>
    <x v="149"/>
  </r>
  <r>
    <x v="44"/>
    <x v="73"/>
    <x v="6365"/>
    <x v="1"/>
    <x v="0"/>
    <x v="1205"/>
    <x v="653"/>
    <x v="1360"/>
    <x v="150"/>
  </r>
  <r>
    <x v="44"/>
    <x v="74"/>
    <x v="6366"/>
    <x v="1"/>
    <x v="0"/>
    <x v="947"/>
    <x v="654"/>
    <x v="1361"/>
    <x v="150"/>
  </r>
  <r>
    <x v="44"/>
    <x v="75"/>
    <x v="6367"/>
    <x v="1"/>
    <x v="0"/>
    <x v="776"/>
    <x v="355"/>
    <x v="1362"/>
    <x v="150"/>
  </r>
  <r>
    <x v="44"/>
    <x v="76"/>
    <x v="6368"/>
    <x v="1"/>
    <x v="0"/>
    <x v="1652"/>
    <x v="462"/>
    <x v="1363"/>
    <x v="150"/>
  </r>
  <r>
    <x v="44"/>
    <x v="77"/>
    <x v="6369"/>
    <x v="1"/>
    <x v="0"/>
    <x v="1653"/>
    <x v="655"/>
    <x v="1364"/>
    <x v="150"/>
  </r>
  <r>
    <x v="44"/>
    <x v="78"/>
    <x v="6370"/>
    <x v="1"/>
    <x v="0"/>
    <x v="1654"/>
    <x v="419"/>
    <x v="1365"/>
    <x v="150"/>
  </r>
  <r>
    <x v="44"/>
    <x v="79"/>
    <x v="6371"/>
    <x v="1"/>
    <x v="0"/>
    <x v="1549"/>
    <x v="656"/>
    <x v="1366"/>
    <x v="150"/>
  </r>
  <r>
    <x v="44"/>
    <x v="80"/>
    <x v="6372"/>
    <x v="1"/>
    <x v="0"/>
    <x v="1655"/>
    <x v="229"/>
    <x v="1367"/>
    <x v="150"/>
  </r>
  <r>
    <x v="44"/>
    <x v="81"/>
    <x v="6373"/>
    <x v="1"/>
    <x v="0"/>
    <x v="13"/>
    <x v="566"/>
    <x v="1368"/>
    <x v="150"/>
  </r>
  <r>
    <x v="44"/>
    <x v="82"/>
    <x v="6374"/>
    <x v="1"/>
    <x v="0"/>
    <x v="1656"/>
    <x v="657"/>
    <x v="1369"/>
    <x v="150"/>
  </r>
  <r>
    <x v="44"/>
    <x v="83"/>
    <x v="6375"/>
    <x v="1"/>
    <x v="1"/>
    <x v="1657"/>
    <x v="658"/>
    <x v="1370"/>
    <x v="150"/>
  </r>
  <r>
    <x v="44"/>
    <x v="84"/>
    <x v="6376"/>
    <x v="1"/>
    <x v="0"/>
    <x v="673"/>
    <x v="659"/>
    <x v="1371"/>
    <x v="150"/>
  </r>
  <r>
    <x v="44"/>
    <x v="85"/>
    <x v="6377"/>
    <x v="1"/>
    <x v="0"/>
    <x v="498"/>
    <x v="654"/>
    <x v="1372"/>
    <x v="150"/>
  </r>
  <r>
    <x v="44"/>
    <x v="86"/>
    <x v="6378"/>
    <x v="1"/>
    <x v="0"/>
    <x v="1658"/>
    <x v="660"/>
    <x v="1373"/>
    <x v="150"/>
  </r>
  <r>
    <x v="44"/>
    <x v="87"/>
    <x v="6379"/>
    <x v="1"/>
    <x v="0"/>
    <x v="1659"/>
    <x v="661"/>
    <x v="1374"/>
    <x v="151"/>
  </r>
  <r>
    <x v="44"/>
    <x v="88"/>
    <x v="6380"/>
    <x v="1"/>
    <x v="0"/>
    <x v="1086"/>
    <x v="222"/>
    <x v="1375"/>
    <x v="151"/>
  </r>
  <r>
    <x v="44"/>
    <x v="89"/>
    <x v="6381"/>
    <x v="1"/>
    <x v="0"/>
    <x v="1660"/>
    <x v="195"/>
    <x v="1376"/>
    <x v="151"/>
  </r>
  <r>
    <x v="44"/>
    <x v="90"/>
    <x v="6382"/>
    <x v="1"/>
    <x v="0"/>
    <x v="1661"/>
    <x v="662"/>
    <x v="1377"/>
    <x v="151"/>
  </r>
  <r>
    <x v="44"/>
    <x v="91"/>
    <x v="6383"/>
    <x v="1"/>
    <x v="0"/>
    <x v="1662"/>
    <x v="231"/>
    <x v="1378"/>
    <x v="151"/>
  </r>
  <r>
    <x v="44"/>
    <x v="92"/>
    <x v="6384"/>
    <x v="1"/>
    <x v="0"/>
    <x v="1663"/>
    <x v="487"/>
    <x v="1379"/>
    <x v="151"/>
  </r>
  <r>
    <x v="44"/>
    <x v="93"/>
    <x v="6385"/>
    <x v="1"/>
    <x v="0"/>
    <x v="1664"/>
    <x v="487"/>
    <x v="1380"/>
    <x v="151"/>
  </r>
  <r>
    <x v="44"/>
    <x v="94"/>
    <x v="6386"/>
    <x v="0"/>
    <x v="1"/>
    <x v="332"/>
    <x v="663"/>
    <x v="1381"/>
    <x v="151"/>
  </r>
  <r>
    <x v="44"/>
    <x v="95"/>
    <x v="6387"/>
    <x v="1"/>
    <x v="0"/>
    <x v="1665"/>
    <x v="118"/>
    <x v="1382"/>
    <x v="151"/>
  </r>
  <r>
    <x v="44"/>
    <x v="96"/>
    <x v="6388"/>
    <x v="1"/>
    <x v="0"/>
    <x v="456"/>
    <x v="664"/>
    <x v="1383"/>
    <x v="151"/>
  </r>
  <r>
    <x v="44"/>
    <x v="97"/>
    <x v="6389"/>
    <x v="0"/>
    <x v="0"/>
    <x v="2"/>
    <x v="665"/>
    <x v="1384"/>
    <x v="151"/>
  </r>
  <r>
    <x v="44"/>
    <x v="98"/>
    <x v="6390"/>
    <x v="0"/>
    <x v="0"/>
    <x v="52"/>
    <x v="580"/>
    <x v="1385"/>
    <x v="151"/>
  </r>
  <r>
    <x v="44"/>
    <x v="99"/>
    <x v="6391"/>
    <x v="1"/>
    <x v="1"/>
    <x v="1666"/>
    <x v="580"/>
    <x v="1386"/>
    <x v="151"/>
  </r>
  <r>
    <x v="44"/>
    <x v="100"/>
    <x v="6392"/>
    <x v="1"/>
    <x v="0"/>
    <x v="1667"/>
    <x v="666"/>
    <x v="1387"/>
    <x v="152"/>
  </r>
  <r>
    <x v="44"/>
    <x v="101"/>
    <x v="6393"/>
    <x v="1"/>
    <x v="0"/>
    <x v="1668"/>
    <x v="578"/>
    <x v="1388"/>
    <x v="152"/>
  </r>
  <r>
    <x v="44"/>
    <x v="102"/>
    <x v="6394"/>
    <x v="1"/>
    <x v="0"/>
    <x v="1669"/>
    <x v="80"/>
    <x v="1389"/>
    <x v="152"/>
  </r>
  <r>
    <x v="44"/>
    <x v="103"/>
    <x v="6395"/>
    <x v="1"/>
    <x v="0"/>
    <x v="1670"/>
    <x v="576"/>
    <x v="1390"/>
    <x v="152"/>
  </r>
  <r>
    <x v="44"/>
    <x v="104"/>
    <x v="6396"/>
    <x v="1"/>
    <x v="0"/>
    <x v="1671"/>
    <x v="134"/>
    <x v="1391"/>
    <x v="152"/>
  </r>
  <r>
    <x v="44"/>
    <x v="105"/>
    <x v="6397"/>
    <x v="1"/>
    <x v="1"/>
    <x v="1672"/>
    <x v="193"/>
    <x v="1392"/>
    <x v="152"/>
  </r>
  <r>
    <x v="44"/>
    <x v="106"/>
    <x v="6398"/>
    <x v="1"/>
    <x v="0"/>
    <x v="1673"/>
    <x v="667"/>
    <x v="1393"/>
    <x v="152"/>
  </r>
  <r>
    <x v="44"/>
    <x v="107"/>
    <x v="6399"/>
    <x v="1"/>
    <x v="0"/>
    <x v="1674"/>
    <x v="668"/>
    <x v="1394"/>
    <x v="152"/>
  </r>
  <r>
    <x v="44"/>
    <x v="108"/>
    <x v="6400"/>
    <x v="1"/>
    <x v="0"/>
    <x v="1675"/>
    <x v="669"/>
    <x v="1395"/>
    <x v="152"/>
  </r>
  <r>
    <x v="44"/>
    <x v="109"/>
    <x v="6401"/>
    <x v="1"/>
    <x v="0"/>
    <x v="1015"/>
    <x v="670"/>
    <x v="1396"/>
    <x v="152"/>
  </r>
  <r>
    <x v="44"/>
    <x v="110"/>
    <x v="6402"/>
    <x v="1"/>
    <x v="0"/>
    <x v="1004"/>
    <x v="671"/>
    <x v="1397"/>
    <x v="152"/>
  </r>
  <r>
    <x v="44"/>
    <x v="111"/>
    <x v="6403"/>
    <x v="1"/>
    <x v="0"/>
    <x v="1676"/>
    <x v="672"/>
    <x v="1398"/>
    <x v="152"/>
  </r>
  <r>
    <x v="44"/>
    <x v="112"/>
    <x v="6404"/>
    <x v="1"/>
    <x v="0"/>
    <x v="1677"/>
    <x v="673"/>
    <x v="1399"/>
    <x v="152"/>
  </r>
  <r>
    <x v="44"/>
    <x v="113"/>
    <x v="6405"/>
    <x v="1"/>
    <x v="0"/>
    <x v="1678"/>
    <x v="674"/>
    <x v="1400"/>
    <x v="153"/>
  </r>
  <r>
    <x v="44"/>
    <x v="114"/>
    <x v="6406"/>
    <x v="1"/>
    <x v="0"/>
    <x v="1679"/>
    <x v="675"/>
    <x v="1401"/>
    <x v="153"/>
  </r>
  <r>
    <x v="44"/>
    <x v="115"/>
    <x v="6407"/>
    <x v="1"/>
    <x v="0"/>
    <x v="1680"/>
    <x v="676"/>
    <x v="1402"/>
    <x v="153"/>
  </r>
  <r>
    <x v="44"/>
    <x v="116"/>
    <x v="6408"/>
    <x v="1"/>
    <x v="0"/>
    <x v="328"/>
    <x v="677"/>
    <x v="1403"/>
    <x v="153"/>
  </r>
  <r>
    <x v="44"/>
    <x v="117"/>
    <x v="6409"/>
    <x v="1"/>
    <x v="0"/>
    <x v="246"/>
    <x v="678"/>
    <x v="1404"/>
    <x v="153"/>
  </r>
  <r>
    <x v="44"/>
    <x v="118"/>
    <x v="6410"/>
    <x v="1"/>
    <x v="0"/>
    <x v="1183"/>
    <x v="679"/>
    <x v="1405"/>
    <x v="153"/>
  </r>
  <r>
    <x v="44"/>
    <x v="119"/>
    <x v="6411"/>
    <x v="1"/>
    <x v="0"/>
    <x v="1681"/>
    <x v="670"/>
    <x v="1406"/>
    <x v="153"/>
  </r>
  <r>
    <x v="44"/>
    <x v="120"/>
    <x v="6412"/>
    <x v="1"/>
    <x v="0"/>
    <x v="1039"/>
    <x v="424"/>
    <x v="1407"/>
    <x v="153"/>
  </r>
  <r>
    <x v="44"/>
    <x v="121"/>
    <x v="6413"/>
    <x v="1"/>
    <x v="0"/>
    <x v="1682"/>
    <x v="659"/>
    <x v="1408"/>
    <x v="153"/>
  </r>
  <r>
    <x v="44"/>
    <x v="122"/>
    <x v="6414"/>
    <x v="1"/>
    <x v="0"/>
    <x v="1683"/>
    <x v="604"/>
    <x v="1409"/>
    <x v="153"/>
  </r>
  <r>
    <x v="44"/>
    <x v="123"/>
    <x v="6415"/>
    <x v="1"/>
    <x v="0"/>
    <x v="1684"/>
    <x v="129"/>
    <x v="1410"/>
    <x v="153"/>
  </r>
  <r>
    <x v="44"/>
    <x v="124"/>
    <x v="6416"/>
    <x v="1"/>
    <x v="0"/>
    <x v="1685"/>
    <x v="680"/>
    <x v="1411"/>
    <x v="153"/>
  </r>
  <r>
    <x v="44"/>
    <x v="125"/>
    <x v="6417"/>
    <x v="1"/>
    <x v="0"/>
    <x v="1686"/>
    <x v="136"/>
    <x v="1412"/>
    <x v="153"/>
  </r>
  <r>
    <x v="44"/>
    <x v="126"/>
    <x v="6418"/>
    <x v="1"/>
    <x v="0"/>
    <x v="1054"/>
    <x v="681"/>
    <x v="1413"/>
    <x v="154"/>
  </r>
  <r>
    <x v="44"/>
    <x v="127"/>
    <x v="6419"/>
    <x v="1"/>
    <x v="0"/>
    <x v="1311"/>
    <x v="79"/>
    <x v="1414"/>
    <x v="154"/>
  </r>
  <r>
    <x v="44"/>
    <x v="128"/>
    <x v="6420"/>
    <x v="1"/>
    <x v="0"/>
    <x v="688"/>
    <x v="576"/>
    <x v="1415"/>
    <x v="154"/>
  </r>
  <r>
    <x v="44"/>
    <x v="129"/>
    <x v="6421"/>
    <x v="1"/>
    <x v="0"/>
    <x v="1687"/>
    <x v="682"/>
    <x v="1416"/>
    <x v="154"/>
  </r>
  <r>
    <x v="44"/>
    <x v="130"/>
    <x v="6422"/>
    <x v="1"/>
    <x v="0"/>
    <x v="1688"/>
    <x v="683"/>
    <x v="1417"/>
    <x v="154"/>
  </r>
  <r>
    <x v="44"/>
    <x v="131"/>
    <x v="6423"/>
    <x v="1"/>
    <x v="0"/>
    <x v="1689"/>
    <x v="439"/>
    <x v="1418"/>
    <x v="154"/>
  </r>
  <r>
    <x v="44"/>
    <x v="132"/>
    <x v="6424"/>
    <x v="1"/>
    <x v="0"/>
    <x v="943"/>
    <x v="62"/>
    <x v="1419"/>
    <x v="154"/>
  </r>
  <r>
    <x v="44"/>
    <x v="133"/>
    <x v="6425"/>
    <x v="1"/>
    <x v="0"/>
    <x v="1106"/>
    <x v="684"/>
    <x v="1420"/>
    <x v="154"/>
  </r>
  <r>
    <x v="44"/>
    <x v="134"/>
    <x v="6426"/>
    <x v="1"/>
    <x v="0"/>
    <x v="1690"/>
    <x v="685"/>
    <x v="1421"/>
    <x v="154"/>
  </r>
  <r>
    <x v="44"/>
    <x v="135"/>
    <x v="6427"/>
    <x v="1"/>
    <x v="1"/>
    <x v="1691"/>
    <x v="686"/>
    <x v="1422"/>
    <x v="154"/>
  </r>
  <r>
    <x v="44"/>
    <x v="136"/>
    <x v="6428"/>
    <x v="1"/>
    <x v="0"/>
    <x v="292"/>
    <x v="687"/>
    <x v="1423"/>
    <x v="154"/>
  </r>
  <r>
    <x v="44"/>
    <x v="137"/>
    <x v="6429"/>
    <x v="1"/>
    <x v="0"/>
    <x v="1692"/>
    <x v="511"/>
    <x v="1424"/>
    <x v="154"/>
  </r>
  <r>
    <x v="44"/>
    <x v="138"/>
    <x v="6430"/>
    <x v="1"/>
    <x v="0"/>
    <x v="1693"/>
    <x v="688"/>
    <x v="1425"/>
    <x v="154"/>
  </r>
  <r>
    <x v="44"/>
    <x v="139"/>
    <x v="6431"/>
    <x v="1"/>
    <x v="0"/>
    <x v="1694"/>
    <x v="651"/>
    <x v="1426"/>
    <x v="155"/>
  </r>
  <r>
    <x v="44"/>
    <x v="140"/>
    <x v="6432"/>
    <x v="1"/>
    <x v="0"/>
    <x v="1695"/>
    <x v="689"/>
    <x v="1427"/>
    <x v="155"/>
  </r>
  <r>
    <x v="44"/>
    <x v="141"/>
    <x v="6433"/>
    <x v="1"/>
    <x v="0"/>
    <x v="1579"/>
    <x v="690"/>
    <x v="1428"/>
    <x v="155"/>
  </r>
  <r>
    <x v="44"/>
    <x v="142"/>
    <x v="6434"/>
    <x v="1"/>
    <x v="0"/>
    <x v="1696"/>
    <x v="441"/>
    <x v="1429"/>
    <x v="1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2:B48" firstHeaderRow="1" firstDataRow="1" firstDataCol="1"/>
  <pivotFields count="9">
    <pivotField axis="axisRow" compact="0" sortType="descending"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fieldPosition="0">
          <references count="1">
            <reference field="4294967294" count="1" selected="0">
              <x v="0"/>
            </reference>
          </references>
        </pivotArea>
      </autoSortScope>
    </pivotField>
    <pivotField compact="0" numFmtId="58"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compact="0" numFmtId="176"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compact="0" showAll="0">
      <items count="3">
        <item x="0"/>
        <item x="1"/>
        <item t="default"/>
      </items>
    </pivotField>
    <pivotField compact="0" showAll="0">
      <items count="3">
        <item x="0"/>
        <item x="1"/>
        <item t="default"/>
      </items>
    </pivotField>
    <pivotField compact="0" numFmtId="182"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compact="0" numFmtId="177"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compact="0" numFmtId="183"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compact="0" numFmtId="177"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s>
  <rowFields count="1">
    <field x="0"/>
  </rowFields>
  <rowItems count="46">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t="grand">
      <x/>
    </i>
  </rowItems>
  <colItems count="1">
    <i/>
  </colItems>
  <dataFields count="1">
    <dataField name="Average of Weekly_Sales" fld="2" subtotal="average" baseField="0" baseItem="0"/>
  </dataFields>
  <formats count="4">
    <format dxfId="0">
      <pivotArea collapsedLevelsAreSubtotals="1" fieldPosition="0"/>
    </format>
    <format dxfId="1">
      <pivotArea collapsedLevelsAreSubtotals="1" fieldPosition="0"/>
    </format>
    <format dxfId="2">
      <pivotArea collapsedLevelsAreSubtotals="1" fieldPosition="0"/>
    </format>
    <format dxfId="3">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2:B48" firstHeaderRow="1" firstDataRow="1" firstDataCol="1"/>
  <pivotFields count="9">
    <pivotField axis="axisRow" compact="0" sortType="descending"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fieldPosition="0">
          <references count="1">
            <reference field="4294967294" count="1" selected="0">
              <x v="0"/>
            </reference>
          </references>
        </pivotArea>
      </autoSortScope>
    </pivotField>
    <pivotField compact="0" numFmtId="58"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compact="0" numFmtId="176"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compact="0" showAll="0">
      <items count="3">
        <item x="0"/>
        <item x="1"/>
        <item t="default"/>
      </items>
    </pivotField>
    <pivotField compact="0" showAll="0">
      <items count="3">
        <item x="0"/>
        <item x="1"/>
        <item t="default"/>
      </items>
    </pivotField>
    <pivotField compact="0" numFmtId="182"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compact="0" numFmtId="177"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compact="0" numFmtId="183"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compact="0" numFmtId="177"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s>
  <rowFields count="1">
    <field x="0"/>
  </rowFields>
  <rowItems count="46">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t="grand">
      <x/>
    </i>
  </rowItems>
  <colItems count="1">
    <i/>
  </colItems>
  <dataFields count="1">
    <dataField name="Sum of Weekly_Sales" fld="2" baseField="0" baseItem="0"/>
  </dataFields>
  <formats count="2">
    <format dxfId="4">
      <pivotArea collapsedLevelsAreSubtotals="1" fieldPosition="0"/>
    </format>
    <format dxfId="5">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1:B4" firstHeaderRow="1" firstDataRow="1" firstDataCol="1"/>
  <pivotFields count="9">
    <pivotField compact="0" showAll="0"/>
    <pivotField compact="0" numFmtId="58" showAll="0"/>
    <pivotField dataField="1" compact="0" numFmtId="176" showAll="0"/>
    <pivotField compact="0" showAll="0"/>
    <pivotField axis="axisRow" compact="0" showAll="0">
      <items count="3">
        <item n="No Holidays" x="0"/>
        <item n="Holidays" x="1"/>
        <item t="default"/>
      </items>
    </pivotField>
    <pivotField compact="0" numFmtId="182" showAll="0"/>
    <pivotField compact="0" numFmtId="177" showAll="0"/>
    <pivotField compact="0" numFmtId="183" showAll="0"/>
    <pivotField compact="0" numFmtId="177" showAll="0"/>
  </pivotFields>
  <rowFields count="1">
    <field x="4"/>
  </rowFields>
  <rowItems count="3">
    <i>
      <x/>
    </i>
    <i>
      <x v="1"/>
    </i>
    <i t="grand">
      <x/>
    </i>
  </rowItems>
  <colItems count="1">
    <i/>
  </colItems>
  <dataFields count="1">
    <dataField name="Average of Weekly_Sales" fld="2" subtotal="average" baseField="0" baseItem="0"/>
  </dataFields>
  <formats count="2">
    <format dxfId="6">
      <pivotArea collapsedLevelsAreSubtotals="1" fieldPosition="0">
        <references count="1">
          <reference field="4" count="1" selected="0">
            <x v="0"/>
          </reference>
        </references>
      </pivotArea>
    </format>
    <format dxfId="7">
      <pivotArea collapsedLevelsAreSubtotals="1" fieldPosition="0">
        <references count="1">
          <reference field="4" count="1" selected="0">
            <x v="1"/>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I6437" totalsRowShown="0">
  <autoFilter xmlns:etc="http://www.wps.cn/officeDocument/2017/etCustomData" ref="A1:I6437" etc:filterBottomFollowUsedRange="0"/>
  <tableColumns count="9">
    <tableColumn id="1" name="Store"/>
    <tableColumn id="2" name="Date" dataDxfId="8"/>
    <tableColumn id="3" name="Weekly_Sales" dataDxfId="9"/>
    <tableColumn id="5" name="Holiday_Flag"/>
    <tableColumn id="6" name="Temperature" dataDxfId="10"/>
    <tableColumn id="7" name="Fuel_Price" dataDxfId="11"/>
    <tableColumn id="8" name="CPI" dataDxfId="12"/>
    <tableColumn id="9" name="Unemployment" dataDxfId="13"/>
    <tableColumn id="10" name="Column1"/>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437"/>
  <sheetViews>
    <sheetView zoomScaleSheetLayoutView="60" workbookViewId="0">
      <selection activeCell="C1" sqref="C1"/>
    </sheetView>
  </sheetViews>
  <sheetFormatPr defaultColWidth="10.2857142857143" defaultRowHeight="15"/>
  <cols>
    <col min="2" max="2" width="11.4285714285714"/>
    <col min="3" max="3" width="11.7142857142857"/>
    <col min="4" max="5" width="16" customWidth="1"/>
    <col min="6" max="6" width="13.2857142857143" customWidth="1"/>
    <col min="7" max="7" width="10.5714285714286"/>
    <col min="8" max="8" width="12.8571428571429"/>
    <col min="11" max="11" width="16.2857142857143" style="26"/>
    <col min="12" max="6442" width="16.2857142857143"/>
    <col min="6443" max="6443" width="12.8571428571429"/>
  </cols>
  <sheetData>
    <row r="1" spans="1:11">
      <c r="A1" t="s">
        <v>0</v>
      </c>
      <c r="B1" t="s">
        <v>1</v>
      </c>
      <c r="C1" t="s">
        <v>2</v>
      </c>
      <c r="D1" t="s">
        <v>3</v>
      </c>
      <c r="E1" t="s">
        <v>4</v>
      </c>
      <c r="F1" t="s">
        <v>5</v>
      </c>
      <c r="G1" t="s">
        <v>6</v>
      </c>
      <c r="H1" t="s">
        <v>7</v>
      </c>
      <c r="I1" t="s">
        <v>8</v>
      </c>
      <c r="J1" s="26"/>
      <c r="K1"/>
    </row>
    <row r="2" spans="1:11">
      <c r="A2">
        <v>1</v>
      </c>
      <c r="B2" s="64">
        <v>40214</v>
      </c>
      <c r="C2" s="2">
        <v>1643690.9</v>
      </c>
      <c r="D2">
        <v>0</v>
      </c>
      <c r="E2" s="65">
        <v>42.31</v>
      </c>
      <c r="F2" s="8">
        <v>2.572</v>
      </c>
      <c r="G2" s="66">
        <v>211.0963582</v>
      </c>
      <c r="H2" s="8">
        <v>8.106</v>
      </c>
      <c r="I2">
        <f>COUNTIF(A2:A6437,#REF!="High")</f>
        <v>0</v>
      </c>
      <c r="J2" s="27"/>
      <c r="K2"/>
    </row>
    <row r="3" spans="1:11">
      <c r="A3">
        <v>1</v>
      </c>
      <c r="B3" s="64">
        <v>40221</v>
      </c>
      <c r="C3" s="2">
        <v>1641957.44</v>
      </c>
      <c r="D3">
        <v>1</v>
      </c>
      <c r="E3" s="65">
        <v>38.51</v>
      </c>
      <c r="F3" s="8">
        <v>2.548</v>
      </c>
      <c r="G3" s="66">
        <v>211.2421698</v>
      </c>
      <c r="H3" s="8">
        <v>8.106</v>
      </c>
      <c r="J3" s="26"/>
      <c r="K3"/>
    </row>
    <row r="4" spans="1:11">
      <c r="A4">
        <v>1</v>
      </c>
      <c r="B4" s="64">
        <v>40228</v>
      </c>
      <c r="C4" s="2">
        <v>1611968.17</v>
      </c>
      <c r="D4">
        <v>0</v>
      </c>
      <c r="E4" s="65">
        <v>39.93</v>
      </c>
      <c r="F4" s="8">
        <v>2.514</v>
      </c>
      <c r="G4" s="66">
        <v>211.2891429</v>
      </c>
      <c r="H4" s="8">
        <v>8.106</v>
      </c>
      <c r="J4" s="26"/>
      <c r="K4"/>
    </row>
    <row r="5" spans="1:11">
      <c r="A5">
        <v>1</v>
      </c>
      <c r="B5" s="64">
        <v>40235</v>
      </c>
      <c r="C5" s="2">
        <v>1409727.59</v>
      </c>
      <c r="D5">
        <v>0</v>
      </c>
      <c r="E5" s="65">
        <v>46.63</v>
      </c>
      <c r="F5" s="8">
        <v>2.561</v>
      </c>
      <c r="G5" s="66">
        <v>211.3196429</v>
      </c>
      <c r="H5" s="8">
        <v>8.106</v>
      </c>
      <c r="J5" s="26"/>
      <c r="K5"/>
    </row>
    <row r="6" spans="1:11">
      <c r="A6">
        <v>1</v>
      </c>
      <c r="B6" s="64">
        <v>40242</v>
      </c>
      <c r="C6" s="2">
        <v>1554806.68</v>
      </c>
      <c r="D6">
        <v>0</v>
      </c>
      <c r="E6" s="65">
        <v>46.5</v>
      </c>
      <c r="F6" s="8">
        <v>2.625</v>
      </c>
      <c r="G6" s="66">
        <v>211.3501429</v>
      </c>
      <c r="H6" s="8">
        <v>8.106</v>
      </c>
      <c r="J6" s="26"/>
      <c r="K6"/>
    </row>
    <row r="7" spans="1:11">
      <c r="A7">
        <v>1</v>
      </c>
      <c r="B7" s="64">
        <v>40249</v>
      </c>
      <c r="C7" s="2">
        <v>1439541.59</v>
      </c>
      <c r="D7">
        <v>0</v>
      </c>
      <c r="E7" s="65">
        <v>57.79</v>
      </c>
      <c r="F7" s="8">
        <v>2.667</v>
      </c>
      <c r="G7" s="66">
        <v>211.3806429</v>
      </c>
      <c r="H7" s="8">
        <v>8.106</v>
      </c>
      <c r="J7" s="26"/>
      <c r="K7"/>
    </row>
    <row r="8" spans="1:11">
      <c r="A8">
        <v>1</v>
      </c>
      <c r="B8" s="64">
        <v>40256</v>
      </c>
      <c r="C8" s="2">
        <v>1472515.79</v>
      </c>
      <c r="D8">
        <v>0</v>
      </c>
      <c r="E8" s="65">
        <v>54.58</v>
      </c>
      <c r="F8" s="8">
        <v>2.72</v>
      </c>
      <c r="G8" s="66">
        <v>211.215635</v>
      </c>
      <c r="H8" s="8">
        <v>8.106</v>
      </c>
      <c r="J8" s="26"/>
      <c r="K8"/>
    </row>
    <row r="9" spans="1:11">
      <c r="A9">
        <v>1</v>
      </c>
      <c r="B9" s="64">
        <v>40263</v>
      </c>
      <c r="C9" s="2">
        <v>1404429.92</v>
      </c>
      <c r="D9">
        <v>0</v>
      </c>
      <c r="E9" s="65">
        <v>51.45</v>
      </c>
      <c r="F9" s="8">
        <v>2.732</v>
      </c>
      <c r="G9" s="66">
        <v>211.0180424</v>
      </c>
      <c r="H9" s="8">
        <v>8.106</v>
      </c>
      <c r="J9" s="26"/>
      <c r="K9"/>
    </row>
    <row r="10" spans="1:11">
      <c r="A10">
        <v>1</v>
      </c>
      <c r="B10" s="64">
        <v>40270</v>
      </c>
      <c r="C10" s="2">
        <v>1594968.28</v>
      </c>
      <c r="D10">
        <v>0</v>
      </c>
      <c r="E10" s="65">
        <v>62.27</v>
      </c>
      <c r="F10" s="8">
        <v>2.719</v>
      </c>
      <c r="G10" s="66">
        <v>210.8204499</v>
      </c>
      <c r="H10" s="8">
        <v>7.808</v>
      </c>
      <c r="J10" s="26"/>
      <c r="K10"/>
    </row>
    <row r="11" spans="1:11">
      <c r="A11">
        <v>1</v>
      </c>
      <c r="B11" s="64">
        <v>40277</v>
      </c>
      <c r="C11" s="2">
        <v>1545418.53</v>
      </c>
      <c r="D11">
        <v>0</v>
      </c>
      <c r="E11" s="65">
        <v>65.86</v>
      </c>
      <c r="F11" s="8">
        <v>2.77</v>
      </c>
      <c r="G11" s="66">
        <v>210.6228574</v>
      </c>
      <c r="H11" s="8">
        <v>7.808</v>
      </c>
      <c r="J11" s="26"/>
      <c r="K11"/>
    </row>
    <row r="12" spans="1:11">
      <c r="A12">
        <v>1</v>
      </c>
      <c r="B12" s="64">
        <v>40284</v>
      </c>
      <c r="C12" s="2">
        <v>1466058.28</v>
      </c>
      <c r="D12">
        <v>0</v>
      </c>
      <c r="E12" s="65">
        <v>66.32</v>
      </c>
      <c r="F12" s="8">
        <v>2.808</v>
      </c>
      <c r="G12" s="66">
        <v>210.4887</v>
      </c>
      <c r="H12" s="8">
        <v>7.808</v>
      </c>
      <c r="J12" s="26"/>
      <c r="K12"/>
    </row>
    <row r="13" spans="1:11">
      <c r="A13">
        <v>1</v>
      </c>
      <c r="B13" s="64">
        <v>40291</v>
      </c>
      <c r="C13" s="2">
        <v>1391256.12</v>
      </c>
      <c r="D13">
        <v>0</v>
      </c>
      <c r="E13" s="65">
        <v>64.84</v>
      </c>
      <c r="F13" s="8">
        <v>2.795</v>
      </c>
      <c r="G13" s="66">
        <v>210.4391228</v>
      </c>
      <c r="H13" s="8">
        <v>7.808</v>
      </c>
      <c r="J13" s="26"/>
      <c r="K13"/>
    </row>
    <row r="14" spans="1:11">
      <c r="A14">
        <v>1</v>
      </c>
      <c r="B14" s="64">
        <v>40298</v>
      </c>
      <c r="C14" s="2">
        <v>1425100.71</v>
      </c>
      <c r="D14">
        <v>0</v>
      </c>
      <c r="E14" s="65">
        <v>67.41</v>
      </c>
      <c r="F14" s="8">
        <v>2.78</v>
      </c>
      <c r="G14" s="66">
        <v>210.3895456</v>
      </c>
      <c r="H14" s="8">
        <v>7.808</v>
      </c>
      <c r="J14" s="26"/>
      <c r="K14"/>
    </row>
    <row r="15" spans="1:11">
      <c r="A15">
        <v>1</v>
      </c>
      <c r="B15" s="64">
        <v>40305</v>
      </c>
      <c r="C15" s="2">
        <v>1603955.12</v>
      </c>
      <c r="D15">
        <v>0</v>
      </c>
      <c r="E15" s="65">
        <v>72.55</v>
      </c>
      <c r="F15" s="8">
        <v>2.835</v>
      </c>
      <c r="G15" s="66">
        <v>210.3399684</v>
      </c>
      <c r="H15" s="8">
        <v>7.808</v>
      </c>
      <c r="J15" s="26"/>
      <c r="K15"/>
    </row>
    <row r="16" spans="1:11">
      <c r="A16">
        <v>1</v>
      </c>
      <c r="B16" s="64">
        <v>40312</v>
      </c>
      <c r="C16" s="2">
        <v>1494251.5</v>
      </c>
      <c r="D16">
        <v>0</v>
      </c>
      <c r="E16" s="65">
        <v>74.78</v>
      </c>
      <c r="F16" s="8">
        <v>2.854</v>
      </c>
      <c r="G16" s="66">
        <v>210.3374261</v>
      </c>
      <c r="H16" s="8">
        <v>7.808</v>
      </c>
      <c r="J16" s="26"/>
      <c r="K16"/>
    </row>
    <row r="17" spans="1:11">
      <c r="A17">
        <v>1</v>
      </c>
      <c r="B17" s="64">
        <v>40319</v>
      </c>
      <c r="C17" s="2">
        <v>1399662.07</v>
      </c>
      <c r="D17">
        <v>0</v>
      </c>
      <c r="E17" s="65">
        <v>76.44</v>
      </c>
      <c r="F17" s="8">
        <v>2.826</v>
      </c>
      <c r="G17" s="66">
        <v>210.6170934</v>
      </c>
      <c r="H17" s="8">
        <v>7.808</v>
      </c>
      <c r="J17" s="26"/>
      <c r="K17"/>
    </row>
    <row r="18" spans="1:11">
      <c r="A18">
        <v>1</v>
      </c>
      <c r="B18" s="64">
        <v>40326</v>
      </c>
      <c r="C18" s="2">
        <v>1432069.95</v>
      </c>
      <c r="D18">
        <v>0</v>
      </c>
      <c r="E18" s="65">
        <v>80.44</v>
      </c>
      <c r="F18" s="8">
        <v>2.759</v>
      </c>
      <c r="G18" s="66">
        <v>210.8967606</v>
      </c>
      <c r="H18" s="8">
        <v>7.808</v>
      </c>
      <c r="J18" s="26"/>
      <c r="K18"/>
    </row>
    <row r="19" spans="1:11">
      <c r="A19">
        <v>1</v>
      </c>
      <c r="B19" s="64">
        <v>40333</v>
      </c>
      <c r="C19" s="2">
        <v>1615524.71</v>
      </c>
      <c r="D19">
        <v>0</v>
      </c>
      <c r="E19" s="65">
        <v>80.69</v>
      </c>
      <c r="F19" s="8">
        <v>2.705</v>
      </c>
      <c r="G19" s="66">
        <v>211.1764278</v>
      </c>
      <c r="H19" s="8">
        <v>7.808</v>
      </c>
      <c r="J19" s="26"/>
      <c r="K19"/>
    </row>
    <row r="20" spans="1:11">
      <c r="A20">
        <v>1</v>
      </c>
      <c r="B20" s="64">
        <v>40340</v>
      </c>
      <c r="C20" s="2">
        <v>1542561.09</v>
      </c>
      <c r="D20">
        <v>0</v>
      </c>
      <c r="E20" s="65">
        <v>80.43</v>
      </c>
      <c r="F20" s="8">
        <v>2.668</v>
      </c>
      <c r="G20" s="66">
        <v>211.4560951</v>
      </c>
      <c r="H20" s="8">
        <v>7.808</v>
      </c>
      <c r="J20" s="26"/>
      <c r="K20"/>
    </row>
    <row r="21" spans="1:11">
      <c r="A21">
        <v>1</v>
      </c>
      <c r="B21" s="64">
        <v>40347</v>
      </c>
      <c r="C21" s="2">
        <v>1503284.06</v>
      </c>
      <c r="D21">
        <v>0</v>
      </c>
      <c r="E21" s="65">
        <v>84.11</v>
      </c>
      <c r="F21" s="8">
        <v>2.637</v>
      </c>
      <c r="G21" s="66">
        <v>211.4537719</v>
      </c>
      <c r="H21" s="8">
        <v>7.808</v>
      </c>
      <c r="J21" s="26"/>
      <c r="K21"/>
    </row>
    <row r="22" spans="1:11">
      <c r="A22">
        <v>1</v>
      </c>
      <c r="B22" s="64">
        <v>40354</v>
      </c>
      <c r="C22" s="2">
        <v>1422711.6</v>
      </c>
      <c r="D22">
        <v>0</v>
      </c>
      <c r="E22" s="65">
        <v>84.34</v>
      </c>
      <c r="F22" s="8">
        <v>2.653</v>
      </c>
      <c r="G22" s="66">
        <v>211.3386526</v>
      </c>
      <c r="H22" s="8">
        <v>7.808</v>
      </c>
      <c r="J22" s="26"/>
      <c r="K22"/>
    </row>
    <row r="23" spans="1:11">
      <c r="A23">
        <v>1</v>
      </c>
      <c r="B23" s="64">
        <v>40361</v>
      </c>
      <c r="C23" s="2">
        <v>1492418.14</v>
      </c>
      <c r="D23">
        <v>0</v>
      </c>
      <c r="E23" s="65">
        <v>80.91</v>
      </c>
      <c r="F23" s="8">
        <v>2.669</v>
      </c>
      <c r="G23" s="66">
        <v>211.2235333</v>
      </c>
      <c r="H23" s="8">
        <v>7.787</v>
      </c>
      <c r="J23" s="26"/>
      <c r="K23"/>
    </row>
    <row r="24" spans="1:11">
      <c r="A24">
        <v>1</v>
      </c>
      <c r="B24" s="64">
        <v>40368</v>
      </c>
      <c r="C24" s="2">
        <v>1546074.18</v>
      </c>
      <c r="D24">
        <v>0</v>
      </c>
      <c r="E24" s="65">
        <v>80.48</v>
      </c>
      <c r="F24" s="8">
        <v>2.642</v>
      </c>
      <c r="G24" s="66">
        <v>211.108414</v>
      </c>
      <c r="H24" s="8">
        <v>7.787</v>
      </c>
      <c r="J24" s="26"/>
      <c r="K24"/>
    </row>
    <row r="25" spans="1:11">
      <c r="A25">
        <v>1</v>
      </c>
      <c r="B25" s="64">
        <v>40375</v>
      </c>
      <c r="C25" s="2">
        <v>1448938.92</v>
      </c>
      <c r="D25">
        <v>0</v>
      </c>
      <c r="E25" s="65">
        <v>83.15</v>
      </c>
      <c r="F25" s="8">
        <v>2.623</v>
      </c>
      <c r="G25" s="66">
        <v>211.1003854</v>
      </c>
      <c r="H25" s="8">
        <v>7.787</v>
      </c>
      <c r="J25" s="26"/>
      <c r="K25"/>
    </row>
    <row r="26" spans="1:11">
      <c r="A26">
        <v>1</v>
      </c>
      <c r="B26" s="64">
        <v>40382</v>
      </c>
      <c r="C26" s="2">
        <v>1385065.2</v>
      </c>
      <c r="D26">
        <v>0</v>
      </c>
      <c r="E26" s="65">
        <v>83.36</v>
      </c>
      <c r="F26" s="8">
        <v>2.608</v>
      </c>
      <c r="G26" s="66">
        <v>211.2351443</v>
      </c>
      <c r="H26" s="8">
        <v>7.787</v>
      </c>
      <c r="J26" s="26"/>
      <c r="K26"/>
    </row>
    <row r="27" spans="1:11">
      <c r="A27">
        <v>1</v>
      </c>
      <c r="B27" s="64">
        <v>40389</v>
      </c>
      <c r="C27" s="2">
        <v>1371986.6</v>
      </c>
      <c r="D27">
        <v>0</v>
      </c>
      <c r="E27" s="65">
        <v>81.84</v>
      </c>
      <c r="F27" s="8">
        <v>2.64</v>
      </c>
      <c r="G27" s="66">
        <v>211.3699032</v>
      </c>
      <c r="H27" s="8">
        <v>7.787</v>
      </c>
      <c r="J27" s="26"/>
      <c r="K27"/>
    </row>
    <row r="28" spans="1:11">
      <c r="A28">
        <v>1</v>
      </c>
      <c r="B28" s="64">
        <v>40396</v>
      </c>
      <c r="C28" s="2">
        <v>1605491.78</v>
      </c>
      <c r="D28">
        <v>0</v>
      </c>
      <c r="E28" s="65">
        <v>87.16</v>
      </c>
      <c r="F28" s="8">
        <v>2.627</v>
      </c>
      <c r="G28" s="66">
        <v>211.5046621</v>
      </c>
      <c r="H28" s="8">
        <v>7.787</v>
      </c>
      <c r="J28" s="26"/>
      <c r="K28"/>
    </row>
    <row r="29" spans="1:11">
      <c r="A29">
        <v>1</v>
      </c>
      <c r="B29" s="64">
        <v>40403</v>
      </c>
      <c r="C29" s="2">
        <v>1508237.76</v>
      </c>
      <c r="D29">
        <v>0</v>
      </c>
      <c r="E29" s="65">
        <v>87</v>
      </c>
      <c r="F29" s="8">
        <v>2.692</v>
      </c>
      <c r="G29" s="66">
        <v>211.6394211</v>
      </c>
      <c r="H29" s="8">
        <v>7.787</v>
      </c>
      <c r="J29" s="26"/>
      <c r="K29"/>
    </row>
    <row r="30" spans="1:11">
      <c r="A30">
        <v>1</v>
      </c>
      <c r="B30" s="64">
        <v>40410</v>
      </c>
      <c r="C30" s="2">
        <v>1513080.49</v>
      </c>
      <c r="D30">
        <v>0</v>
      </c>
      <c r="E30" s="65">
        <v>86.65</v>
      </c>
      <c r="F30" s="8">
        <v>2.664</v>
      </c>
      <c r="G30" s="66">
        <v>211.6033633</v>
      </c>
      <c r="H30" s="8">
        <v>7.787</v>
      </c>
      <c r="J30" s="26"/>
      <c r="K30"/>
    </row>
    <row r="31" spans="1:11">
      <c r="A31">
        <v>1</v>
      </c>
      <c r="B31" s="64">
        <v>40417</v>
      </c>
      <c r="C31" s="2">
        <v>1449142.92</v>
      </c>
      <c r="D31">
        <v>0</v>
      </c>
      <c r="E31" s="65">
        <v>85.22</v>
      </c>
      <c r="F31" s="8">
        <v>2.619</v>
      </c>
      <c r="G31" s="66">
        <v>211.5673056</v>
      </c>
      <c r="H31" s="8">
        <v>7.787</v>
      </c>
      <c r="J31" s="26"/>
      <c r="K31"/>
    </row>
    <row r="32" spans="1:11">
      <c r="A32">
        <v>1</v>
      </c>
      <c r="B32" s="64">
        <v>40424</v>
      </c>
      <c r="C32" s="2">
        <v>1540163.53</v>
      </c>
      <c r="D32">
        <v>0</v>
      </c>
      <c r="E32" s="65">
        <v>81.21</v>
      </c>
      <c r="F32" s="8">
        <v>2.577</v>
      </c>
      <c r="G32" s="66">
        <v>211.5312479</v>
      </c>
      <c r="H32" s="8">
        <v>7.787</v>
      </c>
      <c r="J32" s="26"/>
      <c r="K32"/>
    </row>
    <row r="33" spans="1:11">
      <c r="A33">
        <v>1</v>
      </c>
      <c r="B33" s="64">
        <v>40431</v>
      </c>
      <c r="C33" s="2">
        <v>1507460.69</v>
      </c>
      <c r="D33">
        <v>1</v>
      </c>
      <c r="E33" s="65">
        <v>78.69</v>
      </c>
      <c r="F33" s="8">
        <v>2.565</v>
      </c>
      <c r="G33" s="66">
        <v>211.4951902</v>
      </c>
      <c r="H33" s="8">
        <v>7.787</v>
      </c>
      <c r="J33" s="26"/>
      <c r="K33"/>
    </row>
    <row r="34" spans="1:11">
      <c r="A34">
        <v>1</v>
      </c>
      <c r="B34" s="64">
        <v>40438</v>
      </c>
      <c r="C34" s="2">
        <v>1430378.67</v>
      </c>
      <c r="D34">
        <v>0</v>
      </c>
      <c r="E34" s="65">
        <v>82.11</v>
      </c>
      <c r="F34" s="8">
        <v>2.582</v>
      </c>
      <c r="G34" s="66">
        <v>211.5224596</v>
      </c>
      <c r="H34" s="8">
        <v>7.787</v>
      </c>
      <c r="J34" s="26"/>
      <c r="K34"/>
    </row>
    <row r="35" spans="1:11">
      <c r="A35">
        <v>1</v>
      </c>
      <c r="B35" s="64">
        <v>40445</v>
      </c>
      <c r="C35" s="2">
        <v>1351791.03</v>
      </c>
      <c r="D35">
        <v>0</v>
      </c>
      <c r="E35" s="65">
        <v>80.94</v>
      </c>
      <c r="F35" s="8">
        <v>2.624</v>
      </c>
      <c r="G35" s="66">
        <v>211.5972246</v>
      </c>
      <c r="H35" s="8">
        <v>7.787</v>
      </c>
      <c r="J35" s="26"/>
      <c r="K35"/>
    </row>
    <row r="36" spans="1:11">
      <c r="A36">
        <v>1</v>
      </c>
      <c r="B36" s="64">
        <v>40452</v>
      </c>
      <c r="C36" s="2">
        <v>1453329.5</v>
      </c>
      <c r="D36">
        <v>0</v>
      </c>
      <c r="E36" s="65">
        <v>71.89</v>
      </c>
      <c r="F36" s="8">
        <v>2.603</v>
      </c>
      <c r="G36" s="66">
        <v>211.6719895</v>
      </c>
      <c r="H36" s="8">
        <v>7.838</v>
      </c>
      <c r="J36" s="26"/>
      <c r="K36"/>
    </row>
    <row r="37" spans="1:11">
      <c r="A37">
        <v>1</v>
      </c>
      <c r="B37" s="64">
        <v>40459</v>
      </c>
      <c r="C37" s="2">
        <v>1508239.93</v>
      </c>
      <c r="D37">
        <v>0</v>
      </c>
      <c r="E37" s="65">
        <v>63.93</v>
      </c>
      <c r="F37" s="8">
        <v>2.633</v>
      </c>
      <c r="G37" s="66">
        <v>211.7467544</v>
      </c>
      <c r="H37" s="8">
        <v>7.838</v>
      </c>
      <c r="J37" s="26"/>
      <c r="K37"/>
    </row>
    <row r="38" spans="1:11">
      <c r="A38">
        <v>1</v>
      </c>
      <c r="B38" s="64">
        <v>40466</v>
      </c>
      <c r="C38" s="2">
        <v>1459409.1</v>
      </c>
      <c r="D38">
        <v>0</v>
      </c>
      <c r="E38" s="65">
        <v>67.18</v>
      </c>
      <c r="F38" s="8">
        <v>2.72</v>
      </c>
      <c r="G38" s="66">
        <v>211.8137436</v>
      </c>
      <c r="H38" s="8">
        <v>7.838</v>
      </c>
      <c r="J38" s="26"/>
      <c r="K38"/>
    </row>
    <row r="39" spans="1:11">
      <c r="A39">
        <v>1</v>
      </c>
      <c r="B39" s="64">
        <v>40473</v>
      </c>
      <c r="C39" s="2">
        <v>1345454</v>
      </c>
      <c r="D39">
        <v>0</v>
      </c>
      <c r="E39" s="65">
        <v>69.86</v>
      </c>
      <c r="F39" s="8">
        <v>2.725</v>
      </c>
      <c r="G39" s="66">
        <v>211.8612937</v>
      </c>
      <c r="H39" s="8">
        <v>7.838</v>
      </c>
      <c r="J39" s="26"/>
      <c r="K39"/>
    </row>
    <row r="40" spans="1:11">
      <c r="A40">
        <v>1</v>
      </c>
      <c r="B40" s="64">
        <v>40480</v>
      </c>
      <c r="C40" s="2">
        <v>1384209.22</v>
      </c>
      <c r="D40">
        <v>0</v>
      </c>
      <c r="E40" s="65">
        <v>69.64</v>
      </c>
      <c r="F40" s="8">
        <v>2.716</v>
      </c>
      <c r="G40" s="66">
        <v>211.9088438</v>
      </c>
      <c r="H40" s="8">
        <v>7.838</v>
      </c>
      <c r="J40" s="26"/>
      <c r="K40"/>
    </row>
    <row r="41" spans="1:11">
      <c r="A41">
        <v>1</v>
      </c>
      <c r="B41" s="64">
        <v>40487</v>
      </c>
      <c r="C41" s="2">
        <v>1551659.28</v>
      </c>
      <c r="D41">
        <v>0</v>
      </c>
      <c r="E41" s="65">
        <v>58.74</v>
      </c>
      <c r="F41" s="8">
        <v>2.689</v>
      </c>
      <c r="G41" s="66">
        <v>211.9563939</v>
      </c>
      <c r="H41" s="8">
        <v>7.838</v>
      </c>
      <c r="J41" s="26"/>
      <c r="K41"/>
    </row>
    <row r="42" spans="1:11">
      <c r="A42">
        <v>1</v>
      </c>
      <c r="B42" s="64">
        <v>40494</v>
      </c>
      <c r="C42" s="2">
        <v>1494479.49</v>
      </c>
      <c r="D42">
        <v>0</v>
      </c>
      <c r="E42" s="65">
        <v>59.61</v>
      </c>
      <c r="F42" s="8">
        <v>2.728</v>
      </c>
      <c r="G42" s="66">
        <v>212.003944</v>
      </c>
      <c r="H42" s="8">
        <v>7.838</v>
      </c>
      <c r="J42" s="26"/>
      <c r="K42"/>
    </row>
    <row r="43" spans="1:11">
      <c r="A43">
        <v>1</v>
      </c>
      <c r="B43" s="64">
        <v>40501</v>
      </c>
      <c r="C43" s="2">
        <v>1483784.18</v>
      </c>
      <c r="D43">
        <v>0</v>
      </c>
      <c r="E43" s="65">
        <v>51.41</v>
      </c>
      <c r="F43" s="8">
        <v>2.771</v>
      </c>
      <c r="G43" s="66">
        <v>211.8896737</v>
      </c>
      <c r="H43" s="8">
        <v>7.838</v>
      </c>
      <c r="J43" s="26"/>
      <c r="K43"/>
    </row>
    <row r="44" spans="1:11">
      <c r="A44">
        <v>1</v>
      </c>
      <c r="B44" s="64">
        <v>40508</v>
      </c>
      <c r="C44" s="2">
        <v>1955624.11</v>
      </c>
      <c r="D44">
        <v>1</v>
      </c>
      <c r="E44" s="65">
        <v>64.52</v>
      </c>
      <c r="F44" s="8">
        <v>2.735</v>
      </c>
      <c r="G44" s="66">
        <v>211.7484333</v>
      </c>
      <c r="H44" s="8">
        <v>7.838</v>
      </c>
      <c r="J44" s="26"/>
      <c r="K44"/>
    </row>
    <row r="45" spans="1:11">
      <c r="A45">
        <v>1</v>
      </c>
      <c r="B45" s="64">
        <v>40515</v>
      </c>
      <c r="C45" s="2">
        <v>1548033.78</v>
      </c>
      <c r="D45">
        <v>0</v>
      </c>
      <c r="E45" s="65">
        <v>49.27</v>
      </c>
      <c r="F45" s="8">
        <v>2.708</v>
      </c>
      <c r="G45" s="66">
        <v>211.607193</v>
      </c>
      <c r="H45" s="8">
        <v>7.838</v>
      </c>
      <c r="J45" s="26"/>
      <c r="K45"/>
    </row>
    <row r="46" spans="1:11">
      <c r="A46">
        <v>1</v>
      </c>
      <c r="B46" s="64">
        <v>40522</v>
      </c>
      <c r="C46" s="2">
        <v>1682614.26</v>
      </c>
      <c r="D46">
        <v>0</v>
      </c>
      <c r="E46" s="65">
        <v>46.33</v>
      </c>
      <c r="F46" s="8">
        <v>2.843</v>
      </c>
      <c r="G46" s="66">
        <v>211.4659526</v>
      </c>
      <c r="H46" s="8">
        <v>7.838</v>
      </c>
      <c r="J46" s="26"/>
      <c r="K46"/>
    </row>
    <row r="47" spans="1:11">
      <c r="A47">
        <v>1</v>
      </c>
      <c r="B47" s="64">
        <v>40529</v>
      </c>
      <c r="C47" s="2">
        <v>1891034.93</v>
      </c>
      <c r="D47">
        <v>0</v>
      </c>
      <c r="E47" s="65">
        <v>49.84</v>
      </c>
      <c r="F47" s="8">
        <v>2.869</v>
      </c>
      <c r="G47" s="66">
        <v>211.4053124</v>
      </c>
      <c r="H47" s="8">
        <v>7.838</v>
      </c>
      <c r="J47" s="26"/>
      <c r="K47"/>
    </row>
    <row r="48" spans="1:11">
      <c r="A48">
        <v>1</v>
      </c>
      <c r="B48" s="64">
        <v>40536</v>
      </c>
      <c r="C48" s="2">
        <v>2387950.2</v>
      </c>
      <c r="D48">
        <v>0</v>
      </c>
      <c r="E48" s="65">
        <v>52.33</v>
      </c>
      <c r="F48" s="8">
        <v>2.886</v>
      </c>
      <c r="G48" s="66">
        <v>211.4051222</v>
      </c>
      <c r="H48" s="8">
        <v>7.838</v>
      </c>
      <c r="J48" s="26"/>
      <c r="K48"/>
    </row>
    <row r="49" spans="1:11">
      <c r="A49">
        <v>1</v>
      </c>
      <c r="B49" s="64">
        <v>40543</v>
      </c>
      <c r="C49" s="2">
        <v>1367320.01</v>
      </c>
      <c r="D49">
        <v>1</v>
      </c>
      <c r="E49" s="65">
        <v>48.43</v>
      </c>
      <c r="F49" s="8">
        <v>2.943</v>
      </c>
      <c r="G49" s="66">
        <v>211.4049321</v>
      </c>
      <c r="H49" s="8">
        <v>7.838</v>
      </c>
      <c r="J49" s="26"/>
      <c r="K49"/>
    </row>
    <row r="50" spans="1:11">
      <c r="A50">
        <v>1</v>
      </c>
      <c r="B50" s="64">
        <v>40550</v>
      </c>
      <c r="C50" s="2">
        <v>1444732.28</v>
      </c>
      <c r="D50">
        <v>0</v>
      </c>
      <c r="E50" s="65">
        <v>48.27</v>
      </c>
      <c r="F50" s="8">
        <v>2.976</v>
      </c>
      <c r="G50" s="66">
        <v>211.4047419</v>
      </c>
      <c r="H50" s="8">
        <v>7.742</v>
      </c>
      <c r="J50" s="26"/>
      <c r="K50"/>
    </row>
    <row r="51" ht="89" customHeight="1" spans="1:11">
      <c r="A51">
        <v>1</v>
      </c>
      <c r="B51" s="64">
        <v>40557</v>
      </c>
      <c r="C51" s="2">
        <v>1391013.96</v>
      </c>
      <c r="D51">
        <v>0</v>
      </c>
      <c r="E51" s="65">
        <v>35.4</v>
      </c>
      <c r="F51" s="8">
        <v>2.983</v>
      </c>
      <c r="G51" s="66">
        <v>211.4574109</v>
      </c>
      <c r="H51" s="8">
        <v>7.742</v>
      </c>
      <c r="J51" s="26"/>
      <c r="K51"/>
    </row>
    <row r="52" spans="1:11">
      <c r="A52">
        <v>1</v>
      </c>
      <c r="B52" s="64">
        <v>40564</v>
      </c>
      <c r="C52" s="2">
        <v>1327405.42</v>
      </c>
      <c r="D52">
        <v>0</v>
      </c>
      <c r="E52" s="65">
        <v>44.04</v>
      </c>
      <c r="F52" s="8">
        <v>3.016</v>
      </c>
      <c r="G52" s="66">
        <v>211.8272343</v>
      </c>
      <c r="H52" s="8">
        <v>7.742</v>
      </c>
      <c r="J52" s="26"/>
      <c r="K52"/>
    </row>
    <row r="53" spans="1:11">
      <c r="A53">
        <v>1</v>
      </c>
      <c r="B53" s="64">
        <v>40571</v>
      </c>
      <c r="C53" s="2">
        <v>1316899.31</v>
      </c>
      <c r="D53">
        <v>0</v>
      </c>
      <c r="E53" s="65">
        <v>43.83</v>
      </c>
      <c r="F53" s="8">
        <v>3.01</v>
      </c>
      <c r="G53" s="66">
        <v>212.1970577</v>
      </c>
      <c r="H53" s="8">
        <v>7.742</v>
      </c>
      <c r="J53" s="26"/>
      <c r="K53"/>
    </row>
    <row r="54" spans="1:11">
      <c r="A54">
        <v>1</v>
      </c>
      <c r="B54" s="64">
        <v>40578</v>
      </c>
      <c r="C54" s="2">
        <v>1606629.58</v>
      </c>
      <c r="D54">
        <v>0</v>
      </c>
      <c r="E54" s="65">
        <v>42.27</v>
      </c>
      <c r="F54" s="8">
        <v>2.989</v>
      </c>
      <c r="G54" s="66">
        <v>212.5668812</v>
      </c>
      <c r="H54" s="8">
        <v>7.742</v>
      </c>
      <c r="J54" s="26"/>
      <c r="K54"/>
    </row>
    <row r="55" spans="1:11">
      <c r="A55">
        <v>1</v>
      </c>
      <c r="B55" s="64">
        <v>40585</v>
      </c>
      <c r="C55" s="2">
        <v>1649614.93</v>
      </c>
      <c r="D55">
        <v>1</v>
      </c>
      <c r="E55" s="65">
        <v>36.39</v>
      </c>
      <c r="F55" s="8">
        <v>3.022</v>
      </c>
      <c r="G55" s="66">
        <v>212.9367046</v>
      </c>
      <c r="H55" s="8">
        <v>7.742</v>
      </c>
      <c r="J55" s="26"/>
      <c r="K55"/>
    </row>
    <row r="56" spans="1:11">
      <c r="A56">
        <v>1</v>
      </c>
      <c r="B56" s="64">
        <v>40592</v>
      </c>
      <c r="C56" s="2">
        <v>1686842.78</v>
      </c>
      <c r="D56">
        <v>0</v>
      </c>
      <c r="E56" s="65">
        <v>57.36</v>
      </c>
      <c r="F56" s="8">
        <v>3.045</v>
      </c>
      <c r="G56" s="66">
        <v>213.2478853</v>
      </c>
      <c r="H56" s="8">
        <v>7.742</v>
      </c>
      <c r="J56" s="26"/>
      <c r="K56"/>
    </row>
    <row r="57" spans="1:11">
      <c r="A57">
        <v>1</v>
      </c>
      <c r="B57" s="64">
        <v>40599</v>
      </c>
      <c r="C57" s="2">
        <v>1456800.28</v>
      </c>
      <c r="D57">
        <v>0</v>
      </c>
      <c r="E57" s="65">
        <v>62.9</v>
      </c>
      <c r="F57" s="8">
        <v>3.065</v>
      </c>
      <c r="G57" s="66">
        <v>213.535609</v>
      </c>
      <c r="H57" s="8">
        <v>7.742</v>
      </c>
      <c r="J57" s="26"/>
      <c r="K57"/>
    </row>
    <row r="58" spans="1:11">
      <c r="A58">
        <v>1</v>
      </c>
      <c r="B58" s="64">
        <v>40606</v>
      </c>
      <c r="C58" s="2">
        <v>1636263.41</v>
      </c>
      <c r="D58">
        <v>0</v>
      </c>
      <c r="E58" s="65">
        <v>59.58</v>
      </c>
      <c r="F58" s="8">
        <v>3.288</v>
      </c>
      <c r="G58" s="66">
        <v>213.8233327</v>
      </c>
      <c r="H58" s="8">
        <v>7.742</v>
      </c>
      <c r="J58" s="26"/>
      <c r="K58"/>
    </row>
    <row r="59" spans="1:11">
      <c r="A59">
        <v>1</v>
      </c>
      <c r="B59" s="64">
        <v>40613</v>
      </c>
      <c r="C59" s="2">
        <v>1553191.63</v>
      </c>
      <c r="D59">
        <v>0</v>
      </c>
      <c r="E59" s="65">
        <v>53.56</v>
      </c>
      <c r="F59" s="8">
        <v>3.459</v>
      </c>
      <c r="G59" s="66">
        <v>214.1110564</v>
      </c>
      <c r="H59" s="8">
        <v>7.742</v>
      </c>
      <c r="J59" s="67"/>
      <c r="K59"/>
    </row>
    <row r="60" spans="1:11">
      <c r="A60">
        <v>1</v>
      </c>
      <c r="B60" s="64">
        <v>40620</v>
      </c>
      <c r="C60" s="2">
        <v>1576818.06</v>
      </c>
      <c r="D60">
        <v>0</v>
      </c>
      <c r="E60" s="65">
        <v>62.76</v>
      </c>
      <c r="F60" s="8">
        <v>3.488</v>
      </c>
      <c r="G60" s="66">
        <v>214.3627114</v>
      </c>
      <c r="H60" s="8">
        <v>7.742</v>
      </c>
      <c r="J60" s="26"/>
      <c r="K60"/>
    </row>
    <row r="61" spans="1:11">
      <c r="A61">
        <v>1</v>
      </c>
      <c r="B61" s="64">
        <v>40627</v>
      </c>
      <c r="C61" s="2">
        <v>1541102.38</v>
      </c>
      <c r="D61">
        <v>0</v>
      </c>
      <c r="E61" s="65">
        <v>69.97</v>
      </c>
      <c r="F61" s="8">
        <v>3.473</v>
      </c>
      <c r="G61" s="66">
        <v>214.5999389</v>
      </c>
      <c r="H61" s="8">
        <v>7.742</v>
      </c>
      <c r="J61" s="26"/>
      <c r="K61"/>
    </row>
    <row r="62" spans="1:11">
      <c r="A62">
        <v>1</v>
      </c>
      <c r="B62" s="64">
        <v>40634</v>
      </c>
      <c r="C62" s="2">
        <v>1495064.75</v>
      </c>
      <c r="D62">
        <v>0</v>
      </c>
      <c r="E62" s="65">
        <v>59.17</v>
      </c>
      <c r="F62" s="8">
        <v>3.524</v>
      </c>
      <c r="G62" s="66">
        <v>214.8371664</v>
      </c>
      <c r="H62" s="8">
        <v>7.682</v>
      </c>
      <c r="J62" s="26"/>
      <c r="K62"/>
    </row>
    <row r="63" spans="1:11">
      <c r="A63">
        <v>1</v>
      </c>
      <c r="B63" s="64">
        <v>40641</v>
      </c>
      <c r="C63" s="2">
        <v>1614259.35</v>
      </c>
      <c r="D63">
        <v>0</v>
      </c>
      <c r="E63" s="65">
        <v>67.84</v>
      </c>
      <c r="F63" s="8">
        <v>3.622</v>
      </c>
      <c r="G63" s="66">
        <v>215.0743939</v>
      </c>
      <c r="H63" s="8">
        <v>7.682</v>
      </c>
      <c r="J63" s="26"/>
      <c r="K63"/>
    </row>
    <row r="64" spans="1:11">
      <c r="A64">
        <v>1</v>
      </c>
      <c r="B64" s="64">
        <v>40648</v>
      </c>
      <c r="C64" s="2">
        <v>1559889</v>
      </c>
      <c r="D64">
        <v>0</v>
      </c>
      <c r="E64" s="65">
        <v>71.27</v>
      </c>
      <c r="F64" s="8">
        <v>3.743</v>
      </c>
      <c r="G64" s="66">
        <v>215.2918561</v>
      </c>
      <c r="H64" s="8">
        <v>7.682</v>
      </c>
      <c r="J64" s="26"/>
      <c r="K64"/>
    </row>
    <row r="65" spans="1:11">
      <c r="A65">
        <v>1</v>
      </c>
      <c r="B65" s="64">
        <v>40655</v>
      </c>
      <c r="C65" s="2">
        <v>1564819.81</v>
      </c>
      <c r="D65">
        <v>0</v>
      </c>
      <c r="E65" s="65">
        <v>72.99</v>
      </c>
      <c r="F65" s="8">
        <v>3.807</v>
      </c>
      <c r="G65" s="66">
        <v>215.4599053</v>
      </c>
      <c r="H65" s="8">
        <v>7.682</v>
      </c>
      <c r="J65" s="26"/>
      <c r="K65"/>
    </row>
    <row r="66" spans="1:11">
      <c r="A66">
        <v>1</v>
      </c>
      <c r="B66" s="64">
        <v>40662</v>
      </c>
      <c r="C66" s="2">
        <v>1455090.69</v>
      </c>
      <c r="D66">
        <v>0</v>
      </c>
      <c r="E66" s="65">
        <v>72.03</v>
      </c>
      <c r="F66" s="8">
        <v>3.81</v>
      </c>
      <c r="G66" s="66">
        <v>215.6279544</v>
      </c>
      <c r="H66" s="8">
        <v>7.682</v>
      </c>
      <c r="J66" s="26"/>
      <c r="K66"/>
    </row>
    <row r="67" spans="1:11">
      <c r="A67">
        <v>1</v>
      </c>
      <c r="B67" s="64">
        <v>40669</v>
      </c>
      <c r="C67" s="2">
        <v>1629391.28</v>
      </c>
      <c r="D67">
        <v>0</v>
      </c>
      <c r="E67" s="65">
        <v>64.61</v>
      </c>
      <c r="F67" s="8">
        <v>3.906</v>
      </c>
      <c r="G67" s="66">
        <v>215.7960035</v>
      </c>
      <c r="H67" s="8">
        <v>7.682</v>
      </c>
      <c r="J67" s="26"/>
      <c r="K67"/>
    </row>
    <row r="68" spans="1:11">
      <c r="A68">
        <v>1</v>
      </c>
      <c r="B68" s="64">
        <v>40676</v>
      </c>
      <c r="C68" s="2">
        <v>1604775.58</v>
      </c>
      <c r="D68">
        <v>0</v>
      </c>
      <c r="E68" s="65">
        <v>75.64</v>
      </c>
      <c r="F68" s="8">
        <v>3.899</v>
      </c>
      <c r="G68" s="66">
        <v>215.9640526</v>
      </c>
      <c r="H68" s="8">
        <v>7.682</v>
      </c>
      <c r="J68" s="26"/>
      <c r="K68"/>
    </row>
    <row r="69" spans="1:11">
      <c r="A69">
        <v>1</v>
      </c>
      <c r="B69" s="64">
        <v>40683</v>
      </c>
      <c r="C69" s="2">
        <v>1428218.27</v>
      </c>
      <c r="D69">
        <v>0</v>
      </c>
      <c r="E69" s="65">
        <v>67.63</v>
      </c>
      <c r="F69" s="8">
        <v>3.907</v>
      </c>
      <c r="G69" s="66">
        <v>215.7339202</v>
      </c>
      <c r="H69" s="8">
        <v>7.682</v>
      </c>
      <c r="J69" s="26"/>
      <c r="K69"/>
    </row>
    <row r="70" spans="1:11">
      <c r="A70">
        <v>1</v>
      </c>
      <c r="B70" s="64">
        <v>40690</v>
      </c>
      <c r="C70" s="2">
        <v>1466046.67</v>
      </c>
      <c r="D70">
        <v>0</v>
      </c>
      <c r="E70" s="65">
        <v>77.72</v>
      </c>
      <c r="F70" s="8">
        <v>3.786</v>
      </c>
      <c r="G70" s="66">
        <v>215.5037878</v>
      </c>
      <c r="H70" s="8">
        <v>7.682</v>
      </c>
      <c r="J70" s="26"/>
      <c r="K70"/>
    </row>
    <row r="71" spans="1:11">
      <c r="A71">
        <v>1</v>
      </c>
      <c r="B71" s="64">
        <v>40697</v>
      </c>
      <c r="C71" s="2">
        <v>1635078.41</v>
      </c>
      <c r="D71">
        <v>0</v>
      </c>
      <c r="E71" s="65">
        <v>83</v>
      </c>
      <c r="F71" s="8">
        <v>3.699</v>
      </c>
      <c r="G71" s="66">
        <v>215.2736553</v>
      </c>
      <c r="H71" s="8">
        <v>7.682</v>
      </c>
      <c r="J71" s="26"/>
      <c r="K71"/>
    </row>
    <row r="72" spans="1:11">
      <c r="A72">
        <v>1</v>
      </c>
      <c r="B72" s="64">
        <v>40704</v>
      </c>
      <c r="C72" s="2">
        <v>1588948.32</v>
      </c>
      <c r="D72">
        <v>0</v>
      </c>
      <c r="E72" s="65">
        <v>83.13</v>
      </c>
      <c r="F72" s="8">
        <v>3.648</v>
      </c>
      <c r="G72" s="66">
        <v>215.0435229</v>
      </c>
      <c r="H72" s="8">
        <v>7.682</v>
      </c>
      <c r="J72" s="26"/>
      <c r="K72"/>
    </row>
    <row r="73" spans="1:11">
      <c r="A73">
        <v>1</v>
      </c>
      <c r="B73" s="64">
        <v>40711</v>
      </c>
      <c r="C73" s="2">
        <v>1532114.86</v>
      </c>
      <c r="D73">
        <v>0</v>
      </c>
      <c r="E73" s="65">
        <v>86.41</v>
      </c>
      <c r="F73" s="8">
        <v>3.637</v>
      </c>
      <c r="G73" s="66">
        <v>214.9980596</v>
      </c>
      <c r="H73" s="8">
        <v>7.682</v>
      </c>
      <c r="J73" s="26"/>
      <c r="K73"/>
    </row>
    <row r="74" spans="1:11">
      <c r="A74">
        <v>1</v>
      </c>
      <c r="B74" s="64">
        <v>40718</v>
      </c>
      <c r="C74" s="2">
        <v>1438830.15</v>
      </c>
      <c r="D74">
        <v>0</v>
      </c>
      <c r="E74" s="65">
        <v>83.58</v>
      </c>
      <c r="F74" s="8">
        <v>3.594</v>
      </c>
      <c r="G74" s="66">
        <v>215.0910982</v>
      </c>
      <c r="H74" s="8">
        <v>7.682</v>
      </c>
      <c r="J74" s="26"/>
      <c r="K74"/>
    </row>
    <row r="75" spans="1:11">
      <c r="A75">
        <v>1</v>
      </c>
      <c r="B75" s="64">
        <v>40725</v>
      </c>
      <c r="C75" s="2">
        <v>1488538.09</v>
      </c>
      <c r="D75">
        <v>0</v>
      </c>
      <c r="E75" s="65">
        <v>85.55</v>
      </c>
      <c r="F75" s="8">
        <v>3.524</v>
      </c>
      <c r="G75" s="66">
        <v>215.1841368</v>
      </c>
      <c r="H75" s="8">
        <v>7.962</v>
      </c>
      <c r="J75" s="26"/>
      <c r="K75"/>
    </row>
    <row r="76" spans="1:11">
      <c r="A76">
        <v>1</v>
      </c>
      <c r="B76" s="64">
        <v>40732</v>
      </c>
      <c r="C76" s="2">
        <v>1534849.64</v>
      </c>
      <c r="D76">
        <v>0</v>
      </c>
      <c r="E76" s="65">
        <v>85.83</v>
      </c>
      <c r="F76" s="8">
        <v>3.48</v>
      </c>
      <c r="G76" s="66">
        <v>215.2771754</v>
      </c>
      <c r="H76" s="8">
        <v>7.962</v>
      </c>
      <c r="J76" s="26"/>
      <c r="K76"/>
    </row>
    <row r="77" spans="1:11">
      <c r="A77">
        <v>1</v>
      </c>
      <c r="B77" s="64">
        <v>40739</v>
      </c>
      <c r="C77" s="2">
        <v>1455119.97</v>
      </c>
      <c r="D77">
        <v>0</v>
      </c>
      <c r="E77" s="65">
        <v>88.54</v>
      </c>
      <c r="F77" s="8">
        <v>3.575</v>
      </c>
      <c r="G77" s="66">
        <v>215.3611087</v>
      </c>
      <c r="H77" s="8">
        <v>7.962</v>
      </c>
      <c r="J77" s="26"/>
      <c r="K77"/>
    </row>
    <row r="78" spans="1:11">
      <c r="A78">
        <v>1</v>
      </c>
      <c r="B78" s="64">
        <v>40746</v>
      </c>
      <c r="C78" s="2">
        <v>1396926.82</v>
      </c>
      <c r="D78">
        <v>0</v>
      </c>
      <c r="E78" s="65">
        <v>85.77</v>
      </c>
      <c r="F78" s="8">
        <v>3.651</v>
      </c>
      <c r="G78" s="66">
        <v>215.4222784</v>
      </c>
      <c r="H78" s="8">
        <v>7.962</v>
      </c>
      <c r="J78" s="26"/>
      <c r="K78"/>
    </row>
    <row r="79" spans="1:11">
      <c r="A79">
        <v>1</v>
      </c>
      <c r="B79" s="64">
        <v>40753</v>
      </c>
      <c r="C79" s="2">
        <v>1352219.79</v>
      </c>
      <c r="D79">
        <v>0</v>
      </c>
      <c r="E79" s="65">
        <v>86.83</v>
      </c>
      <c r="F79" s="8">
        <v>3.682</v>
      </c>
      <c r="G79" s="66">
        <v>215.4834482</v>
      </c>
      <c r="H79" s="8">
        <v>7.962</v>
      </c>
      <c r="J79" s="26"/>
      <c r="K79"/>
    </row>
    <row r="80" spans="1:11">
      <c r="A80">
        <v>1</v>
      </c>
      <c r="B80" s="64">
        <v>40760</v>
      </c>
      <c r="C80" s="2">
        <v>1624383.75</v>
      </c>
      <c r="D80">
        <v>0</v>
      </c>
      <c r="E80" s="65">
        <v>91.65</v>
      </c>
      <c r="F80" s="8">
        <v>3.684</v>
      </c>
      <c r="G80" s="66">
        <v>215.544618</v>
      </c>
      <c r="H80" s="8">
        <v>7.962</v>
      </c>
      <c r="J80" s="26"/>
      <c r="K80"/>
    </row>
    <row r="81" spans="1:11">
      <c r="A81">
        <v>1</v>
      </c>
      <c r="B81" s="64">
        <v>40767</v>
      </c>
      <c r="C81" s="2">
        <v>1525147.09</v>
      </c>
      <c r="D81">
        <v>0</v>
      </c>
      <c r="E81" s="65">
        <v>90.76</v>
      </c>
      <c r="F81" s="8">
        <v>3.638</v>
      </c>
      <c r="G81" s="66">
        <v>215.6057878</v>
      </c>
      <c r="H81" s="8">
        <v>7.962</v>
      </c>
      <c r="J81" s="26"/>
      <c r="K81"/>
    </row>
    <row r="82" spans="1:11">
      <c r="A82">
        <v>1</v>
      </c>
      <c r="B82" s="64">
        <v>40774</v>
      </c>
      <c r="C82" s="2">
        <v>1530761.43</v>
      </c>
      <c r="D82">
        <v>0</v>
      </c>
      <c r="E82" s="65">
        <v>89.94</v>
      </c>
      <c r="F82" s="8">
        <v>3.554</v>
      </c>
      <c r="G82" s="66">
        <v>215.6693107</v>
      </c>
      <c r="H82" s="8">
        <v>7.962</v>
      </c>
      <c r="J82" s="26"/>
      <c r="K82"/>
    </row>
    <row r="83" spans="1:11">
      <c r="A83">
        <v>1</v>
      </c>
      <c r="B83" s="64">
        <v>40781</v>
      </c>
      <c r="C83" s="2">
        <v>1464693.46</v>
      </c>
      <c r="D83">
        <v>0</v>
      </c>
      <c r="E83" s="65">
        <v>87.96</v>
      </c>
      <c r="F83" s="8">
        <v>3.523</v>
      </c>
      <c r="G83" s="66">
        <v>215.7332258</v>
      </c>
      <c r="H83" s="8">
        <v>7.962</v>
      </c>
      <c r="J83" s="26"/>
      <c r="K83"/>
    </row>
    <row r="84" spans="1:11">
      <c r="A84">
        <v>1</v>
      </c>
      <c r="B84" s="64">
        <v>40788</v>
      </c>
      <c r="C84" s="2">
        <v>1550229.22</v>
      </c>
      <c r="D84">
        <v>0</v>
      </c>
      <c r="E84" s="65">
        <v>87.83</v>
      </c>
      <c r="F84" s="8">
        <v>3.533</v>
      </c>
      <c r="G84" s="66">
        <v>215.7971409</v>
      </c>
      <c r="H84" s="8">
        <v>7.962</v>
      </c>
      <c r="J84" s="26"/>
      <c r="K84"/>
    </row>
    <row r="85" spans="1:11">
      <c r="A85">
        <v>1</v>
      </c>
      <c r="B85" s="64">
        <v>40795</v>
      </c>
      <c r="C85" s="2">
        <v>1540471.24</v>
      </c>
      <c r="D85">
        <v>1</v>
      </c>
      <c r="E85" s="65">
        <v>76</v>
      </c>
      <c r="F85" s="8">
        <v>3.546</v>
      </c>
      <c r="G85" s="66">
        <v>215.861056</v>
      </c>
      <c r="H85" s="8">
        <v>7.962</v>
      </c>
      <c r="J85" s="26"/>
      <c r="K85"/>
    </row>
    <row r="86" spans="1:11">
      <c r="A86">
        <v>1</v>
      </c>
      <c r="B86" s="64">
        <v>40802</v>
      </c>
      <c r="C86" s="2">
        <v>1514259.78</v>
      </c>
      <c r="D86">
        <v>0</v>
      </c>
      <c r="E86" s="65">
        <v>79.94</v>
      </c>
      <c r="F86" s="8">
        <v>3.526</v>
      </c>
      <c r="G86" s="66">
        <v>216.0410526</v>
      </c>
      <c r="H86" s="8">
        <v>7.962</v>
      </c>
      <c r="J86" s="26"/>
      <c r="K86"/>
    </row>
    <row r="87" spans="1:11">
      <c r="A87">
        <v>1</v>
      </c>
      <c r="B87" s="64">
        <v>40809</v>
      </c>
      <c r="C87" s="2">
        <v>1380020.27</v>
      </c>
      <c r="D87">
        <v>0</v>
      </c>
      <c r="E87" s="65">
        <v>75.8</v>
      </c>
      <c r="F87" s="8">
        <v>3.467</v>
      </c>
      <c r="G87" s="66">
        <v>216.3758246</v>
      </c>
      <c r="H87" s="8">
        <v>7.962</v>
      </c>
      <c r="J87" s="26"/>
      <c r="K87"/>
    </row>
    <row r="88" spans="1:11">
      <c r="A88">
        <v>1</v>
      </c>
      <c r="B88" s="64">
        <v>40816</v>
      </c>
      <c r="C88" s="2">
        <v>1394561.83</v>
      </c>
      <c r="D88">
        <v>0</v>
      </c>
      <c r="E88" s="65">
        <v>79.69</v>
      </c>
      <c r="F88" s="8">
        <v>3.355</v>
      </c>
      <c r="G88" s="66">
        <v>216.7105965</v>
      </c>
      <c r="H88" s="8">
        <v>7.962</v>
      </c>
      <c r="J88" s="26"/>
      <c r="K88"/>
    </row>
    <row r="89" spans="1:11">
      <c r="A89">
        <v>1</v>
      </c>
      <c r="B89" s="64">
        <v>40823</v>
      </c>
      <c r="C89" s="2">
        <v>1630989.95</v>
      </c>
      <c r="D89">
        <v>0</v>
      </c>
      <c r="E89" s="65">
        <v>69.31</v>
      </c>
      <c r="F89" s="8">
        <v>3.285</v>
      </c>
      <c r="G89" s="66">
        <v>217.0453684</v>
      </c>
      <c r="H89" s="8">
        <v>7.866</v>
      </c>
      <c r="J89" s="26"/>
      <c r="K89"/>
    </row>
    <row r="90" spans="1:11">
      <c r="A90">
        <v>1</v>
      </c>
      <c r="B90" s="64">
        <v>40830</v>
      </c>
      <c r="C90" s="2">
        <v>1493525.93</v>
      </c>
      <c r="D90">
        <v>0</v>
      </c>
      <c r="E90" s="65">
        <v>71.74</v>
      </c>
      <c r="F90" s="8">
        <v>3.274</v>
      </c>
      <c r="G90" s="66">
        <v>217.3552733</v>
      </c>
      <c r="H90" s="8">
        <v>7.866</v>
      </c>
      <c r="J90" s="26"/>
      <c r="K90"/>
    </row>
    <row r="91" spans="1:11">
      <c r="A91">
        <v>1</v>
      </c>
      <c r="B91" s="64">
        <v>40837</v>
      </c>
      <c r="C91" s="2">
        <v>1502562.78</v>
      </c>
      <c r="D91">
        <v>0</v>
      </c>
      <c r="E91" s="65">
        <v>63.71</v>
      </c>
      <c r="F91" s="8">
        <v>3.353</v>
      </c>
      <c r="G91" s="66">
        <v>217.5159762</v>
      </c>
      <c r="H91" s="8">
        <v>7.866</v>
      </c>
      <c r="J91" s="26"/>
      <c r="K91"/>
    </row>
    <row r="92" spans="1:11">
      <c r="A92">
        <v>1</v>
      </c>
      <c r="B92" s="64">
        <v>40844</v>
      </c>
      <c r="C92" s="2">
        <v>1445249.09</v>
      </c>
      <c r="D92">
        <v>0</v>
      </c>
      <c r="E92" s="65">
        <v>66.57</v>
      </c>
      <c r="F92" s="8">
        <v>3.372</v>
      </c>
      <c r="G92" s="66">
        <v>217.6766791</v>
      </c>
      <c r="H92" s="8">
        <v>7.866</v>
      </c>
      <c r="J92" s="26"/>
      <c r="K92"/>
    </row>
    <row r="93" spans="1:11">
      <c r="A93">
        <v>1</v>
      </c>
      <c r="B93" s="64">
        <v>40851</v>
      </c>
      <c r="C93" s="2">
        <v>1697229.58</v>
      </c>
      <c r="D93">
        <v>0</v>
      </c>
      <c r="E93" s="65">
        <v>54.98</v>
      </c>
      <c r="F93" s="8">
        <v>3.332</v>
      </c>
      <c r="G93" s="66">
        <v>217.837382</v>
      </c>
      <c r="H93" s="8">
        <v>7.866</v>
      </c>
      <c r="J93" s="26"/>
      <c r="K93"/>
    </row>
    <row r="94" spans="1:11">
      <c r="A94">
        <v>1</v>
      </c>
      <c r="B94" s="64">
        <v>40858</v>
      </c>
      <c r="C94" s="2">
        <v>1594938.89</v>
      </c>
      <c r="D94">
        <v>0</v>
      </c>
      <c r="E94" s="65">
        <v>59.11</v>
      </c>
      <c r="F94" s="8">
        <v>3.297</v>
      </c>
      <c r="G94" s="66">
        <v>217.9980849</v>
      </c>
      <c r="H94" s="8">
        <v>7.866</v>
      </c>
      <c r="J94" s="26"/>
      <c r="K94"/>
    </row>
    <row r="95" spans="1:11">
      <c r="A95">
        <v>1</v>
      </c>
      <c r="B95" s="64">
        <v>40865</v>
      </c>
      <c r="C95" s="2">
        <v>1539483.7</v>
      </c>
      <c r="D95">
        <v>0</v>
      </c>
      <c r="E95" s="65">
        <v>62.25</v>
      </c>
      <c r="F95" s="8">
        <v>3.308</v>
      </c>
      <c r="G95" s="66">
        <v>218.2205088</v>
      </c>
      <c r="H95" s="8">
        <v>7.866</v>
      </c>
      <c r="J95" s="26"/>
      <c r="K95"/>
    </row>
    <row r="96" spans="1:11">
      <c r="A96">
        <v>1</v>
      </c>
      <c r="B96" s="64">
        <v>40872</v>
      </c>
      <c r="C96" s="2">
        <v>2033320.66</v>
      </c>
      <c r="D96">
        <v>1</v>
      </c>
      <c r="E96" s="65">
        <v>60.14</v>
      </c>
      <c r="F96" s="8">
        <v>3.236</v>
      </c>
      <c r="G96" s="66">
        <v>218.4676211</v>
      </c>
      <c r="H96" s="8">
        <v>7.866</v>
      </c>
      <c r="J96" s="26"/>
      <c r="K96"/>
    </row>
    <row r="97" spans="1:11">
      <c r="A97">
        <v>1</v>
      </c>
      <c r="B97" s="64">
        <v>40879</v>
      </c>
      <c r="C97" s="2">
        <v>1584083.95</v>
      </c>
      <c r="D97">
        <v>0</v>
      </c>
      <c r="E97" s="65">
        <v>48.91</v>
      </c>
      <c r="F97" s="8">
        <v>3.172</v>
      </c>
      <c r="G97" s="66">
        <v>218.7147333</v>
      </c>
      <c r="H97" s="8">
        <v>7.866</v>
      </c>
      <c r="J97" s="26"/>
      <c r="K97"/>
    </row>
    <row r="98" spans="1:11">
      <c r="A98">
        <v>1</v>
      </c>
      <c r="B98" s="64">
        <v>40886</v>
      </c>
      <c r="C98" s="2">
        <v>1799682.38</v>
      </c>
      <c r="D98">
        <v>0</v>
      </c>
      <c r="E98" s="65">
        <v>43.93</v>
      </c>
      <c r="F98" s="8">
        <v>3.158</v>
      </c>
      <c r="G98" s="66">
        <v>218.9618456</v>
      </c>
      <c r="H98" s="8">
        <v>7.866</v>
      </c>
      <c r="J98" s="26"/>
      <c r="K98"/>
    </row>
    <row r="99" spans="1:11">
      <c r="A99">
        <v>1</v>
      </c>
      <c r="B99" s="64">
        <v>40893</v>
      </c>
      <c r="C99" s="2">
        <v>1881176.67</v>
      </c>
      <c r="D99">
        <v>0</v>
      </c>
      <c r="E99" s="65">
        <v>51.63</v>
      </c>
      <c r="F99" s="8">
        <v>3.159</v>
      </c>
      <c r="G99" s="66">
        <v>219.1794533</v>
      </c>
      <c r="H99" s="8">
        <v>7.866</v>
      </c>
      <c r="J99" s="26"/>
      <c r="K99"/>
    </row>
    <row r="100" spans="1:11">
      <c r="A100">
        <v>1</v>
      </c>
      <c r="B100" s="64">
        <v>40900</v>
      </c>
      <c r="C100" s="2">
        <v>2270188.99</v>
      </c>
      <c r="D100">
        <v>0</v>
      </c>
      <c r="E100" s="65">
        <v>47.96</v>
      </c>
      <c r="F100" s="8">
        <v>3.112</v>
      </c>
      <c r="G100" s="66">
        <v>219.3577216</v>
      </c>
      <c r="H100" s="8">
        <v>7.866</v>
      </c>
      <c r="J100" s="26"/>
      <c r="K100"/>
    </row>
    <row r="101" spans="1:11">
      <c r="A101">
        <v>1</v>
      </c>
      <c r="B101" s="64">
        <v>40907</v>
      </c>
      <c r="C101" s="2">
        <v>1497462.72</v>
      </c>
      <c r="D101">
        <v>1</v>
      </c>
      <c r="E101" s="65">
        <v>44.55</v>
      </c>
      <c r="F101" s="8">
        <v>3.129</v>
      </c>
      <c r="G101" s="66">
        <v>219.5359898</v>
      </c>
      <c r="H101" s="8">
        <v>7.866</v>
      </c>
      <c r="J101" s="26"/>
      <c r="K101"/>
    </row>
    <row r="102" spans="1:11">
      <c r="A102">
        <v>1</v>
      </c>
      <c r="B102" s="64">
        <v>40914</v>
      </c>
      <c r="C102" s="2">
        <v>1550369.92</v>
      </c>
      <c r="D102">
        <v>0</v>
      </c>
      <c r="E102" s="65">
        <v>49.01</v>
      </c>
      <c r="F102" s="8">
        <v>3.157</v>
      </c>
      <c r="G102" s="66">
        <v>219.7142581</v>
      </c>
      <c r="H102" s="8">
        <v>7.348</v>
      </c>
      <c r="J102" s="26"/>
      <c r="K102"/>
    </row>
    <row r="103" spans="1:11">
      <c r="A103">
        <v>1</v>
      </c>
      <c r="B103" s="64">
        <v>40921</v>
      </c>
      <c r="C103" s="2">
        <v>1459601.17</v>
      </c>
      <c r="D103">
        <v>0</v>
      </c>
      <c r="E103" s="65">
        <v>48.53</v>
      </c>
      <c r="F103" s="8">
        <v>3.261</v>
      </c>
      <c r="G103" s="66">
        <v>219.8925263</v>
      </c>
      <c r="H103" s="8">
        <v>7.348</v>
      </c>
      <c r="J103" s="26"/>
      <c r="K103"/>
    </row>
    <row r="104" spans="1:11">
      <c r="A104">
        <v>1</v>
      </c>
      <c r="B104" s="64">
        <v>40928</v>
      </c>
      <c r="C104" s="2">
        <v>1394393.84</v>
      </c>
      <c r="D104">
        <v>0</v>
      </c>
      <c r="E104" s="65">
        <v>54.11</v>
      </c>
      <c r="F104" s="8">
        <v>3.268</v>
      </c>
      <c r="G104" s="66">
        <v>219.9856893</v>
      </c>
      <c r="H104" s="8">
        <v>7.348</v>
      </c>
      <c r="J104" s="26"/>
      <c r="K104"/>
    </row>
    <row r="105" spans="1:11">
      <c r="A105">
        <v>1</v>
      </c>
      <c r="B105" s="64">
        <v>40935</v>
      </c>
      <c r="C105" s="2">
        <v>1319325.59</v>
      </c>
      <c r="D105">
        <v>0</v>
      </c>
      <c r="E105" s="65">
        <v>54.26</v>
      </c>
      <c r="F105" s="8">
        <v>3.29</v>
      </c>
      <c r="G105" s="66">
        <v>220.0788523</v>
      </c>
      <c r="H105" s="8">
        <v>7.348</v>
      </c>
      <c r="J105" s="26"/>
      <c r="K105"/>
    </row>
    <row r="106" spans="1:11">
      <c r="A106">
        <v>1</v>
      </c>
      <c r="B106" s="64">
        <v>40942</v>
      </c>
      <c r="C106" s="2">
        <v>1636339.65</v>
      </c>
      <c r="D106">
        <v>0</v>
      </c>
      <c r="E106" s="65">
        <v>56.55</v>
      </c>
      <c r="F106" s="8">
        <v>3.36</v>
      </c>
      <c r="G106" s="66">
        <v>220.1720153</v>
      </c>
      <c r="H106" s="8">
        <v>7.348</v>
      </c>
      <c r="J106" s="26"/>
      <c r="K106"/>
    </row>
    <row r="107" spans="1:11">
      <c r="A107">
        <v>1</v>
      </c>
      <c r="B107" s="64">
        <v>40949</v>
      </c>
      <c r="C107" s="2">
        <v>1802477.43</v>
      </c>
      <c r="D107">
        <v>1</v>
      </c>
      <c r="E107" s="65">
        <v>48.02</v>
      </c>
      <c r="F107" s="8">
        <v>3.409</v>
      </c>
      <c r="G107" s="66">
        <v>220.2651783</v>
      </c>
      <c r="H107" s="8">
        <v>7.348</v>
      </c>
      <c r="J107" s="26"/>
      <c r="K107"/>
    </row>
    <row r="108" spans="1:11">
      <c r="A108">
        <v>1</v>
      </c>
      <c r="B108" s="64">
        <v>40956</v>
      </c>
      <c r="C108" s="2">
        <v>1819870</v>
      </c>
      <c r="D108">
        <v>0</v>
      </c>
      <c r="E108" s="65">
        <v>45.32</v>
      </c>
      <c r="F108" s="8">
        <v>3.51</v>
      </c>
      <c r="G108" s="66">
        <v>220.4257586</v>
      </c>
      <c r="H108" s="8">
        <v>7.348</v>
      </c>
      <c r="J108" s="26"/>
      <c r="K108"/>
    </row>
    <row r="109" spans="1:11">
      <c r="A109">
        <v>1</v>
      </c>
      <c r="B109" s="64">
        <v>40963</v>
      </c>
      <c r="C109" s="2">
        <v>1539387.83</v>
      </c>
      <c r="D109">
        <v>0</v>
      </c>
      <c r="E109" s="65">
        <v>57.25</v>
      </c>
      <c r="F109" s="8">
        <v>3.555</v>
      </c>
      <c r="G109" s="66">
        <v>220.636902</v>
      </c>
      <c r="H109" s="8">
        <v>7.348</v>
      </c>
      <c r="J109" s="26"/>
      <c r="K109"/>
    </row>
    <row r="110" spans="1:11">
      <c r="A110">
        <v>1</v>
      </c>
      <c r="B110" s="64">
        <v>40970</v>
      </c>
      <c r="C110" s="2">
        <v>1688420.76</v>
      </c>
      <c r="D110">
        <v>0</v>
      </c>
      <c r="E110" s="65">
        <v>60.96</v>
      </c>
      <c r="F110" s="8">
        <v>3.63</v>
      </c>
      <c r="G110" s="66">
        <v>220.8480454</v>
      </c>
      <c r="H110" s="8">
        <v>7.348</v>
      </c>
      <c r="J110" s="26"/>
      <c r="K110"/>
    </row>
    <row r="111" spans="1:11">
      <c r="A111">
        <v>1</v>
      </c>
      <c r="B111" s="64">
        <v>40977</v>
      </c>
      <c r="C111" s="2">
        <v>1675431.16</v>
      </c>
      <c r="D111">
        <v>0</v>
      </c>
      <c r="E111" s="65">
        <v>58.76</v>
      </c>
      <c r="F111" s="8">
        <v>3.669</v>
      </c>
      <c r="G111" s="66">
        <v>221.0591887</v>
      </c>
      <c r="H111" s="8">
        <v>7.348</v>
      </c>
      <c r="J111" s="26"/>
      <c r="K111"/>
    </row>
    <row r="112" spans="1:11">
      <c r="A112">
        <v>1</v>
      </c>
      <c r="B112" s="64">
        <v>40984</v>
      </c>
      <c r="C112" s="2">
        <v>1677472.78</v>
      </c>
      <c r="D112">
        <v>0</v>
      </c>
      <c r="E112" s="65">
        <v>64.74</v>
      </c>
      <c r="F112" s="8">
        <v>3.734</v>
      </c>
      <c r="G112" s="66">
        <v>221.2118132</v>
      </c>
      <c r="H112" s="8">
        <v>7.348</v>
      </c>
      <c r="J112" s="26"/>
      <c r="K112"/>
    </row>
    <row r="113" spans="1:11">
      <c r="A113">
        <v>1</v>
      </c>
      <c r="B113" s="64">
        <v>40991</v>
      </c>
      <c r="C113" s="2">
        <v>1511068.07</v>
      </c>
      <c r="D113">
        <v>0</v>
      </c>
      <c r="E113" s="65">
        <v>65.93</v>
      </c>
      <c r="F113" s="8">
        <v>3.787</v>
      </c>
      <c r="G113" s="66">
        <v>221.2864126</v>
      </c>
      <c r="H113" s="8">
        <v>7.348</v>
      </c>
      <c r="J113" s="26"/>
      <c r="K113"/>
    </row>
    <row r="114" spans="1:11">
      <c r="A114">
        <v>1</v>
      </c>
      <c r="B114" s="64">
        <v>40998</v>
      </c>
      <c r="C114" s="2">
        <v>1649604.63</v>
      </c>
      <c r="D114">
        <v>0</v>
      </c>
      <c r="E114" s="65">
        <v>67.61</v>
      </c>
      <c r="F114" s="8">
        <v>3.845</v>
      </c>
      <c r="G114" s="66">
        <v>221.3610119</v>
      </c>
      <c r="H114" s="8">
        <v>7.348</v>
      </c>
      <c r="J114" s="26"/>
      <c r="K114"/>
    </row>
    <row r="115" spans="1:11">
      <c r="A115">
        <v>1</v>
      </c>
      <c r="B115" s="64">
        <v>41005</v>
      </c>
      <c r="C115" s="2">
        <v>1899676.88</v>
      </c>
      <c r="D115">
        <v>0</v>
      </c>
      <c r="E115" s="65">
        <v>70.43</v>
      </c>
      <c r="F115" s="8">
        <v>3.891</v>
      </c>
      <c r="G115" s="66">
        <v>221.4356112</v>
      </c>
      <c r="H115" s="8">
        <v>7.143</v>
      </c>
      <c r="J115" s="26"/>
      <c r="K115"/>
    </row>
    <row r="116" spans="1:11">
      <c r="A116">
        <v>1</v>
      </c>
      <c r="B116" s="64">
        <v>41012</v>
      </c>
      <c r="C116" s="2">
        <v>1621031.7</v>
      </c>
      <c r="D116">
        <v>0</v>
      </c>
      <c r="E116" s="65">
        <v>69.07</v>
      </c>
      <c r="F116" s="8">
        <v>3.891</v>
      </c>
      <c r="G116" s="66">
        <v>221.5102105</v>
      </c>
      <c r="H116" s="8">
        <v>7.143</v>
      </c>
      <c r="J116" s="26"/>
      <c r="K116"/>
    </row>
    <row r="117" spans="1:11">
      <c r="A117">
        <v>1</v>
      </c>
      <c r="B117" s="64">
        <v>41019</v>
      </c>
      <c r="C117" s="2">
        <v>1521577.87</v>
      </c>
      <c r="D117">
        <v>0</v>
      </c>
      <c r="E117" s="65">
        <v>66.76</v>
      </c>
      <c r="F117" s="8">
        <v>3.877</v>
      </c>
      <c r="G117" s="66">
        <v>221.5640737</v>
      </c>
      <c r="H117" s="8">
        <v>7.143</v>
      </c>
      <c r="J117" s="26"/>
      <c r="K117"/>
    </row>
    <row r="118" spans="1:11">
      <c r="A118">
        <v>1</v>
      </c>
      <c r="B118" s="64">
        <v>41026</v>
      </c>
      <c r="C118" s="2">
        <v>1468928.37</v>
      </c>
      <c r="D118">
        <v>0</v>
      </c>
      <c r="E118" s="65">
        <v>67.23</v>
      </c>
      <c r="F118" s="8">
        <v>3.814</v>
      </c>
      <c r="G118" s="66">
        <v>221.6179368</v>
      </c>
      <c r="H118" s="8">
        <v>7.143</v>
      </c>
      <c r="J118" s="26"/>
      <c r="K118"/>
    </row>
    <row r="119" spans="1:11">
      <c r="A119">
        <v>1</v>
      </c>
      <c r="B119" s="64">
        <v>41033</v>
      </c>
      <c r="C119" s="2">
        <v>1684519.99</v>
      </c>
      <c r="D119">
        <v>0</v>
      </c>
      <c r="E119" s="65">
        <v>75.55</v>
      </c>
      <c r="F119" s="8">
        <v>3.749</v>
      </c>
      <c r="G119" s="66">
        <v>221.6718</v>
      </c>
      <c r="H119" s="8">
        <v>7.143</v>
      </c>
      <c r="J119" s="26"/>
      <c r="K119"/>
    </row>
    <row r="120" spans="1:11">
      <c r="A120">
        <v>1</v>
      </c>
      <c r="B120" s="64">
        <v>41040</v>
      </c>
      <c r="C120" s="2">
        <v>1611096.05</v>
      </c>
      <c r="D120">
        <v>0</v>
      </c>
      <c r="E120" s="65">
        <v>73.77</v>
      </c>
      <c r="F120" s="8">
        <v>3.688</v>
      </c>
      <c r="G120" s="66">
        <v>221.7256632</v>
      </c>
      <c r="H120" s="8">
        <v>7.143</v>
      </c>
      <c r="J120" s="26"/>
      <c r="K120"/>
    </row>
    <row r="121" spans="1:11">
      <c r="A121">
        <v>1</v>
      </c>
      <c r="B121" s="64">
        <v>41047</v>
      </c>
      <c r="C121" s="2">
        <v>1595901.87</v>
      </c>
      <c r="D121">
        <v>0</v>
      </c>
      <c r="E121" s="65">
        <v>70.33</v>
      </c>
      <c r="F121" s="8">
        <v>3.63</v>
      </c>
      <c r="G121" s="66">
        <v>221.742674</v>
      </c>
      <c r="H121" s="8">
        <v>7.143</v>
      </c>
      <c r="J121" s="26"/>
      <c r="K121"/>
    </row>
    <row r="122" spans="1:11">
      <c r="A122">
        <v>1</v>
      </c>
      <c r="B122" s="64">
        <v>41054</v>
      </c>
      <c r="C122" s="2">
        <v>1555444.55</v>
      </c>
      <c r="D122">
        <v>0</v>
      </c>
      <c r="E122" s="65">
        <v>77.22</v>
      </c>
      <c r="F122" s="8">
        <v>3.561</v>
      </c>
      <c r="G122" s="66">
        <v>221.744944</v>
      </c>
      <c r="H122" s="8">
        <v>7.143</v>
      </c>
      <c r="J122" s="26"/>
      <c r="K122"/>
    </row>
    <row r="123" spans="1:11">
      <c r="A123">
        <v>1</v>
      </c>
      <c r="B123" s="64">
        <v>41061</v>
      </c>
      <c r="C123" s="2">
        <v>1624477.58</v>
      </c>
      <c r="D123">
        <v>0</v>
      </c>
      <c r="E123" s="65">
        <v>77.95</v>
      </c>
      <c r="F123" s="8">
        <v>3.501</v>
      </c>
      <c r="G123" s="66">
        <v>221.7472139</v>
      </c>
      <c r="H123" s="8">
        <v>7.143</v>
      </c>
      <c r="J123" s="26"/>
      <c r="K123"/>
    </row>
    <row r="124" spans="1:11">
      <c r="A124">
        <v>1</v>
      </c>
      <c r="B124" s="64">
        <v>41068</v>
      </c>
      <c r="C124" s="2">
        <v>1697230.96</v>
      </c>
      <c r="D124">
        <v>0</v>
      </c>
      <c r="E124" s="65">
        <v>78.3</v>
      </c>
      <c r="F124" s="8">
        <v>3.452</v>
      </c>
      <c r="G124" s="66">
        <v>221.7494839</v>
      </c>
      <c r="H124" s="8">
        <v>7.143</v>
      </c>
      <c r="J124" s="26"/>
      <c r="K124"/>
    </row>
    <row r="125" spans="1:11">
      <c r="A125">
        <v>1</v>
      </c>
      <c r="B125" s="64">
        <v>41075</v>
      </c>
      <c r="C125" s="2">
        <v>1630607</v>
      </c>
      <c r="D125">
        <v>0</v>
      </c>
      <c r="E125" s="65">
        <v>79.35</v>
      </c>
      <c r="F125" s="8">
        <v>3.393</v>
      </c>
      <c r="G125" s="66">
        <v>221.7626421</v>
      </c>
      <c r="H125" s="8">
        <v>7.143</v>
      </c>
      <c r="J125" s="26"/>
      <c r="K125"/>
    </row>
    <row r="126" spans="1:11">
      <c r="A126">
        <v>1</v>
      </c>
      <c r="B126" s="64">
        <v>41082</v>
      </c>
      <c r="C126" s="2">
        <v>1527845.81</v>
      </c>
      <c r="D126">
        <v>0</v>
      </c>
      <c r="E126" s="65">
        <v>78.39</v>
      </c>
      <c r="F126" s="8">
        <v>3.346</v>
      </c>
      <c r="G126" s="66">
        <v>221.8030211</v>
      </c>
      <c r="H126" s="8">
        <v>7.143</v>
      </c>
      <c r="J126" s="26"/>
      <c r="K126"/>
    </row>
    <row r="127" spans="1:11">
      <c r="A127">
        <v>1</v>
      </c>
      <c r="B127" s="64">
        <v>41089</v>
      </c>
      <c r="C127" s="2">
        <v>1540421.49</v>
      </c>
      <c r="D127">
        <v>0</v>
      </c>
      <c r="E127" s="65">
        <v>84.88</v>
      </c>
      <c r="F127" s="8">
        <v>3.286</v>
      </c>
      <c r="G127" s="66">
        <v>221.8434</v>
      </c>
      <c r="H127" s="8">
        <v>7.143</v>
      </c>
      <c r="J127" s="26"/>
      <c r="K127"/>
    </row>
    <row r="128" spans="1:11">
      <c r="A128">
        <v>1</v>
      </c>
      <c r="B128" s="64">
        <v>41096</v>
      </c>
      <c r="C128" s="2">
        <v>1769854.16</v>
      </c>
      <c r="D128">
        <v>0</v>
      </c>
      <c r="E128" s="65">
        <v>81.57</v>
      </c>
      <c r="F128" s="8">
        <v>3.227</v>
      </c>
      <c r="G128" s="66">
        <v>221.8837789</v>
      </c>
      <c r="H128" s="8">
        <v>6.908</v>
      </c>
      <c r="J128" s="26"/>
      <c r="K128"/>
    </row>
    <row r="129" spans="1:11">
      <c r="A129">
        <v>1</v>
      </c>
      <c r="B129" s="64">
        <v>41103</v>
      </c>
      <c r="C129" s="2">
        <v>1527014.04</v>
      </c>
      <c r="D129">
        <v>0</v>
      </c>
      <c r="E129" s="65">
        <v>77.12</v>
      </c>
      <c r="F129" s="8">
        <v>3.256</v>
      </c>
      <c r="G129" s="66">
        <v>221.9241579</v>
      </c>
      <c r="H129" s="8">
        <v>6.908</v>
      </c>
      <c r="J129" s="26"/>
      <c r="K129"/>
    </row>
    <row r="130" spans="1:11">
      <c r="A130">
        <v>1</v>
      </c>
      <c r="B130" s="64">
        <v>41110</v>
      </c>
      <c r="C130" s="2">
        <v>1497954.76</v>
      </c>
      <c r="D130">
        <v>0</v>
      </c>
      <c r="E130" s="65">
        <v>80.42</v>
      </c>
      <c r="F130" s="8">
        <v>3.311</v>
      </c>
      <c r="G130" s="66">
        <v>221.9327267</v>
      </c>
      <c r="H130" s="8">
        <v>6.908</v>
      </c>
      <c r="J130" s="26"/>
      <c r="K130"/>
    </row>
    <row r="131" spans="1:11">
      <c r="A131">
        <v>1</v>
      </c>
      <c r="B131" s="64">
        <v>41117</v>
      </c>
      <c r="C131" s="2">
        <v>1439123.71</v>
      </c>
      <c r="D131">
        <v>0</v>
      </c>
      <c r="E131" s="65">
        <v>82.66</v>
      </c>
      <c r="F131" s="8">
        <v>3.407</v>
      </c>
      <c r="G131" s="66">
        <v>221.9412954</v>
      </c>
      <c r="H131" s="8">
        <v>6.908</v>
      </c>
      <c r="J131" s="26"/>
      <c r="K131"/>
    </row>
    <row r="132" spans="1:11">
      <c r="A132">
        <v>1</v>
      </c>
      <c r="B132" s="64">
        <v>41124</v>
      </c>
      <c r="C132" s="2">
        <v>1631135.79</v>
      </c>
      <c r="D132">
        <v>0</v>
      </c>
      <c r="E132" s="65">
        <v>86.11</v>
      </c>
      <c r="F132" s="8">
        <v>3.417</v>
      </c>
      <c r="G132" s="66">
        <v>221.9498642</v>
      </c>
      <c r="H132" s="8">
        <v>6.908</v>
      </c>
      <c r="J132" s="26"/>
      <c r="K132"/>
    </row>
    <row r="133" spans="1:11">
      <c r="A133">
        <v>1</v>
      </c>
      <c r="B133" s="64">
        <v>41131</v>
      </c>
      <c r="C133" s="2">
        <v>1592409.97</v>
      </c>
      <c r="D133">
        <v>0</v>
      </c>
      <c r="E133" s="65">
        <v>85.05</v>
      </c>
      <c r="F133" s="8">
        <v>3.494</v>
      </c>
      <c r="G133" s="66">
        <v>221.9584329</v>
      </c>
      <c r="H133" s="8">
        <v>6.908</v>
      </c>
      <c r="J133" s="26"/>
      <c r="K133"/>
    </row>
    <row r="134" spans="1:11">
      <c r="A134">
        <v>1</v>
      </c>
      <c r="B134" s="64">
        <v>41138</v>
      </c>
      <c r="C134" s="2">
        <v>1597868.05</v>
      </c>
      <c r="D134">
        <v>0</v>
      </c>
      <c r="E134" s="65">
        <v>84.85</v>
      </c>
      <c r="F134" s="8">
        <v>3.571</v>
      </c>
      <c r="G134" s="66">
        <v>222.0384109</v>
      </c>
      <c r="H134" s="8">
        <v>6.908</v>
      </c>
      <c r="J134" s="26"/>
      <c r="K134"/>
    </row>
    <row r="135" spans="1:11">
      <c r="A135">
        <v>1</v>
      </c>
      <c r="B135" s="64">
        <v>41145</v>
      </c>
      <c r="C135" s="2">
        <v>1494122.38</v>
      </c>
      <c r="D135">
        <v>0</v>
      </c>
      <c r="E135" s="65">
        <v>77.66</v>
      </c>
      <c r="F135" s="8">
        <v>3.62</v>
      </c>
      <c r="G135" s="66">
        <v>222.1719457</v>
      </c>
      <c r="H135" s="8">
        <v>6.908</v>
      </c>
      <c r="J135" s="26"/>
      <c r="K135"/>
    </row>
    <row r="136" spans="1:11">
      <c r="A136">
        <v>1</v>
      </c>
      <c r="B136" s="64">
        <v>41152</v>
      </c>
      <c r="C136" s="2">
        <v>1582083.4</v>
      </c>
      <c r="D136">
        <v>0</v>
      </c>
      <c r="E136" s="65">
        <v>80.49</v>
      </c>
      <c r="F136" s="8">
        <v>3.638</v>
      </c>
      <c r="G136" s="66">
        <v>222.3054805</v>
      </c>
      <c r="H136" s="8">
        <v>6.908</v>
      </c>
      <c r="J136" s="26"/>
      <c r="K136"/>
    </row>
    <row r="137" spans="1:11">
      <c r="A137">
        <v>1</v>
      </c>
      <c r="B137" s="64">
        <v>41159</v>
      </c>
      <c r="C137" s="2">
        <v>1661767.33</v>
      </c>
      <c r="D137">
        <v>1</v>
      </c>
      <c r="E137" s="65">
        <v>83.96</v>
      </c>
      <c r="F137" s="8">
        <v>3.73</v>
      </c>
      <c r="G137" s="66">
        <v>222.4390153</v>
      </c>
      <c r="H137" s="8">
        <v>6.908</v>
      </c>
      <c r="J137" s="26"/>
      <c r="K137"/>
    </row>
    <row r="138" spans="1:11">
      <c r="A138">
        <v>1</v>
      </c>
      <c r="B138" s="64">
        <v>41166</v>
      </c>
      <c r="C138" s="2">
        <v>1517428.87</v>
      </c>
      <c r="D138">
        <v>0</v>
      </c>
      <c r="E138" s="65">
        <v>74.97</v>
      </c>
      <c r="F138" s="8">
        <v>3.717</v>
      </c>
      <c r="G138" s="66">
        <v>222.5820193</v>
      </c>
      <c r="H138" s="8">
        <v>6.908</v>
      </c>
      <c r="J138" s="26"/>
      <c r="K138"/>
    </row>
    <row r="139" spans="1:11">
      <c r="A139">
        <v>1</v>
      </c>
      <c r="B139" s="64">
        <v>41173</v>
      </c>
      <c r="C139" s="2">
        <v>1506126.06</v>
      </c>
      <c r="D139">
        <v>0</v>
      </c>
      <c r="E139" s="65">
        <v>69.87</v>
      </c>
      <c r="F139" s="8">
        <v>3.721</v>
      </c>
      <c r="G139" s="66">
        <v>222.7818386</v>
      </c>
      <c r="H139" s="8">
        <v>6.908</v>
      </c>
      <c r="J139" s="26"/>
      <c r="K139"/>
    </row>
    <row r="140" spans="1:11">
      <c r="A140">
        <v>1</v>
      </c>
      <c r="B140" s="64">
        <v>41180</v>
      </c>
      <c r="C140" s="2">
        <v>1437059.26</v>
      </c>
      <c r="D140">
        <v>0</v>
      </c>
      <c r="E140" s="65">
        <v>76.08</v>
      </c>
      <c r="F140" s="8">
        <v>3.666</v>
      </c>
      <c r="G140" s="66">
        <v>222.9816579</v>
      </c>
      <c r="H140" s="8">
        <v>6.908</v>
      </c>
      <c r="J140" s="26"/>
      <c r="K140"/>
    </row>
    <row r="141" spans="1:11">
      <c r="A141">
        <v>1</v>
      </c>
      <c r="B141" s="64">
        <v>41187</v>
      </c>
      <c r="C141" s="2">
        <v>1670785.97</v>
      </c>
      <c r="D141">
        <v>0</v>
      </c>
      <c r="E141" s="65">
        <v>68.55</v>
      </c>
      <c r="F141" s="8">
        <v>3.617</v>
      </c>
      <c r="G141" s="66">
        <v>223.1814772</v>
      </c>
      <c r="H141" s="8">
        <v>6.573</v>
      </c>
      <c r="J141" s="26"/>
      <c r="K141"/>
    </row>
    <row r="142" spans="1:11">
      <c r="A142">
        <v>1</v>
      </c>
      <c r="B142" s="64">
        <v>41194</v>
      </c>
      <c r="C142" s="2">
        <v>1573072.81</v>
      </c>
      <c r="D142">
        <v>0</v>
      </c>
      <c r="E142" s="65">
        <v>62.99</v>
      </c>
      <c r="F142" s="8">
        <v>3.601</v>
      </c>
      <c r="G142" s="66">
        <v>223.3812965</v>
      </c>
      <c r="H142" s="8">
        <v>6.573</v>
      </c>
      <c r="J142" s="26"/>
      <c r="K142"/>
    </row>
    <row r="143" spans="1:11">
      <c r="A143">
        <v>1</v>
      </c>
      <c r="B143" s="64">
        <v>41201</v>
      </c>
      <c r="C143" s="2">
        <v>1508068.77</v>
      </c>
      <c r="D143">
        <v>0</v>
      </c>
      <c r="E143" s="65">
        <v>67.97</v>
      </c>
      <c r="F143" s="8">
        <v>3.594</v>
      </c>
      <c r="G143" s="66">
        <v>223.4257233</v>
      </c>
      <c r="H143" s="8">
        <v>6.573</v>
      </c>
      <c r="J143" s="26"/>
      <c r="K143"/>
    </row>
    <row r="144" spans="1:11">
      <c r="A144">
        <v>1</v>
      </c>
      <c r="B144" s="64">
        <v>41208</v>
      </c>
      <c r="C144" s="2">
        <v>1493659.74</v>
      </c>
      <c r="D144">
        <v>0</v>
      </c>
      <c r="E144" s="65">
        <v>69.16</v>
      </c>
      <c r="F144" s="8">
        <v>3.506</v>
      </c>
      <c r="G144" s="66">
        <v>223.4442513</v>
      </c>
      <c r="H144" s="8">
        <v>6.573</v>
      </c>
      <c r="J144" s="26"/>
      <c r="K144"/>
    </row>
    <row r="145" spans="1:11">
      <c r="A145">
        <v>2</v>
      </c>
      <c r="B145" s="64">
        <v>40214</v>
      </c>
      <c r="C145" s="2">
        <v>2136989.46</v>
      </c>
      <c r="D145">
        <v>0</v>
      </c>
      <c r="E145" s="65">
        <v>40.19</v>
      </c>
      <c r="F145" s="8">
        <v>2.572</v>
      </c>
      <c r="G145" s="66">
        <v>210.7526053</v>
      </c>
      <c r="H145" s="8">
        <v>8.324</v>
      </c>
      <c r="J145" s="26"/>
      <c r="K145"/>
    </row>
    <row r="146" spans="1:11">
      <c r="A146">
        <v>2</v>
      </c>
      <c r="B146" s="64">
        <v>40221</v>
      </c>
      <c r="C146" s="2">
        <v>2137809.5</v>
      </c>
      <c r="D146">
        <v>1</v>
      </c>
      <c r="E146" s="65">
        <v>38.49</v>
      </c>
      <c r="F146" s="8">
        <v>2.548</v>
      </c>
      <c r="G146" s="66">
        <v>210.8979935</v>
      </c>
      <c r="H146" s="8">
        <v>8.324</v>
      </c>
      <c r="J146" s="26"/>
      <c r="K146"/>
    </row>
    <row r="147" spans="1:11">
      <c r="A147">
        <v>2</v>
      </c>
      <c r="B147" s="64">
        <v>40228</v>
      </c>
      <c r="C147" s="2">
        <v>2124451.54</v>
      </c>
      <c r="D147">
        <v>0</v>
      </c>
      <c r="E147" s="65">
        <v>39.69</v>
      </c>
      <c r="F147" s="8">
        <v>2.514</v>
      </c>
      <c r="G147" s="66">
        <v>210.9451605</v>
      </c>
      <c r="H147" s="8">
        <v>8.324</v>
      </c>
      <c r="J147" s="26"/>
      <c r="K147"/>
    </row>
    <row r="148" spans="1:11">
      <c r="A148">
        <v>2</v>
      </c>
      <c r="B148" s="64">
        <v>40235</v>
      </c>
      <c r="C148" s="2">
        <v>1865097.27</v>
      </c>
      <c r="D148">
        <v>0</v>
      </c>
      <c r="E148" s="65">
        <v>46.1</v>
      </c>
      <c r="F148" s="8">
        <v>2.561</v>
      </c>
      <c r="G148" s="66">
        <v>210.9759573</v>
      </c>
      <c r="H148" s="8">
        <v>8.324</v>
      </c>
      <c r="J148" s="26"/>
      <c r="K148"/>
    </row>
    <row r="149" spans="1:11">
      <c r="A149">
        <v>2</v>
      </c>
      <c r="B149" s="64">
        <v>40242</v>
      </c>
      <c r="C149" s="2">
        <v>1991013.13</v>
      </c>
      <c r="D149">
        <v>0</v>
      </c>
      <c r="E149" s="65">
        <v>47.17</v>
      </c>
      <c r="F149" s="8">
        <v>2.625</v>
      </c>
      <c r="G149" s="66">
        <v>211.0067542</v>
      </c>
      <c r="H149" s="8">
        <v>8.324</v>
      </c>
      <c r="J149" s="26"/>
      <c r="K149"/>
    </row>
    <row r="150" spans="1:11">
      <c r="A150">
        <v>2</v>
      </c>
      <c r="B150" s="64">
        <v>40249</v>
      </c>
      <c r="C150" s="2">
        <v>1990483.78</v>
      </c>
      <c r="D150">
        <v>0</v>
      </c>
      <c r="E150" s="65">
        <v>57.56</v>
      </c>
      <c r="F150" s="8">
        <v>2.667</v>
      </c>
      <c r="G150" s="66">
        <v>211.037551</v>
      </c>
      <c r="H150" s="8">
        <v>8.324</v>
      </c>
      <c r="J150" s="26"/>
      <c r="K150"/>
    </row>
    <row r="151" spans="1:11">
      <c r="A151">
        <v>2</v>
      </c>
      <c r="B151" s="64">
        <v>40256</v>
      </c>
      <c r="C151" s="2">
        <v>1946070.88</v>
      </c>
      <c r="D151">
        <v>0</v>
      </c>
      <c r="E151" s="65">
        <v>54.52</v>
      </c>
      <c r="F151" s="8">
        <v>2.72</v>
      </c>
      <c r="G151" s="66">
        <v>210.8733316</v>
      </c>
      <c r="H151" s="8">
        <v>8.324</v>
      </c>
      <c r="J151" s="26"/>
      <c r="K151"/>
    </row>
    <row r="152" spans="1:11">
      <c r="A152">
        <v>2</v>
      </c>
      <c r="B152" s="64">
        <v>40263</v>
      </c>
      <c r="C152" s="2">
        <v>1750197.81</v>
      </c>
      <c r="D152">
        <v>0</v>
      </c>
      <c r="E152" s="65">
        <v>51.26</v>
      </c>
      <c r="F152" s="8">
        <v>2.732</v>
      </c>
      <c r="G152" s="66">
        <v>210.6766095</v>
      </c>
      <c r="H152" s="8">
        <v>8.324</v>
      </c>
      <c r="J152" s="26"/>
      <c r="K152"/>
    </row>
    <row r="153" spans="1:11">
      <c r="A153">
        <v>2</v>
      </c>
      <c r="B153" s="64">
        <v>40270</v>
      </c>
      <c r="C153" s="2">
        <v>2066187.72</v>
      </c>
      <c r="D153">
        <v>0</v>
      </c>
      <c r="E153" s="65">
        <v>63.27</v>
      </c>
      <c r="F153" s="8">
        <v>2.719</v>
      </c>
      <c r="G153" s="66">
        <v>210.4798874</v>
      </c>
      <c r="H153" s="8">
        <v>8.2</v>
      </c>
      <c r="J153" s="26"/>
      <c r="K153"/>
    </row>
    <row r="154" spans="1:11">
      <c r="A154">
        <v>2</v>
      </c>
      <c r="B154" s="64">
        <v>40277</v>
      </c>
      <c r="C154" s="2">
        <v>1954689.21</v>
      </c>
      <c r="D154">
        <v>0</v>
      </c>
      <c r="E154" s="65">
        <v>65.41</v>
      </c>
      <c r="F154" s="8">
        <v>2.77</v>
      </c>
      <c r="G154" s="66">
        <v>210.2831653</v>
      </c>
      <c r="H154" s="8">
        <v>8.2</v>
      </c>
      <c r="J154" s="26"/>
      <c r="K154"/>
    </row>
    <row r="155" spans="1:11">
      <c r="A155">
        <v>2</v>
      </c>
      <c r="B155" s="64">
        <v>40284</v>
      </c>
      <c r="C155" s="2">
        <v>1874957.94</v>
      </c>
      <c r="D155">
        <v>0</v>
      </c>
      <c r="E155" s="65">
        <v>68.07</v>
      </c>
      <c r="F155" s="8">
        <v>2.808</v>
      </c>
      <c r="G155" s="66">
        <v>210.1495463</v>
      </c>
      <c r="H155" s="8">
        <v>8.2</v>
      </c>
      <c r="J155" s="26"/>
      <c r="K155"/>
    </row>
    <row r="156" spans="1:11">
      <c r="A156">
        <v>2</v>
      </c>
      <c r="B156" s="64">
        <v>40291</v>
      </c>
      <c r="C156" s="2">
        <v>1821990.93</v>
      </c>
      <c r="D156">
        <v>0</v>
      </c>
      <c r="E156" s="65">
        <v>65.11</v>
      </c>
      <c r="F156" s="8">
        <v>2.795</v>
      </c>
      <c r="G156" s="66">
        <v>210.1000648</v>
      </c>
      <c r="H156" s="8">
        <v>8.2</v>
      </c>
      <c r="J156" s="26"/>
      <c r="K156"/>
    </row>
    <row r="157" spans="1:11">
      <c r="A157">
        <v>2</v>
      </c>
      <c r="B157" s="64">
        <v>40298</v>
      </c>
      <c r="C157" s="2">
        <v>1802450.29</v>
      </c>
      <c r="D157">
        <v>0</v>
      </c>
      <c r="E157" s="65">
        <v>66.98</v>
      </c>
      <c r="F157" s="8">
        <v>2.78</v>
      </c>
      <c r="G157" s="66">
        <v>210.0505833</v>
      </c>
      <c r="H157" s="8">
        <v>8.2</v>
      </c>
      <c r="J157" s="26"/>
      <c r="K157"/>
    </row>
    <row r="158" spans="1:11">
      <c r="A158">
        <v>2</v>
      </c>
      <c r="B158" s="64">
        <v>40305</v>
      </c>
      <c r="C158" s="2">
        <v>2042581.71</v>
      </c>
      <c r="D158">
        <v>0</v>
      </c>
      <c r="E158" s="65">
        <v>71.28</v>
      </c>
      <c r="F158" s="8">
        <v>2.835</v>
      </c>
      <c r="G158" s="66">
        <v>210.0011018</v>
      </c>
      <c r="H158" s="8">
        <v>8.2</v>
      </c>
      <c r="J158" s="26"/>
      <c r="K158"/>
    </row>
    <row r="159" spans="1:11">
      <c r="A159">
        <v>2</v>
      </c>
      <c r="B159" s="64">
        <v>40312</v>
      </c>
      <c r="C159" s="2">
        <v>1880752.36</v>
      </c>
      <c r="D159">
        <v>0</v>
      </c>
      <c r="E159" s="65">
        <v>73.31</v>
      </c>
      <c r="F159" s="8">
        <v>2.854</v>
      </c>
      <c r="G159" s="66">
        <v>209.9984585</v>
      </c>
      <c r="H159" s="8">
        <v>8.2</v>
      </c>
      <c r="J159" s="26"/>
      <c r="K159"/>
    </row>
    <row r="160" spans="1:11">
      <c r="A160">
        <v>2</v>
      </c>
      <c r="B160" s="64">
        <v>40319</v>
      </c>
      <c r="C160" s="2">
        <v>1896937.1</v>
      </c>
      <c r="D160">
        <v>0</v>
      </c>
      <c r="E160" s="65">
        <v>74.83</v>
      </c>
      <c r="F160" s="8">
        <v>2.826</v>
      </c>
      <c r="G160" s="66">
        <v>210.2768443</v>
      </c>
      <c r="H160" s="8">
        <v>8.2</v>
      </c>
      <c r="J160" s="26"/>
      <c r="K160"/>
    </row>
    <row r="161" spans="1:11">
      <c r="A161">
        <v>2</v>
      </c>
      <c r="B161" s="64">
        <v>40326</v>
      </c>
      <c r="C161" s="2">
        <v>1957113.89</v>
      </c>
      <c r="D161">
        <v>0</v>
      </c>
      <c r="E161" s="65">
        <v>81.13</v>
      </c>
      <c r="F161" s="8">
        <v>2.759</v>
      </c>
      <c r="G161" s="66">
        <v>210.5552301</v>
      </c>
      <c r="H161" s="8">
        <v>8.2</v>
      </c>
      <c r="J161" s="26"/>
      <c r="K161"/>
    </row>
    <row r="162" spans="1:11">
      <c r="A162">
        <v>2</v>
      </c>
      <c r="B162" s="64">
        <v>40333</v>
      </c>
      <c r="C162" s="2">
        <v>2102539.93</v>
      </c>
      <c r="D162">
        <v>0</v>
      </c>
      <c r="E162" s="65">
        <v>81.81</v>
      </c>
      <c r="F162" s="8">
        <v>2.705</v>
      </c>
      <c r="G162" s="66">
        <v>210.833616</v>
      </c>
      <c r="H162" s="8">
        <v>8.2</v>
      </c>
      <c r="J162" s="26"/>
      <c r="K162"/>
    </row>
    <row r="163" spans="1:11">
      <c r="A163">
        <v>2</v>
      </c>
      <c r="B163" s="64">
        <v>40340</v>
      </c>
      <c r="C163" s="2">
        <v>2025538.76</v>
      </c>
      <c r="D163">
        <v>0</v>
      </c>
      <c r="E163" s="65">
        <v>83.4</v>
      </c>
      <c r="F163" s="8">
        <v>2.668</v>
      </c>
      <c r="G163" s="66">
        <v>211.1120018</v>
      </c>
      <c r="H163" s="8">
        <v>8.2</v>
      </c>
      <c r="J163" s="26"/>
      <c r="K163"/>
    </row>
    <row r="164" spans="1:11">
      <c r="A164">
        <v>2</v>
      </c>
      <c r="B164" s="64">
        <v>40347</v>
      </c>
      <c r="C164" s="2">
        <v>2001636.96</v>
      </c>
      <c r="D164">
        <v>0</v>
      </c>
      <c r="E164" s="65">
        <v>85.81</v>
      </c>
      <c r="F164" s="8">
        <v>2.637</v>
      </c>
      <c r="G164" s="66">
        <v>211.1096543</v>
      </c>
      <c r="H164" s="8">
        <v>8.2</v>
      </c>
      <c r="J164" s="26"/>
      <c r="K164"/>
    </row>
    <row r="165" spans="1:11">
      <c r="A165">
        <v>2</v>
      </c>
      <c r="B165" s="64">
        <v>40354</v>
      </c>
      <c r="C165" s="2">
        <v>1939927.09</v>
      </c>
      <c r="D165">
        <v>0</v>
      </c>
      <c r="E165" s="65">
        <v>86.26</v>
      </c>
      <c r="F165" s="8">
        <v>2.653</v>
      </c>
      <c r="G165" s="66">
        <v>210.9950134</v>
      </c>
      <c r="H165" s="8">
        <v>8.2</v>
      </c>
      <c r="J165" s="26"/>
      <c r="K165"/>
    </row>
    <row r="166" spans="1:11">
      <c r="A166">
        <v>2</v>
      </c>
      <c r="B166" s="64">
        <v>40361</v>
      </c>
      <c r="C166" s="2">
        <v>2003940.64</v>
      </c>
      <c r="D166">
        <v>0</v>
      </c>
      <c r="E166" s="65">
        <v>82.74</v>
      </c>
      <c r="F166" s="8">
        <v>2.669</v>
      </c>
      <c r="G166" s="66">
        <v>210.8803726</v>
      </c>
      <c r="H166" s="8">
        <v>8.099</v>
      </c>
      <c r="J166" s="26"/>
      <c r="K166"/>
    </row>
    <row r="167" spans="1:11">
      <c r="A167">
        <v>2</v>
      </c>
      <c r="B167" s="64">
        <v>40368</v>
      </c>
      <c r="C167" s="2">
        <v>1880902.62</v>
      </c>
      <c r="D167">
        <v>0</v>
      </c>
      <c r="E167" s="65">
        <v>82.59</v>
      </c>
      <c r="F167" s="8">
        <v>2.642</v>
      </c>
      <c r="G167" s="66">
        <v>210.7657317</v>
      </c>
      <c r="H167" s="8">
        <v>8.099</v>
      </c>
      <c r="J167" s="26"/>
      <c r="K167"/>
    </row>
    <row r="168" spans="1:11">
      <c r="A168">
        <v>2</v>
      </c>
      <c r="B168" s="64">
        <v>40375</v>
      </c>
      <c r="C168" s="2">
        <v>1845879.79</v>
      </c>
      <c r="D168">
        <v>0</v>
      </c>
      <c r="E168" s="65">
        <v>85.32</v>
      </c>
      <c r="F168" s="8">
        <v>2.623</v>
      </c>
      <c r="G168" s="66">
        <v>210.7577954</v>
      </c>
      <c r="H168" s="8">
        <v>8.099</v>
      </c>
      <c r="J168" s="26"/>
      <c r="K168"/>
    </row>
    <row r="169" spans="1:11">
      <c r="A169">
        <v>2</v>
      </c>
      <c r="B169" s="64">
        <v>40382</v>
      </c>
      <c r="C169" s="2">
        <v>1781717.71</v>
      </c>
      <c r="D169">
        <v>0</v>
      </c>
      <c r="E169" s="65">
        <v>87.66</v>
      </c>
      <c r="F169" s="8">
        <v>2.608</v>
      </c>
      <c r="G169" s="66">
        <v>210.8921319</v>
      </c>
      <c r="H169" s="8">
        <v>8.099</v>
      </c>
      <c r="J169" s="26"/>
      <c r="K169"/>
    </row>
    <row r="170" spans="1:11">
      <c r="A170">
        <v>2</v>
      </c>
      <c r="B170" s="64">
        <v>40389</v>
      </c>
      <c r="C170" s="2">
        <v>1804246.16</v>
      </c>
      <c r="D170">
        <v>0</v>
      </c>
      <c r="E170" s="65">
        <v>83.49</v>
      </c>
      <c r="F170" s="8">
        <v>2.64</v>
      </c>
      <c r="G170" s="66">
        <v>211.0264684</v>
      </c>
      <c r="H170" s="8">
        <v>8.099</v>
      </c>
      <c r="J170" s="26"/>
      <c r="K170"/>
    </row>
    <row r="171" spans="1:11">
      <c r="A171">
        <v>2</v>
      </c>
      <c r="B171" s="64">
        <v>40396</v>
      </c>
      <c r="C171" s="2">
        <v>1991909.98</v>
      </c>
      <c r="D171">
        <v>0</v>
      </c>
      <c r="E171" s="65">
        <v>89.53</v>
      </c>
      <c r="F171" s="8">
        <v>2.627</v>
      </c>
      <c r="G171" s="66">
        <v>211.1608049</v>
      </c>
      <c r="H171" s="8">
        <v>8.099</v>
      </c>
      <c r="J171" s="26"/>
      <c r="K171"/>
    </row>
    <row r="172" spans="1:11">
      <c r="A172">
        <v>2</v>
      </c>
      <c r="B172" s="64">
        <v>40403</v>
      </c>
      <c r="C172" s="2">
        <v>1895601.05</v>
      </c>
      <c r="D172">
        <v>0</v>
      </c>
      <c r="E172" s="65">
        <v>89.05</v>
      </c>
      <c r="F172" s="8">
        <v>2.692</v>
      </c>
      <c r="G172" s="66">
        <v>211.2951413</v>
      </c>
      <c r="H172" s="8">
        <v>8.099</v>
      </c>
      <c r="J172" s="26"/>
      <c r="K172"/>
    </row>
    <row r="173" spans="1:11">
      <c r="A173">
        <v>2</v>
      </c>
      <c r="B173" s="64">
        <v>40410</v>
      </c>
      <c r="C173" s="2">
        <v>1964335.23</v>
      </c>
      <c r="D173">
        <v>0</v>
      </c>
      <c r="E173" s="65">
        <v>88.7</v>
      </c>
      <c r="F173" s="8">
        <v>2.664</v>
      </c>
      <c r="G173" s="66">
        <v>211.2596586</v>
      </c>
      <c r="H173" s="8">
        <v>8.099</v>
      </c>
      <c r="J173" s="26"/>
      <c r="K173"/>
    </row>
    <row r="174" spans="1:11">
      <c r="A174">
        <v>2</v>
      </c>
      <c r="B174" s="64">
        <v>40417</v>
      </c>
      <c r="C174" s="2">
        <v>1863840.49</v>
      </c>
      <c r="D174">
        <v>0</v>
      </c>
      <c r="E174" s="65">
        <v>87.12</v>
      </c>
      <c r="F174" s="8">
        <v>2.619</v>
      </c>
      <c r="G174" s="66">
        <v>211.2241759</v>
      </c>
      <c r="H174" s="8">
        <v>8.099</v>
      </c>
      <c r="J174" s="26"/>
      <c r="K174"/>
    </row>
    <row r="175" spans="1:11">
      <c r="A175">
        <v>2</v>
      </c>
      <c r="B175" s="64">
        <v>40424</v>
      </c>
      <c r="C175" s="2">
        <v>1904608.09</v>
      </c>
      <c r="D175">
        <v>0</v>
      </c>
      <c r="E175" s="65">
        <v>81.83</v>
      </c>
      <c r="F175" s="8">
        <v>2.577</v>
      </c>
      <c r="G175" s="66">
        <v>211.1886931</v>
      </c>
      <c r="H175" s="8">
        <v>8.099</v>
      </c>
      <c r="J175" s="26"/>
      <c r="K175"/>
    </row>
    <row r="176" spans="1:11">
      <c r="A176">
        <v>2</v>
      </c>
      <c r="B176" s="64">
        <v>40431</v>
      </c>
      <c r="C176" s="2">
        <v>1839128.83</v>
      </c>
      <c r="D176">
        <v>1</v>
      </c>
      <c r="E176" s="65">
        <v>79.09</v>
      </c>
      <c r="F176" s="8">
        <v>2.565</v>
      </c>
      <c r="G176" s="66">
        <v>211.1532104</v>
      </c>
      <c r="H176" s="8">
        <v>8.099</v>
      </c>
      <c r="J176" s="26"/>
      <c r="K176"/>
    </row>
    <row r="177" spans="1:11">
      <c r="A177">
        <v>2</v>
      </c>
      <c r="B177" s="64">
        <v>40438</v>
      </c>
      <c r="C177" s="2">
        <v>1793903.6</v>
      </c>
      <c r="D177">
        <v>0</v>
      </c>
      <c r="E177" s="65">
        <v>82.05</v>
      </c>
      <c r="F177" s="8">
        <v>2.582</v>
      </c>
      <c r="G177" s="66">
        <v>211.1806415</v>
      </c>
      <c r="H177" s="8">
        <v>8.099</v>
      </c>
      <c r="J177" s="26"/>
      <c r="K177"/>
    </row>
    <row r="178" spans="1:11">
      <c r="A178">
        <v>2</v>
      </c>
      <c r="B178" s="64">
        <v>40445</v>
      </c>
      <c r="C178" s="2">
        <v>1724557.22</v>
      </c>
      <c r="D178">
        <v>0</v>
      </c>
      <c r="E178" s="65">
        <v>81.79</v>
      </c>
      <c r="F178" s="8">
        <v>2.624</v>
      </c>
      <c r="G178" s="66">
        <v>211.2552578</v>
      </c>
      <c r="H178" s="8">
        <v>8.099</v>
      </c>
      <c r="J178" s="26"/>
      <c r="K178"/>
    </row>
    <row r="179" spans="1:11">
      <c r="A179">
        <v>2</v>
      </c>
      <c r="B179" s="64">
        <v>40452</v>
      </c>
      <c r="C179" s="2">
        <v>1827440.43</v>
      </c>
      <c r="D179">
        <v>0</v>
      </c>
      <c r="E179" s="65">
        <v>69.24</v>
      </c>
      <c r="F179" s="8">
        <v>2.603</v>
      </c>
      <c r="G179" s="66">
        <v>211.3298742</v>
      </c>
      <c r="H179" s="8">
        <v>8.163</v>
      </c>
      <c r="J179" s="26"/>
      <c r="K179"/>
    </row>
    <row r="180" spans="1:11">
      <c r="A180">
        <v>2</v>
      </c>
      <c r="B180" s="64">
        <v>40459</v>
      </c>
      <c r="C180" s="2">
        <v>1849921.44</v>
      </c>
      <c r="D180">
        <v>0</v>
      </c>
      <c r="E180" s="65">
        <v>63.19</v>
      </c>
      <c r="F180" s="8">
        <v>2.633</v>
      </c>
      <c r="G180" s="66">
        <v>211.4044906</v>
      </c>
      <c r="H180" s="8">
        <v>8.163</v>
      </c>
      <c r="J180" s="26"/>
      <c r="K180"/>
    </row>
    <row r="181" spans="1:11">
      <c r="A181">
        <v>2</v>
      </c>
      <c r="B181" s="64">
        <v>40466</v>
      </c>
      <c r="C181" s="2">
        <v>1794355.49</v>
      </c>
      <c r="D181">
        <v>0</v>
      </c>
      <c r="E181" s="65">
        <v>65.8</v>
      </c>
      <c r="F181" s="8">
        <v>2.72</v>
      </c>
      <c r="G181" s="66">
        <v>211.4713286</v>
      </c>
      <c r="H181" s="8">
        <v>8.163</v>
      </c>
      <c r="J181" s="26"/>
      <c r="K181"/>
    </row>
    <row r="182" spans="1:11">
      <c r="A182">
        <v>2</v>
      </c>
      <c r="B182" s="64">
        <v>40473</v>
      </c>
      <c r="C182" s="2">
        <v>1737947.64</v>
      </c>
      <c r="D182">
        <v>0</v>
      </c>
      <c r="E182" s="65">
        <v>68.5</v>
      </c>
      <c r="F182" s="8">
        <v>2.725</v>
      </c>
      <c r="G182" s="66">
        <v>211.5187208</v>
      </c>
      <c r="H182" s="8">
        <v>8.163</v>
      </c>
      <c r="J182" s="26"/>
      <c r="K182"/>
    </row>
    <row r="183" spans="1:11">
      <c r="A183">
        <v>2</v>
      </c>
      <c r="B183" s="64">
        <v>40480</v>
      </c>
      <c r="C183" s="2">
        <v>1802755.11</v>
      </c>
      <c r="D183">
        <v>0</v>
      </c>
      <c r="E183" s="65">
        <v>66.24</v>
      </c>
      <c r="F183" s="8">
        <v>2.716</v>
      </c>
      <c r="G183" s="66">
        <v>211.5661131</v>
      </c>
      <c r="H183" s="8">
        <v>8.163</v>
      </c>
      <c r="J183" s="26"/>
      <c r="K183"/>
    </row>
    <row r="184" spans="1:11">
      <c r="A184">
        <v>2</v>
      </c>
      <c r="B184" s="64">
        <v>40487</v>
      </c>
      <c r="C184" s="2">
        <v>1939061.41</v>
      </c>
      <c r="D184">
        <v>0</v>
      </c>
      <c r="E184" s="65">
        <v>57.85</v>
      </c>
      <c r="F184" s="8">
        <v>2.689</v>
      </c>
      <c r="G184" s="66">
        <v>211.6135053</v>
      </c>
      <c r="H184" s="8">
        <v>8.163</v>
      </c>
      <c r="J184" s="26"/>
      <c r="K184"/>
    </row>
    <row r="185" spans="1:11">
      <c r="A185">
        <v>2</v>
      </c>
      <c r="B185" s="64">
        <v>40494</v>
      </c>
      <c r="C185" s="2">
        <v>1916812.74</v>
      </c>
      <c r="D185">
        <v>0</v>
      </c>
      <c r="E185" s="65">
        <v>59.69</v>
      </c>
      <c r="F185" s="8">
        <v>2.728</v>
      </c>
      <c r="G185" s="66">
        <v>211.6608975</v>
      </c>
      <c r="H185" s="8">
        <v>8.163</v>
      </c>
      <c r="J185" s="26"/>
      <c r="K185"/>
    </row>
    <row r="186" spans="1:11">
      <c r="A186">
        <v>2</v>
      </c>
      <c r="B186" s="64">
        <v>40501</v>
      </c>
      <c r="C186" s="2">
        <v>1956739.17</v>
      </c>
      <c r="D186">
        <v>0</v>
      </c>
      <c r="E186" s="65">
        <v>50.81</v>
      </c>
      <c r="F186" s="8">
        <v>2.771</v>
      </c>
      <c r="G186" s="66">
        <v>211.5470304</v>
      </c>
      <c r="H186" s="8">
        <v>8.163</v>
      </c>
      <c r="J186" s="26"/>
      <c r="K186"/>
    </row>
    <row r="187" spans="1:11">
      <c r="A187">
        <v>2</v>
      </c>
      <c r="B187" s="64">
        <v>40508</v>
      </c>
      <c r="C187" s="2">
        <v>2658725.29</v>
      </c>
      <c r="D187">
        <v>1</v>
      </c>
      <c r="E187" s="65">
        <v>62.98</v>
      </c>
      <c r="F187" s="8">
        <v>2.735</v>
      </c>
      <c r="G187" s="66">
        <v>211.4062867</v>
      </c>
      <c r="H187" s="8">
        <v>8.163</v>
      </c>
      <c r="J187" s="26"/>
      <c r="K187"/>
    </row>
    <row r="188" spans="1:11">
      <c r="A188">
        <v>2</v>
      </c>
      <c r="B188" s="64">
        <v>40515</v>
      </c>
      <c r="C188" s="2">
        <v>2015781.27</v>
      </c>
      <c r="D188">
        <v>0</v>
      </c>
      <c r="E188" s="65">
        <v>49.33</v>
      </c>
      <c r="F188" s="8">
        <v>2.708</v>
      </c>
      <c r="G188" s="66">
        <v>211.265543</v>
      </c>
      <c r="H188" s="8">
        <v>8.163</v>
      </c>
      <c r="J188" s="26"/>
      <c r="K188"/>
    </row>
    <row r="189" spans="1:11">
      <c r="A189">
        <v>2</v>
      </c>
      <c r="B189" s="64">
        <v>40522</v>
      </c>
      <c r="C189" s="2">
        <v>2378726.55</v>
      </c>
      <c r="D189">
        <v>0</v>
      </c>
      <c r="E189" s="65">
        <v>45.5</v>
      </c>
      <c r="F189" s="8">
        <v>2.843</v>
      </c>
      <c r="G189" s="66">
        <v>211.1247993</v>
      </c>
      <c r="H189" s="8">
        <v>8.163</v>
      </c>
      <c r="J189" s="26"/>
      <c r="K189"/>
    </row>
    <row r="190" spans="1:11">
      <c r="A190">
        <v>2</v>
      </c>
      <c r="B190" s="64">
        <v>40529</v>
      </c>
      <c r="C190" s="2">
        <v>2609166.75</v>
      </c>
      <c r="D190">
        <v>0</v>
      </c>
      <c r="E190" s="65">
        <v>47.55</v>
      </c>
      <c r="F190" s="8">
        <v>2.869</v>
      </c>
      <c r="G190" s="66">
        <v>211.0645458</v>
      </c>
      <c r="H190" s="8">
        <v>8.163</v>
      </c>
      <c r="J190" s="26"/>
      <c r="K190"/>
    </row>
    <row r="191" spans="1:11">
      <c r="A191">
        <v>2</v>
      </c>
      <c r="B191" s="64">
        <v>40536</v>
      </c>
      <c r="C191" s="2">
        <v>3436007.68</v>
      </c>
      <c r="D191">
        <v>0</v>
      </c>
      <c r="E191" s="65">
        <v>49.97</v>
      </c>
      <c r="F191" s="8">
        <v>2.886</v>
      </c>
      <c r="G191" s="66">
        <v>211.0646599</v>
      </c>
      <c r="H191" s="8">
        <v>8.163</v>
      </c>
      <c r="J191" s="26"/>
      <c r="K191"/>
    </row>
    <row r="192" spans="1:11">
      <c r="A192">
        <v>2</v>
      </c>
      <c r="B192" s="64">
        <v>40543</v>
      </c>
      <c r="C192" s="2">
        <v>1750434.55</v>
      </c>
      <c r="D192">
        <v>1</v>
      </c>
      <c r="E192" s="65">
        <v>47.3</v>
      </c>
      <c r="F192" s="8">
        <v>2.943</v>
      </c>
      <c r="G192" s="66">
        <v>211.064774</v>
      </c>
      <c r="H192" s="8">
        <v>8.163</v>
      </c>
      <c r="J192" s="26"/>
      <c r="K192"/>
    </row>
    <row r="193" spans="1:11">
      <c r="A193">
        <v>2</v>
      </c>
      <c r="B193" s="64">
        <v>40550</v>
      </c>
      <c r="C193" s="2">
        <v>1758050.79</v>
      </c>
      <c r="D193">
        <v>0</v>
      </c>
      <c r="E193" s="65">
        <v>44.69</v>
      </c>
      <c r="F193" s="8">
        <v>2.976</v>
      </c>
      <c r="G193" s="66">
        <v>211.0648881</v>
      </c>
      <c r="H193" s="8">
        <v>8.028</v>
      </c>
      <c r="J193" s="26"/>
      <c r="K193"/>
    </row>
    <row r="194" spans="1:11">
      <c r="A194">
        <v>2</v>
      </c>
      <c r="B194" s="64">
        <v>40557</v>
      </c>
      <c r="C194" s="2">
        <v>1744193.58</v>
      </c>
      <c r="D194">
        <v>0</v>
      </c>
      <c r="E194" s="65">
        <v>33.02</v>
      </c>
      <c r="F194" s="8">
        <v>2.983</v>
      </c>
      <c r="G194" s="66">
        <v>211.1176713</v>
      </c>
      <c r="H194" s="8">
        <v>8.028</v>
      </c>
      <c r="J194" s="26"/>
      <c r="K194"/>
    </row>
    <row r="195" spans="1:11">
      <c r="A195">
        <v>2</v>
      </c>
      <c r="B195" s="64">
        <v>40564</v>
      </c>
      <c r="C195" s="2">
        <v>1751384.9</v>
      </c>
      <c r="D195">
        <v>0</v>
      </c>
      <c r="E195" s="65">
        <v>41.4</v>
      </c>
      <c r="F195" s="8">
        <v>3.016</v>
      </c>
      <c r="G195" s="66">
        <v>211.4864691</v>
      </c>
      <c r="H195" s="8">
        <v>8.028</v>
      </c>
      <c r="J195" s="26"/>
      <c r="K195"/>
    </row>
    <row r="196" spans="1:11">
      <c r="A196">
        <v>2</v>
      </c>
      <c r="B196" s="64">
        <v>40571</v>
      </c>
      <c r="C196" s="2">
        <v>1695371.68</v>
      </c>
      <c r="D196">
        <v>0</v>
      </c>
      <c r="E196" s="65">
        <v>42.83</v>
      </c>
      <c r="F196" s="8">
        <v>3.01</v>
      </c>
      <c r="G196" s="66">
        <v>211.8552668</v>
      </c>
      <c r="H196" s="8">
        <v>8.028</v>
      </c>
      <c r="J196" s="26"/>
      <c r="K196"/>
    </row>
    <row r="197" spans="1:11">
      <c r="A197">
        <v>2</v>
      </c>
      <c r="B197" s="64">
        <v>40578</v>
      </c>
      <c r="C197" s="2">
        <v>1929346.23</v>
      </c>
      <c r="D197">
        <v>0</v>
      </c>
      <c r="E197" s="65">
        <v>38.25</v>
      </c>
      <c r="F197" s="8">
        <v>2.989</v>
      </c>
      <c r="G197" s="66">
        <v>212.2240646</v>
      </c>
      <c r="H197" s="8">
        <v>8.028</v>
      </c>
      <c r="J197" s="26"/>
      <c r="K197"/>
    </row>
    <row r="198" spans="1:11">
      <c r="A198">
        <v>2</v>
      </c>
      <c r="B198" s="64">
        <v>40585</v>
      </c>
      <c r="C198" s="2">
        <v>2168041.61</v>
      </c>
      <c r="D198">
        <v>1</v>
      </c>
      <c r="E198" s="65">
        <v>33.19</v>
      </c>
      <c r="F198" s="8">
        <v>3.022</v>
      </c>
      <c r="G198" s="66">
        <v>212.5928624</v>
      </c>
      <c r="H198" s="8">
        <v>8.028</v>
      </c>
      <c r="J198" s="26"/>
      <c r="K198"/>
    </row>
    <row r="199" spans="1:11">
      <c r="A199">
        <v>2</v>
      </c>
      <c r="B199" s="64">
        <v>40592</v>
      </c>
      <c r="C199" s="2">
        <v>2080884.82</v>
      </c>
      <c r="D199">
        <v>0</v>
      </c>
      <c r="E199" s="65">
        <v>57.83</v>
      </c>
      <c r="F199" s="8">
        <v>3.045</v>
      </c>
      <c r="G199" s="66">
        <v>212.9033115</v>
      </c>
      <c r="H199" s="8">
        <v>8.028</v>
      </c>
      <c r="J199" s="26"/>
      <c r="K199"/>
    </row>
    <row r="200" spans="1:11">
      <c r="A200">
        <v>2</v>
      </c>
      <c r="B200" s="64">
        <v>40599</v>
      </c>
      <c r="C200" s="2">
        <v>1833511.08</v>
      </c>
      <c r="D200">
        <v>0</v>
      </c>
      <c r="E200" s="65">
        <v>60.8</v>
      </c>
      <c r="F200" s="8">
        <v>3.065</v>
      </c>
      <c r="G200" s="66">
        <v>213.190421</v>
      </c>
      <c r="H200" s="8">
        <v>8.028</v>
      </c>
      <c r="J200" s="26"/>
      <c r="K200"/>
    </row>
    <row r="201" spans="1:11">
      <c r="A201">
        <v>2</v>
      </c>
      <c r="B201" s="64">
        <v>40606</v>
      </c>
      <c r="C201" s="2">
        <v>1981607.78</v>
      </c>
      <c r="D201">
        <v>0</v>
      </c>
      <c r="E201" s="65">
        <v>57.77</v>
      </c>
      <c r="F201" s="8">
        <v>3.288</v>
      </c>
      <c r="G201" s="66">
        <v>213.4775305</v>
      </c>
      <c r="H201" s="8">
        <v>8.028</v>
      </c>
      <c r="J201" s="26"/>
      <c r="K201"/>
    </row>
    <row r="202" spans="1:11">
      <c r="A202">
        <v>2</v>
      </c>
      <c r="B202" s="64">
        <v>40613</v>
      </c>
      <c r="C202" s="2">
        <v>1879107.31</v>
      </c>
      <c r="D202">
        <v>0</v>
      </c>
      <c r="E202" s="65">
        <v>52.7</v>
      </c>
      <c r="F202" s="8">
        <v>3.459</v>
      </c>
      <c r="G202" s="66">
        <v>213.7646401</v>
      </c>
      <c r="H202" s="8">
        <v>8.028</v>
      </c>
      <c r="J202" s="26"/>
      <c r="K202"/>
    </row>
    <row r="203" spans="1:11">
      <c r="A203">
        <v>2</v>
      </c>
      <c r="B203" s="64">
        <v>40620</v>
      </c>
      <c r="C203" s="2">
        <v>1902557.66</v>
      </c>
      <c r="D203">
        <v>0</v>
      </c>
      <c r="E203" s="65">
        <v>62.32</v>
      </c>
      <c r="F203" s="8">
        <v>3.488</v>
      </c>
      <c r="G203" s="66">
        <v>214.0156238</v>
      </c>
      <c r="H203" s="8">
        <v>8.028</v>
      </c>
      <c r="J203" s="26"/>
      <c r="K203"/>
    </row>
    <row r="204" spans="1:11">
      <c r="A204">
        <v>2</v>
      </c>
      <c r="B204" s="64">
        <v>40627</v>
      </c>
      <c r="C204" s="2">
        <v>1766162.05</v>
      </c>
      <c r="D204">
        <v>0</v>
      </c>
      <c r="E204" s="65">
        <v>69.42</v>
      </c>
      <c r="F204" s="8">
        <v>3.473</v>
      </c>
      <c r="G204" s="66">
        <v>214.2521573</v>
      </c>
      <c r="H204" s="8">
        <v>8.028</v>
      </c>
      <c r="J204" s="26"/>
      <c r="K204"/>
    </row>
    <row r="205" spans="1:11">
      <c r="A205">
        <v>2</v>
      </c>
      <c r="B205" s="64">
        <v>40634</v>
      </c>
      <c r="C205" s="2">
        <v>1800171.36</v>
      </c>
      <c r="D205">
        <v>0</v>
      </c>
      <c r="E205" s="65">
        <v>55.43</v>
      </c>
      <c r="F205" s="8">
        <v>3.524</v>
      </c>
      <c r="G205" s="66">
        <v>214.4886908</v>
      </c>
      <c r="H205" s="8">
        <v>7.931</v>
      </c>
      <c r="J205" s="26"/>
      <c r="K205"/>
    </row>
    <row r="206" spans="1:11">
      <c r="A206">
        <v>2</v>
      </c>
      <c r="B206" s="64">
        <v>40641</v>
      </c>
      <c r="C206" s="2">
        <v>1847552.61</v>
      </c>
      <c r="D206">
        <v>0</v>
      </c>
      <c r="E206" s="65">
        <v>67</v>
      </c>
      <c r="F206" s="8">
        <v>3.622</v>
      </c>
      <c r="G206" s="66">
        <v>214.7252242</v>
      </c>
      <c r="H206" s="8">
        <v>7.931</v>
      </c>
      <c r="J206" s="26"/>
      <c r="K206"/>
    </row>
    <row r="207" spans="1:11">
      <c r="A207">
        <v>2</v>
      </c>
      <c r="B207" s="64">
        <v>40648</v>
      </c>
      <c r="C207" s="2">
        <v>1856467.84</v>
      </c>
      <c r="D207">
        <v>0</v>
      </c>
      <c r="E207" s="65">
        <v>69.48</v>
      </c>
      <c r="F207" s="8">
        <v>3.743</v>
      </c>
      <c r="G207" s="66">
        <v>214.9420631</v>
      </c>
      <c r="H207" s="8">
        <v>7.931</v>
      </c>
      <c r="J207" s="26"/>
      <c r="K207"/>
    </row>
    <row r="208" spans="1:11">
      <c r="A208">
        <v>2</v>
      </c>
      <c r="B208" s="64">
        <v>40655</v>
      </c>
      <c r="C208" s="2">
        <v>1886339.6</v>
      </c>
      <c r="D208">
        <v>0</v>
      </c>
      <c r="E208" s="65">
        <v>69.39</v>
      </c>
      <c r="F208" s="8">
        <v>3.807</v>
      </c>
      <c r="G208" s="66">
        <v>215.1096657</v>
      </c>
      <c r="H208" s="8">
        <v>7.931</v>
      </c>
      <c r="J208" s="26"/>
      <c r="K208"/>
    </row>
    <row r="209" spans="1:11">
      <c r="A209">
        <v>2</v>
      </c>
      <c r="B209" s="64">
        <v>40662</v>
      </c>
      <c r="C209" s="2">
        <v>1745545.28</v>
      </c>
      <c r="D209">
        <v>0</v>
      </c>
      <c r="E209" s="65">
        <v>69.21</v>
      </c>
      <c r="F209" s="8">
        <v>3.81</v>
      </c>
      <c r="G209" s="66">
        <v>215.2772683</v>
      </c>
      <c r="H209" s="8">
        <v>7.931</v>
      </c>
      <c r="J209" s="26"/>
      <c r="K209"/>
    </row>
    <row r="210" spans="1:11">
      <c r="A210">
        <v>2</v>
      </c>
      <c r="B210" s="64">
        <v>40669</v>
      </c>
      <c r="C210" s="2">
        <v>1837743.6</v>
      </c>
      <c r="D210">
        <v>0</v>
      </c>
      <c r="E210" s="65">
        <v>61.48</v>
      </c>
      <c r="F210" s="8">
        <v>3.906</v>
      </c>
      <c r="G210" s="66">
        <v>215.4448709</v>
      </c>
      <c r="H210" s="8">
        <v>7.931</v>
      </c>
      <c r="J210" s="26"/>
      <c r="K210"/>
    </row>
    <row r="211" spans="1:11">
      <c r="A211">
        <v>2</v>
      </c>
      <c r="B211" s="64">
        <v>40676</v>
      </c>
      <c r="C211" s="2">
        <v>1838513.07</v>
      </c>
      <c r="D211">
        <v>0</v>
      </c>
      <c r="E211" s="65">
        <v>74.61</v>
      </c>
      <c r="F211" s="8">
        <v>3.899</v>
      </c>
      <c r="G211" s="66">
        <v>215.6124735</v>
      </c>
      <c r="H211" s="8">
        <v>7.931</v>
      </c>
      <c r="J211" s="26"/>
      <c r="K211"/>
    </row>
    <row r="212" spans="1:11">
      <c r="A212">
        <v>2</v>
      </c>
      <c r="B212" s="64">
        <v>40683</v>
      </c>
      <c r="C212" s="2">
        <v>1688281.86</v>
      </c>
      <c r="D212">
        <v>0</v>
      </c>
      <c r="E212" s="65">
        <v>67.14</v>
      </c>
      <c r="F212" s="8">
        <v>3.907</v>
      </c>
      <c r="G212" s="66">
        <v>215.3834778</v>
      </c>
      <c r="H212" s="8">
        <v>7.931</v>
      </c>
      <c r="J212" s="26"/>
      <c r="K212"/>
    </row>
    <row r="213" spans="1:11">
      <c r="A213">
        <v>2</v>
      </c>
      <c r="B213" s="64">
        <v>40690</v>
      </c>
      <c r="C213" s="2">
        <v>1797732.56</v>
      </c>
      <c r="D213">
        <v>0</v>
      </c>
      <c r="E213" s="65">
        <v>76.42</v>
      </c>
      <c r="F213" s="8">
        <v>3.786</v>
      </c>
      <c r="G213" s="66">
        <v>215.1544822</v>
      </c>
      <c r="H213" s="8">
        <v>7.931</v>
      </c>
      <c r="J213" s="26"/>
      <c r="K213"/>
    </row>
    <row r="214" spans="1:11">
      <c r="A214">
        <v>2</v>
      </c>
      <c r="B214" s="64">
        <v>40697</v>
      </c>
      <c r="C214" s="2">
        <v>1933756.21</v>
      </c>
      <c r="D214">
        <v>0</v>
      </c>
      <c r="E214" s="65">
        <v>83.07</v>
      </c>
      <c r="F214" s="8">
        <v>3.699</v>
      </c>
      <c r="G214" s="66">
        <v>214.9254865</v>
      </c>
      <c r="H214" s="8">
        <v>7.931</v>
      </c>
      <c r="J214" s="26"/>
      <c r="K214"/>
    </row>
    <row r="215" spans="1:11">
      <c r="A215">
        <v>2</v>
      </c>
      <c r="B215" s="64">
        <v>40704</v>
      </c>
      <c r="C215" s="2">
        <v>1929153.16</v>
      </c>
      <c r="D215">
        <v>0</v>
      </c>
      <c r="E215" s="65">
        <v>83.4</v>
      </c>
      <c r="F215" s="8">
        <v>3.648</v>
      </c>
      <c r="G215" s="66">
        <v>214.6964908</v>
      </c>
      <c r="H215" s="8">
        <v>7.931</v>
      </c>
      <c r="J215" s="26"/>
      <c r="K215"/>
    </row>
    <row r="216" spans="1:11">
      <c r="A216">
        <v>2</v>
      </c>
      <c r="B216" s="64">
        <v>40711</v>
      </c>
      <c r="C216" s="2">
        <v>1953771.99</v>
      </c>
      <c r="D216">
        <v>0</v>
      </c>
      <c r="E216" s="65">
        <v>86.53</v>
      </c>
      <c r="F216" s="8">
        <v>3.637</v>
      </c>
      <c r="G216" s="66">
        <v>214.6513538</v>
      </c>
      <c r="H216" s="8">
        <v>7.931</v>
      </c>
      <c r="J216" s="26"/>
      <c r="K216"/>
    </row>
    <row r="217" spans="1:11">
      <c r="A217">
        <v>2</v>
      </c>
      <c r="B217" s="64">
        <v>40718</v>
      </c>
      <c r="C217" s="2">
        <v>1790925.8</v>
      </c>
      <c r="D217">
        <v>0</v>
      </c>
      <c r="E217" s="65">
        <v>85.17</v>
      </c>
      <c r="F217" s="8">
        <v>3.594</v>
      </c>
      <c r="G217" s="66">
        <v>214.7441108</v>
      </c>
      <c r="H217" s="8">
        <v>7.931</v>
      </c>
      <c r="J217" s="26"/>
      <c r="K217"/>
    </row>
    <row r="218" spans="1:11">
      <c r="A218">
        <v>2</v>
      </c>
      <c r="B218" s="64">
        <v>40725</v>
      </c>
      <c r="C218" s="2">
        <v>1866243</v>
      </c>
      <c r="D218">
        <v>0</v>
      </c>
      <c r="E218" s="65">
        <v>85.69</v>
      </c>
      <c r="F218" s="8">
        <v>3.524</v>
      </c>
      <c r="G218" s="66">
        <v>214.8368678</v>
      </c>
      <c r="H218" s="8">
        <v>7.852</v>
      </c>
      <c r="J218" s="26"/>
      <c r="K218"/>
    </row>
    <row r="219" spans="1:11">
      <c r="A219">
        <v>2</v>
      </c>
      <c r="B219" s="64">
        <v>40732</v>
      </c>
      <c r="C219" s="2">
        <v>1853161.99</v>
      </c>
      <c r="D219">
        <v>0</v>
      </c>
      <c r="E219" s="65">
        <v>87.7</v>
      </c>
      <c r="F219" s="8">
        <v>3.48</v>
      </c>
      <c r="G219" s="66">
        <v>214.9296249</v>
      </c>
      <c r="H219" s="8">
        <v>7.852</v>
      </c>
      <c r="J219" s="26"/>
      <c r="K219"/>
    </row>
    <row r="220" spans="1:11">
      <c r="A220">
        <v>2</v>
      </c>
      <c r="B220" s="64">
        <v>40739</v>
      </c>
      <c r="C220" s="2">
        <v>1785187.29</v>
      </c>
      <c r="D220">
        <v>0</v>
      </c>
      <c r="E220" s="65">
        <v>89.83</v>
      </c>
      <c r="F220" s="8">
        <v>3.575</v>
      </c>
      <c r="G220" s="66">
        <v>215.0134426</v>
      </c>
      <c r="H220" s="8">
        <v>7.852</v>
      </c>
      <c r="J220" s="26"/>
      <c r="K220"/>
    </row>
    <row r="221" spans="1:11">
      <c r="A221">
        <v>2</v>
      </c>
      <c r="B221" s="64">
        <v>40746</v>
      </c>
      <c r="C221" s="2">
        <v>1743816.41</v>
      </c>
      <c r="D221">
        <v>0</v>
      </c>
      <c r="E221" s="65">
        <v>89.34</v>
      </c>
      <c r="F221" s="8">
        <v>3.651</v>
      </c>
      <c r="G221" s="66">
        <v>215.0749122</v>
      </c>
      <c r="H221" s="8">
        <v>7.852</v>
      </c>
      <c r="J221" s="26"/>
      <c r="K221"/>
    </row>
    <row r="222" spans="1:11">
      <c r="A222">
        <v>2</v>
      </c>
      <c r="B222" s="64">
        <v>40753</v>
      </c>
      <c r="C222" s="2">
        <v>1680693.06</v>
      </c>
      <c r="D222">
        <v>0</v>
      </c>
      <c r="E222" s="65">
        <v>90.07</v>
      </c>
      <c r="F222" s="8">
        <v>3.682</v>
      </c>
      <c r="G222" s="66">
        <v>215.1363819</v>
      </c>
      <c r="H222" s="8">
        <v>7.852</v>
      </c>
      <c r="J222" s="26"/>
      <c r="K222"/>
    </row>
    <row r="223" spans="1:11">
      <c r="A223">
        <v>2</v>
      </c>
      <c r="B223" s="64">
        <v>40760</v>
      </c>
      <c r="C223" s="2">
        <v>1876704.26</v>
      </c>
      <c r="D223">
        <v>0</v>
      </c>
      <c r="E223" s="65">
        <v>93.34</v>
      </c>
      <c r="F223" s="8">
        <v>3.684</v>
      </c>
      <c r="G223" s="66">
        <v>215.1978515</v>
      </c>
      <c r="H223" s="8">
        <v>7.852</v>
      </c>
      <c r="J223" s="26"/>
      <c r="K223"/>
    </row>
    <row r="224" spans="1:11">
      <c r="A224">
        <v>2</v>
      </c>
      <c r="B224" s="64">
        <v>40767</v>
      </c>
      <c r="C224" s="2">
        <v>1812768.26</v>
      </c>
      <c r="D224">
        <v>0</v>
      </c>
      <c r="E224" s="65">
        <v>91.58</v>
      </c>
      <c r="F224" s="8">
        <v>3.638</v>
      </c>
      <c r="G224" s="66">
        <v>215.2593211</v>
      </c>
      <c r="H224" s="8">
        <v>7.852</v>
      </c>
      <c r="J224" s="26"/>
      <c r="K224"/>
    </row>
    <row r="225" spans="1:11">
      <c r="A225">
        <v>2</v>
      </c>
      <c r="B225" s="64">
        <v>40774</v>
      </c>
      <c r="C225" s="2">
        <v>1844094.59</v>
      </c>
      <c r="D225">
        <v>0</v>
      </c>
      <c r="E225" s="65">
        <v>89.86</v>
      </c>
      <c r="F225" s="8">
        <v>3.554</v>
      </c>
      <c r="G225" s="66">
        <v>215.3229307</v>
      </c>
      <c r="H225" s="8">
        <v>7.852</v>
      </c>
      <c r="J225" s="26"/>
      <c r="K225"/>
    </row>
    <row r="226" spans="1:11">
      <c r="A226">
        <v>2</v>
      </c>
      <c r="B226" s="64">
        <v>40781</v>
      </c>
      <c r="C226" s="2">
        <v>1821139.91</v>
      </c>
      <c r="D226">
        <v>0</v>
      </c>
      <c r="E226" s="65">
        <v>90.45</v>
      </c>
      <c r="F226" s="8">
        <v>3.523</v>
      </c>
      <c r="G226" s="66">
        <v>215.386897</v>
      </c>
      <c r="H226" s="8">
        <v>7.852</v>
      </c>
      <c r="J226" s="26"/>
      <c r="K226"/>
    </row>
    <row r="227" spans="1:11">
      <c r="A227">
        <v>2</v>
      </c>
      <c r="B227" s="64">
        <v>40788</v>
      </c>
      <c r="C227" s="2">
        <v>1809119.7</v>
      </c>
      <c r="D227">
        <v>0</v>
      </c>
      <c r="E227" s="65">
        <v>89.64</v>
      </c>
      <c r="F227" s="8">
        <v>3.533</v>
      </c>
      <c r="G227" s="66">
        <v>215.4508632</v>
      </c>
      <c r="H227" s="8">
        <v>7.852</v>
      </c>
      <c r="J227" s="26"/>
      <c r="K227"/>
    </row>
    <row r="228" spans="1:11">
      <c r="A228">
        <v>2</v>
      </c>
      <c r="B228" s="64">
        <v>40795</v>
      </c>
      <c r="C228" s="2">
        <v>1748000.65</v>
      </c>
      <c r="D228">
        <v>1</v>
      </c>
      <c r="E228" s="65">
        <v>77.97</v>
      </c>
      <c r="F228" s="8">
        <v>3.546</v>
      </c>
      <c r="G228" s="66">
        <v>215.5148295</v>
      </c>
      <c r="H228" s="8">
        <v>7.852</v>
      </c>
      <c r="J228" s="26"/>
      <c r="K228"/>
    </row>
    <row r="229" spans="1:11">
      <c r="A229">
        <v>2</v>
      </c>
      <c r="B229" s="64">
        <v>40802</v>
      </c>
      <c r="C229" s="2">
        <v>1691439.52</v>
      </c>
      <c r="D229">
        <v>0</v>
      </c>
      <c r="E229" s="65">
        <v>78.85</v>
      </c>
      <c r="F229" s="8">
        <v>3.526</v>
      </c>
      <c r="G229" s="66">
        <v>215.6944378</v>
      </c>
      <c r="H229" s="8">
        <v>7.852</v>
      </c>
      <c r="J229" s="26"/>
      <c r="K229"/>
    </row>
    <row r="230" spans="1:11">
      <c r="A230">
        <v>2</v>
      </c>
      <c r="B230" s="64">
        <v>40809</v>
      </c>
      <c r="C230" s="2">
        <v>1669299.78</v>
      </c>
      <c r="D230">
        <v>0</v>
      </c>
      <c r="E230" s="65">
        <v>75.58</v>
      </c>
      <c r="F230" s="8">
        <v>3.467</v>
      </c>
      <c r="G230" s="66">
        <v>216.0282356</v>
      </c>
      <c r="H230" s="8">
        <v>7.852</v>
      </c>
      <c r="J230" s="26"/>
      <c r="K230"/>
    </row>
    <row r="231" spans="1:11">
      <c r="A231">
        <v>2</v>
      </c>
      <c r="B231" s="64">
        <v>40816</v>
      </c>
      <c r="C231" s="2">
        <v>1650394.44</v>
      </c>
      <c r="D231">
        <v>0</v>
      </c>
      <c r="E231" s="65">
        <v>78.14</v>
      </c>
      <c r="F231" s="8">
        <v>3.355</v>
      </c>
      <c r="G231" s="66">
        <v>216.3620333</v>
      </c>
      <c r="H231" s="8">
        <v>7.852</v>
      </c>
      <c r="J231" s="26"/>
      <c r="K231"/>
    </row>
    <row r="232" spans="1:11">
      <c r="A232">
        <v>2</v>
      </c>
      <c r="B232" s="64">
        <v>40823</v>
      </c>
      <c r="C232" s="2">
        <v>1837553.43</v>
      </c>
      <c r="D232">
        <v>0</v>
      </c>
      <c r="E232" s="65">
        <v>69.92</v>
      </c>
      <c r="F232" s="8">
        <v>3.285</v>
      </c>
      <c r="G232" s="66">
        <v>216.6958311</v>
      </c>
      <c r="H232" s="8">
        <v>7.441</v>
      </c>
      <c r="J232" s="26"/>
      <c r="K232"/>
    </row>
    <row r="233" spans="1:11">
      <c r="A233">
        <v>2</v>
      </c>
      <c r="B233" s="64">
        <v>40830</v>
      </c>
      <c r="C233" s="2">
        <v>1743882.19</v>
      </c>
      <c r="D233">
        <v>0</v>
      </c>
      <c r="E233" s="65">
        <v>71.67</v>
      </c>
      <c r="F233" s="8">
        <v>3.274</v>
      </c>
      <c r="G233" s="66">
        <v>217.0048261</v>
      </c>
      <c r="H233" s="8">
        <v>7.441</v>
      </c>
      <c r="J233" s="26"/>
      <c r="K233"/>
    </row>
    <row r="234" spans="1:11">
      <c r="A234">
        <v>2</v>
      </c>
      <c r="B234" s="64">
        <v>40837</v>
      </c>
      <c r="C234" s="2">
        <v>1834680.25</v>
      </c>
      <c r="D234">
        <v>0</v>
      </c>
      <c r="E234" s="65">
        <v>64.53</v>
      </c>
      <c r="F234" s="8">
        <v>3.353</v>
      </c>
      <c r="G234" s="66">
        <v>217.1650042</v>
      </c>
      <c r="H234" s="8">
        <v>7.441</v>
      </c>
      <c r="J234" s="26"/>
      <c r="K234"/>
    </row>
    <row r="235" spans="1:11">
      <c r="A235">
        <v>2</v>
      </c>
      <c r="B235" s="64">
        <v>40844</v>
      </c>
      <c r="C235" s="2">
        <v>1769296.25</v>
      </c>
      <c r="D235">
        <v>0</v>
      </c>
      <c r="E235" s="65">
        <v>65.87</v>
      </c>
      <c r="F235" s="8">
        <v>3.372</v>
      </c>
      <c r="G235" s="66">
        <v>217.3251824</v>
      </c>
      <c r="H235" s="8">
        <v>7.441</v>
      </c>
      <c r="J235" s="26"/>
      <c r="K235"/>
    </row>
    <row r="236" spans="1:11">
      <c r="A236">
        <v>2</v>
      </c>
      <c r="B236" s="64">
        <v>40851</v>
      </c>
      <c r="C236" s="2">
        <v>1959707.9</v>
      </c>
      <c r="D236">
        <v>0</v>
      </c>
      <c r="E236" s="65">
        <v>55.53</v>
      </c>
      <c r="F236" s="8">
        <v>3.332</v>
      </c>
      <c r="G236" s="66">
        <v>217.4853605</v>
      </c>
      <c r="H236" s="8">
        <v>7.441</v>
      </c>
      <c r="J236" s="26"/>
      <c r="K236"/>
    </row>
    <row r="237" spans="1:11">
      <c r="A237">
        <v>2</v>
      </c>
      <c r="B237" s="64">
        <v>40858</v>
      </c>
      <c r="C237" s="2">
        <v>1920725.15</v>
      </c>
      <c r="D237">
        <v>0</v>
      </c>
      <c r="E237" s="65">
        <v>59.33</v>
      </c>
      <c r="F237" s="8">
        <v>3.297</v>
      </c>
      <c r="G237" s="66">
        <v>217.6455387</v>
      </c>
      <c r="H237" s="8">
        <v>7.441</v>
      </c>
      <c r="J237" s="26"/>
      <c r="K237"/>
    </row>
    <row r="238" spans="1:11">
      <c r="A238">
        <v>2</v>
      </c>
      <c r="B238" s="64">
        <v>40865</v>
      </c>
      <c r="C238" s="2">
        <v>1902762.5</v>
      </c>
      <c r="D238">
        <v>0</v>
      </c>
      <c r="E238" s="65">
        <v>62.01</v>
      </c>
      <c r="F238" s="8">
        <v>3.308</v>
      </c>
      <c r="G238" s="66">
        <v>217.8670218</v>
      </c>
      <c r="H238" s="8">
        <v>7.441</v>
      </c>
      <c r="J238" s="26"/>
      <c r="K238"/>
    </row>
    <row r="239" spans="1:11">
      <c r="A239">
        <v>2</v>
      </c>
      <c r="B239" s="64">
        <v>40872</v>
      </c>
      <c r="C239" s="2">
        <v>2614202.3</v>
      </c>
      <c r="D239">
        <v>1</v>
      </c>
      <c r="E239" s="65">
        <v>56.36</v>
      </c>
      <c r="F239" s="8">
        <v>3.236</v>
      </c>
      <c r="G239" s="66">
        <v>218.1130269</v>
      </c>
      <c r="H239" s="8">
        <v>7.441</v>
      </c>
      <c r="J239" s="26"/>
      <c r="K239"/>
    </row>
    <row r="240" spans="1:11">
      <c r="A240">
        <v>2</v>
      </c>
      <c r="B240" s="64">
        <v>40879</v>
      </c>
      <c r="C240" s="2">
        <v>1954952</v>
      </c>
      <c r="D240">
        <v>0</v>
      </c>
      <c r="E240" s="65">
        <v>48.74</v>
      </c>
      <c r="F240" s="8">
        <v>3.172</v>
      </c>
      <c r="G240" s="66">
        <v>218.3590319</v>
      </c>
      <c r="H240" s="8">
        <v>7.441</v>
      </c>
      <c r="J240" s="26"/>
      <c r="K240"/>
    </row>
    <row r="241" spans="1:11">
      <c r="A241">
        <v>2</v>
      </c>
      <c r="B241" s="64">
        <v>40886</v>
      </c>
      <c r="C241" s="2">
        <v>2290549.32</v>
      </c>
      <c r="D241">
        <v>0</v>
      </c>
      <c r="E241" s="65">
        <v>41.76</v>
      </c>
      <c r="F241" s="8">
        <v>3.158</v>
      </c>
      <c r="G241" s="66">
        <v>218.605037</v>
      </c>
      <c r="H241" s="8">
        <v>7.441</v>
      </c>
      <c r="J241" s="26"/>
      <c r="K241"/>
    </row>
    <row r="242" spans="1:11">
      <c r="A242">
        <v>2</v>
      </c>
      <c r="B242" s="64">
        <v>40893</v>
      </c>
      <c r="C242" s="2">
        <v>2432736.52</v>
      </c>
      <c r="D242">
        <v>0</v>
      </c>
      <c r="E242" s="65">
        <v>50.13</v>
      </c>
      <c r="F242" s="8">
        <v>3.159</v>
      </c>
      <c r="G242" s="66">
        <v>218.8217928</v>
      </c>
      <c r="H242" s="8">
        <v>7.441</v>
      </c>
      <c r="J242" s="26"/>
      <c r="K242"/>
    </row>
    <row r="243" spans="1:11">
      <c r="A243">
        <v>2</v>
      </c>
      <c r="B243" s="64">
        <v>40900</v>
      </c>
      <c r="C243" s="2">
        <v>3224369.8</v>
      </c>
      <c r="D243">
        <v>0</v>
      </c>
      <c r="E243" s="65">
        <v>46.66</v>
      </c>
      <c r="F243" s="8">
        <v>3.112</v>
      </c>
      <c r="G243" s="66">
        <v>218.9995495</v>
      </c>
      <c r="H243" s="8">
        <v>7.441</v>
      </c>
      <c r="J243" s="26"/>
      <c r="K243"/>
    </row>
    <row r="244" spans="1:11">
      <c r="A244">
        <v>2</v>
      </c>
      <c r="B244" s="64">
        <v>40907</v>
      </c>
      <c r="C244" s="2">
        <v>1874226.52</v>
      </c>
      <c r="D244">
        <v>1</v>
      </c>
      <c r="E244" s="65">
        <v>44.57</v>
      </c>
      <c r="F244" s="8">
        <v>3.129</v>
      </c>
      <c r="G244" s="66">
        <v>219.1773063</v>
      </c>
      <c r="H244" s="8">
        <v>7.441</v>
      </c>
      <c r="J244" s="26"/>
      <c r="K244"/>
    </row>
    <row r="245" spans="1:11">
      <c r="A245">
        <v>2</v>
      </c>
      <c r="B245" s="64">
        <v>40914</v>
      </c>
      <c r="C245" s="2">
        <v>1799520.14</v>
      </c>
      <c r="D245">
        <v>0</v>
      </c>
      <c r="E245" s="65">
        <v>46.75</v>
      </c>
      <c r="F245" s="8">
        <v>3.157</v>
      </c>
      <c r="G245" s="66">
        <v>219.355063</v>
      </c>
      <c r="H245" s="8">
        <v>7.057</v>
      </c>
      <c r="J245" s="26"/>
      <c r="K245"/>
    </row>
    <row r="246" spans="1:11">
      <c r="A246">
        <v>2</v>
      </c>
      <c r="B246" s="64">
        <v>40921</v>
      </c>
      <c r="C246" s="2">
        <v>1744725.48</v>
      </c>
      <c r="D246">
        <v>0</v>
      </c>
      <c r="E246" s="65">
        <v>45.99</v>
      </c>
      <c r="F246" s="8">
        <v>3.261</v>
      </c>
      <c r="G246" s="66">
        <v>219.5328198</v>
      </c>
      <c r="H246" s="8">
        <v>7.057</v>
      </c>
      <c r="J246" s="26"/>
      <c r="K246"/>
    </row>
    <row r="247" spans="1:11">
      <c r="A247">
        <v>2</v>
      </c>
      <c r="B247" s="64">
        <v>40928</v>
      </c>
      <c r="C247" s="2">
        <v>1711769.11</v>
      </c>
      <c r="D247">
        <v>0</v>
      </c>
      <c r="E247" s="65">
        <v>51.7</v>
      </c>
      <c r="F247" s="8">
        <v>3.268</v>
      </c>
      <c r="G247" s="66">
        <v>219.6258417</v>
      </c>
      <c r="H247" s="8">
        <v>7.057</v>
      </c>
      <c r="J247" s="26"/>
      <c r="K247"/>
    </row>
    <row r="248" spans="1:11">
      <c r="A248">
        <v>2</v>
      </c>
      <c r="B248" s="64">
        <v>40935</v>
      </c>
      <c r="C248" s="2">
        <v>1660906.14</v>
      </c>
      <c r="D248">
        <v>0</v>
      </c>
      <c r="E248" s="65">
        <v>50.5</v>
      </c>
      <c r="F248" s="8">
        <v>3.29</v>
      </c>
      <c r="G248" s="66">
        <v>219.7188636</v>
      </c>
      <c r="H248" s="8">
        <v>7.057</v>
      </c>
      <c r="J248" s="26"/>
      <c r="K248"/>
    </row>
    <row r="249" spans="1:11">
      <c r="A249">
        <v>2</v>
      </c>
      <c r="B249" s="64">
        <v>40942</v>
      </c>
      <c r="C249" s="2">
        <v>1935299.94</v>
      </c>
      <c r="D249">
        <v>0</v>
      </c>
      <c r="E249" s="65">
        <v>55.21</v>
      </c>
      <c r="F249" s="8">
        <v>3.36</v>
      </c>
      <c r="G249" s="66">
        <v>219.8118854</v>
      </c>
      <c r="H249" s="8">
        <v>7.057</v>
      </c>
      <c r="J249" s="26"/>
      <c r="K249"/>
    </row>
    <row r="250" spans="1:11">
      <c r="A250">
        <v>2</v>
      </c>
      <c r="B250" s="64">
        <v>40949</v>
      </c>
      <c r="C250" s="2">
        <v>2103322.68</v>
      </c>
      <c r="D250">
        <v>1</v>
      </c>
      <c r="E250" s="65">
        <v>46.98</v>
      </c>
      <c r="F250" s="8">
        <v>3.409</v>
      </c>
      <c r="G250" s="66">
        <v>219.9049073</v>
      </c>
      <c r="H250" s="8">
        <v>7.057</v>
      </c>
      <c r="J250" s="26"/>
      <c r="K250"/>
    </row>
    <row r="251" spans="1:11">
      <c r="A251">
        <v>2</v>
      </c>
      <c r="B251" s="64">
        <v>40956</v>
      </c>
      <c r="C251" s="2">
        <v>2196688.46</v>
      </c>
      <c r="D251">
        <v>0</v>
      </c>
      <c r="E251" s="65">
        <v>43.82</v>
      </c>
      <c r="F251" s="8">
        <v>3.51</v>
      </c>
      <c r="G251" s="66">
        <v>220.0651993</v>
      </c>
      <c r="H251" s="8">
        <v>7.057</v>
      </c>
      <c r="J251" s="26"/>
      <c r="K251"/>
    </row>
    <row r="252" spans="1:11">
      <c r="A252">
        <v>2</v>
      </c>
      <c r="B252" s="64">
        <v>40963</v>
      </c>
      <c r="C252" s="2">
        <v>1861802.7</v>
      </c>
      <c r="D252">
        <v>0</v>
      </c>
      <c r="E252" s="65">
        <v>54.63</v>
      </c>
      <c r="F252" s="8">
        <v>3.555</v>
      </c>
      <c r="G252" s="66">
        <v>220.275944</v>
      </c>
      <c r="H252" s="8">
        <v>7.057</v>
      </c>
      <c r="J252" s="26"/>
      <c r="K252"/>
    </row>
    <row r="253" spans="1:11">
      <c r="A253">
        <v>2</v>
      </c>
      <c r="B253" s="64">
        <v>40970</v>
      </c>
      <c r="C253" s="2">
        <v>1952555.66</v>
      </c>
      <c r="D253">
        <v>0</v>
      </c>
      <c r="E253" s="65">
        <v>58.79</v>
      </c>
      <c r="F253" s="8">
        <v>3.63</v>
      </c>
      <c r="G253" s="66">
        <v>220.4866886</v>
      </c>
      <c r="H253" s="8">
        <v>7.057</v>
      </c>
      <c r="J253" s="26"/>
      <c r="K253"/>
    </row>
    <row r="254" spans="1:11">
      <c r="A254">
        <v>2</v>
      </c>
      <c r="B254" s="64">
        <v>40977</v>
      </c>
      <c r="C254" s="2">
        <v>1937628.26</v>
      </c>
      <c r="D254">
        <v>0</v>
      </c>
      <c r="E254" s="65">
        <v>57.11</v>
      </c>
      <c r="F254" s="8">
        <v>3.669</v>
      </c>
      <c r="G254" s="66">
        <v>220.6974332</v>
      </c>
      <c r="H254" s="8">
        <v>7.057</v>
      </c>
      <c r="J254" s="26"/>
      <c r="K254"/>
    </row>
    <row r="255" spans="1:11">
      <c r="A255">
        <v>2</v>
      </c>
      <c r="B255" s="64">
        <v>40984</v>
      </c>
      <c r="C255" s="2">
        <v>1976082.13</v>
      </c>
      <c r="D255">
        <v>0</v>
      </c>
      <c r="E255" s="65">
        <v>63.68</v>
      </c>
      <c r="F255" s="8">
        <v>3.734</v>
      </c>
      <c r="G255" s="66">
        <v>220.8498468</v>
      </c>
      <c r="H255" s="8">
        <v>7.057</v>
      </c>
      <c r="J255" s="26"/>
      <c r="K255"/>
    </row>
    <row r="256" spans="1:11">
      <c r="A256">
        <v>2</v>
      </c>
      <c r="B256" s="64">
        <v>40991</v>
      </c>
      <c r="C256" s="2">
        <v>1790439.16</v>
      </c>
      <c r="D256">
        <v>0</v>
      </c>
      <c r="E256" s="65">
        <v>64.01</v>
      </c>
      <c r="F256" s="8">
        <v>3.787</v>
      </c>
      <c r="G256" s="66">
        <v>220.9244858</v>
      </c>
      <c r="H256" s="8">
        <v>7.057</v>
      </c>
      <c r="J256" s="26"/>
      <c r="K256"/>
    </row>
    <row r="257" spans="1:11">
      <c r="A257">
        <v>2</v>
      </c>
      <c r="B257" s="64">
        <v>40998</v>
      </c>
      <c r="C257" s="2">
        <v>1857480.84</v>
      </c>
      <c r="D257">
        <v>0</v>
      </c>
      <c r="E257" s="65">
        <v>66.83</v>
      </c>
      <c r="F257" s="8">
        <v>3.845</v>
      </c>
      <c r="G257" s="66">
        <v>220.9991248</v>
      </c>
      <c r="H257" s="8">
        <v>7.057</v>
      </c>
      <c r="J257" s="26"/>
      <c r="K257"/>
    </row>
    <row r="258" spans="1:11">
      <c r="A258">
        <v>2</v>
      </c>
      <c r="B258" s="64">
        <v>41005</v>
      </c>
      <c r="C258" s="2">
        <v>2129035.91</v>
      </c>
      <c r="D258">
        <v>0</v>
      </c>
      <c r="E258" s="65">
        <v>68.43</v>
      </c>
      <c r="F258" s="8">
        <v>3.891</v>
      </c>
      <c r="G258" s="66">
        <v>221.0737638</v>
      </c>
      <c r="H258" s="8">
        <v>6.891</v>
      </c>
      <c r="J258" s="26"/>
      <c r="K258"/>
    </row>
    <row r="259" spans="1:11">
      <c r="A259">
        <v>2</v>
      </c>
      <c r="B259" s="64">
        <v>41012</v>
      </c>
      <c r="C259" s="2">
        <v>1935869.1</v>
      </c>
      <c r="D259">
        <v>0</v>
      </c>
      <c r="E259" s="65">
        <v>68.08</v>
      </c>
      <c r="F259" s="8">
        <v>3.891</v>
      </c>
      <c r="G259" s="66">
        <v>221.1484028</v>
      </c>
      <c r="H259" s="8">
        <v>6.891</v>
      </c>
      <c r="J259" s="26"/>
      <c r="K259"/>
    </row>
    <row r="260" spans="1:11">
      <c r="A260">
        <v>2</v>
      </c>
      <c r="B260" s="64">
        <v>41019</v>
      </c>
      <c r="C260" s="2">
        <v>1847344.45</v>
      </c>
      <c r="D260">
        <v>0</v>
      </c>
      <c r="E260" s="65">
        <v>65.69</v>
      </c>
      <c r="F260" s="8">
        <v>3.877</v>
      </c>
      <c r="G260" s="66">
        <v>221.2021074</v>
      </c>
      <c r="H260" s="8">
        <v>6.891</v>
      </c>
      <c r="J260" s="26"/>
      <c r="K260"/>
    </row>
    <row r="261" spans="1:11">
      <c r="A261">
        <v>2</v>
      </c>
      <c r="B261" s="64">
        <v>41026</v>
      </c>
      <c r="C261" s="2">
        <v>1764133.09</v>
      </c>
      <c r="D261">
        <v>0</v>
      </c>
      <c r="E261" s="65">
        <v>67.2</v>
      </c>
      <c r="F261" s="8">
        <v>3.814</v>
      </c>
      <c r="G261" s="66">
        <v>221.255812</v>
      </c>
      <c r="H261" s="8">
        <v>6.891</v>
      </c>
      <c r="J261" s="26"/>
      <c r="K261"/>
    </row>
    <row r="262" spans="1:11">
      <c r="A262">
        <v>2</v>
      </c>
      <c r="B262" s="64">
        <v>41033</v>
      </c>
      <c r="C262" s="2">
        <v>1923957.09</v>
      </c>
      <c r="D262">
        <v>0</v>
      </c>
      <c r="E262" s="65">
        <v>76.73</v>
      </c>
      <c r="F262" s="8">
        <v>3.749</v>
      </c>
      <c r="G262" s="66">
        <v>221.3095166</v>
      </c>
      <c r="H262" s="8">
        <v>6.891</v>
      </c>
      <c r="J262" s="26"/>
      <c r="K262"/>
    </row>
    <row r="263" spans="1:11">
      <c r="A263">
        <v>2</v>
      </c>
      <c r="B263" s="64">
        <v>41040</v>
      </c>
      <c r="C263" s="2">
        <v>1917520.99</v>
      </c>
      <c r="D263">
        <v>0</v>
      </c>
      <c r="E263" s="65">
        <v>73.87</v>
      </c>
      <c r="F263" s="8">
        <v>3.688</v>
      </c>
      <c r="G263" s="66">
        <v>221.3632212</v>
      </c>
      <c r="H263" s="8">
        <v>6.891</v>
      </c>
      <c r="J263" s="26"/>
      <c r="K263"/>
    </row>
    <row r="264" spans="1:11">
      <c r="A264">
        <v>2</v>
      </c>
      <c r="B264" s="64">
        <v>41047</v>
      </c>
      <c r="C264" s="2">
        <v>2000940.67</v>
      </c>
      <c r="D264">
        <v>0</v>
      </c>
      <c r="E264" s="65">
        <v>71.27</v>
      </c>
      <c r="F264" s="8">
        <v>3.63</v>
      </c>
      <c r="G264" s="66">
        <v>221.380331</v>
      </c>
      <c r="H264" s="8">
        <v>6.891</v>
      </c>
      <c r="J264" s="26"/>
      <c r="K264"/>
    </row>
    <row r="265" spans="1:11">
      <c r="A265">
        <v>2</v>
      </c>
      <c r="B265" s="64">
        <v>41054</v>
      </c>
      <c r="C265" s="2">
        <v>1912791.09</v>
      </c>
      <c r="D265">
        <v>0</v>
      </c>
      <c r="E265" s="65">
        <v>78.19</v>
      </c>
      <c r="F265" s="8">
        <v>3.561</v>
      </c>
      <c r="G265" s="66">
        <v>221.3828029</v>
      </c>
      <c r="H265" s="8">
        <v>6.891</v>
      </c>
      <c r="J265" s="26"/>
      <c r="K265"/>
    </row>
    <row r="266" spans="1:11">
      <c r="A266">
        <v>2</v>
      </c>
      <c r="B266" s="64">
        <v>41061</v>
      </c>
      <c r="C266" s="2">
        <v>1910092.37</v>
      </c>
      <c r="D266">
        <v>0</v>
      </c>
      <c r="E266" s="65">
        <v>78.38</v>
      </c>
      <c r="F266" s="8">
        <v>3.501</v>
      </c>
      <c r="G266" s="66">
        <v>221.3852748</v>
      </c>
      <c r="H266" s="8">
        <v>6.891</v>
      </c>
      <c r="J266" s="26"/>
      <c r="K266"/>
    </row>
    <row r="267" spans="1:11">
      <c r="A267">
        <v>2</v>
      </c>
      <c r="B267" s="64">
        <v>41068</v>
      </c>
      <c r="C267" s="2">
        <v>2010216.49</v>
      </c>
      <c r="D267">
        <v>0</v>
      </c>
      <c r="E267" s="65">
        <v>78.69</v>
      </c>
      <c r="F267" s="8">
        <v>3.452</v>
      </c>
      <c r="G267" s="66">
        <v>221.3877467</v>
      </c>
      <c r="H267" s="8">
        <v>6.891</v>
      </c>
      <c r="J267" s="26"/>
      <c r="K267"/>
    </row>
    <row r="268" spans="1:11">
      <c r="A268">
        <v>2</v>
      </c>
      <c r="B268" s="64">
        <v>41075</v>
      </c>
      <c r="C268" s="2">
        <v>1962924.3</v>
      </c>
      <c r="D268">
        <v>0</v>
      </c>
      <c r="E268" s="65">
        <v>80.56</v>
      </c>
      <c r="F268" s="8">
        <v>3.393</v>
      </c>
      <c r="G268" s="66">
        <v>221.4009901</v>
      </c>
      <c r="H268" s="8">
        <v>6.891</v>
      </c>
      <c r="J268" s="26"/>
      <c r="K268"/>
    </row>
    <row r="269" spans="1:11">
      <c r="A269">
        <v>2</v>
      </c>
      <c r="B269" s="64">
        <v>41082</v>
      </c>
      <c r="C269" s="2">
        <v>1887733.21</v>
      </c>
      <c r="D269">
        <v>0</v>
      </c>
      <c r="E269" s="65">
        <v>81.04</v>
      </c>
      <c r="F269" s="8">
        <v>3.346</v>
      </c>
      <c r="G269" s="66">
        <v>221.4411622</v>
      </c>
      <c r="H269" s="8">
        <v>6.891</v>
      </c>
      <c r="J269" s="26"/>
      <c r="K269"/>
    </row>
    <row r="270" spans="1:11">
      <c r="A270">
        <v>2</v>
      </c>
      <c r="B270" s="64">
        <v>41089</v>
      </c>
      <c r="C270" s="2">
        <v>1881046.12</v>
      </c>
      <c r="D270">
        <v>0</v>
      </c>
      <c r="E270" s="65">
        <v>86.32</v>
      </c>
      <c r="F270" s="8">
        <v>3.286</v>
      </c>
      <c r="G270" s="66">
        <v>221.4813343</v>
      </c>
      <c r="H270" s="8">
        <v>6.891</v>
      </c>
      <c r="J270" s="26"/>
      <c r="K270"/>
    </row>
    <row r="271" spans="1:11">
      <c r="A271">
        <v>2</v>
      </c>
      <c r="B271" s="64">
        <v>41096</v>
      </c>
      <c r="C271" s="2">
        <v>2041507.4</v>
      </c>
      <c r="D271">
        <v>0</v>
      </c>
      <c r="E271" s="65">
        <v>84.2</v>
      </c>
      <c r="F271" s="8">
        <v>3.227</v>
      </c>
      <c r="G271" s="66">
        <v>221.5215064</v>
      </c>
      <c r="H271" s="8">
        <v>6.565</v>
      </c>
      <c r="J271" s="26"/>
      <c r="K271"/>
    </row>
    <row r="272" spans="1:11">
      <c r="A272">
        <v>2</v>
      </c>
      <c r="B272" s="64">
        <v>41103</v>
      </c>
      <c r="C272" s="2">
        <v>1830075.13</v>
      </c>
      <c r="D272">
        <v>0</v>
      </c>
      <c r="E272" s="65">
        <v>80.17</v>
      </c>
      <c r="F272" s="8">
        <v>3.256</v>
      </c>
      <c r="G272" s="66">
        <v>221.5616784</v>
      </c>
      <c r="H272" s="8">
        <v>6.565</v>
      </c>
      <c r="J272" s="26"/>
      <c r="K272"/>
    </row>
    <row r="273" spans="1:11">
      <c r="A273">
        <v>2</v>
      </c>
      <c r="B273" s="64">
        <v>41110</v>
      </c>
      <c r="C273" s="2">
        <v>1819666.46</v>
      </c>
      <c r="D273">
        <v>0</v>
      </c>
      <c r="E273" s="65">
        <v>83.23</v>
      </c>
      <c r="F273" s="8">
        <v>3.311</v>
      </c>
      <c r="G273" s="66">
        <v>221.5701123</v>
      </c>
      <c r="H273" s="8">
        <v>6.565</v>
      </c>
      <c r="J273" s="26"/>
      <c r="K273"/>
    </row>
    <row r="274" spans="1:11">
      <c r="A274">
        <v>2</v>
      </c>
      <c r="B274" s="64">
        <v>41117</v>
      </c>
      <c r="C274" s="2">
        <v>1757923.88</v>
      </c>
      <c r="D274">
        <v>0</v>
      </c>
      <c r="E274" s="65">
        <v>86.37</v>
      </c>
      <c r="F274" s="8">
        <v>3.407</v>
      </c>
      <c r="G274" s="66">
        <v>221.5785461</v>
      </c>
      <c r="H274" s="8">
        <v>6.565</v>
      </c>
      <c r="J274" s="26"/>
      <c r="K274"/>
    </row>
    <row r="275" spans="1:11">
      <c r="A275">
        <v>2</v>
      </c>
      <c r="B275" s="64">
        <v>41124</v>
      </c>
      <c r="C275" s="2">
        <v>1946104.64</v>
      </c>
      <c r="D275">
        <v>0</v>
      </c>
      <c r="E275" s="65">
        <v>90.22</v>
      </c>
      <c r="F275" s="8">
        <v>3.417</v>
      </c>
      <c r="G275" s="66">
        <v>221.5869799</v>
      </c>
      <c r="H275" s="8">
        <v>6.565</v>
      </c>
      <c r="J275" s="26"/>
      <c r="K275"/>
    </row>
    <row r="276" spans="1:11">
      <c r="A276">
        <v>2</v>
      </c>
      <c r="B276" s="64">
        <v>41131</v>
      </c>
      <c r="C276" s="2">
        <v>1866719.96</v>
      </c>
      <c r="D276">
        <v>0</v>
      </c>
      <c r="E276" s="65">
        <v>88.55</v>
      </c>
      <c r="F276" s="8">
        <v>3.494</v>
      </c>
      <c r="G276" s="66">
        <v>221.5954138</v>
      </c>
      <c r="H276" s="8">
        <v>6.565</v>
      </c>
      <c r="J276" s="26"/>
      <c r="K276"/>
    </row>
    <row r="277" spans="1:11">
      <c r="A277">
        <v>2</v>
      </c>
      <c r="B277" s="64">
        <v>41138</v>
      </c>
      <c r="C277" s="2">
        <v>1928016.01</v>
      </c>
      <c r="D277">
        <v>0</v>
      </c>
      <c r="E277" s="65">
        <v>84.79</v>
      </c>
      <c r="F277" s="8">
        <v>3.571</v>
      </c>
      <c r="G277" s="66">
        <v>221.6751459</v>
      </c>
      <c r="H277" s="8">
        <v>6.565</v>
      </c>
      <c r="J277" s="26"/>
      <c r="K277"/>
    </row>
    <row r="278" spans="1:11">
      <c r="A278">
        <v>2</v>
      </c>
      <c r="B278" s="64">
        <v>41145</v>
      </c>
      <c r="C278" s="2">
        <v>1876788.15</v>
      </c>
      <c r="D278">
        <v>0</v>
      </c>
      <c r="E278" s="65">
        <v>76.91</v>
      </c>
      <c r="F278" s="8">
        <v>3.62</v>
      </c>
      <c r="G278" s="66">
        <v>221.8083518</v>
      </c>
      <c r="H278" s="8">
        <v>6.565</v>
      </c>
      <c r="J278" s="26"/>
      <c r="K278"/>
    </row>
    <row r="279" spans="1:11">
      <c r="A279">
        <v>2</v>
      </c>
      <c r="B279" s="64">
        <v>41152</v>
      </c>
      <c r="C279" s="2">
        <v>1947083.3</v>
      </c>
      <c r="D279">
        <v>0</v>
      </c>
      <c r="E279" s="65">
        <v>82.64</v>
      </c>
      <c r="F279" s="8">
        <v>3.638</v>
      </c>
      <c r="G279" s="66">
        <v>221.9415576</v>
      </c>
      <c r="H279" s="8">
        <v>6.565</v>
      </c>
      <c r="J279" s="26"/>
      <c r="K279"/>
    </row>
    <row r="280" spans="1:11">
      <c r="A280">
        <v>2</v>
      </c>
      <c r="B280" s="64">
        <v>41159</v>
      </c>
      <c r="C280" s="2">
        <v>1898777.07</v>
      </c>
      <c r="D280">
        <v>1</v>
      </c>
      <c r="E280" s="65">
        <v>87.65</v>
      </c>
      <c r="F280" s="8">
        <v>3.73</v>
      </c>
      <c r="G280" s="66">
        <v>222.0747635</v>
      </c>
      <c r="H280" s="8">
        <v>6.565</v>
      </c>
      <c r="J280" s="26"/>
      <c r="K280"/>
    </row>
    <row r="281" spans="1:11">
      <c r="A281">
        <v>2</v>
      </c>
      <c r="B281" s="64">
        <v>41166</v>
      </c>
      <c r="C281" s="2">
        <v>1814806.63</v>
      </c>
      <c r="D281">
        <v>0</v>
      </c>
      <c r="E281" s="65">
        <v>75.88</v>
      </c>
      <c r="F281" s="8">
        <v>3.717</v>
      </c>
      <c r="G281" s="66">
        <v>222.2174395</v>
      </c>
      <c r="H281" s="8">
        <v>6.565</v>
      </c>
      <c r="J281" s="26"/>
      <c r="K281"/>
    </row>
    <row r="282" spans="1:11">
      <c r="A282">
        <v>2</v>
      </c>
      <c r="B282" s="64">
        <v>41173</v>
      </c>
      <c r="C282" s="2">
        <v>1829415.67</v>
      </c>
      <c r="D282">
        <v>0</v>
      </c>
      <c r="E282" s="65">
        <v>71.09</v>
      </c>
      <c r="F282" s="8">
        <v>3.721</v>
      </c>
      <c r="G282" s="66">
        <v>222.4169362</v>
      </c>
      <c r="H282" s="8">
        <v>6.565</v>
      </c>
      <c r="J282" s="26"/>
      <c r="K282"/>
    </row>
    <row r="283" spans="1:11">
      <c r="A283">
        <v>2</v>
      </c>
      <c r="B283" s="64">
        <v>41180</v>
      </c>
      <c r="C283" s="2">
        <v>1746470.56</v>
      </c>
      <c r="D283">
        <v>0</v>
      </c>
      <c r="E283" s="65">
        <v>79.45</v>
      </c>
      <c r="F283" s="8">
        <v>3.666</v>
      </c>
      <c r="G283" s="66">
        <v>222.6164329</v>
      </c>
      <c r="H283" s="8">
        <v>6.565</v>
      </c>
      <c r="J283" s="26"/>
      <c r="K283"/>
    </row>
    <row r="284" spans="1:11">
      <c r="A284">
        <v>2</v>
      </c>
      <c r="B284" s="64">
        <v>41187</v>
      </c>
      <c r="C284" s="2">
        <v>1998321.04</v>
      </c>
      <c r="D284">
        <v>0</v>
      </c>
      <c r="E284" s="65">
        <v>70.27</v>
      </c>
      <c r="F284" s="8">
        <v>3.617</v>
      </c>
      <c r="G284" s="66">
        <v>222.8159296</v>
      </c>
      <c r="H284" s="8">
        <v>6.17</v>
      </c>
      <c r="J284" s="26"/>
      <c r="K284"/>
    </row>
    <row r="285" spans="1:11">
      <c r="A285">
        <v>2</v>
      </c>
      <c r="B285" s="64">
        <v>41194</v>
      </c>
      <c r="C285" s="2">
        <v>1900745.13</v>
      </c>
      <c r="D285">
        <v>0</v>
      </c>
      <c r="E285" s="65">
        <v>60.97</v>
      </c>
      <c r="F285" s="8">
        <v>3.601</v>
      </c>
      <c r="G285" s="66">
        <v>223.0154263</v>
      </c>
      <c r="H285" s="8">
        <v>6.17</v>
      </c>
      <c r="J285" s="26"/>
      <c r="K285"/>
    </row>
    <row r="286" spans="1:11">
      <c r="A286">
        <v>2</v>
      </c>
      <c r="B286" s="64">
        <v>41201</v>
      </c>
      <c r="C286" s="2">
        <v>1847990.41</v>
      </c>
      <c r="D286">
        <v>0</v>
      </c>
      <c r="E286" s="65">
        <v>68.08</v>
      </c>
      <c r="F286" s="8">
        <v>3.594</v>
      </c>
      <c r="G286" s="66">
        <v>223.0598077</v>
      </c>
      <c r="H286" s="8">
        <v>6.17</v>
      </c>
      <c r="J286" s="26"/>
      <c r="K286"/>
    </row>
    <row r="287" spans="1:11">
      <c r="A287">
        <v>2</v>
      </c>
      <c r="B287" s="64">
        <v>41208</v>
      </c>
      <c r="C287" s="2">
        <v>1834458.35</v>
      </c>
      <c r="D287">
        <v>0</v>
      </c>
      <c r="E287" s="65">
        <v>69.79</v>
      </c>
      <c r="F287" s="8">
        <v>3.506</v>
      </c>
      <c r="G287" s="66">
        <v>223.0783366</v>
      </c>
      <c r="H287" s="8">
        <v>6.17</v>
      </c>
      <c r="J287" s="26"/>
      <c r="K287"/>
    </row>
    <row r="288" spans="1:11">
      <c r="A288">
        <v>3</v>
      </c>
      <c r="B288" s="64">
        <v>40214</v>
      </c>
      <c r="C288" s="2">
        <v>461622.22</v>
      </c>
      <c r="D288">
        <v>0</v>
      </c>
      <c r="E288" s="65">
        <v>45.71</v>
      </c>
      <c r="F288" s="8">
        <v>2.572</v>
      </c>
      <c r="G288" s="66">
        <v>214.4248812</v>
      </c>
      <c r="H288" s="8">
        <v>7.368</v>
      </c>
      <c r="J288" s="26"/>
      <c r="K288"/>
    </row>
    <row r="289" spans="1:11">
      <c r="A289">
        <v>3</v>
      </c>
      <c r="B289" s="64">
        <v>40221</v>
      </c>
      <c r="C289" s="2">
        <v>420728.96</v>
      </c>
      <c r="D289">
        <v>1</v>
      </c>
      <c r="E289" s="65">
        <v>47.93</v>
      </c>
      <c r="F289" s="8">
        <v>2.548</v>
      </c>
      <c r="G289" s="66">
        <v>214.5747916</v>
      </c>
      <c r="H289" s="8">
        <v>7.368</v>
      </c>
      <c r="J289" s="26"/>
      <c r="K289"/>
    </row>
    <row r="290" spans="1:11">
      <c r="A290">
        <v>3</v>
      </c>
      <c r="B290" s="64">
        <v>40228</v>
      </c>
      <c r="C290" s="2">
        <v>421642.19</v>
      </c>
      <c r="D290">
        <v>0</v>
      </c>
      <c r="E290" s="65">
        <v>47.07</v>
      </c>
      <c r="F290" s="8">
        <v>2.514</v>
      </c>
      <c r="G290" s="66">
        <v>214.6198868</v>
      </c>
      <c r="H290" s="8">
        <v>7.368</v>
      </c>
      <c r="J290" s="26"/>
      <c r="K290"/>
    </row>
    <row r="291" spans="1:11">
      <c r="A291">
        <v>3</v>
      </c>
      <c r="B291" s="64">
        <v>40235</v>
      </c>
      <c r="C291" s="2">
        <v>407204.86</v>
      </c>
      <c r="D291">
        <v>0</v>
      </c>
      <c r="E291" s="65">
        <v>52.05</v>
      </c>
      <c r="F291" s="8">
        <v>2.561</v>
      </c>
      <c r="G291" s="66">
        <v>214.6475127</v>
      </c>
      <c r="H291" s="8">
        <v>7.368</v>
      </c>
      <c r="J291" s="26"/>
      <c r="K291"/>
    </row>
    <row r="292" spans="1:11">
      <c r="A292">
        <v>3</v>
      </c>
      <c r="B292" s="64">
        <v>40242</v>
      </c>
      <c r="C292" s="2">
        <v>415202.04</v>
      </c>
      <c r="D292">
        <v>0</v>
      </c>
      <c r="E292" s="65">
        <v>53.04</v>
      </c>
      <c r="F292" s="8">
        <v>2.625</v>
      </c>
      <c r="G292" s="66">
        <v>214.6751386</v>
      </c>
      <c r="H292" s="8">
        <v>7.368</v>
      </c>
      <c r="J292" s="26"/>
      <c r="K292"/>
    </row>
    <row r="293" spans="1:11">
      <c r="A293">
        <v>3</v>
      </c>
      <c r="B293" s="64">
        <v>40249</v>
      </c>
      <c r="C293" s="2">
        <v>384200.69</v>
      </c>
      <c r="D293">
        <v>0</v>
      </c>
      <c r="E293" s="65">
        <v>63.08</v>
      </c>
      <c r="F293" s="8">
        <v>2.667</v>
      </c>
      <c r="G293" s="66">
        <v>214.7027646</v>
      </c>
      <c r="H293" s="8">
        <v>7.368</v>
      </c>
      <c r="J293" s="26"/>
      <c r="K293"/>
    </row>
    <row r="294" spans="1:11">
      <c r="A294">
        <v>3</v>
      </c>
      <c r="B294" s="64">
        <v>40256</v>
      </c>
      <c r="C294" s="2">
        <v>375328.59</v>
      </c>
      <c r="D294">
        <v>0</v>
      </c>
      <c r="E294" s="65">
        <v>60.42</v>
      </c>
      <c r="F294" s="8">
        <v>2.72</v>
      </c>
      <c r="G294" s="66">
        <v>214.5301219</v>
      </c>
      <c r="H294" s="8">
        <v>7.368</v>
      </c>
      <c r="J294" s="26"/>
      <c r="K294"/>
    </row>
    <row r="295" spans="1:11">
      <c r="A295">
        <v>3</v>
      </c>
      <c r="B295" s="64">
        <v>40263</v>
      </c>
      <c r="C295" s="2">
        <v>359949.27</v>
      </c>
      <c r="D295">
        <v>0</v>
      </c>
      <c r="E295" s="65">
        <v>57.06</v>
      </c>
      <c r="F295" s="8">
        <v>2.732</v>
      </c>
      <c r="G295" s="66">
        <v>214.3241011</v>
      </c>
      <c r="H295" s="8">
        <v>7.368</v>
      </c>
      <c r="J295" s="26"/>
      <c r="K295"/>
    </row>
    <row r="296" spans="1:11">
      <c r="A296">
        <v>3</v>
      </c>
      <c r="B296" s="64">
        <v>40270</v>
      </c>
      <c r="C296" s="2">
        <v>423294.4</v>
      </c>
      <c r="D296">
        <v>0</v>
      </c>
      <c r="E296" s="65">
        <v>65.56</v>
      </c>
      <c r="F296" s="8">
        <v>2.719</v>
      </c>
      <c r="G296" s="66">
        <v>214.1180803</v>
      </c>
      <c r="H296" s="8">
        <v>7.343</v>
      </c>
      <c r="J296" s="26"/>
      <c r="K296"/>
    </row>
    <row r="297" spans="1:11">
      <c r="A297">
        <v>3</v>
      </c>
      <c r="B297" s="64">
        <v>40277</v>
      </c>
      <c r="C297" s="2">
        <v>415870.28</v>
      </c>
      <c r="D297">
        <v>0</v>
      </c>
      <c r="E297" s="65">
        <v>68</v>
      </c>
      <c r="F297" s="8">
        <v>2.77</v>
      </c>
      <c r="G297" s="66">
        <v>213.9120595</v>
      </c>
      <c r="H297" s="8">
        <v>7.343</v>
      </c>
      <c r="J297" s="26"/>
      <c r="K297"/>
    </row>
    <row r="298" spans="1:11">
      <c r="A298">
        <v>3</v>
      </c>
      <c r="B298" s="64">
        <v>40284</v>
      </c>
      <c r="C298" s="2">
        <v>354993.26</v>
      </c>
      <c r="D298">
        <v>0</v>
      </c>
      <c r="E298" s="65">
        <v>66.98</v>
      </c>
      <c r="F298" s="8">
        <v>2.808</v>
      </c>
      <c r="G298" s="66">
        <v>213.7726889</v>
      </c>
      <c r="H298" s="8">
        <v>7.343</v>
      </c>
      <c r="J298" s="26"/>
      <c r="K298"/>
    </row>
    <row r="299" spans="1:11">
      <c r="A299">
        <v>3</v>
      </c>
      <c r="B299" s="64">
        <v>40291</v>
      </c>
      <c r="C299" s="2">
        <v>339976.65</v>
      </c>
      <c r="D299">
        <v>0</v>
      </c>
      <c r="E299" s="65">
        <v>67.87</v>
      </c>
      <c r="F299" s="8">
        <v>2.795</v>
      </c>
      <c r="G299" s="66">
        <v>213.7221852</v>
      </c>
      <c r="H299" s="8">
        <v>7.343</v>
      </c>
      <c r="J299" s="26"/>
      <c r="K299"/>
    </row>
    <row r="300" spans="1:11">
      <c r="A300">
        <v>3</v>
      </c>
      <c r="B300" s="64">
        <v>40298</v>
      </c>
      <c r="C300" s="2">
        <v>361248.39</v>
      </c>
      <c r="D300">
        <v>0</v>
      </c>
      <c r="E300" s="65">
        <v>70.24</v>
      </c>
      <c r="F300" s="8">
        <v>2.78</v>
      </c>
      <c r="G300" s="66">
        <v>213.6716815</v>
      </c>
      <c r="H300" s="8">
        <v>7.343</v>
      </c>
      <c r="J300" s="26"/>
      <c r="K300"/>
    </row>
    <row r="301" spans="1:11">
      <c r="A301">
        <v>3</v>
      </c>
      <c r="B301" s="64">
        <v>40305</v>
      </c>
      <c r="C301" s="2">
        <v>399323.86</v>
      </c>
      <c r="D301">
        <v>0</v>
      </c>
      <c r="E301" s="65">
        <v>73.47</v>
      </c>
      <c r="F301" s="8">
        <v>2.835</v>
      </c>
      <c r="G301" s="66">
        <v>213.6211778</v>
      </c>
      <c r="H301" s="8">
        <v>7.343</v>
      </c>
      <c r="J301" s="26"/>
      <c r="K301"/>
    </row>
    <row r="302" spans="1:11">
      <c r="A302">
        <v>3</v>
      </c>
      <c r="B302" s="64">
        <v>40312</v>
      </c>
      <c r="C302" s="2">
        <v>384357.94</v>
      </c>
      <c r="D302">
        <v>0</v>
      </c>
      <c r="E302" s="65">
        <v>77.18</v>
      </c>
      <c r="F302" s="8">
        <v>2.854</v>
      </c>
      <c r="G302" s="66">
        <v>213.6196139</v>
      </c>
      <c r="H302" s="8">
        <v>7.343</v>
      </c>
      <c r="J302" s="26"/>
      <c r="K302"/>
    </row>
    <row r="303" spans="1:11">
      <c r="A303">
        <v>3</v>
      </c>
      <c r="B303" s="64">
        <v>40319</v>
      </c>
      <c r="C303" s="2">
        <v>343763.17</v>
      </c>
      <c r="D303">
        <v>0</v>
      </c>
      <c r="E303" s="65">
        <v>75.81</v>
      </c>
      <c r="F303" s="8">
        <v>2.826</v>
      </c>
      <c r="G303" s="66">
        <v>213.9116886</v>
      </c>
      <c r="H303" s="8">
        <v>7.343</v>
      </c>
      <c r="J303" s="26"/>
      <c r="K303"/>
    </row>
    <row r="304" spans="1:11">
      <c r="A304">
        <v>3</v>
      </c>
      <c r="B304" s="64">
        <v>40326</v>
      </c>
      <c r="C304" s="2">
        <v>350089.23</v>
      </c>
      <c r="D304">
        <v>0</v>
      </c>
      <c r="E304" s="65">
        <v>78.6</v>
      </c>
      <c r="F304" s="8">
        <v>2.759</v>
      </c>
      <c r="G304" s="66">
        <v>214.2037634</v>
      </c>
      <c r="H304" s="8">
        <v>7.343</v>
      </c>
      <c r="J304" s="26"/>
      <c r="K304"/>
    </row>
    <row r="305" spans="1:11">
      <c r="A305">
        <v>3</v>
      </c>
      <c r="B305" s="64">
        <v>40333</v>
      </c>
      <c r="C305" s="2">
        <v>396968.8</v>
      </c>
      <c r="D305">
        <v>0</v>
      </c>
      <c r="E305" s="65">
        <v>78.53</v>
      </c>
      <c r="F305" s="8">
        <v>2.705</v>
      </c>
      <c r="G305" s="66">
        <v>214.4958382</v>
      </c>
      <c r="H305" s="8">
        <v>7.343</v>
      </c>
      <c r="J305" s="26"/>
      <c r="K305"/>
    </row>
    <row r="306" spans="1:11">
      <c r="A306">
        <v>3</v>
      </c>
      <c r="B306" s="64">
        <v>40340</v>
      </c>
      <c r="C306" s="2">
        <v>355017.09</v>
      </c>
      <c r="D306">
        <v>0</v>
      </c>
      <c r="E306" s="65">
        <v>82.1</v>
      </c>
      <c r="F306" s="8">
        <v>2.668</v>
      </c>
      <c r="G306" s="66">
        <v>214.787913</v>
      </c>
      <c r="H306" s="8">
        <v>7.343</v>
      </c>
      <c r="J306" s="26"/>
      <c r="K306"/>
    </row>
    <row r="307" spans="1:11">
      <c r="A307">
        <v>3</v>
      </c>
      <c r="B307" s="64">
        <v>40347</v>
      </c>
      <c r="C307" s="2">
        <v>364076.85</v>
      </c>
      <c r="D307">
        <v>0</v>
      </c>
      <c r="E307" s="65">
        <v>83.52</v>
      </c>
      <c r="F307" s="8">
        <v>2.637</v>
      </c>
      <c r="G307" s="66">
        <v>214.7858259</v>
      </c>
      <c r="H307" s="8">
        <v>7.343</v>
      </c>
      <c r="J307" s="26"/>
      <c r="K307"/>
    </row>
    <row r="308" spans="1:11">
      <c r="A308">
        <v>3</v>
      </c>
      <c r="B308" s="64">
        <v>40354</v>
      </c>
      <c r="C308" s="2">
        <v>357346.48</v>
      </c>
      <c r="D308">
        <v>0</v>
      </c>
      <c r="E308" s="65">
        <v>83.79</v>
      </c>
      <c r="F308" s="8">
        <v>2.653</v>
      </c>
      <c r="G308" s="66">
        <v>214.6660741</v>
      </c>
      <c r="H308" s="8">
        <v>7.343</v>
      </c>
      <c r="J308" s="26"/>
      <c r="K308"/>
    </row>
    <row r="309" spans="1:11">
      <c r="A309">
        <v>3</v>
      </c>
      <c r="B309" s="64">
        <v>40361</v>
      </c>
      <c r="C309" s="2">
        <v>381151.72</v>
      </c>
      <c r="D309">
        <v>0</v>
      </c>
      <c r="E309" s="65">
        <v>82.2</v>
      </c>
      <c r="F309" s="8">
        <v>2.669</v>
      </c>
      <c r="G309" s="66">
        <v>214.5463222</v>
      </c>
      <c r="H309" s="8">
        <v>7.346</v>
      </c>
      <c r="J309" s="26"/>
      <c r="K309"/>
    </row>
    <row r="310" spans="1:11">
      <c r="A310">
        <v>3</v>
      </c>
      <c r="B310" s="64">
        <v>40368</v>
      </c>
      <c r="C310" s="2">
        <v>349214.18</v>
      </c>
      <c r="D310">
        <v>0</v>
      </c>
      <c r="E310" s="65">
        <v>81.75</v>
      </c>
      <c r="F310" s="8">
        <v>2.642</v>
      </c>
      <c r="G310" s="66">
        <v>214.4265704</v>
      </c>
      <c r="H310" s="8">
        <v>7.346</v>
      </c>
      <c r="J310" s="26"/>
      <c r="K310"/>
    </row>
    <row r="311" spans="1:11">
      <c r="A311">
        <v>3</v>
      </c>
      <c r="B311" s="64">
        <v>40375</v>
      </c>
      <c r="C311" s="2">
        <v>352728.78</v>
      </c>
      <c r="D311">
        <v>0</v>
      </c>
      <c r="E311" s="65">
        <v>84.32</v>
      </c>
      <c r="F311" s="8">
        <v>2.623</v>
      </c>
      <c r="G311" s="66">
        <v>214.4176476</v>
      </c>
      <c r="H311" s="8">
        <v>7.346</v>
      </c>
      <c r="J311" s="26"/>
      <c r="K311"/>
    </row>
    <row r="312" spans="1:11">
      <c r="A312">
        <v>3</v>
      </c>
      <c r="B312" s="64">
        <v>40382</v>
      </c>
      <c r="C312" s="2">
        <v>352864.49</v>
      </c>
      <c r="D312">
        <v>0</v>
      </c>
      <c r="E312" s="65">
        <v>83.32</v>
      </c>
      <c r="F312" s="8">
        <v>2.608</v>
      </c>
      <c r="G312" s="66">
        <v>214.5564968</v>
      </c>
      <c r="H312" s="8">
        <v>7.346</v>
      </c>
      <c r="J312" s="26"/>
      <c r="K312"/>
    </row>
    <row r="313" spans="1:11">
      <c r="A313">
        <v>3</v>
      </c>
      <c r="B313" s="64">
        <v>40389</v>
      </c>
      <c r="C313" s="2">
        <v>347955.05</v>
      </c>
      <c r="D313">
        <v>0</v>
      </c>
      <c r="E313" s="65">
        <v>82.04</v>
      </c>
      <c r="F313" s="8">
        <v>2.64</v>
      </c>
      <c r="G313" s="66">
        <v>214.695346</v>
      </c>
      <c r="H313" s="8">
        <v>7.346</v>
      </c>
      <c r="J313" s="26"/>
      <c r="K313"/>
    </row>
    <row r="314" spans="1:11">
      <c r="A314">
        <v>3</v>
      </c>
      <c r="B314" s="64">
        <v>40396</v>
      </c>
      <c r="C314" s="2">
        <v>402635.76</v>
      </c>
      <c r="D314">
        <v>0</v>
      </c>
      <c r="E314" s="65">
        <v>85.13</v>
      </c>
      <c r="F314" s="8">
        <v>2.627</v>
      </c>
      <c r="G314" s="66">
        <v>214.8341952</v>
      </c>
      <c r="H314" s="8">
        <v>7.346</v>
      </c>
      <c r="J314" s="26"/>
      <c r="K314"/>
    </row>
    <row r="315" spans="1:11">
      <c r="A315">
        <v>3</v>
      </c>
      <c r="B315" s="64">
        <v>40403</v>
      </c>
      <c r="C315" s="2">
        <v>339597.38</v>
      </c>
      <c r="D315">
        <v>0</v>
      </c>
      <c r="E315" s="65">
        <v>86.74</v>
      </c>
      <c r="F315" s="8">
        <v>2.692</v>
      </c>
      <c r="G315" s="66">
        <v>214.9730444</v>
      </c>
      <c r="H315" s="8">
        <v>7.346</v>
      </c>
      <c r="J315" s="26"/>
      <c r="K315"/>
    </row>
    <row r="316" spans="1:11">
      <c r="A316">
        <v>3</v>
      </c>
      <c r="B316" s="64">
        <v>40410</v>
      </c>
      <c r="C316" s="2">
        <v>351728.21</v>
      </c>
      <c r="D316">
        <v>0</v>
      </c>
      <c r="E316" s="65">
        <v>88.02</v>
      </c>
      <c r="F316" s="8">
        <v>2.664</v>
      </c>
      <c r="G316" s="66">
        <v>214.9314191</v>
      </c>
      <c r="H316" s="8">
        <v>7.346</v>
      </c>
      <c r="J316" s="26"/>
      <c r="K316"/>
    </row>
    <row r="317" spans="1:11">
      <c r="A317">
        <v>3</v>
      </c>
      <c r="B317" s="64">
        <v>40417</v>
      </c>
      <c r="C317" s="2">
        <v>362134.09</v>
      </c>
      <c r="D317">
        <v>0</v>
      </c>
      <c r="E317" s="65">
        <v>86.15</v>
      </c>
      <c r="F317" s="8">
        <v>2.619</v>
      </c>
      <c r="G317" s="66">
        <v>214.8897938</v>
      </c>
      <c r="H317" s="8">
        <v>7.346</v>
      </c>
      <c r="J317" s="26"/>
      <c r="K317"/>
    </row>
    <row r="318" spans="1:11">
      <c r="A318">
        <v>3</v>
      </c>
      <c r="B318" s="64">
        <v>40424</v>
      </c>
      <c r="C318" s="2">
        <v>366473.97</v>
      </c>
      <c r="D318">
        <v>0</v>
      </c>
      <c r="E318" s="65">
        <v>84.16</v>
      </c>
      <c r="F318" s="8">
        <v>2.577</v>
      </c>
      <c r="G318" s="66">
        <v>214.8481685</v>
      </c>
      <c r="H318" s="8">
        <v>7.346</v>
      </c>
      <c r="J318" s="26"/>
      <c r="K318"/>
    </row>
    <row r="319" spans="1:11">
      <c r="A319">
        <v>3</v>
      </c>
      <c r="B319" s="64">
        <v>40431</v>
      </c>
      <c r="C319" s="2">
        <v>352260.97</v>
      </c>
      <c r="D319">
        <v>1</v>
      </c>
      <c r="E319" s="65">
        <v>80.84</v>
      </c>
      <c r="F319" s="8">
        <v>2.565</v>
      </c>
      <c r="G319" s="66">
        <v>214.8065431</v>
      </c>
      <c r="H319" s="8">
        <v>7.346</v>
      </c>
      <c r="J319" s="26"/>
      <c r="K319"/>
    </row>
    <row r="320" spans="1:11">
      <c r="A320">
        <v>3</v>
      </c>
      <c r="B320" s="64">
        <v>40438</v>
      </c>
      <c r="C320" s="2">
        <v>363064.64</v>
      </c>
      <c r="D320">
        <v>0</v>
      </c>
      <c r="E320" s="65">
        <v>82.36</v>
      </c>
      <c r="F320" s="8">
        <v>2.582</v>
      </c>
      <c r="G320" s="66">
        <v>214.8322484</v>
      </c>
      <c r="H320" s="8">
        <v>7.346</v>
      </c>
      <c r="J320" s="26"/>
      <c r="K320"/>
    </row>
    <row r="321" spans="1:11">
      <c r="A321">
        <v>3</v>
      </c>
      <c r="B321" s="64">
        <v>40445</v>
      </c>
      <c r="C321" s="2">
        <v>355626.87</v>
      </c>
      <c r="D321">
        <v>0</v>
      </c>
      <c r="E321" s="65">
        <v>76.9</v>
      </c>
      <c r="F321" s="8">
        <v>2.624</v>
      </c>
      <c r="G321" s="66">
        <v>214.9084516</v>
      </c>
      <c r="H321" s="8">
        <v>7.346</v>
      </c>
      <c r="J321" s="26"/>
      <c r="K321"/>
    </row>
    <row r="322" spans="1:11">
      <c r="A322">
        <v>3</v>
      </c>
      <c r="B322" s="64">
        <v>40452</v>
      </c>
      <c r="C322" s="2">
        <v>358784.1</v>
      </c>
      <c r="D322">
        <v>0</v>
      </c>
      <c r="E322" s="65">
        <v>73.6</v>
      </c>
      <c r="F322" s="8">
        <v>2.603</v>
      </c>
      <c r="G322" s="66">
        <v>214.9846548</v>
      </c>
      <c r="H322" s="8">
        <v>7.564</v>
      </c>
      <c r="J322" s="26"/>
      <c r="K322"/>
    </row>
    <row r="323" spans="1:11">
      <c r="A323">
        <v>3</v>
      </c>
      <c r="B323" s="64">
        <v>40459</v>
      </c>
      <c r="C323" s="2">
        <v>395107.35</v>
      </c>
      <c r="D323">
        <v>0</v>
      </c>
      <c r="E323" s="65">
        <v>66.99</v>
      </c>
      <c r="F323" s="8">
        <v>2.633</v>
      </c>
      <c r="G323" s="66">
        <v>215.060858</v>
      </c>
      <c r="H323" s="8">
        <v>7.564</v>
      </c>
      <c r="J323" s="26"/>
      <c r="K323"/>
    </row>
    <row r="324" spans="1:11">
      <c r="A324">
        <v>3</v>
      </c>
      <c r="B324" s="64">
        <v>40466</v>
      </c>
      <c r="C324" s="2">
        <v>345584.39</v>
      </c>
      <c r="D324">
        <v>0</v>
      </c>
      <c r="E324" s="65">
        <v>69.71</v>
      </c>
      <c r="F324" s="8">
        <v>2.72</v>
      </c>
      <c r="G324" s="66">
        <v>215.1293114</v>
      </c>
      <c r="H324" s="8">
        <v>7.564</v>
      </c>
      <c r="J324" s="26"/>
      <c r="K324"/>
    </row>
    <row r="325" spans="1:11">
      <c r="A325">
        <v>3</v>
      </c>
      <c r="B325" s="64">
        <v>40473</v>
      </c>
      <c r="C325" s="2">
        <v>348895.98</v>
      </c>
      <c r="D325">
        <v>0</v>
      </c>
      <c r="E325" s="65">
        <v>71.64</v>
      </c>
      <c r="F325" s="8">
        <v>2.725</v>
      </c>
      <c r="G325" s="66">
        <v>215.17839</v>
      </c>
      <c r="H325" s="8">
        <v>7.564</v>
      </c>
      <c r="J325" s="26"/>
      <c r="K325"/>
    </row>
    <row r="326" spans="1:11">
      <c r="A326">
        <v>3</v>
      </c>
      <c r="B326" s="64">
        <v>40480</v>
      </c>
      <c r="C326" s="2">
        <v>348591.74</v>
      </c>
      <c r="D326">
        <v>0</v>
      </c>
      <c r="E326" s="65">
        <v>72.04</v>
      </c>
      <c r="F326" s="8">
        <v>2.716</v>
      </c>
      <c r="G326" s="66">
        <v>215.2274686</v>
      </c>
      <c r="H326" s="8">
        <v>7.564</v>
      </c>
      <c r="J326" s="26"/>
      <c r="K326"/>
    </row>
    <row r="327" spans="1:11">
      <c r="A327">
        <v>3</v>
      </c>
      <c r="B327" s="64">
        <v>40487</v>
      </c>
      <c r="C327" s="2">
        <v>423175.56</v>
      </c>
      <c r="D327">
        <v>0</v>
      </c>
      <c r="E327" s="65">
        <v>62.94</v>
      </c>
      <c r="F327" s="8">
        <v>2.689</v>
      </c>
      <c r="G327" s="66">
        <v>215.2765472</v>
      </c>
      <c r="H327" s="8">
        <v>7.564</v>
      </c>
      <c r="J327" s="26"/>
      <c r="K327"/>
    </row>
    <row r="328" spans="1:11">
      <c r="A328">
        <v>3</v>
      </c>
      <c r="B328" s="64">
        <v>40494</v>
      </c>
      <c r="C328" s="2">
        <v>386635.03</v>
      </c>
      <c r="D328">
        <v>0</v>
      </c>
      <c r="E328" s="65">
        <v>62.79</v>
      </c>
      <c r="F328" s="8">
        <v>2.728</v>
      </c>
      <c r="G328" s="66">
        <v>215.3256258</v>
      </c>
      <c r="H328" s="8">
        <v>7.564</v>
      </c>
      <c r="J328" s="26"/>
      <c r="K328"/>
    </row>
    <row r="329" spans="1:11">
      <c r="A329">
        <v>3</v>
      </c>
      <c r="B329" s="64">
        <v>40501</v>
      </c>
      <c r="C329" s="2">
        <v>372545.32</v>
      </c>
      <c r="D329">
        <v>0</v>
      </c>
      <c r="E329" s="65">
        <v>57.72</v>
      </c>
      <c r="F329" s="8">
        <v>2.771</v>
      </c>
      <c r="G329" s="66">
        <v>215.2074519</v>
      </c>
      <c r="H329" s="8">
        <v>7.564</v>
      </c>
      <c r="J329" s="26"/>
      <c r="K329"/>
    </row>
    <row r="330" spans="1:11">
      <c r="A330">
        <v>3</v>
      </c>
      <c r="B330" s="64">
        <v>40508</v>
      </c>
      <c r="C330" s="2">
        <v>565567.84</v>
      </c>
      <c r="D330">
        <v>1</v>
      </c>
      <c r="E330" s="65">
        <v>68.71</v>
      </c>
      <c r="F330" s="8">
        <v>2.735</v>
      </c>
      <c r="G330" s="66">
        <v>215.0614025</v>
      </c>
      <c r="H330" s="8">
        <v>7.564</v>
      </c>
      <c r="J330" s="26"/>
      <c r="K330"/>
    </row>
    <row r="331" spans="1:11">
      <c r="A331">
        <v>3</v>
      </c>
      <c r="B331" s="64">
        <v>40515</v>
      </c>
      <c r="C331" s="2">
        <v>476420.77</v>
      </c>
      <c r="D331">
        <v>0</v>
      </c>
      <c r="E331" s="65">
        <v>53.76</v>
      </c>
      <c r="F331" s="8">
        <v>2.708</v>
      </c>
      <c r="G331" s="66">
        <v>214.9153531</v>
      </c>
      <c r="H331" s="8">
        <v>7.564</v>
      </c>
      <c r="J331" s="26"/>
      <c r="K331"/>
    </row>
    <row r="332" spans="1:11">
      <c r="A332">
        <v>3</v>
      </c>
      <c r="B332" s="64">
        <v>40522</v>
      </c>
      <c r="C332" s="2">
        <v>467642.03</v>
      </c>
      <c r="D332">
        <v>0</v>
      </c>
      <c r="E332" s="65">
        <v>51.13</v>
      </c>
      <c r="F332" s="8">
        <v>2.843</v>
      </c>
      <c r="G332" s="66">
        <v>214.7693037</v>
      </c>
      <c r="H332" s="8">
        <v>7.564</v>
      </c>
      <c r="J332" s="26"/>
      <c r="K332"/>
    </row>
    <row r="333" spans="1:11">
      <c r="A333">
        <v>3</v>
      </c>
      <c r="B333" s="64">
        <v>40529</v>
      </c>
      <c r="C333" s="2">
        <v>498159.39</v>
      </c>
      <c r="D333">
        <v>0</v>
      </c>
      <c r="E333" s="65">
        <v>52.2</v>
      </c>
      <c r="F333" s="8">
        <v>2.869</v>
      </c>
      <c r="G333" s="66">
        <v>214.704919</v>
      </c>
      <c r="H333" s="8">
        <v>7.564</v>
      </c>
      <c r="J333" s="26"/>
      <c r="K333"/>
    </row>
    <row r="334" spans="1:11">
      <c r="A334">
        <v>3</v>
      </c>
      <c r="B334" s="64">
        <v>40536</v>
      </c>
      <c r="C334" s="2">
        <v>605990.41</v>
      </c>
      <c r="D334">
        <v>0</v>
      </c>
      <c r="E334" s="65">
        <v>57.16</v>
      </c>
      <c r="F334" s="8">
        <v>2.886</v>
      </c>
      <c r="G334" s="66">
        <v>214.7017828</v>
      </c>
      <c r="H334" s="8">
        <v>7.564</v>
      </c>
      <c r="J334" s="26"/>
      <c r="K334"/>
    </row>
    <row r="335" spans="1:11">
      <c r="A335">
        <v>3</v>
      </c>
      <c r="B335" s="64">
        <v>40543</v>
      </c>
      <c r="C335" s="2">
        <v>382677.76</v>
      </c>
      <c r="D335">
        <v>1</v>
      </c>
      <c r="E335" s="65">
        <v>53.2</v>
      </c>
      <c r="F335" s="8">
        <v>2.943</v>
      </c>
      <c r="G335" s="66">
        <v>214.6986466</v>
      </c>
      <c r="H335" s="8">
        <v>7.564</v>
      </c>
      <c r="J335" s="26"/>
      <c r="K335"/>
    </row>
    <row r="336" spans="1:11">
      <c r="A336">
        <v>3</v>
      </c>
      <c r="B336" s="64">
        <v>40550</v>
      </c>
      <c r="C336" s="2">
        <v>378241.34</v>
      </c>
      <c r="D336">
        <v>0</v>
      </c>
      <c r="E336" s="65">
        <v>53.35</v>
      </c>
      <c r="F336" s="8">
        <v>2.976</v>
      </c>
      <c r="G336" s="66">
        <v>214.6955104</v>
      </c>
      <c r="H336" s="8">
        <v>7.551</v>
      </c>
      <c r="J336" s="26"/>
      <c r="K336"/>
    </row>
    <row r="337" spans="1:11">
      <c r="A337">
        <v>3</v>
      </c>
      <c r="B337" s="64">
        <v>40557</v>
      </c>
      <c r="C337" s="2">
        <v>381061.1</v>
      </c>
      <c r="D337">
        <v>0</v>
      </c>
      <c r="E337" s="65">
        <v>44.76</v>
      </c>
      <c r="F337" s="8">
        <v>2.983</v>
      </c>
      <c r="G337" s="66">
        <v>214.7470729</v>
      </c>
      <c r="H337" s="8">
        <v>7.551</v>
      </c>
      <c r="J337" s="26"/>
      <c r="K337"/>
    </row>
    <row r="338" spans="1:11">
      <c r="A338">
        <v>3</v>
      </c>
      <c r="B338" s="64">
        <v>40564</v>
      </c>
      <c r="C338" s="2">
        <v>350876.7</v>
      </c>
      <c r="D338">
        <v>0</v>
      </c>
      <c r="E338" s="65">
        <v>50.74</v>
      </c>
      <c r="F338" s="8">
        <v>3.016</v>
      </c>
      <c r="G338" s="66">
        <v>215.1268275</v>
      </c>
      <c r="H338" s="8">
        <v>7.551</v>
      </c>
      <c r="J338" s="26"/>
      <c r="K338"/>
    </row>
    <row r="339" spans="1:11">
      <c r="A339">
        <v>3</v>
      </c>
      <c r="B339" s="64">
        <v>40571</v>
      </c>
      <c r="C339" s="2">
        <v>364866.24</v>
      </c>
      <c r="D339">
        <v>0</v>
      </c>
      <c r="E339" s="65">
        <v>48.71</v>
      </c>
      <c r="F339" s="8">
        <v>3.01</v>
      </c>
      <c r="G339" s="66">
        <v>215.5065821</v>
      </c>
      <c r="H339" s="8">
        <v>7.551</v>
      </c>
      <c r="J339" s="26"/>
      <c r="K339"/>
    </row>
    <row r="340" spans="1:11">
      <c r="A340">
        <v>3</v>
      </c>
      <c r="B340" s="64">
        <v>40578</v>
      </c>
      <c r="C340" s="2">
        <v>438516.53</v>
      </c>
      <c r="D340">
        <v>0</v>
      </c>
      <c r="E340" s="65">
        <v>45.95</v>
      </c>
      <c r="F340" s="8">
        <v>2.989</v>
      </c>
      <c r="G340" s="66">
        <v>215.8863367</v>
      </c>
      <c r="H340" s="8">
        <v>7.551</v>
      </c>
      <c r="J340" s="26"/>
      <c r="K340"/>
    </row>
    <row r="341" spans="1:11">
      <c r="A341">
        <v>3</v>
      </c>
      <c r="B341" s="64">
        <v>40585</v>
      </c>
      <c r="C341" s="2">
        <v>430526.21</v>
      </c>
      <c r="D341">
        <v>1</v>
      </c>
      <c r="E341" s="65">
        <v>43.57</v>
      </c>
      <c r="F341" s="8">
        <v>3.022</v>
      </c>
      <c r="G341" s="66">
        <v>216.2660913</v>
      </c>
      <c r="H341" s="8">
        <v>7.551</v>
      </c>
      <c r="J341" s="26"/>
      <c r="K341"/>
    </row>
    <row r="342" spans="1:11">
      <c r="A342">
        <v>3</v>
      </c>
      <c r="B342" s="64">
        <v>40592</v>
      </c>
      <c r="C342" s="2">
        <v>432782.1</v>
      </c>
      <c r="D342">
        <v>0</v>
      </c>
      <c r="E342" s="65">
        <v>61.58</v>
      </c>
      <c r="F342" s="8">
        <v>3.045</v>
      </c>
      <c r="G342" s="66">
        <v>216.5843571</v>
      </c>
      <c r="H342" s="8">
        <v>7.551</v>
      </c>
      <c r="J342" s="26"/>
      <c r="K342"/>
    </row>
    <row r="343" spans="1:11">
      <c r="A343">
        <v>3</v>
      </c>
      <c r="B343" s="64">
        <v>40599</v>
      </c>
      <c r="C343" s="2">
        <v>397211.19</v>
      </c>
      <c r="D343">
        <v>0</v>
      </c>
      <c r="E343" s="65">
        <v>67.4</v>
      </c>
      <c r="F343" s="8">
        <v>3.065</v>
      </c>
      <c r="G343" s="66">
        <v>216.8780275</v>
      </c>
      <c r="H343" s="8">
        <v>7.551</v>
      </c>
      <c r="J343" s="26"/>
      <c r="K343"/>
    </row>
    <row r="344" spans="1:11">
      <c r="A344">
        <v>3</v>
      </c>
      <c r="B344" s="64">
        <v>40606</v>
      </c>
      <c r="C344" s="2">
        <v>437084.51</v>
      </c>
      <c r="D344">
        <v>0</v>
      </c>
      <c r="E344" s="65">
        <v>65.11</v>
      </c>
      <c r="F344" s="8">
        <v>3.288</v>
      </c>
      <c r="G344" s="66">
        <v>217.1716979</v>
      </c>
      <c r="H344" s="8">
        <v>7.551</v>
      </c>
      <c r="J344" s="26"/>
      <c r="K344"/>
    </row>
    <row r="345" spans="1:11">
      <c r="A345">
        <v>3</v>
      </c>
      <c r="B345" s="64">
        <v>40613</v>
      </c>
      <c r="C345" s="2">
        <v>404753.3</v>
      </c>
      <c r="D345">
        <v>0</v>
      </c>
      <c r="E345" s="65">
        <v>61.29</v>
      </c>
      <c r="F345" s="8">
        <v>3.459</v>
      </c>
      <c r="G345" s="66">
        <v>217.4653683</v>
      </c>
      <c r="H345" s="8">
        <v>7.551</v>
      </c>
      <c r="J345" s="26"/>
      <c r="K345"/>
    </row>
    <row r="346" spans="1:11">
      <c r="A346">
        <v>3</v>
      </c>
      <c r="B346" s="64">
        <v>40620</v>
      </c>
      <c r="C346" s="2">
        <v>392109.51</v>
      </c>
      <c r="D346">
        <v>0</v>
      </c>
      <c r="E346" s="65">
        <v>69.47</v>
      </c>
      <c r="F346" s="8">
        <v>3.488</v>
      </c>
      <c r="G346" s="66">
        <v>217.7235226</v>
      </c>
      <c r="H346" s="8">
        <v>7.551</v>
      </c>
      <c r="J346" s="26"/>
      <c r="K346"/>
    </row>
    <row r="347" spans="1:11">
      <c r="A347">
        <v>3</v>
      </c>
      <c r="B347" s="64">
        <v>40627</v>
      </c>
      <c r="C347" s="2">
        <v>380683.67</v>
      </c>
      <c r="D347">
        <v>0</v>
      </c>
      <c r="E347" s="65">
        <v>72.94</v>
      </c>
      <c r="F347" s="8">
        <v>3.473</v>
      </c>
      <c r="G347" s="66">
        <v>217.9674705</v>
      </c>
      <c r="H347" s="8">
        <v>7.551</v>
      </c>
      <c r="J347" s="26"/>
      <c r="K347"/>
    </row>
    <row r="348" spans="1:11">
      <c r="A348">
        <v>3</v>
      </c>
      <c r="B348" s="64">
        <v>40634</v>
      </c>
      <c r="C348" s="2">
        <v>374556.08</v>
      </c>
      <c r="D348">
        <v>0</v>
      </c>
      <c r="E348" s="65">
        <v>68.76</v>
      </c>
      <c r="F348" s="8">
        <v>3.524</v>
      </c>
      <c r="G348" s="66">
        <v>218.2114184</v>
      </c>
      <c r="H348" s="8">
        <v>7.574</v>
      </c>
      <c r="J348" s="26"/>
      <c r="K348"/>
    </row>
    <row r="349" spans="1:11">
      <c r="A349">
        <v>3</v>
      </c>
      <c r="B349" s="64">
        <v>40641</v>
      </c>
      <c r="C349" s="2">
        <v>384075.31</v>
      </c>
      <c r="D349">
        <v>0</v>
      </c>
      <c r="E349" s="65">
        <v>72.55</v>
      </c>
      <c r="F349" s="8">
        <v>3.622</v>
      </c>
      <c r="G349" s="66">
        <v>218.4553663</v>
      </c>
      <c r="H349" s="8">
        <v>7.574</v>
      </c>
      <c r="J349" s="26"/>
      <c r="K349"/>
    </row>
    <row r="350" spans="1:11">
      <c r="A350">
        <v>3</v>
      </c>
      <c r="B350" s="64">
        <v>40648</v>
      </c>
      <c r="C350" s="2">
        <v>366250.69</v>
      </c>
      <c r="D350">
        <v>0</v>
      </c>
      <c r="E350" s="65">
        <v>75.88</v>
      </c>
      <c r="F350" s="8">
        <v>3.743</v>
      </c>
      <c r="G350" s="66">
        <v>218.6788642</v>
      </c>
      <c r="H350" s="8">
        <v>7.574</v>
      </c>
      <c r="J350" s="26"/>
      <c r="K350"/>
    </row>
    <row r="351" spans="1:11">
      <c r="A351">
        <v>3</v>
      </c>
      <c r="B351" s="64">
        <v>40655</v>
      </c>
      <c r="C351" s="2">
        <v>391860.04</v>
      </c>
      <c r="D351">
        <v>0</v>
      </c>
      <c r="E351" s="65">
        <v>76.91</v>
      </c>
      <c r="F351" s="8">
        <v>3.807</v>
      </c>
      <c r="G351" s="66">
        <v>218.851237</v>
      </c>
      <c r="H351" s="8">
        <v>7.574</v>
      </c>
      <c r="J351" s="26"/>
      <c r="K351"/>
    </row>
    <row r="352" spans="1:11">
      <c r="A352">
        <v>3</v>
      </c>
      <c r="B352" s="64">
        <v>40662</v>
      </c>
      <c r="C352" s="2">
        <v>367405.4</v>
      </c>
      <c r="D352">
        <v>0</v>
      </c>
      <c r="E352" s="65">
        <v>78.69</v>
      </c>
      <c r="F352" s="8">
        <v>3.81</v>
      </c>
      <c r="G352" s="66">
        <v>219.0236099</v>
      </c>
      <c r="H352" s="8">
        <v>7.574</v>
      </c>
      <c r="J352" s="26"/>
      <c r="K352"/>
    </row>
    <row r="353" spans="1:11">
      <c r="A353">
        <v>3</v>
      </c>
      <c r="B353" s="64">
        <v>40669</v>
      </c>
      <c r="C353" s="2">
        <v>413042.12</v>
      </c>
      <c r="D353">
        <v>0</v>
      </c>
      <c r="E353" s="65">
        <v>69.45</v>
      </c>
      <c r="F353" s="8">
        <v>3.906</v>
      </c>
      <c r="G353" s="66">
        <v>219.1959827</v>
      </c>
      <c r="H353" s="8">
        <v>7.574</v>
      </c>
      <c r="J353" s="26"/>
      <c r="K353"/>
    </row>
    <row r="354" spans="1:11">
      <c r="A354">
        <v>3</v>
      </c>
      <c r="B354" s="64">
        <v>40676</v>
      </c>
      <c r="C354" s="2">
        <v>386312.68</v>
      </c>
      <c r="D354">
        <v>0</v>
      </c>
      <c r="E354" s="65">
        <v>79.87</v>
      </c>
      <c r="F354" s="8">
        <v>3.899</v>
      </c>
      <c r="G354" s="66">
        <v>219.3683556</v>
      </c>
      <c r="H354" s="8">
        <v>7.574</v>
      </c>
      <c r="J354" s="26"/>
      <c r="K354"/>
    </row>
    <row r="355" spans="1:11">
      <c r="A355">
        <v>3</v>
      </c>
      <c r="B355" s="64">
        <v>40683</v>
      </c>
      <c r="C355" s="2">
        <v>364603.13</v>
      </c>
      <c r="D355">
        <v>0</v>
      </c>
      <c r="E355" s="65">
        <v>75.79</v>
      </c>
      <c r="F355" s="8">
        <v>3.907</v>
      </c>
      <c r="G355" s="66">
        <v>219.127216</v>
      </c>
      <c r="H355" s="8">
        <v>7.574</v>
      </c>
      <c r="J355" s="26"/>
      <c r="K355"/>
    </row>
    <row r="356" spans="1:11">
      <c r="A356">
        <v>3</v>
      </c>
      <c r="B356" s="64">
        <v>40690</v>
      </c>
      <c r="C356" s="2">
        <v>369350.6</v>
      </c>
      <c r="D356">
        <v>0</v>
      </c>
      <c r="E356" s="65">
        <v>84.41</v>
      </c>
      <c r="F356" s="8">
        <v>3.786</v>
      </c>
      <c r="G356" s="66">
        <v>218.8860765</v>
      </c>
      <c r="H356" s="8">
        <v>7.574</v>
      </c>
      <c r="J356" s="26"/>
      <c r="K356"/>
    </row>
    <row r="357" spans="1:11">
      <c r="A357">
        <v>3</v>
      </c>
      <c r="B357" s="64">
        <v>40697</v>
      </c>
      <c r="C357" s="2">
        <v>394507.84</v>
      </c>
      <c r="D357">
        <v>0</v>
      </c>
      <c r="E357" s="65">
        <v>84.29</v>
      </c>
      <c r="F357" s="8">
        <v>3.699</v>
      </c>
      <c r="G357" s="66">
        <v>218.6449369</v>
      </c>
      <c r="H357" s="8">
        <v>7.574</v>
      </c>
      <c r="J357" s="26"/>
      <c r="K357"/>
    </row>
    <row r="358" spans="1:11">
      <c r="A358">
        <v>3</v>
      </c>
      <c r="B358" s="64">
        <v>40704</v>
      </c>
      <c r="C358" s="2">
        <v>391638.75</v>
      </c>
      <c r="D358">
        <v>0</v>
      </c>
      <c r="E358" s="65">
        <v>84.84</v>
      </c>
      <c r="F358" s="8">
        <v>3.648</v>
      </c>
      <c r="G358" s="66">
        <v>218.4037974</v>
      </c>
      <c r="H358" s="8">
        <v>7.574</v>
      </c>
      <c r="J358" s="26"/>
      <c r="K358"/>
    </row>
    <row r="359" spans="1:11">
      <c r="A359">
        <v>3</v>
      </c>
      <c r="B359" s="64">
        <v>40711</v>
      </c>
      <c r="C359" s="2">
        <v>403423.34</v>
      </c>
      <c r="D359">
        <v>0</v>
      </c>
      <c r="E359" s="65">
        <v>86.96</v>
      </c>
      <c r="F359" s="8">
        <v>3.637</v>
      </c>
      <c r="G359" s="66">
        <v>218.3551748</v>
      </c>
      <c r="H359" s="8">
        <v>7.574</v>
      </c>
      <c r="J359" s="26"/>
      <c r="K359"/>
    </row>
    <row r="360" spans="1:11">
      <c r="A360">
        <v>3</v>
      </c>
      <c r="B360" s="64">
        <v>40718</v>
      </c>
      <c r="C360" s="2">
        <v>385520.71</v>
      </c>
      <c r="D360">
        <v>0</v>
      </c>
      <c r="E360" s="65">
        <v>84.94</v>
      </c>
      <c r="F360" s="8">
        <v>3.594</v>
      </c>
      <c r="G360" s="66">
        <v>218.45094</v>
      </c>
      <c r="H360" s="8">
        <v>7.574</v>
      </c>
      <c r="J360" s="26"/>
      <c r="K360"/>
    </row>
    <row r="361" spans="1:11">
      <c r="A361">
        <v>3</v>
      </c>
      <c r="B361" s="64">
        <v>40725</v>
      </c>
      <c r="C361" s="2">
        <v>368962.72</v>
      </c>
      <c r="D361">
        <v>0</v>
      </c>
      <c r="E361" s="65">
        <v>85.1</v>
      </c>
      <c r="F361" s="8">
        <v>3.524</v>
      </c>
      <c r="G361" s="66">
        <v>218.5467052</v>
      </c>
      <c r="H361" s="8">
        <v>7.567</v>
      </c>
      <c r="J361" s="26"/>
      <c r="K361"/>
    </row>
    <row r="362" spans="1:11">
      <c r="A362">
        <v>3</v>
      </c>
      <c r="B362" s="64">
        <v>40732</v>
      </c>
      <c r="C362" s="2">
        <v>395146.24</v>
      </c>
      <c r="D362">
        <v>0</v>
      </c>
      <c r="E362" s="65">
        <v>85.38</v>
      </c>
      <c r="F362" s="8">
        <v>3.48</v>
      </c>
      <c r="G362" s="66">
        <v>218.6424704</v>
      </c>
      <c r="H362" s="8">
        <v>7.567</v>
      </c>
      <c r="J362" s="26"/>
      <c r="K362"/>
    </row>
    <row r="363" spans="1:11">
      <c r="A363">
        <v>3</v>
      </c>
      <c r="B363" s="64">
        <v>40739</v>
      </c>
      <c r="C363" s="2">
        <v>373454.33</v>
      </c>
      <c r="D363">
        <v>0</v>
      </c>
      <c r="E363" s="65">
        <v>87.14</v>
      </c>
      <c r="F363" s="8">
        <v>3.575</v>
      </c>
      <c r="G363" s="66">
        <v>218.7275216</v>
      </c>
      <c r="H363" s="8">
        <v>7.567</v>
      </c>
      <c r="J363" s="26"/>
      <c r="K363"/>
    </row>
    <row r="364" spans="1:11">
      <c r="A364">
        <v>3</v>
      </c>
      <c r="B364" s="64">
        <v>40746</v>
      </c>
      <c r="C364" s="2">
        <v>360617.37</v>
      </c>
      <c r="D364">
        <v>0</v>
      </c>
      <c r="E364" s="65">
        <v>86.19</v>
      </c>
      <c r="F364" s="8">
        <v>3.651</v>
      </c>
      <c r="G364" s="66">
        <v>218.7857881</v>
      </c>
      <c r="H364" s="8">
        <v>7.567</v>
      </c>
      <c r="J364" s="26"/>
      <c r="K364"/>
    </row>
    <row r="365" spans="1:11">
      <c r="A365">
        <v>3</v>
      </c>
      <c r="B365" s="64">
        <v>40753</v>
      </c>
      <c r="C365" s="2">
        <v>345381.29</v>
      </c>
      <c r="D365">
        <v>0</v>
      </c>
      <c r="E365" s="65">
        <v>88.07</v>
      </c>
      <c r="F365" s="8">
        <v>3.682</v>
      </c>
      <c r="G365" s="66">
        <v>218.8440545</v>
      </c>
      <c r="H365" s="8">
        <v>7.567</v>
      </c>
      <c r="J365" s="26"/>
      <c r="K365"/>
    </row>
    <row r="366" spans="1:11">
      <c r="A366">
        <v>3</v>
      </c>
      <c r="B366" s="64">
        <v>40760</v>
      </c>
      <c r="C366" s="2">
        <v>409981.25</v>
      </c>
      <c r="D366">
        <v>0</v>
      </c>
      <c r="E366" s="65">
        <v>88.45</v>
      </c>
      <c r="F366" s="8">
        <v>3.684</v>
      </c>
      <c r="G366" s="66">
        <v>218.9023209</v>
      </c>
      <c r="H366" s="8">
        <v>7.567</v>
      </c>
      <c r="J366" s="26"/>
      <c r="K366"/>
    </row>
    <row r="367" spans="1:11">
      <c r="A367">
        <v>3</v>
      </c>
      <c r="B367" s="64">
        <v>40767</v>
      </c>
      <c r="C367" s="2">
        <v>380376.85</v>
      </c>
      <c r="D367">
        <v>0</v>
      </c>
      <c r="E367" s="65">
        <v>88.88</v>
      </c>
      <c r="F367" s="8">
        <v>3.638</v>
      </c>
      <c r="G367" s="66">
        <v>218.9605873</v>
      </c>
      <c r="H367" s="8">
        <v>7.567</v>
      </c>
      <c r="J367" s="26"/>
      <c r="K367"/>
    </row>
    <row r="368" spans="1:11">
      <c r="A368">
        <v>3</v>
      </c>
      <c r="B368" s="64">
        <v>40774</v>
      </c>
      <c r="C368" s="2">
        <v>379716.91</v>
      </c>
      <c r="D368">
        <v>0</v>
      </c>
      <c r="E368" s="65">
        <v>88.44</v>
      </c>
      <c r="F368" s="8">
        <v>3.554</v>
      </c>
      <c r="G368" s="66">
        <v>219.023271</v>
      </c>
      <c r="H368" s="8">
        <v>7.567</v>
      </c>
      <c r="J368" s="26"/>
      <c r="K368"/>
    </row>
    <row r="369" spans="1:11">
      <c r="A369">
        <v>3</v>
      </c>
      <c r="B369" s="64">
        <v>40781</v>
      </c>
      <c r="C369" s="2">
        <v>366367.55</v>
      </c>
      <c r="D369">
        <v>0</v>
      </c>
      <c r="E369" s="65">
        <v>87.67</v>
      </c>
      <c r="F369" s="8">
        <v>3.523</v>
      </c>
      <c r="G369" s="66">
        <v>219.0866908</v>
      </c>
      <c r="H369" s="8">
        <v>7.567</v>
      </c>
      <c r="J369" s="26"/>
      <c r="K369"/>
    </row>
    <row r="370" spans="1:11">
      <c r="A370">
        <v>3</v>
      </c>
      <c r="B370" s="64">
        <v>40788</v>
      </c>
      <c r="C370" s="2">
        <v>375988.69</v>
      </c>
      <c r="D370">
        <v>0</v>
      </c>
      <c r="E370" s="65">
        <v>89.12</v>
      </c>
      <c r="F370" s="8">
        <v>3.533</v>
      </c>
      <c r="G370" s="66">
        <v>219.1501106</v>
      </c>
      <c r="H370" s="8">
        <v>7.567</v>
      </c>
      <c r="J370" s="26"/>
      <c r="K370"/>
    </row>
    <row r="371" spans="1:11">
      <c r="A371">
        <v>3</v>
      </c>
      <c r="B371" s="64">
        <v>40795</v>
      </c>
      <c r="C371" s="2">
        <v>377347.49</v>
      </c>
      <c r="D371">
        <v>1</v>
      </c>
      <c r="E371" s="65">
        <v>81.72</v>
      </c>
      <c r="F371" s="8">
        <v>3.546</v>
      </c>
      <c r="G371" s="66">
        <v>219.2135305</v>
      </c>
      <c r="H371" s="8">
        <v>7.567</v>
      </c>
      <c r="J371" s="26"/>
      <c r="K371"/>
    </row>
    <row r="372" spans="1:11">
      <c r="A372">
        <v>3</v>
      </c>
      <c r="B372" s="64">
        <v>40802</v>
      </c>
      <c r="C372" s="2">
        <v>375629.51</v>
      </c>
      <c r="D372">
        <v>0</v>
      </c>
      <c r="E372" s="65">
        <v>83.63</v>
      </c>
      <c r="F372" s="8">
        <v>3.526</v>
      </c>
      <c r="G372" s="66">
        <v>219.3972867</v>
      </c>
      <c r="H372" s="8">
        <v>7.567</v>
      </c>
      <c r="J372" s="26"/>
      <c r="K372"/>
    </row>
    <row r="373" spans="1:11">
      <c r="A373">
        <v>3</v>
      </c>
      <c r="B373" s="64">
        <v>40809</v>
      </c>
      <c r="C373" s="2">
        <v>365248.94</v>
      </c>
      <c r="D373">
        <v>0</v>
      </c>
      <c r="E373" s="65">
        <v>80.19</v>
      </c>
      <c r="F373" s="8">
        <v>3.467</v>
      </c>
      <c r="G373" s="66">
        <v>219.7414914</v>
      </c>
      <c r="H373" s="8">
        <v>7.567</v>
      </c>
      <c r="J373" s="26"/>
      <c r="K373"/>
    </row>
    <row r="374" spans="1:11">
      <c r="A374">
        <v>3</v>
      </c>
      <c r="B374" s="64">
        <v>40816</v>
      </c>
      <c r="C374" s="2">
        <v>368477.93</v>
      </c>
      <c r="D374">
        <v>0</v>
      </c>
      <c r="E374" s="65">
        <v>82.58</v>
      </c>
      <c r="F374" s="8">
        <v>3.355</v>
      </c>
      <c r="G374" s="66">
        <v>220.085696</v>
      </c>
      <c r="H374" s="8">
        <v>7.567</v>
      </c>
      <c r="J374" s="26"/>
      <c r="K374"/>
    </row>
    <row r="375" spans="1:11">
      <c r="A375">
        <v>3</v>
      </c>
      <c r="B375" s="64">
        <v>40823</v>
      </c>
      <c r="C375" s="2">
        <v>403342.4</v>
      </c>
      <c r="D375">
        <v>0</v>
      </c>
      <c r="E375" s="65">
        <v>75.54</v>
      </c>
      <c r="F375" s="8">
        <v>3.285</v>
      </c>
      <c r="G375" s="66">
        <v>220.4299007</v>
      </c>
      <c r="H375" s="8">
        <v>7.197</v>
      </c>
      <c r="J375" s="26"/>
      <c r="K375"/>
    </row>
    <row r="376" spans="1:11">
      <c r="A376">
        <v>3</v>
      </c>
      <c r="B376" s="64">
        <v>40830</v>
      </c>
      <c r="C376" s="2">
        <v>368282.57</v>
      </c>
      <c r="D376">
        <v>0</v>
      </c>
      <c r="E376" s="65">
        <v>73.75</v>
      </c>
      <c r="F376" s="8">
        <v>3.274</v>
      </c>
      <c r="G376" s="66">
        <v>220.7486167</v>
      </c>
      <c r="H376" s="8">
        <v>7.197</v>
      </c>
      <c r="J376" s="26"/>
      <c r="K376"/>
    </row>
    <row r="377" spans="1:11">
      <c r="A377">
        <v>3</v>
      </c>
      <c r="B377" s="64">
        <v>40837</v>
      </c>
      <c r="C377" s="2">
        <v>394976.36</v>
      </c>
      <c r="D377">
        <v>0</v>
      </c>
      <c r="E377" s="65">
        <v>69.03</v>
      </c>
      <c r="F377" s="8">
        <v>3.353</v>
      </c>
      <c r="G377" s="66">
        <v>220.9144005</v>
      </c>
      <c r="H377" s="8">
        <v>7.197</v>
      </c>
      <c r="J377" s="26"/>
      <c r="K377"/>
    </row>
    <row r="378" spans="1:11">
      <c r="A378">
        <v>3</v>
      </c>
      <c r="B378" s="64">
        <v>40844</v>
      </c>
      <c r="C378" s="2">
        <v>389540.62</v>
      </c>
      <c r="D378">
        <v>0</v>
      </c>
      <c r="E378" s="65">
        <v>71.04</v>
      </c>
      <c r="F378" s="8">
        <v>3.372</v>
      </c>
      <c r="G378" s="66">
        <v>221.0801842</v>
      </c>
      <c r="H378" s="8">
        <v>7.197</v>
      </c>
      <c r="J378" s="26"/>
      <c r="K378"/>
    </row>
    <row r="379" spans="1:11">
      <c r="A379">
        <v>3</v>
      </c>
      <c r="B379" s="64">
        <v>40851</v>
      </c>
      <c r="C379" s="2">
        <v>459443.22</v>
      </c>
      <c r="D379">
        <v>0</v>
      </c>
      <c r="E379" s="65">
        <v>59.31</v>
      </c>
      <c r="F379" s="8">
        <v>3.332</v>
      </c>
      <c r="G379" s="66">
        <v>221.245968</v>
      </c>
      <c r="H379" s="8">
        <v>7.197</v>
      </c>
      <c r="J379" s="26"/>
      <c r="K379"/>
    </row>
    <row r="380" spans="1:11">
      <c r="A380">
        <v>3</v>
      </c>
      <c r="B380" s="64">
        <v>40858</v>
      </c>
      <c r="C380" s="2">
        <v>407764.25</v>
      </c>
      <c r="D380">
        <v>0</v>
      </c>
      <c r="E380" s="65">
        <v>61.7</v>
      </c>
      <c r="F380" s="8">
        <v>3.297</v>
      </c>
      <c r="G380" s="66">
        <v>221.4117517</v>
      </c>
      <c r="H380" s="8">
        <v>7.197</v>
      </c>
      <c r="J380" s="26"/>
      <c r="K380"/>
    </row>
    <row r="381" spans="1:11">
      <c r="A381">
        <v>3</v>
      </c>
      <c r="B381" s="64">
        <v>40865</v>
      </c>
      <c r="C381" s="2">
        <v>398838.97</v>
      </c>
      <c r="D381">
        <v>0</v>
      </c>
      <c r="E381" s="65">
        <v>63.91</v>
      </c>
      <c r="F381" s="8">
        <v>3.308</v>
      </c>
      <c r="G381" s="66">
        <v>221.6432852</v>
      </c>
      <c r="H381" s="8">
        <v>7.197</v>
      </c>
      <c r="J381" s="26"/>
      <c r="K381"/>
    </row>
    <row r="382" spans="1:11">
      <c r="A382">
        <v>3</v>
      </c>
      <c r="B382" s="64">
        <v>40872</v>
      </c>
      <c r="C382" s="2">
        <v>556925.19</v>
      </c>
      <c r="D382">
        <v>1</v>
      </c>
      <c r="E382" s="65">
        <v>68</v>
      </c>
      <c r="F382" s="8">
        <v>3.236</v>
      </c>
      <c r="G382" s="66">
        <v>221.9011185</v>
      </c>
      <c r="H382" s="8">
        <v>7.197</v>
      </c>
      <c r="J382" s="26"/>
      <c r="K382"/>
    </row>
    <row r="383" spans="1:11">
      <c r="A383">
        <v>3</v>
      </c>
      <c r="B383" s="64">
        <v>40879</v>
      </c>
      <c r="C383" s="2">
        <v>472511.32</v>
      </c>
      <c r="D383">
        <v>0</v>
      </c>
      <c r="E383" s="65">
        <v>54.97</v>
      </c>
      <c r="F383" s="8">
        <v>3.172</v>
      </c>
      <c r="G383" s="66">
        <v>222.1589519</v>
      </c>
      <c r="H383" s="8">
        <v>7.197</v>
      </c>
      <c r="J383" s="26"/>
      <c r="K383"/>
    </row>
    <row r="384" spans="1:11">
      <c r="A384">
        <v>3</v>
      </c>
      <c r="B384" s="64">
        <v>40886</v>
      </c>
      <c r="C384" s="2">
        <v>468772.8</v>
      </c>
      <c r="D384">
        <v>0</v>
      </c>
      <c r="E384" s="65">
        <v>49.26</v>
      </c>
      <c r="F384" s="8">
        <v>3.158</v>
      </c>
      <c r="G384" s="66">
        <v>222.4167852</v>
      </c>
      <c r="H384" s="8">
        <v>7.197</v>
      </c>
      <c r="J384" s="26"/>
      <c r="K384"/>
    </row>
    <row r="385" spans="1:11">
      <c r="A385">
        <v>3</v>
      </c>
      <c r="B385" s="64">
        <v>40893</v>
      </c>
      <c r="C385" s="2">
        <v>510747.62</v>
      </c>
      <c r="D385">
        <v>0</v>
      </c>
      <c r="E385" s="65">
        <v>57.95</v>
      </c>
      <c r="F385" s="8">
        <v>3.159</v>
      </c>
      <c r="G385" s="66">
        <v>222.6426418</v>
      </c>
      <c r="H385" s="8">
        <v>7.197</v>
      </c>
      <c r="J385" s="26"/>
      <c r="K385"/>
    </row>
    <row r="386" spans="1:11">
      <c r="A386">
        <v>3</v>
      </c>
      <c r="B386" s="64">
        <v>40900</v>
      </c>
      <c r="C386" s="2">
        <v>551221.21</v>
      </c>
      <c r="D386">
        <v>0</v>
      </c>
      <c r="E386" s="65">
        <v>53.41</v>
      </c>
      <c r="F386" s="8">
        <v>3.112</v>
      </c>
      <c r="G386" s="66">
        <v>222.8258628</v>
      </c>
      <c r="H386" s="8">
        <v>7.197</v>
      </c>
      <c r="J386" s="26"/>
      <c r="K386"/>
    </row>
    <row r="387" spans="1:11">
      <c r="A387">
        <v>3</v>
      </c>
      <c r="B387" s="64">
        <v>40907</v>
      </c>
      <c r="C387" s="2">
        <v>410553.88</v>
      </c>
      <c r="D387">
        <v>1</v>
      </c>
      <c r="E387" s="65">
        <v>48.29</v>
      </c>
      <c r="F387" s="8">
        <v>3.129</v>
      </c>
      <c r="G387" s="66">
        <v>223.0090839</v>
      </c>
      <c r="H387" s="8">
        <v>7.197</v>
      </c>
      <c r="J387" s="26"/>
      <c r="K387"/>
    </row>
    <row r="388" spans="1:11">
      <c r="A388">
        <v>3</v>
      </c>
      <c r="B388" s="64">
        <v>40914</v>
      </c>
      <c r="C388" s="2">
        <v>398178.21</v>
      </c>
      <c r="D388">
        <v>0</v>
      </c>
      <c r="E388" s="65">
        <v>52.42</v>
      </c>
      <c r="F388" s="8">
        <v>3.157</v>
      </c>
      <c r="G388" s="66">
        <v>223.1923049</v>
      </c>
      <c r="H388" s="8">
        <v>6.833</v>
      </c>
      <c r="J388" s="26"/>
      <c r="K388"/>
    </row>
    <row r="389" spans="1:11">
      <c r="A389">
        <v>3</v>
      </c>
      <c r="B389" s="64">
        <v>40921</v>
      </c>
      <c r="C389" s="2">
        <v>367438.62</v>
      </c>
      <c r="D389">
        <v>0</v>
      </c>
      <c r="E389" s="65">
        <v>51.86</v>
      </c>
      <c r="F389" s="8">
        <v>3.261</v>
      </c>
      <c r="G389" s="66">
        <v>223.3755259</v>
      </c>
      <c r="H389" s="8">
        <v>6.833</v>
      </c>
      <c r="J389" s="26"/>
      <c r="K389"/>
    </row>
    <row r="390" spans="1:11">
      <c r="A390">
        <v>3</v>
      </c>
      <c r="B390" s="64">
        <v>40928</v>
      </c>
      <c r="C390" s="2">
        <v>365818.61</v>
      </c>
      <c r="D390">
        <v>0</v>
      </c>
      <c r="E390" s="65">
        <v>56.2</v>
      </c>
      <c r="F390" s="8">
        <v>3.268</v>
      </c>
      <c r="G390" s="66">
        <v>223.4700552</v>
      </c>
      <c r="H390" s="8">
        <v>6.833</v>
      </c>
      <c r="J390" s="26"/>
      <c r="K390"/>
    </row>
    <row r="391" spans="1:11">
      <c r="A391">
        <v>3</v>
      </c>
      <c r="B391" s="64">
        <v>40935</v>
      </c>
      <c r="C391" s="2">
        <v>349518.1</v>
      </c>
      <c r="D391">
        <v>0</v>
      </c>
      <c r="E391" s="65">
        <v>58.06</v>
      </c>
      <c r="F391" s="8">
        <v>3.29</v>
      </c>
      <c r="G391" s="66">
        <v>223.5645845</v>
      </c>
      <c r="H391" s="8">
        <v>6.833</v>
      </c>
      <c r="J391" s="26"/>
      <c r="K391"/>
    </row>
    <row r="392" spans="1:11">
      <c r="A392">
        <v>3</v>
      </c>
      <c r="B392" s="64">
        <v>40942</v>
      </c>
      <c r="C392" s="2">
        <v>424960.66</v>
      </c>
      <c r="D392">
        <v>0</v>
      </c>
      <c r="E392" s="65">
        <v>59.33</v>
      </c>
      <c r="F392" s="8">
        <v>3.36</v>
      </c>
      <c r="G392" s="66">
        <v>223.6591137</v>
      </c>
      <c r="H392" s="8">
        <v>6.833</v>
      </c>
      <c r="J392" s="26"/>
      <c r="K392"/>
    </row>
    <row r="393" spans="1:11">
      <c r="A393">
        <v>3</v>
      </c>
      <c r="B393" s="64">
        <v>40949</v>
      </c>
      <c r="C393" s="2">
        <v>473292.47</v>
      </c>
      <c r="D393">
        <v>1</v>
      </c>
      <c r="E393" s="65">
        <v>51.65</v>
      </c>
      <c r="F393" s="8">
        <v>3.409</v>
      </c>
      <c r="G393" s="66">
        <v>223.753643</v>
      </c>
      <c r="H393" s="8">
        <v>6.833</v>
      </c>
      <c r="J393" s="26"/>
      <c r="K393"/>
    </row>
    <row r="394" spans="1:11">
      <c r="A394">
        <v>3</v>
      </c>
      <c r="B394" s="64">
        <v>40956</v>
      </c>
      <c r="C394" s="2">
        <v>475591.08</v>
      </c>
      <c r="D394">
        <v>0</v>
      </c>
      <c r="E394" s="65">
        <v>52.39</v>
      </c>
      <c r="F394" s="8">
        <v>3.51</v>
      </c>
      <c r="G394" s="66">
        <v>223.9170153</v>
      </c>
      <c r="H394" s="8">
        <v>6.833</v>
      </c>
      <c r="J394" s="26"/>
      <c r="K394"/>
    </row>
    <row r="395" spans="1:11">
      <c r="A395">
        <v>3</v>
      </c>
      <c r="B395" s="64">
        <v>40963</v>
      </c>
      <c r="C395" s="2">
        <v>418925.47</v>
      </c>
      <c r="D395">
        <v>0</v>
      </c>
      <c r="E395" s="65">
        <v>60.12</v>
      </c>
      <c r="F395" s="8">
        <v>3.555</v>
      </c>
      <c r="G395" s="66">
        <v>224.1320199</v>
      </c>
      <c r="H395" s="8">
        <v>6.833</v>
      </c>
      <c r="J395" s="26"/>
      <c r="K395"/>
    </row>
    <row r="396" spans="1:11">
      <c r="A396">
        <v>3</v>
      </c>
      <c r="B396" s="64">
        <v>40970</v>
      </c>
      <c r="C396" s="2">
        <v>469752.56</v>
      </c>
      <c r="D396">
        <v>0</v>
      </c>
      <c r="E396" s="65">
        <v>61.65</v>
      </c>
      <c r="F396" s="8">
        <v>3.63</v>
      </c>
      <c r="G396" s="66">
        <v>224.3470245</v>
      </c>
      <c r="H396" s="8">
        <v>6.833</v>
      </c>
      <c r="J396" s="26"/>
      <c r="K396"/>
    </row>
    <row r="397" spans="1:11">
      <c r="A397">
        <v>3</v>
      </c>
      <c r="B397" s="64">
        <v>40977</v>
      </c>
      <c r="C397" s="2">
        <v>445162.05</v>
      </c>
      <c r="D397">
        <v>0</v>
      </c>
      <c r="E397" s="65">
        <v>60.71</v>
      </c>
      <c r="F397" s="8">
        <v>3.669</v>
      </c>
      <c r="G397" s="66">
        <v>224.5620291</v>
      </c>
      <c r="H397" s="8">
        <v>6.833</v>
      </c>
      <c r="J397" s="26"/>
      <c r="K397"/>
    </row>
    <row r="398" spans="1:11">
      <c r="A398">
        <v>3</v>
      </c>
      <c r="B398" s="64">
        <v>40984</v>
      </c>
      <c r="C398" s="2">
        <v>411775.8</v>
      </c>
      <c r="D398">
        <v>0</v>
      </c>
      <c r="E398" s="65">
        <v>64</v>
      </c>
      <c r="F398" s="8">
        <v>3.734</v>
      </c>
      <c r="G398" s="66">
        <v>224.7166953</v>
      </c>
      <c r="H398" s="8">
        <v>6.833</v>
      </c>
      <c r="J398" s="26"/>
      <c r="K398"/>
    </row>
    <row r="399" spans="1:11">
      <c r="A399">
        <v>3</v>
      </c>
      <c r="B399" s="64">
        <v>40991</v>
      </c>
      <c r="C399" s="2">
        <v>413907.25</v>
      </c>
      <c r="D399">
        <v>0</v>
      </c>
      <c r="E399" s="65">
        <v>66.53</v>
      </c>
      <c r="F399" s="8">
        <v>3.787</v>
      </c>
      <c r="G399" s="66">
        <v>224.7909104</v>
      </c>
      <c r="H399" s="8">
        <v>6.833</v>
      </c>
      <c r="J399" s="26"/>
      <c r="K399"/>
    </row>
    <row r="400" spans="1:11">
      <c r="A400">
        <v>3</v>
      </c>
      <c r="B400" s="64">
        <v>40998</v>
      </c>
      <c r="C400" s="2">
        <v>407488.84</v>
      </c>
      <c r="D400">
        <v>0</v>
      </c>
      <c r="E400" s="65">
        <v>69.36</v>
      </c>
      <c r="F400" s="8">
        <v>3.845</v>
      </c>
      <c r="G400" s="66">
        <v>224.8651254</v>
      </c>
      <c r="H400" s="8">
        <v>6.833</v>
      </c>
      <c r="J400" s="26"/>
      <c r="K400"/>
    </row>
    <row r="401" spans="1:11">
      <c r="A401">
        <v>3</v>
      </c>
      <c r="B401" s="64">
        <v>41005</v>
      </c>
      <c r="C401" s="2">
        <v>503232.13</v>
      </c>
      <c r="D401">
        <v>0</v>
      </c>
      <c r="E401" s="65">
        <v>73.01</v>
      </c>
      <c r="F401" s="8">
        <v>3.891</v>
      </c>
      <c r="G401" s="66">
        <v>224.9393405</v>
      </c>
      <c r="H401" s="8">
        <v>6.664</v>
      </c>
      <c r="J401" s="26"/>
      <c r="K401"/>
    </row>
    <row r="402" spans="1:11">
      <c r="A402">
        <v>3</v>
      </c>
      <c r="B402" s="64">
        <v>41012</v>
      </c>
      <c r="C402" s="2">
        <v>420789.74</v>
      </c>
      <c r="D402">
        <v>0</v>
      </c>
      <c r="E402" s="65">
        <v>72.83</v>
      </c>
      <c r="F402" s="8">
        <v>3.891</v>
      </c>
      <c r="G402" s="66">
        <v>225.0135556</v>
      </c>
      <c r="H402" s="8">
        <v>6.664</v>
      </c>
      <c r="J402" s="26"/>
      <c r="K402"/>
    </row>
    <row r="403" spans="1:11">
      <c r="A403">
        <v>3</v>
      </c>
      <c r="B403" s="64">
        <v>41019</v>
      </c>
      <c r="C403" s="2">
        <v>434822.13</v>
      </c>
      <c r="D403">
        <v>0</v>
      </c>
      <c r="E403" s="65">
        <v>72.05</v>
      </c>
      <c r="F403" s="8">
        <v>3.877</v>
      </c>
      <c r="G403" s="66">
        <v>225.0689541</v>
      </c>
      <c r="H403" s="8">
        <v>6.664</v>
      </c>
      <c r="J403" s="26"/>
      <c r="K403"/>
    </row>
    <row r="404" spans="1:11">
      <c r="A404">
        <v>3</v>
      </c>
      <c r="B404" s="64">
        <v>41026</v>
      </c>
      <c r="C404" s="2">
        <v>394616.11</v>
      </c>
      <c r="D404">
        <v>0</v>
      </c>
      <c r="E404" s="65">
        <v>73.39</v>
      </c>
      <c r="F404" s="8">
        <v>3.814</v>
      </c>
      <c r="G404" s="66">
        <v>225.1243526</v>
      </c>
      <c r="H404" s="8">
        <v>6.664</v>
      </c>
      <c r="J404" s="26"/>
      <c r="K404"/>
    </row>
    <row r="405" spans="1:11">
      <c r="A405">
        <v>3</v>
      </c>
      <c r="B405" s="64">
        <v>41033</v>
      </c>
      <c r="C405" s="2">
        <v>439913.57</v>
      </c>
      <c r="D405">
        <v>0</v>
      </c>
      <c r="E405" s="65">
        <v>79.51</v>
      </c>
      <c r="F405" s="8">
        <v>3.749</v>
      </c>
      <c r="G405" s="66">
        <v>225.1797511</v>
      </c>
      <c r="H405" s="8">
        <v>6.664</v>
      </c>
      <c r="J405" s="26"/>
      <c r="K405"/>
    </row>
    <row r="406" spans="1:11">
      <c r="A406">
        <v>3</v>
      </c>
      <c r="B406" s="64">
        <v>41040</v>
      </c>
      <c r="C406" s="2">
        <v>431985.36</v>
      </c>
      <c r="D406">
        <v>0</v>
      </c>
      <c r="E406" s="65">
        <v>75.19</v>
      </c>
      <c r="F406" s="8">
        <v>3.688</v>
      </c>
      <c r="G406" s="66">
        <v>225.2351496</v>
      </c>
      <c r="H406" s="8">
        <v>6.664</v>
      </c>
      <c r="J406" s="26"/>
      <c r="K406"/>
    </row>
    <row r="407" spans="1:11">
      <c r="A407">
        <v>3</v>
      </c>
      <c r="B407" s="64">
        <v>41047</v>
      </c>
      <c r="C407" s="2">
        <v>418112.76</v>
      </c>
      <c r="D407">
        <v>0</v>
      </c>
      <c r="E407" s="65">
        <v>72.38</v>
      </c>
      <c r="F407" s="8">
        <v>3.63</v>
      </c>
      <c r="G407" s="66">
        <v>225.2512024</v>
      </c>
      <c r="H407" s="8">
        <v>6.664</v>
      </c>
      <c r="J407" s="26"/>
      <c r="K407"/>
    </row>
    <row r="408" spans="1:11">
      <c r="A408">
        <v>3</v>
      </c>
      <c r="B408" s="64">
        <v>41054</v>
      </c>
      <c r="C408" s="2">
        <v>413701.29</v>
      </c>
      <c r="D408">
        <v>0</v>
      </c>
      <c r="E408" s="65">
        <v>78.58</v>
      </c>
      <c r="F408" s="8">
        <v>3.561</v>
      </c>
      <c r="G408" s="66">
        <v>225.2515168</v>
      </c>
      <c r="H408" s="8">
        <v>6.664</v>
      </c>
      <c r="J408" s="26"/>
      <c r="K408"/>
    </row>
    <row r="409" spans="1:11">
      <c r="A409">
        <v>3</v>
      </c>
      <c r="B409" s="64">
        <v>41061</v>
      </c>
      <c r="C409" s="2">
        <v>432268.53</v>
      </c>
      <c r="D409">
        <v>0</v>
      </c>
      <c r="E409" s="65">
        <v>81.55</v>
      </c>
      <c r="F409" s="8">
        <v>3.501</v>
      </c>
      <c r="G409" s="66">
        <v>225.2518313</v>
      </c>
      <c r="H409" s="8">
        <v>6.664</v>
      </c>
      <c r="J409" s="26"/>
      <c r="K409"/>
    </row>
    <row r="410" spans="1:11">
      <c r="A410">
        <v>3</v>
      </c>
      <c r="B410" s="64">
        <v>41068</v>
      </c>
      <c r="C410" s="2">
        <v>446336.8</v>
      </c>
      <c r="D410">
        <v>0</v>
      </c>
      <c r="E410" s="65">
        <v>81.65</v>
      </c>
      <c r="F410" s="8">
        <v>3.452</v>
      </c>
      <c r="G410" s="66">
        <v>225.2521458</v>
      </c>
      <c r="H410" s="8">
        <v>6.664</v>
      </c>
      <c r="J410" s="26"/>
      <c r="K410"/>
    </row>
    <row r="411" spans="1:11">
      <c r="A411">
        <v>3</v>
      </c>
      <c r="B411" s="64">
        <v>41075</v>
      </c>
      <c r="C411" s="2">
        <v>442074.79</v>
      </c>
      <c r="D411">
        <v>0</v>
      </c>
      <c r="E411" s="65">
        <v>84.66</v>
      </c>
      <c r="F411" s="8">
        <v>3.393</v>
      </c>
      <c r="G411" s="66">
        <v>225.2644795</v>
      </c>
      <c r="H411" s="8">
        <v>6.664</v>
      </c>
      <c r="J411" s="26"/>
      <c r="K411"/>
    </row>
    <row r="412" spans="1:11">
      <c r="A412">
        <v>3</v>
      </c>
      <c r="B412" s="64">
        <v>41082</v>
      </c>
      <c r="C412" s="2">
        <v>419497.95</v>
      </c>
      <c r="D412">
        <v>0</v>
      </c>
      <c r="E412" s="65">
        <v>82.7</v>
      </c>
      <c r="F412" s="8">
        <v>3.346</v>
      </c>
      <c r="G412" s="66">
        <v>225.3068615</v>
      </c>
      <c r="H412" s="8">
        <v>6.664</v>
      </c>
      <c r="J412" s="26"/>
      <c r="K412"/>
    </row>
    <row r="413" spans="1:11">
      <c r="A413">
        <v>3</v>
      </c>
      <c r="B413" s="64">
        <v>41089</v>
      </c>
      <c r="C413" s="2">
        <v>422965.33</v>
      </c>
      <c r="D413">
        <v>0</v>
      </c>
      <c r="E413" s="65">
        <v>86.42</v>
      </c>
      <c r="F413" s="8">
        <v>3.286</v>
      </c>
      <c r="G413" s="66">
        <v>225.3492435</v>
      </c>
      <c r="H413" s="8">
        <v>6.664</v>
      </c>
      <c r="J413" s="26"/>
      <c r="K413"/>
    </row>
    <row r="414" spans="1:11">
      <c r="A414">
        <v>3</v>
      </c>
      <c r="B414" s="64">
        <v>41096</v>
      </c>
      <c r="C414" s="2">
        <v>411206.5</v>
      </c>
      <c r="D414">
        <v>0</v>
      </c>
      <c r="E414" s="65">
        <v>83.14</v>
      </c>
      <c r="F414" s="8">
        <v>3.227</v>
      </c>
      <c r="G414" s="66">
        <v>225.3916254</v>
      </c>
      <c r="H414" s="8">
        <v>6.334</v>
      </c>
      <c r="J414" s="26"/>
      <c r="K414"/>
    </row>
    <row r="415" spans="1:11">
      <c r="A415">
        <v>3</v>
      </c>
      <c r="B415" s="64">
        <v>41103</v>
      </c>
      <c r="C415" s="2">
        <v>416913.1</v>
      </c>
      <c r="D415">
        <v>0</v>
      </c>
      <c r="E415" s="65">
        <v>82.28</v>
      </c>
      <c r="F415" s="8">
        <v>3.256</v>
      </c>
      <c r="G415" s="66">
        <v>225.4340074</v>
      </c>
      <c r="H415" s="8">
        <v>6.334</v>
      </c>
      <c r="J415" s="26"/>
      <c r="K415"/>
    </row>
    <row r="416" spans="1:11">
      <c r="A416">
        <v>3</v>
      </c>
      <c r="B416" s="64">
        <v>41110</v>
      </c>
      <c r="C416" s="2">
        <v>432424.85</v>
      </c>
      <c r="D416">
        <v>0</v>
      </c>
      <c r="E416" s="65">
        <v>81.38</v>
      </c>
      <c r="F416" s="8">
        <v>3.311</v>
      </c>
      <c r="G416" s="66">
        <v>225.4438827</v>
      </c>
      <c r="H416" s="8">
        <v>6.334</v>
      </c>
      <c r="J416" s="26"/>
      <c r="K416"/>
    </row>
    <row r="417" spans="1:11">
      <c r="A417">
        <v>3</v>
      </c>
      <c r="B417" s="64">
        <v>41117</v>
      </c>
      <c r="C417" s="2">
        <v>389427.9</v>
      </c>
      <c r="D417">
        <v>0</v>
      </c>
      <c r="E417" s="65">
        <v>84.94</v>
      </c>
      <c r="F417" s="8">
        <v>3.407</v>
      </c>
      <c r="G417" s="66">
        <v>225.4537579</v>
      </c>
      <c r="H417" s="8">
        <v>6.334</v>
      </c>
      <c r="J417" s="26"/>
      <c r="K417"/>
    </row>
    <row r="418" spans="1:11">
      <c r="A418">
        <v>3</v>
      </c>
      <c r="B418" s="64">
        <v>41124</v>
      </c>
      <c r="C418" s="2">
        <v>419990.29</v>
      </c>
      <c r="D418">
        <v>0</v>
      </c>
      <c r="E418" s="65">
        <v>86.55</v>
      </c>
      <c r="F418" s="8">
        <v>3.417</v>
      </c>
      <c r="G418" s="66">
        <v>225.4636332</v>
      </c>
      <c r="H418" s="8">
        <v>6.334</v>
      </c>
      <c r="J418" s="26"/>
      <c r="K418"/>
    </row>
    <row r="419" spans="1:11">
      <c r="A419">
        <v>3</v>
      </c>
      <c r="B419" s="64">
        <v>41131</v>
      </c>
      <c r="C419" s="2">
        <v>391811.6</v>
      </c>
      <c r="D419">
        <v>0</v>
      </c>
      <c r="E419" s="65">
        <v>85.85</v>
      </c>
      <c r="F419" s="8">
        <v>3.494</v>
      </c>
      <c r="G419" s="66">
        <v>225.4735085</v>
      </c>
      <c r="H419" s="8">
        <v>6.334</v>
      </c>
      <c r="J419" s="26"/>
      <c r="K419"/>
    </row>
    <row r="420" spans="1:11">
      <c r="A420">
        <v>3</v>
      </c>
      <c r="B420" s="64">
        <v>41138</v>
      </c>
      <c r="C420" s="2">
        <v>394918.83</v>
      </c>
      <c r="D420">
        <v>0</v>
      </c>
      <c r="E420" s="65">
        <v>87.36</v>
      </c>
      <c r="F420" s="8">
        <v>3.571</v>
      </c>
      <c r="G420" s="66">
        <v>225.5558664</v>
      </c>
      <c r="H420" s="8">
        <v>6.334</v>
      </c>
      <c r="J420" s="26"/>
      <c r="K420"/>
    </row>
    <row r="421" spans="1:11">
      <c r="A421">
        <v>3</v>
      </c>
      <c r="B421" s="64">
        <v>41145</v>
      </c>
      <c r="C421" s="2">
        <v>412449.67</v>
      </c>
      <c r="D421">
        <v>0</v>
      </c>
      <c r="E421" s="65">
        <v>83.01</v>
      </c>
      <c r="F421" s="8">
        <v>3.62</v>
      </c>
      <c r="G421" s="66">
        <v>225.6925864</v>
      </c>
      <c r="H421" s="8">
        <v>6.334</v>
      </c>
      <c r="J421" s="26"/>
      <c r="K421"/>
    </row>
    <row r="422" spans="1:11">
      <c r="A422">
        <v>3</v>
      </c>
      <c r="B422" s="64">
        <v>41152</v>
      </c>
      <c r="C422" s="2">
        <v>408838.73</v>
      </c>
      <c r="D422">
        <v>0</v>
      </c>
      <c r="E422" s="65">
        <v>85.18</v>
      </c>
      <c r="F422" s="8">
        <v>3.638</v>
      </c>
      <c r="G422" s="66">
        <v>225.8293063</v>
      </c>
      <c r="H422" s="8">
        <v>6.334</v>
      </c>
      <c r="J422" s="26"/>
      <c r="K422"/>
    </row>
    <row r="423" spans="1:11">
      <c r="A423">
        <v>3</v>
      </c>
      <c r="B423" s="64">
        <v>41159</v>
      </c>
      <c r="C423" s="2">
        <v>408229.73</v>
      </c>
      <c r="D423">
        <v>1</v>
      </c>
      <c r="E423" s="65">
        <v>84.99</v>
      </c>
      <c r="F423" s="8">
        <v>3.73</v>
      </c>
      <c r="G423" s="66">
        <v>225.9660263</v>
      </c>
      <c r="H423" s="8">
        <v>6.334</v>
      </c>
      <c r="J423" s="26"/>
      <c r="K423"/>
    </row>
    <row r="424" spans="1:11">
      <c r="A424">
        <v>3</v>
      </c>
      <c r="B424" s="64">
        <v>41166</v>
      </c>
      <c r="C424" s="2">
        <v>407589.16</v>
      </c>
      <c r="D424">
        <v>0</v>
      </c>
      <c r="E424" s="65">
        <v>78.36</v>
      </c>
      <c r="F424" s="8">
        <v>3.717</v>
      </c>
      <c r="G424" s="66">
        <v>226.1122067</v>
      </c>
      <c r="H424" s="8">
        <v>6.334</v>
      </c>
      <c r="J424" s="26"/>
      <c r="K424"/>
    </row>
    <row r="425" spans="1:11">
      <c r="A425">
        <v>3</v>
      </c>
      <c r="B425" s="64">
        <v>41173</v>
      </c>
      <c r="C425" s="2">
        <v>414392.09</v>
      </c>
      <c r="D425">
        <v>0</v>
      </c>
      <c r="E425" s="65">
        <v>72.78</v>
      </c>
      <c r="F425" s="8">
        <v>3.721</v>
      </c>
      <c r="G425" s="66">
        <v>226.3151496</v>
      </c>
      <c r="H425" s="8">
        <v>6.334</v>
      </c>
      <c r="J425" s="26"/>
      <c r="K425"/>
    </row>
    <row r="426" spans="1:11">
      <c r="A426">
        <v>3</v>
      </c>
      <c r="B426" s="64">
        <v>41180</v>
      </c>
      <c r="C426" s="2">
        <v>389813.02</v>
      </c>
      <c r="D426">
        <v>0</v>
      </c>
      <c r="E426" s="65">
        <v>77.46</v>
      </c>
      <c r="F426" s="8">
        <v>3.666</v>
      </c>
      <c r="G426" s="66">
        <v>226.5180926</v>
      </c>
      <c r="H426" s="8">
        <v>6.334</v>
      </c>
      <c r="J426" s="26"/>
      <c r="K426"/>
    </row>
    <row r="427" spans="1:11">
      <c r="A427">
        <v>3</v>
      </c>
      <c r="B427" s="64">
        <v>41187</v>
      </c>
      <c r="C427" s="2">
        <v>443557.65</v>
      </c>
      <c r="D427">
        <v>0</v>
      </c>
      <c r="E427" s="65">
        <v>72.74</v>
      </c>
      <c r="F427" s="8">
        <v>3.617</v>
      </c>
      <c r="G427" s="66">
        <v>226.7210356</v>
      </c>
      <c r="H427" s="8">
        <v>6.034</v>
      </c>
      <c r="J427" s="26"/>
      <c r="K427"/>
    </row>
    <row r="428" spans="1:11">
      <c r="A428">
        <v>3</v>
      </c>
      <c r="B428" s="64">
        <v>41194</v>
      </c>
      <c r="C428" s="2">
        <v>410804.39</v>
      </c>
      <c r="D428">
        <v>0</v>
      </c>
      <c r="E428" s="65">
        <v>70.31</v>
      </c>
      <c r="F428" s="8">
        <v>3.601</v>
      </c>
      <c r="G428" s="66">
        <v>226.9239785</v>
      </c>
      <c r="H428" s="8">
        <v>6.034</v>
      </c>
      <c r="J428" s="26"/>
      <c r="K428"/>
    </row>
    <row r="429" spans="1:11">
      <c r="A429">
        <v>3</v>
      </c>
      <c r="B429" s="64">
        <v>41201</v>
      </c>
      <c r="C429" s="2">
        <v>424513.08</v>
      </c>
      <c r="D429">
        <v>0</v>
      </c>
      <c r="E429" s="65">
        <v>73.44</v>
      </c>
      <c r="F429" s="8">
        <v>3.594</v>
      </c>
      <c r="G429" s="66">
        <v>226.9688442</v>
      </c>
      <c r="H429" s="8">
        <v>6.034</v>
      </c>
      <c r="J429" s="26"/>
      <c r="K429"/>
    </row>
    <row r="430" spans="1:11">
      <c r="A430">
        <v>3</v>
      </c>
      <c r="B430" s="64">
        <v>41208</v>
      </c>
      <c r="C430" s="2">
        <v>405432.7</v>
      </c>
      <c r="D430">
        <v>0</v>
      </c>
      <c r="E430" s="65">
        <v>74.66</v>
      </c>
      <c r="F430" s="8">
        <v>3.506</v>
      </c>
      <c r="G430" s="66">
        <v>226.9873637</v>
      </c>
      <c r="H430" s="8">
        <v>6.034</v>
      </c>
      <c r="J430" s="26"/>
      <c r="K430"/>
    </row>
    <row r="431" spans="1:11">
      <c r="A431">
        <v>4</v>
      </c>
      <c r="B431" s="64">
        <v>40214</v>
      </c>
      <c r="C431" s="2">
        <v>2135143.87</v>
      </c>
      <c r="D431">
        <v>0</v>
      </c>
      <c r="E431" s="65">
        <v>43.76</v>
      </c>
      <c r="F431" s="8">
        <v>2.598</v>
      </c>
      <c r="G431" s="66">
        <v>126.4420645</v>
      </c>
      <c r="H431" s="8">
        <v>8.623</v>
      </c>
      <c r="J431" s="26"/>
      <c r="K431"/>
    </row>
    <row r="432" spans="1:11">
      <c r="A432">
        <v>4</v>
      </c>
      <c r="B432" s="64">
        <v>40221</v>
      </c>
      <c r="C432" s="2">
        <v>2188307.39</v>
      </c>
      <c r="D432">
        <v>1</v>
      </c>
      <c r="E432" s="65">
        <v>28.84</v>
      </c>
      <c r="F432" s="8">
        <v>2.573</v>
      </c>
      <c r="G432" s="66">
        <v>126.4962581</v>
      </c>
      <c r="H432" s="8">
        <v>8.623</v>
      </c>
      <c r="J432" s="26"/>
      <c r="K432"/>
    </row>
    <row r="433" spans="1:11">
      <c r="A433">
        <v>4</v>
      </c>
      <c r="B433" s="64">
        <v>40228</v>
      </c>
      <c r="C433" s="2">
        <v>2049860.26</v>
      </c>
      <c r="D433">
        <v>0</v>
      </c>
      <c r="E433" s="65">
        <v>36.45</v>
      </c>
      <c r="F433" s="8">
        <v>2.54</v>
      </c>
      <c r="G433" s="66">
        <v>126.5262857</v>
      </c>
      <c r="H433" s="8">
        <v>8.623</v>
      </c>
      <c r="J433" s="26"/>
      <c r="K433"/>
    </row>
    <row r="434" spans="1:11">
      <c r="A434">
        <v>4</v>
      </c>
      <c r="B434" s="64">
        <v>40235</v>
      </c>
      <c r="C434" s="2">
        <v>1925728.84</v>
      </c>
      <c r="D434">
        <v>0</v>
      </c>
      <c r="E434" s="65">
        <v>41.36</v>
      </c>
      <c r="F434" s="8">
        <v>2.59</v>
      </c>
      <c r="G434" s="66">
        <v>126.5522857</v>
      </c>
      <c r="H434" s="8">
        <v>8.623</v>
      </c>
      <c r="J434" s="26"/>
      <c r="K434"/>
    </row>
    <row r="435" spans="1:11">
      <c r="A435">
        <v>4</v>
      </c>
      <c r="B435" s="64">
        <v>40242</v>
      </c>
      <c r="C435" s="2">
        <v>1971057.44</v>
      </c>
      <c r="D435">
        <v>0</v>
      </c>
      <c r="E435" s="65">
        <v>43.49</v>
      </c>
      <c r="F435" s="8">
        <v>2.654</v>
      </c>
      <c r="G435" s="66">
        <v>126.5782857</v>
      </c>
      <c r="H435" s="8">
        <v>8.623</v>
      </c>
      <c r="J435" s="26"/>
      <c r="K435"/>
    </row>
    <row r="436" spans="1:11">
      <c r="A436">
        <v>4</v>
      </c>
      <c r="B436" s="64">
        <v>40249</v>
      </c>
      <c r="C436" s="2">
        <v>1894324.09</v>
      </c>
      <c r="D436">
        <v>0</v>
      </c>
      <c r="E436" s="65">
        <v>49.63</v>
      </c>
      <c r="F436" s="8">
        <v>2.704</v>
      </c>
      <c r="G436" s="66">
        <v>126.6042857</v>
      </c>
      <c r="H436" s="8">
        <v>8.623</v>
      </c>
      <c r="J436" s="26"/>
      <c r="K436"/>
    </row>
    <row r="437" spans="1:11">
      <c r="A437">
        <v>4</v>
      </c>
      <c r="B437" s="64">
        <v>40256</v>
      </c>
      <c r="C437" s="2">
        <v>1897429.36</v>
      </c>
      <c r="D437">
        <v>0</v>
      </c>
      <c r="E437" s="65">
        <v>55.19</v>
      </c>
      <c r="F437" s="8">
        <v>2.743</v>
      </c>
      <c r="G437" s="66">
        <v>126.6066452</v>
      </c>
      <c r="H437" s="8">
        <v>8.623</v>
      </c>
      <c r="J437" s="26"/>
      <c r="K437"/>
    </row>
    <row r="438" spans="1:11">
      <c r="A438">
        <v>4</v>
      </c>
      <c r="B438" s="64">
        <v>40263</v>
      </c>
      <c r="C438" s="2">
        <v>1762539.3</v>
      </c>
      <c r="D438">
        <v>0</v>
      </c>
      <c r="E438" s="65">
        <v>39.91</v>
      </c>
      <c r="F438" s="8">
        <v>2.752</v>
      </c>
      <c r="G438" s="66">
        <v>126.6050645</v>
      </c>
      <c r="H438" s="8">
        <v>8.623</v>
      </c>
      <c r="J438" s="26"/>
      <c r="K438"/>
    </row>
    <row r="439" spans="1:11">
      <c r="A439">
        <v>4</v>
      </c>
      <c r="B439" s="64">
        <v>40270</v>
      </c>
      <c r="C439" s="2">
        <v>1979247.12</v>
      </c>
      <c r="D439">
        <v>0</v>
      </c>
      <c r="E439" s="65">
        <v>48.77</v>
      </c>
      <c r="F439" s="8">
        <v>2.74</v>
      </c>
      <c r="G439" s="66">
        <v>126.6034839</v>
      </c>
      <c r="H439" s="8">
        <v>7.896</v>
      </c>
      <c r="J439" s="26"/>
      <c r="K439"/>
    </row>
    <row r="440" spans="1:11">
      <c r="A440">
        <v>4</v>
      </c>
      <c r="B440" s="64">
        <v>40277</v>
      </c>
      <c r="C440" s="2">
        <v>1818452.72</v>
      </c>
      <c r="D440">
        <v>0</v>
      </c>
      <c r="E440" s="65">
        <v>54.16</v>
      </c>
      <c r="F440" s="8">
        <v>2.773</v>
      </c>
      <c r="G440" s="66">
        <v>126.6019032</v>
      </c>
      <c r="H440" s="8">
        <v>7.896</v>
      </c>
      <c r="J440" s="26"/>
      <c r="K440"/>
    </row>
    <row r="441" spans="1:11">
      <c r="A441">
        <v>4</v>
      </c>
      <c r="B441" s="64">
        <v>40284</v>
      </c>
      <c r="C441" s="2">
        <v>1851519.69</v>
      </c>
      <c r="D441">
        <v>0</v>
      </c>
      <c r="E441" s="65">
        <v>56.23</v>
      </c>
      <c r="F441" s="8">
        <v>2.81</v>
      </c>
      <c r="G441" s="66">
        <v>126.5621</v>
      </c>
      <c r="H441" s="8">
        <v>7.896</v>
      </c>
      <c r="J441" s="26"/>
      <c r="K441"/>
    </row>
    <row r="442" spans="1:11">
      <c r="A442">
        <v>4</v>
      </c>
      <c r="B442" s="64">
        <v>40291</v>
      </c>
      <c r="C442" s="2">
        <v>1802677.9</v>
      </c>
      <c r="D442">
        <v>0</v>
      </c>
      <c r="E442" s="65">
        <v>56.87</v>
      </c>
      <c r="F442" s="8">
        <v>2.805</v>
      </c>
      <c r="G442" s="66">
        <v>126.4713333</v>
      </c>
      <c r="H442" s="8">
        <v>7.896</v>
      </c>
      <c r="J442" s="26"/>
      <c r="K442"/>
    </row>
    <row r="443" spans="1:11">
      <c r="A443">
        <v>4</v>
      </c>
      <c r="B443" s="64">
        <v>40298</v>
      </c>
      <c r="C443" s="2">
        <v>1817273.28</v>
      </c>
      <c r="D443">
        <v>0</v>
      </c>
      <c r="E443" s="65">
        <v>53.04</v>
      </c>
      <c r="F443" s="8">
        <v>2.787</v>
      </c>
      <c r="G443" s="66">
        <v>126.3805667</v>
      </c>
      <c r="H443" s="8">
        <v>7.896</v>
      </c>
      <c r="J443" s="26"/>
      <c r="K443"/>
    </row>
    <row r="444" spans="1:11">
      <c r="A444">
        <v>4</v>
      </c>
      <c r="B444" s="64">
        <v>40305</v>
      </c>
      <c r="C444" s="2">
        <v>2000626.14</v>
      </c>
      <c r="D444">
        <v>0</v>
      </c>
      <c r="E444" s="65">
        <v>56.77</v>
      </c>
      <c r="F444" s="8">
        <v>2.836</v>
      </c>
      <c r="G444" s="66">
        <v>126.2898</v>
      </c>
      <c r="H444" s="8">
        <v>7.896</v>
      </c>
      <c r="J444" s="26"/>
      <c r="K444"/>
    </row>
    <row r="445" spans="1:11">
      <c r="A445">
        <v>4</v>
      </c>
      <c r="B445" s="64">
        <v>40312</v>
      </c>
      <c r="C445" s="2">
        <v>1875597.28</v>
      </c>
      <c r="D445">
        <v>0</v>
      </c>
      <c r="E445" s="65">
        <v>62.35</v>
      </c>
      <c r="F445" s="8">
        <v>2.845</v>
      </c>
      <c r="G445" s="66">
        <v>126.2085484</v>
      </c>
      <c r="H445" s="8">
        <v>7.896</v>
      </c>
      <c r="J445" s="26"/>
      <c r="K445"/>
    </row>
    <row r="446" spans="1:11">
      <c r="A446">
        <v>4</v>
      </c>
      <c r="B446" s="64">
        <v>40319</v>
      </c>
      <c r="C446" s="2">
        <v>1903752.6</v>
      </c>
      <c r="D446">
        <v>0</v>
      </c>
      <c r="E446" s="65">
        <v>67.4</v>
      </c>
      <c r="F446" s="8">
        <v>2.82</v>
      </c>
      <c r="G446" s="66">
        <v>126.1843871</v>
      </c>
      <c r="H446" s="8">
        <v>7.896</v>
      </c>
      <c r="J446" s="26"/>
      <c r="K446"/>
    </row>
    <row r="447" spans="1:11">
      <c r="A447">
        <v>4</v>
      </c>
      <c r="B447" s="64">
        <v>40326</v>
      </c>
      <c r="C447" s="2">
        <v>1857533.7</v>
      </c>
      <c r="D447">
        <v>0</v>
      </c>
      <c r="E447" s="65">
        <v>67.73</v>
      </c>
      <c r="F447" s="8">
        <v>2.756</v>
      </c>
      <c r="G447" s="66">
        <v>126.1602258</v>
      </c>
      <c r="H447" s="8">
        <v>7.896</v>
      </c>
      <c r="J447" s="26"/>
      <c r="K447"/>
    </row>
    <row r="448" spans="1:11">
      <c r="A448">
        <v>4</v>
      </c>
      <c r="B448" s="64">
        <v>40333</v>
      </c>
      <c r="C448" s="2">
        <v>1903290.58</v>
      </c>
      <c r="D448">
        <v>0</v>
      </c>
      <c r="E448" s="65">
        <v>70.83</v>
      </c>
      <c r="F448" s="8">
        <v>2.701</v>
      </c>
      <c r="G448" s="66">
        <v>126.1360645</v>
      </c>
      <c r="H448" s="8">
        <v>7.896</v>
      </c>
      <c r="J448" s="26"/>
      <c r="K448"/>
    </row>
    <row r="449" spans="1:11">
      <c r="A449">
        <v>4</v>
      </c>
      <c r="B449" s="64">
        <v>40340</v>
      </c>
      <c r="C449" s="2">
        <v>1870619.23</v>
      </c>
      <c r="D449">
        <v>0</v>
      </c>
      <c r="E449" s="65">
        <v>78.45</v>
      </c>
      <c r="F449" s="8">
        <v>2.668</v>
      </c>
      <c r="G449" s="66">
        <v>126.1119032</v>
      </c>
      <c r="H449" s="8">
        <v>7.896</v>
      </c>
      <c r="J449" s="26"/>
      <c r="K449"/>
    </row>
    <row r="450" spans="1:11">
      <c r="A450">
        <v>4</v>
      </c>
      <c r="B450" s="64">
        <v>40347</v>
      </c>
      <c r="C450" s="2">
        <v>1929736.35</v>
      </c>
      <c r="D450">
        <v>0</v>
      </c>
      <c r="E450" s="65">
        <v>81.53</v>
      </c>
      <c r="F450" s="8">
        <v>2.635</v>
      </c>
      <c r="G450" s="66">
        <v>126.114</v>
      </c>
      <c r="H450" s="8">
        <v>7.896</v>
      </c>
      <c r="J450" s="26"/>
      <c r="K450"/>
    </row>
    <row r="451" spans="1:11">
      <c r="A451">
        <v>4</v>
      </c>
      <c r="B451" s="64">
        <v>40354</v>
      </c>
      <c r="C451" s="2">
        <v>1846651.95</v>
      </c>
      <c r="D451">
        <v>0</v>
      </c>
      <c r="E451" s="65">
        <v>81.1</v>
      </c>
      <c r="F451" s="8">
        <v>2.654</v>
      </c>
      <c r="G451" s="66">
        <v>126.1266</v>
      </c>
      <c r="H451" s="8">
        <v>7.896</v>
      </c>
      <c r="J451" s="26"/>
      <c r="K451"/>
    </row>
    <row r="452" spans="1:11">
      <c r="A452">
        <v>4</v>
      </c>
      <c r="B452" s="64">
        <v>40361</v>
      </c>
      <c r="C452" s="2">
        <v>1881337.21</v>
      </c>
      <c r="D452">
        <v>0</v>
      </c>
      <c r="E452" s="65">
        <v>73.66</v>
      </c>
      <c r="F452" s="8">
        <v>2.668</v>
      </c>
      <c r="G452" s="66">
        <v>126.1392</v>
      </c>
      <c r="H452" s="8">
        <v>7.372</v>
      </c>
      <c r="J452" s="26"/>
      <c r="K452"/>
    </row>
    <row r="453" spans="1:11">
      <c r="A453">
        <v>4</v>
      </c>
      <c r="B453" s="64">
        <v>40368</v>
      </c>
      <c r="C453" s="2">
        <v>1812208.22</v>
      </c>
      <c r="D453">
        <v>0</v>
      </c>
      <c r="E453" s="65">
        <v>80.35</v>
      </c>
      <c r="F453" s="8">
        <v>2.637</v>
      </c>
      <c r="G453" s="66">
        <v>126.1518</v>
      </c>
      <c r="H453" s="8">
        <v>7.372</v>
      </c>
      <c r="J453" s="26"/>
      <c r="K453"/>
    </row>
    <row r="454" spans="1:11">
      <c r="A454">
        <v>4</v>
      </c>
      <c r="B454" s="64">
        <v>40375</v>
      </c>
      <c r="C454" s="2">
        <v>1898427.66</v>
      </c>
      <c r="D454">
        <v>0</v>
      </c>
      <c r="E454" s="65">
        <v>78.53</v>
      </c>
      <c r="F454" s="8">
        <v>2.621</v>
      </c>
      <c r="G454" s="66">
        <v>126.1498065</v>
      </c>
      <c r="H454" s="8">
        <v>7.372</v>
      </c>
      <c r="J454" s="26"/>
      <c r="K454"/>
    </row>
    <row r="455" spans="1:11">
      <c r="A455">
        <v>4</v>
      </c>
      <c r="B455" s="64">
        <v>40382</v>
      </c>
      <c r="C455" s="2">
        <v>1848426.78</v>
      </c>
      <c r="D455">
        <v>0</v>
      </c>
      <c r="E455" s="65">
        <v>79.78</v>
      </c>
      <c r="F455" s="8">
        <v>2.612</v>
      </c>
      <c r="G455" s="66">
        <v>126.1283548</v>
      </c>
      <c r="H455" s="8">
        <v>7.372</v>
      </c>
      <c r="J455" s="26"/>
      <c r="K455"/>
    </row>
    <row r="456" spans="1:11">
      <c r="A456">
        <v>4</v>
      </c>
      <c r="B456" s="64">
        <v>40389</v>
      </c>
      <c r="C456" s="2">
        <v>1796637.61</v>
      </c>
      <c r="D456">
        <v>0</v>
      </c>
      <c r="E456" s="65">
        <v>80.7</v>
      </c>
      <c r="F456" s="8">
        <v>2.65</v>
      </c>
      <c r="G456" s="66">
        <v>126.1069032</v>
      </c>
      <c r="H456" s="8">
        <v>7.372</v>
      </c>
      <c r="J456" s="26"/>
      <c r="K456"/>
    </row>
    <row r="457" spans="1:11">
      <c r="A457">
        <v>4</v>
      </c>
      <c r="B457" s="64">
        <v>40396</v>
      </c>
      <c r="C457" s="2">
        <v>1907638.58</v>
      </c>
      <c r="D457">
        <v>0</v>
      </c>
      <c r="E457" s="65">
        <v>76.53</v>
      </c>
      <c r="F457" s="8">
        <v>2.64</v>
      </c>
      <c r="G457" s="66">
        <v>126.0854516</v>
      </c>
      <c r="H457" s="8">
        <v>7.372</v>
      </c>
      <c r="J457" s="26"/>
      <c r="K457"/>
    </row>
    <row r="458" spans="1:11">
      <c r="A458">
        <v>4</v>
      </c>
      <c r="B458" s="64">
        <v>40403</v>
      </c>
      <c r="C458" s="2">
        <v>2007050.75</v>
      </c>
      <c r="D458">
        <v>0</v>
      </c>
      <c r="E458" s="65">
        <v>78.08</v>
      </c>
      <c r="F458" s="8">
        <v>2.698</v>
      </c>
      <c r="G458" s="66">
        <v>126.064</v>
      </c>
      <c r="H458" s="8">
        <v>7.372</v>
      </c>
      <c r="J458" s="26"/>
      <c r="K458"/>
    </row>
    <row r="459" spans="1:11">
      <c r="A459">
        <v>4</v>
      </c>
      <c r="B459" s="64">
        <v>40410</v>
      </c>
      <c r="C459" s="2">
        <v>1997181.09</v>
      </c>
      <c r="D459">
        <v>0</v>
      </c>
      <c r="E459" s="65">
        <v>78.83</v>
      </c>
      <c r="F459" s="8">
        <v>2.671</v>
      </c>
      <c r="G459" s="66">
        <v>126.0766452</v>
      </c>
      <c r="H459" s="8">
        <v>7.372</v>
      </c>
      <c r="J459" s="26"/>
      <c r="K459"/>
    </row>
    <row r="460" spans="1:11">
      <c r="A460">
        <v>4</v>
      </c>
      <c r="B460" s="64">
        <v>40417</v>
      </c>
      <c r="C460" s="2">
        <v>1848403.92</v>
      </c>
      <c r="D460">
        <v>0</v>
      </c>
      <c r="E460" s="65">
        <v>74.44</v>
      </c>
      <c r="F460" s="8">
        <v>2.621</v>
      </c>
      <c r="G460" s="66">
        <v>126.0892903</v>
      </c>
      <c r="H460" s="8">
        <v>7.372</v>
      </c>
      <c r="J460" s="26"/>
      <c r="K460"/>
    </row>
    <row r="461" spans="1:11">
      <c r="A461">
        <v>4</v>
      </c>
      <c r="B461" s="64">
        <v>40424</v>
      </c>
      <c r="C461" s="2">
        <v>1935857.58</v>
      </c>
      <c r="D461">
        <v>0</v>
      </c>
      <c r="E461" s="65">
        <v>76.8</v>
      </c>
      <c r="F461" s="8">
        <v>2.584</v>
      </c>
      <c r="G461" s="66">
        <v>126.1019355</v>
      </c>
      <c r="H461" s="8">
        <v>7.372</v>
      </c>
      <c r="J461" s="26"/>
      <c r="K461"/>
    </row>
    <row r="462" spans="1:11">
      <c r="A462">
        <v>4</v>
      </c>
      <c r="B462" s="64">
        <v>40431</v>
      </c>
      <c r="C462" s="2">
        <v>1865820.81</v>
      </c>
      <c r="D462">
        <v>1</v>
      </c>
      <c r="E462" s="65">
        <v>73.54</v>
      </c>
      <c r="F462" s="8">
        <v>2.574</v>
      </c>
      <c r="G462" s="66">
        <v>126.1145806</v>
      </c>
      <c r="H462" s="8">
        <v>7.372</v>
      </c>
      <c r="J462" s="26"/>
      <c r="K462"/>
    </row>
    <row r="463" spans="1:11">
      <c r="A463">
        <v>4</v>
      </c>
      <c r="B463" s="64">
        <v>40438</v>
      </c>
      <c r="C463" s="2">
        <v>1899959.61</v>
      </c>
      <c r="D463">
        <v>0</v>
      </c>
      <c r="E463" s="65">
        <v>64.91</v>
      </c>
      <c r="F463" s="8">
        <v>2.594</v>
      </c>
      <c r="G463" s="66">
        <v>126.1454667</v>
      </c>
      <c r="H463" s="8">
        <v>7.372</v>
      </c>
      <c r="J463" s="26"/>
      <c r="K463"/>
    </row>
    <row r="464" spans="1:11">
      <c r="A464">
        <v>4</v>
      </c>
      <c r="B464" s="64">
        <v>40445</v>
      </c>
      <c r="C464" s="2">
        <v>1810684.68</v>
      </c>
      <c r="D464">
        <v>0</v>
      </c>
      <c r="E464" s="65">
        <v>60.96</v>
      </c>
      <c r="F464" s="8">
        <v>2.642</v>
      </c>
      <c r="G464" s="66">
        <v>126.1900333</v>
      </c>
      <c r="H464" s="8">
        <v>7.372</v>
      </c>
      <c r="J464" s="26"/>
      <c r="K464"/>
    </row>
    <row r="465" spans="1:11">
      <c r="A465">
        <v>4</v>
      </c>
      <c r="B465" s="64">
        <v>40452</v>
      </c>
      <c r="C465" s="2">
        <v>1842821.02</v>
      </c>
      <c r="D465">
        <v>0</v>
      </c>
      <c r="E465" s="65">
        <v>63.96</v>
      </c>
      <c r="F465" s="8">
        <v>2.619</v>
      </c>
      <c r="G465" s="66">
        <v>126.2346</v>
      </c>
      <c r="H465" s="8">
        <v>7.127</v>
      </c>
      <c r="J465" s="26"/>
      <c r="K465"/>
    </row>
    <row r="466" spans="1:11">
      <c r="A466">
        <v>4</v>
      </c>
      <c r="B466" s="64">
        <v>40459</v>
      </c>
      <c r="C466" s="2">
        <v>1951494.85</v>
      </c>
      <c r="D466">
        <v>0</v>
      </c>
      <c r="E466" s="65">
        <v>67.73</v>
      </c>
      <c r="F466" s="8">
        <v>2.645</v>
      </c>
      <c r="G466" s="66">
        <v>126.2791667</v>
      </c>
      <c r="H466" s="8">
        <v>7.127</v>
      </c>
      <c r="J466" s="26"/>
      <c r="K466"/>
    </row>
    <row r="467" spans="1:11">
      <c r="A467">
        <v>4</v>
      </c>
      <c r="B467" s="64">
        <v>40466</v>
      </c>
      <c r="C467" s="2">
        <v>1867345.09</v>
      </c>
      <c r="D467">
        <v>0</v>
      </c>
      <c r="E467" s="65">
        <v>62.03</v>
      </c>
      <c r="F467" s="8">
        <v>2.732</v>
      </c>
      <c r="G467" s="66">
        <v>126.3266774</v>
      </c>
      <c r="H467" s="8">
        <v>7.127</v>
      </c>
      <c r="J467" s="26"/>
      <c r="K467"/>
    </row>
    <row r="468" spans="1:11">
      <c r="A468">
        <v>4</v>
      </c>
      <c r="B468" s="64">
        <v>40473</v>
      </c>
      <c r="C468" s="2">
        <v>1927610.06</v>
      </c>
      <c r="D468">
        <v>0</v>
      </c>
      <c r="E468" s="65">
        <v>64.17</v>
      </c>
      <c r="F468" s="8">
        <v>2.736</v>
      </c>
      <c r="G468" s="66">
        <v>126.3815484</v>
      </c>
      <c r="H468" s="8">
        <v>7.127</v>
      </c>
      <c r="J468" s="26"/>
      <c r="K468"/>
    </row>
    <row r="469" spans="1:11">
      <c r="A469">
        <v>4</v>
      </c>
      <c r="B469" s="64">
        <v>40480</v>
      </c>
      <c r="C469" s="2">
        <v>1933333</v>
      </c>
      <c r="D469">
        <v>0</v>
      </c>
      <c r="E469" s="65">
        <v>56.94</v>
      </c>
      <c r="F469" s="8">
        <v>2.718</v>
      </c>
      <c r="G469" s="66">
        <v>126.4364194</v>
      </c>
      <c r="H469" s="8">
        <v>7.127</v>
      </c>
      <c r="J469" s="26"/>
      <c r="K469"/>
    </row>
    <row r="470" spans="1:11">
      <c r="A470">
        <v>4</v>
      </c>
      <c r="B470" s="64">
        <v>40487</v>
      </c>
      <c r="C470" s="2">
        <v>2013115.79</v>
      </c>
      <c r="D470">
        <v>0</v>
      </c>
      <c r="E470" s="65">
        <v>51.6</v>
      </c>
      <c r="F470" s="8">
        <v>2.699</v>
      </c>
      <c r="G470" s="66">
        <v>126.4912903</v>
      </c>
      <c r="H470" s="8">
        <v>7.127</v>
      </c>
      <c r="J470" s="26"/>
      <c r="K470"/>
    </row>
    <row r="471" spans="1:11">
      <c r="A471">
        <v>4</v>
      </c>
      <c r="B471" s="64">
        <v>40494</v>
      </c>
      <c r="C471" s="2">
        <v>1999794.26</v>
      </c>
      <c r="D471">
        <v>0</v>
      </c>
      <c r="E471" s="65">
        <v>52.65</v>
      </c>
      <c r="F471" s="8">
        <v>2.741</v>
      </c>
      <c r="G471" s="66">
        <v>126.5461613</v>
      </c>
      <c r="H471" s="8">
        <v>7.127</v>
      </c>
      <c r="J471" s="26"/>
      <c r="K471"/>
    </row>
    <row r="472" spans="1:11">
      <c r="A472">
        <v>4</v>
      </c>
      <c r="B472" s="64">
        <v>40501</v>
      </c>
      <c r="C472" s="2">
        <v>2097809.4</v>
      </c>
      <c r="D472">
        <v>0</v>
      </c>
      <c r="E472" s="65">
        <v>48.05</v>
      </c>
      <c r="F472" s="8">
        <v>2.78</v>
      </c>
      <c r="G472" s="66">
        <v>126.6072</v>
      </c>
      <c r="H472" s="8">
        <v>7.127</v>
      </c>
      <c r="J472" s="26"/>
      <c r="K472"/>
    </row>
    <row r="473" spans="1:11">
      <c r="A473">
        <v>4</v>
      </c>
      <c r="B473" s="64">
        <v>40508</v>
      </c>
      <c r="C473" s="2">
        <v>2789469.45</v>
      </c>
      <c r="D473">
        <v>1</v>
      </c>
      <c r="E473" s="65">
        <v>48.08</v>
      </c>
      <c r="F473" s="8">
        <v>2.752</v>
      </c>
      <c r="G473" s="66">
        <v>126.6692667</v>
      </c>
      <c r="H473" s="8">
        <v>7.127</v>
      </c>
      <c r="J473" s="26"/>
      <c r="K473"/>
    </row>
    <row r="474" spans="1:11">
      <c r="A474">
        <v>4</v>
      </c>
      <c r="B474" s="64">
        <v>40515</v>
      </c>
      <c r="C474" s="2">
        <v>2102530.17</v>
      </c>
      <c r="D474">
        <v>0</v>
      </c>
      <c r="E474" s="65">
        <v>46.4</v>
      </c>
      <c r="F474" s="8">
        <v>2.727</v>
      </c>
      <c r="G474" s="66">
        <v>126.7313333</v>
      </c>
      <c r="H474" s="8">
        <v>7.127</v>
      </c>
      <c r="J474" s="26"/>
      <c r="K474"/>
    </row>
    <row r="475" spans="1:11">
      <c r="A475">
        <v>4</v>
      </c>
      <c r="B475" s="64">
        <v>40522</v>
      </c>
      <c r="C475" s="2">
        <v>2302504.86</v>
      </c>
      <c r="D475">
        <v>0</v>
      </c>
      <c r="E475" s="65">
        <v>42.4</v>
      </c>
      <c r="F475" s="8">
        <v>2.86</v>
      </c>
      <c r="G475" s="66">
        <v>126.7934</v>
      </c>
      <c r="H475" s="8">
        <v>7.127</v>
      </c>
      <c r="J475" s="26"/>
      <c r="K475"/>
    </row>
    <row r="476" spans="1:11">
      <c r="A476">
        <v>4</v>
      </c>
      <c r="B476" s="64">
        <v>40529</v>
      </c>
      <c r="C476" s="2">
        <v>2740057.14</v>
      </c>
      <c r="D476">
        <v>0</v>
      </c>
      <c r="E476" s="65">
        <v>46.57</v>
      </c>
      <c r="F476" s="8">
        <v>2.884</v>
      </c>
      <c r="G476" s="66">
        <v>126.8794839</v>
      </c>
      <c r="H476" s="8">
        <v>7.127</v>
      </c>
      <c r="J476" s="26"/>
      <c r="K476"/>
    </row>
    <row r="477" spans="1:11">
      <c r="A477">
        <v>4</v>
      </c>
      <c r="B477" s="64">
        <v>40536</v>
      </c>
      <c r="C477" s="2">
        <v>3526713.39</v>
      </c>
      <c r="D477">
        <v>0</v>
      </c>
      <c r="E477" s="65">
        <v>43.21</v>
      </c>
      <c r="F477" s="8">
        <v>2.887</v>
      </c>
      <c r="G477" s="66">
        <v>126.9835806</v>
      </c>
      <c r="H477" s="8">
        <v>7.127</v>
      </c>
      <c r="J477" s="26"/>
      <c r="K477"/>
    </row>
    <row r="478" spans="1:11">
      <c r="A478">
        <v>4</v>
      </c>
      <c r="B478" s="64">
        <v>40543</v>
      </c>
      <c r="C478" s="2">
        <v>1794868.74</v>
      </c>
      <c r="D478">
        <v>1</v>
      </c>
      <c r="E478" s="65">
        <v>38.09</v>
      </c>
      <c r="F478" s="8">
        <v>2.955</v>
      </c>
      <c r="G478" s="66">
        <v>127.0876774</v>
      </c>
      <c r="H478" s="8">
        <v>7.127</v>
      </c>
      <c r="J478" s="26"/>
      <c r="K478"/>
    </row>
    <row r="479" spans="1:11">
      <c r="A479">
        <v>4</v>
      </c>
      <c r="B479" s="64">
        <v>40550</v>
      </c>
      <c r="C479" s="2">
        <v>1862476.27</v>
      </c>
      <c r="D479">
        <v>0</v>
      </c>
      <c r="E479" s="65">
        <v>39.34</v>
      </c>
      <c r="F479" s="8">
        <v>2.98</v>
      </c>
      <c r="G479" s="66">
        <v>127.1917742</v>
      </c>
      <c r="H479" s="8">
        <v>6.51</v>
      </c>
      <c r="J479" s="26"/>
      <c r="K479"/>
    </row>
    <row r="480" spans="1:11">
      <c r="A480">
        <v>4</v>
      </c>
      <c r="B480" s="64">
        <v>40557</v>
      </c>
      <c r="C480" s="2">
        <v>1865502.46</v>
      </c>
      <c r="D480">
        <v>0</v>
      </c>
      <c r="E480" s="65">
        <v>31.6</v>
      </c>
      <c r="F480" s="8">
        <v>2.992</v>
      </c>
      <c r="G480" s="66">
        <v>127.3009355</v>
      </c>
      <c r="H480" s="8">
        <v>6.51</v>
      </c>
      <c r="J480" s="26"/>
      <c r="K480"/>
    </row>
    <row r="481" spans="1:11">
      <c r="A481">
        <v>4</v>
      </c>
      <c r="B481" s="64">
        <v>40564</v>
      </c>
      <c r="C481" s="2">
        <v>1886393.94</v>
      </c>
      <c r="D481">
        <v>0</v>
      </c>
      <c r="E481" s="65">
        <v>38.34</v>
      </c>
      <c r="F481" s="8">
        <v>3.017</v>
      </c>
      <c r="G481" s="66">
        <v>127.4404839</v>
      </c>
      <c r="H481" s="8">
        <v>6.51</v>
      </c>
      <c r="J481" s="26"/>
      <c r="K481"/>
    </row>
    <row r="482" spans="1:11">
      <c r="A482">
        <v>4</v>
      </c>
      <c r="B482" s="64">
        <v>40571</v>
      </c>
      <c r="C482" s="2">
        <v>1814240.85</v>
      </c>
      <c r="D482">
        <v>0</v>
      </c>
      <c r="E482" s="65">
        <v>40.6</v>
      </c>
      <c r="F482" s="8">
        <v>3.022</v>
      </c>
      <c r="G482" s="66">
        <v>127.5800323</v>
      </c>
      <c r="H482" s="8">
        <v>6.51</v>
      </c>
      <c r="J482" s="26"/>
      <c r="K482"/>
    </row>
    <row r="483" spans="1:11">
      <c r="A483">
        <v>4</v>
      </c>
      <c r="B483" s="64">
        <v>40578</v>
      </c>
      <c r="C483" s="2">
        <v>2119086.04</v>
      </c>
      <c r="D483">
        <v>0</v>
      </c>
      <c r="E483" s="65">
        <v>34.61</v>
      </c>
      <c r="F483" s="8">
        <v>2.996</v>
      </c>
      <c r="G483" s="66">
        <v>127.7195806</v>
      </c>
      <c r="H483" s="8">
        <v>6.51</v>
      </c>
      <c r="J483" s="26"/>
      <c r="K483"/>
    </row>
    <row r="484" spans="1:11">
      <c r="A484">
        <v>4</v>
      </c>
      <c r="B484" s="64">
        <v>40585</v>
      </c>
      <c r="C484" s="2">
        <v>2187847.29</v>
      </c>
      <c r="D484">
        <v>1</v>
      </c>
      <c r="E484" s="65">
        <v>33.29</v>
      </c>
      <c r="F484" s="8">
        <v>3.033</v>
      </c>
      <c r="G484" s="66">
        <v>127.859129</v>
      </c>
      <c r="H484" s="8">
        <v>6.51</v>
      </c>
      <c r="J484" s="26"/>
      <c r="K484"/>
    </row>
    <row r="485" spans="1:11">
      <c r="A485">
        <v>4</v>
      </c>
      <c r="B485" s="64">
        <v>40592</v>
      </c>
      <c r="C485" s="2">
        <v>2316495.56</v>
      </c>
      <c r="D485">
        <v>0</v>
      </c>
      <c r="E485" s="65">
        <v>48.17</v>
      </c>
      <c r="F485" s="8">
        <v>3.058</v>
      </c>
      <c r="G485" s="66">
        <v>127.99525</v>
      </c>
      <c r="H485" s="8">
        <v>6.51</v>
      </c>
      <c r="J485" s="26"/>
      <c r="K485"/>
    </row>
    <row r="486" spans="1:11">
      <c r="A486">
        <v>4</v>
      </c>
      <c r="B486" s="64">
        <v>40599</v>
      </c>
      <c r="C486" s="2">
        <v>2078094.69</v>
      </c>
      <c r="D486">
        <v>0</v>
      </c>
      <c r="E486" s="65">
        <v>49</v>
      </c>
      <c r="F486" s="8">
        <v>3.087</v>
      </c>
      <c r="G486" s="66">
        <v>128.13</v>
      </c>
      <c r="H486" s="8">
        <v>6.51</v>
      </c>
      <c r="J486" s="26"/>
      <c r="K486"/>
    </row>
    <row r="487" spans="1:11">
      <c r="A487">
        <v>4</v>
      </c>
      <c r="B487" s="64">
        <v>40606</v>
      </c>
      <c r="C487" s="2">
        <v>2103455.75</v>
      </c>
      <c r="D487">
        <v>0</v>
      </c>
      <c r="E487" s="65">
        <v>46.56</v>
      </c>
      <c r="F487" s="8">
        <v>3.305</v>
      </c>
      <c r="G487" s="66">
        <v>128.26475</v>
      </c>
      <c r="H487" s="8">
        <v>6.51</v>
      </c>
      <c r="J487" s="26"/>
      <c r="K487"/>
    </row>
    <row r="488" spans="1:11">
      <c r="A488">
        <v>4</v>
      </c>
      <c r="B488" s="64">
        <v>40613</v>
      </c>
      <c r="C488" s="2">
        <v>2039818.41</v>
      </c>
      <c r="D488">
        <v>0</v>
      </c>
      <c r="E488" s="65">
        <v>50.93</v>
      </c>
      <c r="F488" s="8">
        <v>3.461</v>
      </c>
      <c r="G488" s="66">
        <v>128.3995</v>
      </c>
      <c r="H488" s="8">
        <v>6.51</v>
      </c>
      <c r="J488" s="26"/>
      <c r="K488"/>
    </row>
    <row r="489" spans="1:11">
      <c r="A489">
        <v>4</v>
      </c>
      <c r="B489" s="64">
        <v>40620</v>
      </c>
      <c r="C489" s="2">
        <v>2116475.38</v>
      </c>
      <c r="D489">
        <v>0</v>
      </c>
      <c r="E489" s="65">
        <v>51.86</v>
      </c>
      <c r="F489" s="8">
        <v>3.495</v>
      </c>
      <c r="G489" s="66">
        <v>128.5121935</v>
      </c>
      <c r="H489" s="8">
        <v>6.51</v>
      </c>
      <c r="J489" s="26"/>
      <c r="K489"/>
    </row>
    <row r="490" spans="1:11">
      <c r="A490">
        <v>4</v>
      </c>
      <c r="B490" s="64">
        <v>40627</v>
      </c>
      <c r="C490" s="2">
        <v>1944164.32</v>
      </c>
      <c r="D490">
        <v>0</v>
      </c>
      <c r="E490" s="65">
        <v>59.1</v>
      </c>
      <c r="F490" s="8">
        <v>3.48</v>
      </c>
      <c r="G490" s="66">
        <v>128.6160645</v>
      </c>
      <c r="H490" s="8">
        <v>6.51</v>
      </c>
      <c r="J490" s="26"/>
      <c r="K490"/>
    </row>
    <row r="491" spans="1:11">
      <c r="A491">
        <v>4</v>
      </c>
      <c r="B491" s="64">
        <v>40634</v>
      </c>
      <c r="C491" s="2">
        <v>1900246.47</v>
      </c>
      <c r="D491">
        <v>0</v>
      </c>
      <c r="E491" s="65">
        <v>56.99</v>
      </c>
      <c r="F491" s="8">
        <v>3.521</v>
      </c>
      <c r="G491" s="66">
        <v>128.7199355</v>
      </c>
      <c r="H491" s="8">
        <v>5.946</v>
      </c>
      <c r="J491" s="26"/>
      <c r="K491"/>
    </row>
    <row r="492" spans="1:11">
      <c r="A492">
        <v>4</v>
      </c>
      <c r="B492" s="64">
        <v>40641</v>
      </c>
      <c r="C492" s="2">
        <v>2074953.46</v>
      </c>
      <c r="D492">
        <v>0</v>
      </c>
      <c r="E492" s="65">
        <v>62.61</v>
      </c>
      <c r="F492" s="8">
        <v>3.605</v>
      </c>
      <c r="G492" s="66">
        <v>128.8238065</v>
      </c>
      <c r="H492" s="8">
        <v>5.946</v>
      </c>
      <c r="J492" s="26"/>
      <c r="K492"/>
    </row>
    <row r="493" spans="1:11">
      <c r="A493">
        <v>4</v>
      </c>
      <c r="B493" s="64">
        <v>40648</v>
      </c>
      <c r="C493" s="2">
        <v>1960587.76</v>
      </c>
      <c r="D493">
        <v>0</v>
      </c>
      <c r="E493" s="65">
        <v>62.34</v>
      </c>
      <c r="F493" s="8">
        <v>3.724</v>
      </c>
      <c r="G493" s="66">
        <v>128.9107333</v>
      </c>
      <c r="H493" s="8">
        <v>5.946</v>
      </c>
      <c r="J493" s="26"/>
      <c r="K493"/>
    </row>
    <row r="494" spans="1:11">
      <c r="A494">
        <v>4</v>
      </c>
      <c r="B494" s="64">
        <v>40655</v>
      </c>
      <c r="C494" s="2">
        <v>2220600.76</v>
      </c>
      <c r="D494">
        <v>0</v>
      </c>
      <c r="E494" s="65">
        <v>68.8</v>
      </c>
      <c r="F494" s="8">
        <v>3.781</v>
      </c>
      <c r="G494" s="66">
        <v>128.9553</v>
      </c>
      <c r="H494" s="8">
        <v>5.946</v>
      </c>
      <c r="J494" s="26"/>
      <c r="K494"/>
    </row>
    <row r="495" spans="1:11">
      <c r="A495">
        <v>4</v>
      </c>
      <c r="B495" s="64">
        <v>40662</v>
      </c>
      <c r="C495" s="2">
        <v>1878167.44</v>
      </c>
      <c r="D495">
        <v>0</v>
      </c>
      <c r="E495" s="65">
        <v>64.22</v>
      </c>
      <c r="F495" s="8">
        <v>3.781</v>
      </c>
      <c r="G495" s="66">
        <v>128.9998667</v>
      </c>
      <c r="H495" s="8">
        <v>5.946</v>
      </c>
      <c r="J495" s="26"/>
      <c r="K495"/>
    </row>
    <row r="496" spans="1:11">
      <c r="A496">
        <v>4</v>
      </c>
      <c r="B496" s="64">
        <v>40669</v>
      </c>
      <c r="C496" s="2">
        <v>2063682.76</v>
      </c>
      <c r="D496">
        <v>0</v>
      </c>
      <c r="E496" s="65">
        <v>63.41</v>
      </c>
      <c r="F496" s="8">
        <v>3.866</v>
      </c>
      <c r="G496" s="66">
        <v>129.0444333</v>
      </c>
      <c r="H496" s="8">
        <v>5.946</v>
      </c>
      <c r="J496" s="26"/>
      <c r="K496"/>
    </row>
    <row r="497" spans="1:11">
      <c r="A497">
        <v>4</v>
      </c>
      <c r="B497" s="64">
        <v>40676</v>
      </c>
      <c r="C497" s="2">
        <v>2002362.37</v>
      </c>
      <c r="D497">
        <v>0</v>
      </c>
      <c r="E497" s="65">
        <v>70.65</v>
      </c>
      <c r="F497" s="8">
        <v>3.872</v>
      </c>
      <c r="G497" s="66">
        <v>129.089</v>
      </c>
      <c r="H497" s="8">
        <v>5.946</v>
      </c>
      <c r="J497" s="26"/>
      <c r="K497"/>
    </row>
    <row r="498" spans="1:11">
      <c r="A498">
        <v>4</v>
      </c>
      <c r="B498" s="64">
        <v>40683</v>
      </c>
      <c r="C498" s="2">
        <v>2015563.48</v>
      </c>
      <c r="D498">
        <v>0</v>
      </c>
      <c r="E498" s="65">
        <v>70.49</v>
      </c>
      <c r="F498" s="8">
        <v>3.881</v>
      </c>
      <c r="G498" s="66">
        <v>129.0756774</v>
      </c>
      <c r="H498" s="8">
        <v>5.946</v>
      </c>
      <c r="J498" s="26"/>
      <c r="K498"/>
    </row>
    <row r="499" spans="1:11">
      <c r="A499">
        <v>4</v>
      </c>
      <c r="B499" s="64">
        <v>40690</v>
      </c>
      <c r="C499" s="2">
        <v>1986597.95</v>
      </c>
      <c r="D499">
        <v>0</v>
      </c>
      <c r="E499" s="65">
        <v>73.65</v>
      </c>
      <c r="F499" s="8">
        <v>3.771</v>
      </c>
      <c r="G499" s="66">
        <v>129.0623548</v>
      </c>
      <c r="H499" s="8">
        <v>5.946</v>
      </c>
      <c r="J499" s="26"/>
      <c r="K499"/>
    </row>
    <row r="500" spans="1:11">
      <c r="A500">
        <v>4</v>
      </c>
      <c r="B500" s="64">
        <v>40697</v>
      </c>
      <c r="C500" s="2">
        <v>2065377.15</v>
      </c>
      <c r="D500">
        <v>0</v>
      </c>
      <c r="E500" s="65">
        <v>78.26</v>
      </c>
      <c r="F500" s="8">
        <v>3.683</v>
      </c>
      <c r="G500" s="66">
        <v>129.0490323</v>
      </c>
      <c r="H500" s="8">
        <v>5.946</v>
      </c>
      <c r="J500" s="26"/>
      <c r="K500"/>
    </row>
    <row r="501" spans="1:11">
      <c r="A501">
        <v>4</v>
      </c>
      <c r="B501" s="64">
        <v>40704</v>
      </c>
      <c r="C501" s="2">
        <v>2073951.38</v>
      </c>
      <c r="D501">
        <v>0</v>
      </c>
      <c r="E501" s="65">
        <v>80.05</v>
      </c>
      <c r="F501" s="8">
        <v>3.64</v>
      </c>
      <c r="G501" s="66">
        <v>129.0357097</v>
      </c>
      <c r="H501" s="8">
        <v>5.946</v>
      </c>
      <c r="J501" s="26"/>
      <c r="K501"/>
    </row>
    <row r="502" spans="1:11">
      <c r="A502">
        <v>4</v>
      </c>
      <c r="B502" s="64">
        <v>40711</v>
      </c>
      <c r="C502" s="2">
        <v>2141210.62</v>
      </c>
      <c r="D502">
        <v>0</v>
      </c>
      <c r="E502" s="65">
        <v>83.51</v>
      </c>
      <c r="F502" s="8">
        <v>3.618</v>
      </c>
      <c r="G502" s="66">
        <v>129.0432</v>
      </c>
      <c r="H502" s="8">
        <v>5.946</v>
      </c>
      <c r="J502" s="26"/>
      <c r="K502"/>
    </row>
    <row r="503" spans="1:11">
      <c r="A503">
        <v>4</v>
      </c>
      <c r="B503" s="64">
        <v>40718</v>
      </c>
      <c r="C503" s="2">
        <v>2008344.92</v>
      </c>
      <c r="D503">
        <v>0</v>
      </c>
      <c r="E503" s="65">
        <v>81.85</v>
      </c>
      <c r="F503" s="8">
        <v>3.57</v>
      </c>
      <c r="G503" s="66">
        <v>129.0663</v>
      </c>
      <c r="H503" s="8">
        <v>5.946</v>
      </c>
      <c r="J503" s="26"/>
      <c r="K503"/>
    </row>
    <row r="504" spans="1:11">
      <c r="A504">
        <v>4</v>
      </c>
      <c r="B504" s="64">
        <v>40725</v>
      </c>
      <c r="C504" s="2">
        <v>2051533.53</v>
      </c>
      <c r="D504">
        <v>0</v>
      </c>
      <c r="E504" s="65">
        <v>84.54</v>
      </c>
      <c r="F504" s="8">
        <v>3.504</v>
      </c>
      <c r="G504" s="66">
        <v>129.0894</v>
      </c>
      <c r="H504" s="8">
        <v>5.644</v>
      </c>
      <c r="J504" s="26"/>
      <c r="K504"/>
    </row>
    <row r="505" spans="1:11">
      <c r="A505">
        <v>4</v>
      </c>
      <c r="B505" s="64">
        <v>40732</v>
      </c>
      <c r="C505" s="2">
        <v>2066541.86</v>
      </c>
      <c r="D505">
        <v>0</v>
      </c>
      <c r="E505" s="65">
        <v>84.59</v>
      </c>
      <c r="F505" s="8">
        <v>3.469</v>
      </c>
      <c r="G505" s="66">
        <v>129.1125</v>
      </c>
      <c r="H505" s="8">
        <v>5.644</v>
      </c>
      <c r="J505" s="26"/>
      <c r="K505"/>
    </row>
    <row r="506" spans="1:11">
      <c r="A506">
        <v>4</v>
      </c>
      <c r="B506" s="64">
        <v>40739</v>
      </c>
      <c r="C506" s="2">
        <v>2049046.95</v>
      </c>
      <c r="D506">
        <v>0</v>
      </c>
      <c r="E506" s="65">
        <v>83.27</v>
      </c>
      <c r="F506" s="8">
        <v>3.563</v>
      </c>
      <c r="G506" s="66">
        <v>129.1338387</v>
      </c>
      <c r="H506" s="8">
        <v>5.644</v>
      </c>
      <c r="J506" s="26"/>
      <c r="K506"/>
    </row>
    <row r="507" spans="1:11">
      <c r="A507">
        <v>4</v>
      </c>
      <c r="B507" s="64">
        <v>40746</v>
      </c>
      <c r="C507" s="2">
        <v>2036231.39</v>
      </c>
      <c r="D507">
        <v>0</v>
      </c>
      <c r="E507" s="65">
        <v>82.84</v>
      </c>
      <c r="F507" s="8">
        <v>3.627</v>
      </c>
      <c r="G507" s="66">
        <v>129.1507742</v>
      </c>
      <c r="H507" s="8">
        <v>5.644</v>
      </c>
      <c r="J507" s="26"/>
      <c r="K507"/>
    </row>
    <row r="508" spans="1:11">
      <c r="A508">
        <v>4</v>
      </c>
      <c r="B508" s="64">
        <v>40753</v>
      </c>
      <c r="C508" s="2">
        <v>1989674.07</v>
      </c>
      <c r="D508">
        <v>0</v>
      </c>
      <c r="E508" s="65">
        <v>84.36</v>
      </c>
      <c r="F508" s="8">
        <v>3.659</v>
      </c>
      <c r="G508" s="66">
        <v>129.1677097</v>
      </c>
      <c r="H508" s="8">
        <v>5.644</v>
      </c>
      <c r="J508" s="26"/>
      <c r="K508"/>
    </row>
    <row r="509" spans="1:11">
      <c r="A509">
        <v>4</v>
      </c>
      <c r="B509" s="64">
        <v>40760</v>
      </c>
      <c r="C509" s="2">
        <v>2160057.39</v>
      </c>
      <c r="D509">
        <v>0</v>
      </c>
      <c r="E509" s="65">
        <v>86.09</v>
      </c>
      <c r="F509" s="8">
        <v>3.662</v>
      </c>
      <c r="G509" s="66">
        <v>129.1846452</v>
      </c>
      <c r="H509" s="8">
        <v>5.644</v>
      </c>
      <c r="J509" s="26"/>
      <c r="K509"/>
    </row>
    <row r="510" spans="1:11">
      <c r="A510">
        <v>4</v>
      </c>
      <c r="B510" s="64">
        <v>40767</v>
      </c>
      <c r="C510" s="2">
        <v>2105668.74</v>
      </c>
      <c r="D510">
        <v>0</v>
      </c>
      <c r="E510" s="65">
        <v>82.98</v>
      </c>
      <c r="F510" s="8">
        <v>3.617</v>
      </c>
      <c r="G510" s="66">
        <v>129.2015806</v>
      </c>
      <c r="H510" s="8">
        <v>5.644</v>
      </c>
      <c r="J510" s="26"/>
      <c r="K510"/>
    </row>
    <row r="511" spans="1:11">
      <c r="A511">
        <v>4</v>
      </c>
      <c r="B511" s="64">
        <v>40774</v>
      </c>
      <c r="C511" s="2">
        <v>2232892.1</v>
      </c>
      <c r="D511">
        <v>0</v>
      </c>
      <c r="E511" s="65">
        <v>82.77</v>
      </c>
      <c r="F511" s="8">
        <v>3.55</v>
      </c>
      <c r="G511" s="66">
        <v>129.2405806</v>
      </c>
      <c r="H511" s="8">
        <v>5.644</v>
      </c>
      <c r="J511" s="26"/>
      <c r="K511"/>
    </row>
    <row r="512" spans="1:11">
      <c r="A512">
        <v>4</v>
      </c>
      <c r="B512" s="64">
        <v>40781</v>
      </c>
      <c r="C512" s="2">
        <v>1988490.21</v>
      </c>
      <c r="D512">
        <v>0</v>
      </c>
      <c r="E512" s="65">
        <v>81.47</v>
      </c>
      <c r="F512" s="8">
        <v>3.523</v>
      </c>
      <c r="G512" s="66">
        <v>129.2832581</v>
      </c>
      <c r="H512" s="8">
        <v>5.644</v>
      </c>
      <c r="J512" s="26"/>
      <c r="K512"/>
    </row>
    <row r="513" spans="1:11">
      <c r="A513">
        <v>4</v>
      </c>
      <c r="B513" s="64">
        <v>40788</v>
      </c>
      <c r="C513" s="2">
        <v>2078420.31</v>
      </c>
      <c r="D513">
        <v>0</v>
      </c>
      <c r="E513" s="65">
        <v>77.99</v>
      </c>
      <c r="F513" s="8">
        <v>3.533</v>
      </c>
      <c r="G513" s="66">
        <v>129.3259355</v>
      </c>
      <c r="H513" s="8">
        <v>5.644</v>
      </c>
      <c r="J513" s="26"/>
      <c r="K513"/>
    </row>
    <row r="514" spans="1:11">
      <c r="A514">
        <v>4</v>
      </c>
      <c r="B514" s="64">
        <v>40795</v>
      </c>
      <c r="C514" s="2">
        <v>2093139.01</v>
      </c>
      <c r="D514">
        <v>1</v>
      </c>
      <c r="E514" s="65">
        <v>73.34</v>
      </c>
      <c r="F514" s="8">
        <v>3.554</v>
      </c>
      <c r="G514" s="66">
        <v>129.3686129</v>
      </c>
      <c r="H514" s="8">
        <v>5.644</v>
      </c>
      <c r="J514" s="26"/>
      <c r="K514"/>
    </row>
    <row r="515" spans="1:11">
      <c r="A515">
        <v>4</v>
      </c>
      <c r="B515" s="64">
        <v>40802</v>
      </c>
      <c r="C515" s="2">
        <v>2075577.33</v>
      </c>
      <c r="D515">
        <v>0</v>
      </c>
      <c r="E515" s="65">
        <v>72.76</v>
      </c>
      <c r="F515" s="8">
        <v>3.532</v>
      </c>
      <c r="G515" s="66">
        <v>129.4306</v>
      </c>
      <c r="H515" s="8">
        <v>5.644</v>
      </c>
      <c r="J515" s="26"/>
      <c r="K515"/>
    </row>
    <row r="516" spans="1:11">
      <c r="A516">
        <v>4</v>
      </c>
      <c r="B516" s="64">
        <v>40809</v>
      </c>
      <c r="C516" s="2">
        <v>2031406.41</v>
      </c>
      <c r="D516">
        <v>0</v>
      </c>
      <c r="E516" s="65">
        <v>69.23</v>
      </c>
      <c r="F516" s="8">
        <v>3.473</v>
      </c>
      <c r="G516" s="66">
        <v>129.5183333</v>
      </c>
      <c r="H516" s="8">
        <v>5.644</v>
      </c>
      <c r="J516" s="26"/>
      <c r="K516"/>
    </row>
    <row r="517" spans="1:11">
      <c r="A517">
        <v>4</v>
      </c>
      <c r="B517" s="64">
        <v>40816</v>
      </c>
      <c r="C517" s="2">
        <v>1929486.63</v>
      </c>
      <c r="D517">
        <v>0</v>
      </c>
      <c r="E517" s="65">
        <v>72.15</v>
      </c>
      <c r="F517" s="8">
        <v>3.371</v>
      </c>
      <c r="G517" s="66">
        <v>129.6060667</v>
      </c>
      <c r="H517" s="8">
        <v>5.644</v>
      </c>
      <c r="J517" s="26"/>
      <c r="K517"/>
    </row>
    <row r="518" spans="1:11">
      <c r="A518">
        <v>4</v>
      </c>
      <c r="B518" s="64">
        <v>40823</v>
      </c>
      <c r="C518" s="2">
        <v>2166737.65</v>
      </c>
      <c r="D518">
        <v>0</v>
      </c>
      <c r="E518" s="65">
        <v>65.79</v>
      </c>
      <c r="F518" s="8">
        <v>3.299</v>
      </c>
      <c r="G518" s="66">
        <v>129.6938</v>
      </c>
      <c r="H518" s="8">
        <v>5.143</v>
      </c>
      <c r="J518" s="26"/>
      <c r="K518"/>
    </row>
    <row r="519" spans="1:11">
      <c r="A519">
        <v>4</v>
      </c>
      <c r="B519" s="64">
        <v>40830</v>
      </c>
      <c r="C519" s="2">
        <v>2074548.85</v>
      </c>
      <c r="D519">
        <v>0</v>
      </c>
      <c r="E519" s="65">
        <v>63.75</v>
      </c>
      <c r="F519" s="8">
        <v>3.283</v>
      </c>
      <c r="G519" s="66">
        <v>129.7706452</v>
      </c>
      <c r="H519" s="8">
        <v>5.143</v>
      </c>
      <c r="J519" s="26"/>
      <c r="K519"/>
    </row>
    <row r="520" spans="1:11">
      <c r="A520">
        <v>4</v>
      </c>
      <c r="B520" s="64">
        <v>40837</v>
      </c>
      <c r="C520" s="2">
        <v>2207742.13</v>
      </c>
      <c r="D520">
        <v>0</v>
      </c>
      <c r="E520" s="65">
        <v>64.79</v>
      </c>
      <c r="F520" s="8">
        <v>3.361</v>
      </c>
      <c r="G520" s="66">
        <v>129.7821613</v>
      </c>
      <c r="H520" s="8">
        <v>5.143</v>
      </c>
      <c r="J520" s="26"/>
      <c r="K520"/>
    </row>
    <row r="521" spans="1:11">
      <c r="A521">
        <v>4</v>
      </c>
      <c r="B521" s="64">
        <v>40844</v>
      </c>
      <c r="C521" s="2">
        <v>2151659.59</v>
      </c>
      <c r="D521">
        <v>0</v>
      </c>
      <c r="E521" s="65">
        <v>55.31</v>
      </c>
      <c r="F521" s="8">
        <v>3.362</v>
      </c>
      <c r="G521" s="66">
        <v>129.7936774</v>
      </c>
      <c r="H521" s="8">
        <v>5.143</v>
      </c>
      <c r="J521" s="26"/>
      <c r="K521"/>
    </row>
    <row r="522" spans="1:11">
      <c r="A522">
        <v>4</v>
      </c>
      <c r="B522" s="64">
        <v>40851</v>
      </c>
      <c r="C522" s="2">
        <v>2281217.31</v>
      </c>
      <c r="D522">
        <v>0</v>
      </c>
      <c r="E522" s="65">
        <v>49.86</v>
      </c>
      <c r="F522" s="8">
        <v>3.322</v>
      </c>
      <c r="G522" s="66">
        <v>129.8051935</v>
      </c>
      <c r="H522" s="8">
        <v>5.143</v>
      </c>
      <c r="J522" s="26"/>
      <c r="K522"/>
    </row>
    <row r="523" spans="1:11">
      <c r="A523">
        <v>4</v>
      </c>
      <c r="B523" s="64">
        <v>40858</v>
      </c>
      <c r="C523" s="2">
        <v>2203028.96</v>
      </c>
      <c r="D523">
        <v>0</v>
      </c>
      <c r="E523" s="65">
        <v>47.12</v>
      </c>
      <c r="F523" s="8">
        <v>3.286</v>
      </c>
      <c r="G523" s="66">
        <v>129.8167097</v>
      </c>
      <c r="H523" s="8">
        <v>5.143</v>
      </c>
      <c r="J523" s="26"/>
      <c r="K523"/>
    </row>
    <row r="524" spans="1:11">
      <c r="A524">
        <v>4</v>
      </c>
      <c r="B524" s="64">
        <v>40865</v>
      </c>
      <c r="C524" s="2">
        <v>2243946.59</v>
      </c>
      <c r="D524">
        <v>0</v>
      </c>
      <c r="E524" s="65">
        <v>50.44</v>
      </c>
      <c r="F524" s="8">
        <v>3.294</v>
      </c>
      <c r="G524" s="66">
        <v>129.8268333</v>
      </c>
      <c r="H524" s="8">
        <v>5.143</v>
      </c>
      <c r="J524" s="26"/>
      <c r="K524"/>
    </row>
    <row r="525" spans="1:11">
      <c r="A525">
        <v>4</v>
      </c>
      <c r="B525" s="64">
        <v>40872</v>
      </c>
      <c r="C525" s="2">
        <v>3004702.33</v>
      </c>
      <c r="D525">
        <v>1</v>
      </c>
      <c r="E525" s="65">
        <v>47.96</v>
      </c>
      <c r="F525" s="8">
        <v>3.225</v>
      </c>
      <c r="G525" s="66">
        <v>129.8364</v>
      </c>
      <c r="H525" s="8">
        <v>5.143</v>
      </c>
      <c r="J525" s="26"/>
      <c r="K525"/>
    </row>
    <row r="526" spans="1:11">
      <c r="A526">
        <v>4</v>
      </c>
      <c r="B526" s="64">
        <v>40879</v>
      </c>
      <c r="C526" s="2">
        <v>2180999.26</v>
      </c>
      <c r="D526">
        <v>0</v>
      </c>
      <c r="E526" s="65">
        <v>38.71</v>
      </c>
      <c r="F526" s="8">
        <v>3.176</v>
      </c>
      <c r="G526" s="66">
        <v>129.8459667</v>
      </c>
      <c r="H526" s="8">
        <v>5.143</v>
      </c>
      <c r="J526" s="26"/>
      <c r="K526"/>
    </row>
    <row r="527" spans="1:11">
      <c r="A527">
        <v>4</v>
      </c>
      <c r="B527" s="64">
        <v>40886</v>
      </c>
      <c r="C527" s="2">
        <v>2508955.24</v>
      </c>
      <c r="D527">
        <v>0</v>
      </c>
      <c r="E527" s="65">
        <v>31.64</v>
      </c>
      <c r="F527" s="8">
        <v>3.153</v>
      </c>
      <c r="G527" s="66">
        <v>129.8555333</v>
      </c>
      <c r="H527" s="8">
        <v>5.143</v>
      </c>
      <c r="J527" s="26"/>
      <c r="K527"/>
    </row>
    <row r="528" spans="1:11">
      <c r="A528">
        <v>4</v>
      </c>
      <c r="B528" s="64">
        <v>40893</v>
      </c>
      <c r="C528" s="2">
        <v>2771397.17</v>
      </c>
      <c r="D528">
        <v>0</v>
      </c>
      <c r="E528" s="65">
        <v>36.44</v>
      </c>
      <c r="F528" s="8">
        <v>3.149</v>
      </c>
      <c r="G528" s="66">
        <v>129.8980645</v>
      </c>
      <c r="H528" s="8">
        <v>5.143</v>
      </c>
      <c r="J528" s="26"/>
      <c r="K528"/>
    </row>
    <row r="529" spans="1:11">
      <c r="A529">
        <v>4</v>
      </c>
      <c r="B529" s="64">
        <v>40900</v>
      </c>
      <c r="C529" s="2">
        <v>3676388.98</v>
      </c>
      <c r="D529">
        <v>0</v>
      </c>
      <c r="E529" s="65">
        <v>35.92</v>
      </c>
      <c r="F529" s="8">
        <v>3.103</v>
      </c>
      <c r="G529" s="66">
        <v>129.9845484</v>
      </c>
      <c r="H529" s="8">
        <v>5.143</v>
      </c>
      <c r="J529" s="26"/>
      <c r="K529"/>
    </row>
    <row r="530" spans="1:11">
      <c r="A530">
        <v>4</v>
      </c>
      <c r="B530" s="64">
        <v>40907</v>
      </c>
      <c r="C530" s="2">
        <v>2007105.86</v>
      </c>
      <c r="D530">
        <v>1</v>
      </c>
      <c r="E530" s="65">
        <v>36.89</v>
      </c>
      <c r="F530" s="8">
        <v>3.119</v>
      </c>
      <c r="G530" s="66">
        <v>130.0710323</v>
      </c>
      <c r="H530" s="8">
        <v>5.143</v>
      </c>
      <c r="J530" s="26"/>
      <c r="K530"/>
    </row>
    <row r="531" spans="1:11">
      <c r="A531">
        <v>4</v>
      </c>
      <c r="B531" s="64">
        <v>40914</v>
      </c>
      <c r="C531" s="2">
        <v>2047766.07</v>
      </c>
      <c r="D531">
        <v>0</v>
      </c>
      <c r="E531" s="65">
        <v>38.64</v>
      </c>
      <c r="F531" s="8">
        <v>3.158</v>
      </c>
      <c r="G531" s="66">
        <v>130.1575161</v>
      </c>
      <c r="H531" s="8">
        <v>4.607</v>
      </c>
      <c r="J531" s="26"/>
      <c r="K531"/>
    </row>
    <row r="532" spans="1:11">
      <c r="A532">
        <v>4</v>
      </c>
      <c r="B532" s="64">
        <v>40921</v>
      </c>
      <c r="C532" s="2">
        <v>1941676.61</v>
      </c>
      <c r="D532">
        <v>0</v>
      </c>
      <c r="E532" s="65">
        <v>34.41</v>
      </c>
      <c r="F532" s="8">
        <v>3.263</v>
      </c>
      <c r="G532" s="66">
        <v>130.244</v>
      </c>
      <c r="H532" s="8">
        <v>4.607</v>
      </c>
      <c r="J532" s="26"/>
      <c r="K532"/>
    </row>
    <row r="533" spans="1:11">
      <c r="A533">
        <v>4</v>
      </c>
      <c r="B533" s="64">
        <v>40928</v>
      </c>
      <c r="C533" s="2">
        <v>2005097.76</v>
      </c>
      <c r="D533">
        <v>0</v>
      </c>
      <c r="E533" s="65">
        <v>42.09</v>
      </c>
      <c r="F533" s="8">
        <v>3.273</v>
      </c>
      <c r="G533" s="66">
        <v>130.2792258</v>
      </c>
      <c r="H533" s="8">
        <v>4.607</v>
      </c>
      <c r="J533" s="26"/>
      <c r="K533"/>
    </row>
    <row r="534" spans="1:11">
      <c r="A534">
        <v>4</v>
      </c>
      <c r="B534" s="64">
        <v>40935</v>
      </c>
      <c r="C534" s="2">
        <v>1928720.51</v>
      </c>
      <c r="D534">
        <v>0</v>
      </c>
      <c r="E534" s="65">
        <v>40.31</v>
      </c>
      <c r="F534" s="8">
        <v>3.29</v>
      </c>
      <c r="G534" s="66">
        <v>130.3144516</v>
      </c>
      <c r="H534" s="8">
        <v>4.607</v>
      </c>
      <c r="J534" s="26"/>
      <c r="K534"/>
    </row>
    <row r="535" spans="1:11">
      <c r="A535">
        <v>4</v>
      </c>
      <c r="B535" s="64">
        <v>40942</v>
      </c>
      <c r="C535" s="2">
        <v>2173373.91</v>
      </c>
      <c r="D535">
        <v>0</v>
      </c>
      <c r="E535" s="65">
        <v>41.81</v>
      </c>
      <c r="F535" s="8">
        <v>3.354</v>
      </c>
      <c r="G535" s="66">
        <v>130.3496774</v>
      </c>
      <c r="H535" s="8">
        <v>4.607</v>
      </c>
      <c r="J535" s="26"/>
      <c r="K535"/>
    </row>
    <row r="536" spans="1:11">
      <c r="A536">
        <v>4</v>
      </c>
      <c r="B536" s="64">
        <v>40949</v>
      </c>
      <c r="C536" s="2">
        <v>2374660.64</v>
      </c>
      <c r="D536">
        <v>1</v>
      </c>
      <c r="E536" s="65">
        <v>33</v>
      </c>
      <c r="F536" s="8">
        <v>3.411</v>
      </c>
      <c r="G536" s="66">
        <v>130.3849032</v>
      </c>
      <c r="H536" s="8">
        <v>4.607</v>
      </c>
      <c r="J536" s="26"/>
      <c r="K536"/>
    </row>
    <row r="537" spans="1:11">
      <c r="A537">
        <v>4</v>
      </c>
      <c r="B537" s="64">
        <v>40956</v>
      </c>
      <c r="C537" s="2">
        <v>2427640.17</v>
      </c>
      <c r="D537">
        <v>0</v>
      </c>
      <c r="E537" s="65">
        <v>34.19</v>
      </c>
      <c r="F537" s="8">
        <v>3.493</v>
      </c>
      <c r="G537" s="66">
        <v>130.4546207</v>
      </c>
      <c r="H537" s="8">
        <v>4.607</v>
      </c>
      <c r="J537" s="26"/>
      <c r="K537"/>
    </row>
    <row r="538" spans="1:11">
      <c r="A538">
        <v>4</v>
      </c>
      <c r="B538" s="64">
        <v>40963</v>
      </c>
      <c r="C538" s="2">
        <v>2226662.17</v>
      </c>
      <c r="D538">
        <v>0</v>
      </c>
      <c r="E538" s="65">
        <v>41.31</v>
      </c>
      <c r="F538" s="8">
        <v>3.541</v>
      </c>
      <c r="G538" s="66">
        <v>130.5502069</v>
      </c>
      <c r="H538" s="8">
        <v>4.607</v>
      </c>
      <c r="J538" s="26"/>
      <c r="K538"/>
    </row>
    <row r="539" spans="1:11">
      <c r="A539">
        <v>4</v>
      </c>
      <c r="B539" s="64">
        <v>40970</v>
      </c>
      <c r="C539" s="2">
        <v>2206319.9</v>
      </c>
      <c r="D539">
        <v>0</v>
      </c>
      <c r="E539" s="65">
        <v>50.38</v>
      </c>
      <c r="F539" s="8">
        <v>3.619</v>
      </c>
      <c r="G539" s="66">
        <v>130.6457931</v>
      </c>
      <c r="H539" s="8">
        <v>4.607</v>
      </c>
      <c r="J539" s="26"/>
      <c r="K539"/>
    </row>
    <row r="540" spans="1:11">
      <c r="A540">
        <v>4</v>
      </c>
      <c r="B540" s="64">
        <v>40977</v>
      </c>
      <c r="C540" s="2">
        <v>2202450.81</v>
      </c>
      <c r="D540">
        <v>0</v>
      </c>
      <c r="E540" s="65">
        <v>53.63</v>
      </c>
      <c r="F540" s="8">
        <v>3.667</v>
      </c>
      <c r="G540" s="66">
        <v>130.7413793</v>
      </c>
      <c r="H540" s="8">
        <v>4.607</v>
      </c>
      <c r="J540" s="26"/>
      <c r="K540"/>
    </row>
    <row r="541" spans="1:11">
      <c r="A541">
        <v>4</v>
      </c>
      <c r="B541" s="64">
        <v>40984</v>
      </c>
      <c r="C541" s="2">
        <v>2214967.44</v>
      </c>
      <c r="D541">
        <v>0</v>
      </c>
      <c r="E541" s="65">
        <v>59.81</v>
      </c>
      <c r="F541" s="8">
        <v>3.707</v>
      </c>
      <c r="G541" s="66">
        <v>130.8261935</v>
      </c>
      <c r="H541" s="8">
        <v>4.607</v>
      </c>
      <c r="J541" s="26"/>
      <c r="K541"/>
    </row>
    <row r="542" spans="1:11">
      <c r="A542">
        <v>4</v>
      </c>
      <c r="B542" s="64">
        <v>40991</v>
      </c>
      <c r="C542" s="2">
        <v>2091592.54</v>
      </c>
      <c r="D542">
        <v>0</v>
      </c>
      <c r="E542" s="65">
        <v>59.07</v>
      </c>
      <c r="F542" s="8">
        <v>3.759</v>
      </c>
      <c r="G542" s="66">
        <v>130.8966452</v>
      </c>
      <c r="H542" s="8">
        <v>4.607</v>
      </c>
      <c r="J542" s="26"/>
      <c r="K542"/>
    </row>
    <row r="543" spans="1:11">
      <c r="A543">
        <v>4</v>
      </c>
      <c r="B543" s="64">
        <v>40998</v>
      </c>
      <c r="C543" s="2">
        <v>2089381.77</v>
      </c>
      <c r="D543">
        <v>0</v>
      </c>
      <c r="E543" s="65">
        <v>72.63</v>
      </c>
      <c r="F543" s="8">
        <v>3.82</v>
      </c>
      <c r="G543" s="66">
        <v>130.9670968</v>
      </c>
      <c r="H543" s="8">
        <v>4.607</v>
      </c>
      <c r="J543" s="26"/>
      <c r="K543"/>
    </row>
    <row r="544" spans="1:11">
      <c r="A544">
        <v>4</v>
      </c>
      <c r="B544" s="64">
        <v>41005</v>
      </c>
      <c r="C544" s="2">
        <v>2470206.13</v>
      </c>
      <c r="D544">
        <v>0</v>
      </c>
      <c r="E544" s="65">
        <v>67.69</v>
      </c>
      <c r="F544" s="8">
        <v>3.864</v>
      </c>
      <c r="G544" s="66">
        <v>131.0375484</v>
      </c>
      <c r="H544" s="8">
        <v>4.308</v>
      </c>
      <c r="J544" s="26"/>
      <c r="K544"/>
    </row>
    <row r="545" spans="1:11">
      <c r="A545">
        <v>4</v>
      </c>
      <c r="B545" s="64">
        <v>41012</v>
      </c>
      <c r="C545" s="2">
        <v>2105301.39</v>
      </c>
      <c r="D545">
        <v>0</v>
      </c>
      <c r="E545" s="65">
        <v>68.69</v>
      </c>
      <c r="F545" s="8">
        <v>3.881</v>
      </c>
      <c r="G545" s="66">
        <v>131.108</v>
      </c>
      <c r="H545" s="8">
        <v>4.308</v>
      </c>
      <c r="J545" s="26"/>
      <c r="K545"/>
    </row>
    <row r="546" spans="1:11">
      <c r="A546">
        <v>4</v>
      </c>
      <c r="B546" s="64">
        <v>41019</v>
      </c>
      <c r="C546" s="2">
        <v>2144336.89</v>
      </c>
      <c r="D546">
        <v>0</v>
      </c>
      <c r="E546" s="65">
        <v>68.6</v>
      </c>
      <c r="F546" s="8">
        <v>3.864</v>
      </c>
      <c r="G546" s="66">
        <v>131.1173333</v>
      </c>
      <c r="H546" s="8">
        <v>4.308</v>
      </c>
      <c r="J546" s="26"/>
      <c r="K546"/>
    </row>
    <row r="547" spans="1:11">
      <c r="A547">
        <v>4</v>
      </c>
      <c r="B547" s="64">
        <v>41026</v>
      </c>
      <c r="C547" s="2">
        <v>2064065.66</v>
      </c>
      <c r="D547">
        <v>0</v>
      </c>
      <c r="E547" s="65">
        <v>76.47</v>
      </c>
      <c r="F547" s="8">
        <v>3.81</v>
      </c>
      <c r="G547" s="66">
        <v>131.1266667</v>
      </c>
      <c r="H547" s="8">
        <v>4.308</v>
      </c>
      <c r="J547" s="26"/>
      <c r="K547"/>
    </row>
    <row r="548" spans="1:11">
      <c r="A548">
        <v>4</v>
      </c>
      <c r="B548" s="64">
        <v>41033</v>
      </c>
      <c r="C548" s="2">
        <v>2196968.33</v>
      </c>
      <c r="D548">
        <v>0</v>
      </c>
      <c r="E548" s="65">
        <v>80.14</v>
      </c>
      <c r="F548" s="8">
        <v>3.747</v>
      </c>
      <c r="G548" s="66">
        <v>131.136</v>
      </c>
      <c r="H548" s="8">
        <v>4.308</v>
      </c>
      <c r="J548" s="26"/>
      <c r="K548"/>
    </row>
    <row r="549" spans="1:11">
      <c r="A549">
        <v>4</v>
      </c>
      <c r="B549" s="64">
        <v>41040</v>
      </c>
      <c r="C549" s="2">
        <v>2127661.17</v>
      </c>
      <c r="D549">
        <v>0</v>
      </c>
      <c r="E549" s="65">
        <v>67.64</v>
      </c>
      <c r="F549" s="8">
        <v>3.685</v>
      </c>
      <c r="G549" s="66">
        <v>131.1453333</v>
      </c>
      <c r="H549" s="8">
        <v>4.308</v>
      </c>
      <c r="J549" s="26"/>
      <c r="K549"/>
    </row>
    <row r="550" spans="1:11">
      <c r="A550">
        <v>4</v>
      </c>
      <c r="B550" s="64">
        <v>41047</v>
      </c>
      <c r="C550" s="2">
        <v>2207214.81</v>
      </c>
      <c r="D550">
        <v>0</v>
      </c>
      <c r="E550" s="65">
        <v>68.43</v>
      </c>
      <c r="F550" s="8">
        <v>3.62</v>
      </c>
      <c r="G550" s="66">
        <v>131.0983226</v>
      </c>
      <c r="H550" s="8">
        <v>4.308</v>
      </c>
      <c r="J550" s="26"/>
      <c r="K550"/>
    </row>
    <row r="551" spans="1:11">
      <c r="A551">
        <v>4</v>
      </c>
      <c r="B551" s="64">
        <v>41054</v>
      </c>
      <c r="C551" s="2">
        <v>2154137.67</v>
      </c>
      <c r="D551">
        <v>0</v>
      </c>
      <c r="E551" s="65">
        <v>77.47</v>
      </c>
      <c r="F551" s="8">
        <v>3.551</v>
      </c>
      <c r="G551" s="66">
        <v>131.0287742</v>
      </c>
      <c r="H551" s="8">
        <v>4.308</v>
      </c>
      <c r="J551" s="26"/>
      <c r="K551"/>
    </row>
    <row r="552" spans="1:11">
      <c r="A552">
        <v>4</v>
      </c>
      <c r="B552" s="64">
        <v>41061</v>
      </c>
      <c r="C552" s="2">
        <v>2179360.94</v>
      </c>
      <c r="D552">
        <v>0</v>
      </c>
      <c r="E552" s="65">
        <v>77.41</v>
      </c>
      <c r="F552" s="8">
        <v>3.483</v>
      </c>
      <c r="G552" s="66">
        <v>130.9592258</v>
      </c>
      <c r="H552" s="8">
        <v>4.308</v>
      </c>
      <c r="J552" s="26"/>
      <c r="K552"/>
    </row>
    <row r="553" spans="1:11">
      <c r="A553">
        <v>4</v>
      </c>
      <c r="B553" s="64">
        <v>41068</v>
      </c>
      <c r="C553" s="2">
        <v>2245257.18</v>
      </c>
      <c r="D553">
        <v>0</v>
      </c>
      <c r="E553" s="65">
        <v>78.11</v>
      </c>
      <c r="F553" s="8">
        <v>3.433</v>
      </c>
      <c r="G553" s="66">
        <v>130.8896774</v>
      </c>
      <c r="H553" s="8">
        <v>4.308</v>
      </c>
      <c r="J553" s="26"/>
      <c r="K553"/>
    </row>
    <row r="554" spans="1:11">
      <c r="A554">
        <v>4</v>
      </c>
      <c r="B554" s="64">
        <v>41075</v>
      </c>
      <c r="C554" s="2">
        <v>2234190.93</v>
      </c>
      <c r="D554">
        <v>0</v>
      </c>
      <c r="E554" s="65">
        <v>80.94</v>
      </c>
      <c r="F554" s="8">
        <v>3.372</v>
      </c>
      <c r="G554" s="66">
        <v>130.8295333</v>
      </c>
      <c r="H554" s="8">
        <v>4.308</v>
      </c>
      <c r="J554" s="26"/>
      <c r="K554"/>
    </row>
    <row r="555" spans="1:11">
      <c r="A555">
        <v>4</v>
      </c>
      <c r="B555" s="64">
        <v>41082</v>
      </c>
      <c r="C555" s="2">
        <v>2197299.65</v>
      </c>
      <c r="D555">
        <v>0</v>
      </c>
      <c r="E555" s="65">
        <v>81.63</v>
      </c>
      <c r="F555" s="8">
        <v>3.329</v>
      </c>
      <c r="G555" s="66">
        <v>130.7929</v>
      </c>
      <c r="H555" s="8">
        <v>4.308</v>
      </c>
      <c r="J555" s="26"/>
      <c r="K555"/>
    </row>
    <row r="556" spans="1:11">
      <c r="A556">
        <v>4</v>
      </c>
      <c r="B556" s="64">
        <v>41089</v>
      </c>
      <c r="C556" s="2">
        <v>2128362.92</v>
      </c>
      <c r="D556">
        <v>0</v>
      </c>
      <c r="E556" s="65">
        <v>84.23</v>
      </c>
      <c r="F556" s="8">
        <v>3.257</v>
      </c>
      <c r="G556" s="66">
        <v>130.7562667</v>
      </c>
      <c r="H556" s="8">
        <v>4.308</v>
      </c>
      <c r="J556" s="26"/>
      <c r="K556"/>
    </row>
    <row r="557" spans="1:11">
      <c r="A557">
        <v>4</v>
      </c>
      <c r="B557" s="64">
        <v>41096</v>
      </c>
      <c r="C557" s="2">
        <v>2224499.28</v>
      </c>
      <c r="D557">
        <v>0</v>
      </c>
      <c r="E557" s="65">
        <v>80.37</v>
      </c>
      <c r="F557" s="8">
        <v>3.187</v>
      </c>
      <c r="G557" s="66">
        <v>130.7196333</v>
      </c>
      <c r="H557" s="8">
        <v>4.077</v>
      </c>
      <c r="J557" s="26"/>
      <c r="K557"/>
    </row>
    <row r="558" spans="1:11">
      <c r="A558">
        <v>4</v>
      </c>
      <c r="B558" s="64">
        <v>41103</v>
      </c>
      <c r="C558" s="2">
        <v>2100252.61</v>
      </c>
      <c r="D558">
        <v>0</v>
      </c>
      <c r="E558" s="65">
        <v>76.86</v>
      </c>
      <c r="F558" s="8">
        <v>3.224</v>
      </c>
      <c r="G558" s="66">
        <v>130.683</v>
      </c>
      <c r="H558" s="8">
        <v>4.077</v>
      </c>
      <c r="J558" s="26"/>
      <c r="K558"/>
    </row>
    <row r="559" spans="1:11">
      <c r="A559">
        <v>4</v>
      </c>
      <c r="B559" s="64">
        <v>41110</v>
      </c>
      <c r="C559" s="2">
        <v>2175563.69</v>
      </c>
      <c r="D559">
        <v>0</v>
      </c>
      <c r="E559" s="65">
        <v>79.14</v>
      </c>
      <c r="F559" s="8">
        <v>3.263</v>
      </c>
      <c r="G559" s="66">
        <v>130.7012903</v>
      </c>
      <c r="H559" s="8">
        <v>4.077</v>
      </c>
      <c r="J559" s="26"/>
      <c r="K559"/>
    </row>
    <row r="560" spans="1:11">
      <c r="A560">
        <v>4</v>
      </c>
      <c r="B560" s="64">
        <v>41117</v>
      </c>
      <c r="C560" s="2">
        <v>2048613.65</v>
      </c>
      <c r="D560">
        <v>0</v>
      </c>
      <c r="E560" s="65">
        <v>81.06</v>
      </c>
      <c r="F560" s="8">
        <v>3.356</v>
      </c>
      <c r="G560" s="66">
        <v>130.7195806</v>
      </c>
      <c r="H560" s="8">
        <v>4.077</v>
      </c>
      <c r="J560" s="26"/>
      <c r="K560"/>
    </row>
    <row r="561" spans="1:11">
      <c r="A561">
        <v>4</v>
      </c>
      <c r="B561" s="64">
        <v>41124</v>
      </c>
      <c r="C561" s="2">
        <v>2174514.13</v>
      </c>
      <c r="D561">
        <v>0</v>
      </c>
      <c r="E561" s="65">
        <v>83.86</v>
      </c>
      <c r="F561" s="8">
        <v>3.374</v>
      </c>
      <c r="G561" s="66">
        <v>130.737871</v>
      </c>
      <c r="H561" s="8">
        <v>4.077</v>
      </c>
      <c r="J561" s="26"/>
      <c r="K561"/>
    </row>
    <row r="562" spans="1:11">
      <c r="A562">
        <v>4</v>
      </c>
      <c r="B562" s="64">
        <v>41131</v>
      </c>
      <c r="C562" s="2">
        <v>2193367.69</v>
      </c>
      <c r="D562">
        <v>0</v>
      </c>
      <c r="E562" s="65">
        <v>83.21</v>
      </c>
      <c r="F562" s="8">
        <v>3.476</v>
      </c>
      <c r="G562" s="66">
        <v>130.7561613</v>
      </c>
      <c r="H562" s="8">
        <v>4.077</v>
      </c>
      <c r="J562" s="26"/>
      <c r="K562"/>
    </row>
    <row r="563" spans="1:11">
      <c r="A563">
        <v>4</v>
      </c>
      <c r="B563" s="64">
        <v>41138</v>
      </c>
      <c r="C563" s="2">
        <v>2283540.3</v>
      </c>
      <c r="D563">
        <v>0</v>
      </c>
      <c r="E563" s="65">
        <v>81.41</v>
      </c>
      <c r="F563" s="8">
        <v>3.552</v>
      </c>
      <c r="G563" s="66">
        <v>130.7909677</v>
      </c>
      <c r="H563" s="8">
        <v>4.077</v>
      </c>
      <c r="J563" s="26"/>
      <c r="K563"/>
    </row>
    <row r="564" spans="1:11">
      <c r="A564">
        <v>4</v>
      </c>
      <c r="B564" s="64">
        <v>41145</v>
      </c>
      <c r="C564" s="2">
        <v>2125241.68</v>
      </c>
      <c r="D564">
        <v>0</v>
      </c>
      <c r="E564" s="65">
        <v>75.76</v>
      </c>
      <c r="F564" s="8">
        <v>3.61</v>
      </c>
      <c r="G564" s="66">
        <v>130.8381613</v>
      </c>
      <c r="H564" s="8">
        <v>4.077</v>
      </c>
      <c r="J564" s="26"/>
      <c r="K564"/>
    </row>
    <row r="565" spans="1:11">
      <c r="A565">
        <v>4</v>
      </c>
      <c r="B565" s="64">
        <v>41152</v>
      </c>
      <c r="C565" s="2">
        <v>2081181.35</v>
      </c>
      <c r="D565">
        <v>0</v>
      </c>
      <c r="E565" s="65">
        <v>76.47</v>
      </c>
      <c r="F565" s="8">
        <v>3.646</v>
      </c>
      <c r="G565" s="66">
        <v>130.8853548</v>
      </c>
      <c r="H565" s="8">
        <v>4.077</v>
      </c>
      <c r="J565" s="26"/>
      <c r="K565"/>
    </row>
    <row r="566" spans="1:11">
      <c r="A566">
        <v>4</v>
      </c>
      <c r="B566" s="64">
        <v>41159</v>
      </c>
      <c r="C566" s="2">
        <v>2125104.72</v>
      </c>
      <c r="D566">
        <v>1</v>
      </c>
      <c r="E566" s="65">
        <v>82.09</v>
      </c>
      <c r="F566" s="8">
        <v>3.709</v>
      </c>
      <c r="G566" s="66">
        <v>130.9325484</v>
      </c>
      <c r="H566" s="8">
        <v>4.077</v>
      </c>
      <c r="J566" s="26"/>
      <c r="K566"/>
    </row>
    <row r="567" spans="1:11">
      <c r="A567">
        <v>4</v>
      </c>
      <c r="B567" s="64">
        <v>41166</v>
      </c>
      <c r="C567" s="2">
        <v>2117854.6</v>
      </c>
      <c r="D567">
        <v>0</v>
      </c>
      <c r="E567" s="65">
        <v>68.2</v>
      </c>
      <c r="F567" s="8">
        <v>3.706</v>
      </c>
      <c r="G567" s="66">
        <v>130.9776667</v>
      </c>
      <c r="H567" s="8">
        <v>4.077</v>
      </c>
      <c r="J567" s="26"/>
      <c r="K567"/>
    </row>
    <row r="568" spans="1:11">
      <c r="A568">
        <v>4</v>
      </c>
      <c r="B568" s="64">
        <v>41173</v>
      </c>
      <c r="C568" s="2">
        <v>2119438.53</v>
      </c>
      <c r="D568">
        <v>0</v>
      </c>
      <c r="E568" s="65">
        <v>68.97</v>
      </c>
      <c r="F568" s="8">
        <v>3.721</v>
      </c>
      <c r="G568" s="66">
        <v>131.0103333</v>
      </c>
      <c r="H568" s="8">
        <v>4.077</v>
      </c>
      <c r="J568" s="26"/>
      <c r="K568"/>
    </row>
    <row r="569" spans="1:11">
      <c r="A569">
        <v>4</v>
      </c>
      <c r="B569" s="64">
        <v>41180</v>
      </c>
      <c r="C569" s="2">
        <v>2027620.23</v>
      </c>
      <c r="D569">
        <v>0</v>
      </c>
      <c r="E569" s="65">
        <v>71.74</v>
      </c>
      <c r="F569" s="8">
        <v>3.666</v>
      </c>
      <c r="G569" s="66">
        <v>131.043</v>
      </c>
      <c r="H569" s="8">
        <v>4.077</v>
      </c>
      <c r="J569" s="26"/>
      <c r="K569"/>
    </row>
    <row r="570" spans="1:11">
      <c r="A570">
        <v>4</v>
      </c>
      <c r="B570" s="64">
        <v>41187</v>
      </c>
      <c r="C570" s="2">
        <v>2209835.43</v>
      </c>
      <c r="D570">
        <v>0</v>
      </c>
      <c r="E570" s="65">
        <v>63.07</v>
      </c>
      <c r="F570" s="8">
        <v>3.62</v>
      </c>
      <c r="G570" s="66">
        <v>131.0756667</v>
      </c>
      <c r="H570" s="8">
        <v>3.879</v>
      </c>
      <c r="J570" s="26"/>
      <c r="K570"/>
    </row>
    <row r="571" spans="1:11">
      <c r="A571">
        <v>4</v>
      </c>
      <c r="B571" s="64">
        <v>41194</v>
      </c>
      <c r="C571" s="2">
        <v>2133026.07</v>
      </c>
      <c r="D571">
        <v>0</v>
      </c>
      <c r="E571" s="65">
        <v>57.11</v>
      </c>
      <c r="F571" s="8">
        <v>3.603</v>
      </c>
      <c r="G571" s="66">
        <v>131.1083333</v>
      </c>
      <c r="H571" s="8">
        <v>3.879</v>
      </c>
      <c r="J571" s="26"/>
      <c r="K571"/>
    </row>
    <row r="572" spans="1:11">
      <c r="A572">
        <v>4</v>
      </c>
      <c r="B572" s="64">
        <v>41201</v>
      </c>
      <c r="C572" s="2">
        <v>2097266.85</v>
      </c>
      <c r="D572">
        <v>0</v>
      </c>
      <c r="E572" s="65">
        <v>64.46</v>
      </c>
      <c r="F572" s="8">
        <v>3.61</v>
      </c>
      <c r="G572" s="66">
        <v>131.1499677</v>
      </c>
      <c r="H572" s="8">
        <v>3.879</v>
      </c>
      <c r="J572" s="26"/>
      <c r="K572"/>
    </row>
    <row r="573" spans="1:11">
      <c r="A573">
        <v>4</v>
      </c>
      <c r="B573" s="64">
        <v>41208</v>
      </c>
      <c r="C573" s="2">
        <v>2149594.46</v>
      </c>
      <c r="D573">
        <v>0</v>
      </c>
      <c r="E573" s="65">
        <v>63.64</v>
      </c>
      <c r="F573" s="8">
        <v>3.514</v>
      </c>
      <c r="G573" s="66">
        <v>131.1930968</v>
      </c>
      <c r="H573" s="8">
        <v>3.879</v>
      </c>
      <c r="J573" s="26"/>
      <c r="K573"/>
    </row>
    <row r="574" spans="1:11">
      <c r="A574">
        <v>5</v>
      </c>
      <c r="B574" s="64">
        <v>40214</v>
      </c>
      <c r="C574" s="2">
        <v>317173.1</v>
      </c>
      <c r="D574">
        <v>0</v>
      </c>
      <c r="E574" s="65">
        <v>39.7</v>
      </c>
      <c r="F574" s="8">
        <v>2.572</v>
      </c>
      <c r="G574" s="66">
        <v>211.6539716</v>
      </c>
      <c r="H574" s="8">
        <v>6.566</v>
      </c>
      <c r="J574" s="26"/>
      <c r="K574"/>
    </row>
    <row r="575" spans="1:11">
      <c r="A575">
        <v>5</v>
      </c>
      <c r="B575" s="64">
        <v>40221</v>
      </c>
      <c r="C575" s="2">
        <v>311825.7</v>
      </c>
      <c r="D575">
        <v>1</v>
      </c>
      <c r="E575" s="65">
        <v>39.81</v>
      </c>
      <c r="F575" s="8">
        <v>2.548</v>
      </c>
      <c r="G575" s="66">
        <v>211.8004698</v>
      </c>
      <c r="H575" s="8">
        <v>6.566</v>
      </c>
      <c r="J575" s="26"/>
      <c r="K575"/>
    </row>
    <row r="576" spans="1:11">
      <c r="A576">
        <v>5</v>
      </c>
      <c r="B576" s="64">
        <v>40228</v>
      </c>
      <c r="C576" s="2">
        <v>303447.57</v>
      </c>
      <c r="D576">
        <v>0</v>
      </c>
      <c r="E576" s="65">
        <v>41.14</v>
      </c>
      <c r="F576" s="8">
        <v>2.514</v>
      </c>
      <c r="G576" s="66">
        <v>211.8471283</v>
      </c>
      <c r="H576" s="8">
        <v>6.566</v>
      </c>
      <c r="J576" s="26"/>
      <c r="K576"/>
    </row>
    <row r="577" spans="1:11">
      <c r="A577">
        <v>5</v>
      </c>
      <c r="B577" s="64">
        <v>40235</v>
      </c>
      <c r="C577" s="2">
        <v>270281.63</v>
      </c>
      <c r="D577">
        <v>0</v>
      </c>
      <c r="E577" s="65">
        <v>46.7</v>
      </c>
      <c r="F577" s="8">
        <v>2.561</v>
      </c>
      <c r="G577" s="66">
        <v>211.8771468</v>
      </c>
      <c r="H577" s="8">
        <v>6.566</v>
      </c>
      <c r="J577" s="26"/>
      <c r="K577"/>
    </row>
    <row r="578" spans="1:11">
      <c r="A578">
        <v>5</v>
      </c>
      <c r="B578" s="64">
        <v>40242</v>
      </c>
      <c r="C578" s="2">
        <v>288855.71</v>
      </c>
      <c r="D578">
        <v>0</v>
      </c>
      <c r="E578" s="65">
        <v>48.89</v>
      </c>
      <c r="F578" s="8">
        <v>2.625</v>
      </c>
      <c r="G578" s="66">
        <v>211.9071653</v>
      </c>
      <c r="H578" s="8">
        <v>6.566</v>
      </c>
      <c r="J578" s="26"/>
      <c r="K578"/>
    </row>
    <row r="579" spans="1:11">
      <c r="A579">
        <v>5</v>
      </c>
      <c r="B579" s="64">
        <v>40249</v>
      </c>
      <c r="C579" s="2">
        <v>297293.59</v>
      </c>
      <c r="D579">
        <v>0</v>
      </c>
      <c r="E579" s="65">
        <v>58.5</v>
      </c>
      <c r="F579" s="8">
        <v>2.667</v>
      </c>
      <c r="G579" s="66">
        <v>211.9371839</v>
      </c>
      <c r="H579" s="8">
        <v>6.566</v>
      </c>
      <c r="J579" s="26"/>
      <c r="K579"/>
    </row>
    <row r="580" spans="1:11">
      <c r="A580">
        <v>5</v>
      </c>
      <c r="B580" s="64">
        <v>40256</v>
      </c>
      <c r="C580" s="2">
        <v>281706.41</v>
      </c>
      <c r="D580">
        <v>0</v>
      </c>
      <c r="E580" s="65">
        <v>55.46</v>
      </c>
      <c r="F580" s="8">
        <v>2.72</v>
      </c>
      <c r="G580" s="66">
        <v>211.770897</v>
      </c>
      <c r="H580" s="8">
        <v>6.566</v>
      </c>
      <c r="J580" s="26"/>
      <c r="K580"/>
    </row>
    <row r="581" spans="1:11">
      <c r="A581">
        <v>5</v>
      </c>
      <c r="B581" s="64">
        <v>40263</v>
      </c>
      <c r="C581" s="2">
        <v>273282.97</v>
      </c>
      <c r="D581">
        <v>0</v>
      </c>
      <c r="E581" s="65">
        <v>52.47</v>
      </c>
      <c r="F581" s="8">
        <v>2.732</v>
      </c>
      <c r="G581" s="66">
        <v>211.5718925</v>
      </c>
      <c r="H581" s="8">
        <v>6.566</v>
      </c>
      <c r="J581" s="26"/>
      <c r="K581"/>
    </row>
    <row r="582" spans="1:11">
      <c r="A582">
        <v>5</v>
      </c>
      <c r="B582" s="64">
        <v>40270</v>
      </c>
      <c r="C582" s="2">
        <v>331406</v>
      </c>
      <c r="D582">
        <v>0</v>
      </c>
      <c r="E582" s="65">
        <v>63.18</v>
      </c>
      <c r="F582" s="8">
        <v>2.719</v>
      </c>
      <c r="G582" s="66">
        <v>211.372888</v>
      </c>
      <c r="H582" s="8">
        <v>6.465</v>
      </c>
      <c r="J582" s="26"/>
      <c r="K582"/>
    </row>
    <row r="583" spans="1:11">
      <c r="A583">
        <v>5</v>
      </c>
      <c r="B583" s="64">
        <v>40277</v>
      </c>
      <c r="C583" s="2">
        <v>328020.49</v>
      </c>
      <c r="D583">
        <v>0</v>
      </c>
      <c r="E583" s="65">
        <v>65.19</v>
      </c>
      <c r="F583" s="8">
        <v>2.77</v>
      </c>
      <c r="G583" s="66">
        <v>211.1738835</v>
      </c>
      <c r="H583" s="8">
        <v>6.465</v>
      </c>
      <c r="J583" s="26"/>
      <c r="K583"/>
    </row>
    <row r="584" spans="1:11">
      <c r="A584">
        <v>5</v>
      </c>
      <c r="B584" s="64">
        <v>40284</v>
      </c>
      <c r="C584" s="2">
        <v>306858.69</v>
      </c>
      <c r="D584">
        <v>0</v>
      </c>
      <c r="E584" s="65">
        <v>65.3</v>
      </c>
      <c r="F584" s="8">
        <v>2.808</v>
      </c>
      <c r="G584" s="66">
        <v>211.0388528</v>
      </c>
      <c r="H584" s="8">
        <v>6.465</v>
      </c>
      <c r="J584" s="26"/>
      <c r="K584"/>
    </row>
    <row r="585" spans="1:11">
      <c r="A585">
        <v>5</v>
      </c>
      <c r="B585" s="64">
        <v>40291</v>
      </c>
      <c r="C585" s="2">
        <v>288839.73</v>
      </c>
      <c r="D585">
        <v>0</v>
      </c>
      <c r="E585" s="65">
        <v>65.13</v>
      </c>
      <c r="F585" s="8">
        <v>2.795</v>
      </c>
      <c r="G585" s="66">
        <v>210.9891204</v>
      </c>
      <c r="H585" s="8">
        <v>6.465</v>
      </c>
      <c r="J585" s="26"/>
      <c r="K585"/>
    </row>
    <row r="586" spans="1:11">
      <c r="A586">
        <v>5</v>
      </c>
      <c r="B586" s="64">
        <v>40298</v>
      </c>
      <c r="C586" s="2">
        <v>298697.84</v>
      </c>
      <c r="D586">
        <v>0</v>
      </c>
      <c r="E586" s="65">
        <v>67.53</v>
      </c>
      <c r="F586" s="8">
        <v>2.78</v>
      </c>
      <c r="G586" s="66">
        <v>210.939388</v>
      </c>
      <c r="H586" s="8">
        <v>6.465</v>
      </c>
      <c r="J586" s="26"/>
      <c r="K586"/>
    </row>
    <row r="587" spans="1:11">
      <c r="A587">
        <v>5</v>
      </c>
      <c r="B587" s="64">
        <v>40305</v>
      </c>
      <c r="C587" s="2">
        <v>333522.6</v>
      </c>
      <c r="D587">
        <v>0</v>
      </c>
      <c r="E587" s="65">
        <v>71.53</v>
      </c>
      <c r="F587" s="8">
        <v>2.835</v>
      </c>
      <c r="G587" s="66">
        <v>210.8896556</v>
      </c>
      <c r="H587" s="8">
        <v>6.465</v>
      </c>
      <c r="J587" s="26"/>
      <c r="K587"/>
    </row>
    <row r="588" spans="1:11">
      <c r="A588">
        <v>5</v>
      </c>
      <c r="B588" s="64">
        <v>40312</v>
      </c>
      <c r="C588" s="2">
        <v>296673.77</v>
      </c>
      <c r="D588">
        <v>0</v>
      </c>
      <c r="E588" s="65">
        <v>74.79</v>
      </c>
      <c r="F588" s="8">
        <v>2.854</v>
      </c>
      <c r="G588" s="66">
        <v>210.8872772</v>
      </c>
      <c r="H588" s="8">
        <v>6.465</v>
      </c>
      <c r="J588" s="26"/>
      <c r="K588"/>
    </row>
    <row r="589" spans="1:11">
      <c r="A589">
        <v>5</v>
      </c>
      <c r="B589" s="64">
        <v>40319</v>
      </c>
      <c r="C589" s="2">
        <v>301615.49</v>
      </c>
      <c r="D589">
        <v>0</v>
      </c>
      <c r="E589" s="65">
        <v>75.2</v>
      </c>
      <c r="F589" s="8">
        <v>2.826</v>
      </c>
      <c r="G589" s="66">
        <v>211.169023</v>
      </c>
      <c r="H589" s="8">
        <v>6.465</v>
      </c>
      <c r="J589" s="26"/>
      <c r="K589"/>
    </row>
    <row r="590" spans="1:11">
      <c r="A590">
        <v>5</v>
      </c>
      <c r="B590" s="64">
        <v>40326</v>
      </c>
      <c r="C590" s="2">
        <v>310013.11</v>
      </c>
      <c r="D590">
        <v>0</v>
      </c>
      <c r="E590" s="65">
        <v>79.81</v>
      </c>
      <c r="F590" s="8">
        <v>2.759</v>
      </c>
      <c r="G590" s="66">
        <v>211.4507688</v>
      </c>
      <c r="H590" s="8">
        <v>6.465</v>
      </c>
      <c r="J590" s="26"/>
      <c r="K590"/>
    </row>
    <row r="591" spans="1:11">
      <c r="A591">
        <v>5</v>
      </c>
      <c r="B591" s="64">
        <v>40333</v>
      </c>
      <c r="C591" s="2">
        <v>337825.89</v>
      </c>
      <c r="D591">
        <v>0</v>
      </c>
      <c r="E591" s="65">
        <v>79.54</v>
      </c>
      <c r="F591" s="8">
        <v>2.705</v>
      </c>
      <c r="G591" s="66">
        <v>211.7325146</v>
      </c>
      <c r="H591" s="8">
        <v>6.465</v>
      </c>
      <c r="J591" s="26"/>
      <c r="K591"/>
    </row>
    <row r="592" spans="1:11">
      <c r="A592">
        <v>5</v>
      </c>
      <c r="B592" s="64">
        <v>40340</v>
      </c>
      <c r="C592" s="2">
        <v>296641.91</v>
      </c>
      <c r="D592">
        <v>0</v>
      </c>
      <c r="E592" s="65">
        <v>80.7</v>
      </c>
      <c r="F592" s="8">
        <v>2.668</v>
      </c>
      <c r="G592" s="66">
        <v>212.0142605</v>
      </c>
      <c r="H592" s="8">
        <v>6.465</v>
      </c>
      <c r="J592" s="26"/>
      <c r="K592"/>
    </row>
    <row r="593" spans="1:11">
      <c r="A593">
        <v>5</v>
      </c>
      <c r="B593" s="64">
        <v>40347</v>
      </c>
      <c r="C593" s="2">
        <v>313795.6</v>
      </c>
      <c r="D593">
        <v>0</v>
      </c>
      <c r="E593" s="65">
        <v>83.91</v>
      </c>
      <c r="F593" s="8">
        <v>2.637</v>
      </c>
      <c r="G593" s="66">
        <v>212.0119769</v>
      </c>
      <c r="H593" s="8">
        <v>6.465</v>
      </c>
      <c r="J593" s="26"/>
      <c r="K593"/>
    </row>
    <row r="594" spans="1:11">
      <c r="A594">
        <v>5</v>
      </c>
      <c r="B594" s="64">
        <v>40354</v>
      </c>
      <c r="C594" s="2">
        <v>295257.3</v>
      </c>
      <c r="D594">
        <v>0</v>
      </c>
      <c r="E594" s="65">
        <v>83.72</v>
      </c>
      <c r="F594" s="8">
        <v>2.653</v>
      </c>
      <c r="G594" s="66">
        <v>211.8960815</v>
      </c>
      <c r="H594" s="8">
        <v>6.465</v>
      </c>
      <c r="J594" s="26"/>
      <c r="K594"/>
    </row>
    <row r="595" spans="1:11">
      <c r="A595">
        <v>5</v>
      </c>
      <c r="B595" s="64">
        <v>40361</v>
      </c>
      <c r="C595" s="2">
        <v>305993.27</v>
      </c>
      <c r="D595">
        <v>0</v>
      </c>
      <c r="E595" s="65">
        <v>81.25</v>
      </c>
      <c r="F595" s="8">
        <v>2.669</v>
      </c>
      <c r="G595" s="66">
        <v>211.7801861</v>
      </c>
      <c r="H595" s="8">
        <v>6.496</v>
      </c>
      <c r="J595" s="26"/>
      <c r="K595"/>
    </row>
    <row r="596" spans="1:11">
      <c r="A596">
        <v>5</v>
      </c>
      <c r="B596" s="64">
        <v>40368</v>
      </c>
      <c r="C596" s="2">
        <v>291808.87</v>
      </c>
      <c r="D596">
        <v>0</v>
      </c>
      <c r="E596" s="65">
        <v>81.14</v>
      </c>
      <c r="F596" s="8">
        <v>2.642</v>
      </c>
      <c r="G596" s="66">
        <v>211.6642907</v>
      </c>
      <c r="H596" s="8">
        <v>6.496</v>
      </c>
      <c r="J596" s="26"/>
      <c r="K596"/>
    </row>
    <row r="597" spans="1:11">
      <c r="A597">
        <v>5</v>
      </c>
      <c r="B597" s="64">
        <v>40375</v>
      </c>
      <c r="C597" s="2">
        <v>280701.7</v>
      </c>
      <c r="D597">
        <v>0</v>
      </c>
      <c r="E597" s="65">
        <v>83.98</v>
      </c>
      <c r="F597" s="8">
        <v>2.623</v>
      </c>
      <c r="G597" s="66">
        <v>211.6561123</v>
      </c>
      <c r="H597" s="8">
        <v>6.496</v>
      </c>
      <c r="J597" s="26"/>
      <c r="K597"/>
    </row>
    <row r="598" spans="1:11">
      <c r="A598">
        <v>5</v>
      </c>
      <c r="B598" s="64">
        <v>40382</v>
      </c>
      <c r="C598" s="2">
        <v>274742.63</v>
      </c>
      <c r="D598">
        <v>0</v>
      </c>
      <c r="E598" s="65">
        <v>83.66</v>
      </c>
      <c r="F598" s="8">
        <v>2.608</v>
      </c>
      <c r="G598" s="66">
        <v>211.7915565</v>
      </c>
      <c r="H598" s="8">
        <v>6.496</v>
      </c>
      <c r="J598" s="26"/>
      <c r="K598"/>
    </row>
    <row r="599" spans="1:11">
      <c r="A599">
        <v>5</v>
      </c>
      <c r="B599" s="64">
        <v>40389</v>
      </c>
      <c r="C599" s="2">
        <v>268929.03</v>
      </c>
      <c r="D599">
        <v>0</v>
      </c>
      <c r="E599" s="65">
        <v>82.46</v>
      </c>
      <c r="F599" s="8">
        <v>2.64</v>
      </c>
      <c r="G599" s="66">
        <v>211.9270006</v>
      </c>
      <c r="H599" s="8">
        <v>6.496</v>
      </c>
      <c r="J599" s="26"/>
      <c r="K599"/>
    </row>
    <row r="600" spans="1:11">
      <c r="A600">
        <v>5</v>
      </c>
      <c r="B600" s="64">
        <v>40396</v>
      </c>
      <c r="C600" s="2">
        <v>303043.02</v>
      </c>
      <c r="D600">
        <v>0</v>
      </c>
      <c r="E600" s="65">
        <v>86.1</v>
      </c>
      <c r="F600" s="8">
        <v>2.627</v>
      </c>
      <c r="G600" s="66">
        <v>212.0624447</v>
      </c>
      <c r="H600" s="8">
        <v>6.496</v>
      </c>
      <c r="J600" s="26"/>
      <c r="K600"/>
    </row>
    <row r="601" spans="1:11">
      <c r="A601">
        <v>5</v>
      </c>
      <c r="B601" s="64">
        <v>40403</v>
      </c>
      <c r="C601" s="2">
        <v>286477.35</v>
      </c>
      <c r="D601">
        <v>0</v>
      </c>
      <c r="E601" s="65">
        <v>87.41</v>
      </c>
      <c r="F601" s="8">
        <v>2.692</v>
      </c>
      <c r="G601" s="66">
        <v>212.1978889</v>
      </c>
      <c r="H601" s="8">
        <v>6.496</v>
      </c>
      <c r="J601" s="26"/>
      <c r="K601"/>
    </row>
    <row r="602" spans="1:11">
      <c r="A602">
        <v>5</v>
      </c>
      <c r="B602" s="64">
        <v>40410</v>
      </c>
      <c r="C602" s="2">
        <v>287205.38</v>
      </c>
      <c r="D602">
        <v>0</v>
      </c>
      <c r="E602" s="65">
        <v>87.71</v>
      </c>
      <c r="F602" s="8">
        <v>2.664</v>
      </c>
      <c r="G602" s="66">
        <v>212.1608984</v>
      </c>
      <c r="H602" s="8">
        <v>6.496</v>
      </c>
      <c r="J602" s="26"/>
      <c r="K602"/>
    </row>
    <row r="603" spans="1:11">
      <c r="A603">
        <v>5</v>
      </c>
      <c r="B603" s="64">
        <v>40417</v>
      </c>
      <c r="C603" s="2">
        <v>288519.75</v>
      </c>
      <c r="D603">
        <v>0</v>
      </c>
      <c r="E603" s="65">
        <v>87.05</v>
      </c>
      <c r="F603" s="8">
        <v>2.619</v>
      </c>
      <c r="G603" s="66">
        <v>212.123908</v>
      </c>
      <c r="H603" s="8">
        <v>6.496</v>
      </c>
      <c r="J603" s="26"/>
      <c r="K603"/>
    </row>
    <row r="604" spans="1:11">
      <c r="A604">
        <v>5</v>
      </c>
      <c r="B604" s="64">
        <v>40424</v>
      </c>
      <c r="C604" s="2">
        <v>323798</v>
      </c>
      <c r="D604">
        <v>0</v>
      </c>
      <c r="E604" s="65">
        <v>84.06</v>
      </c>
      <c r="F604" s="8">
        <v>2.577</v>
      </c>
      <c r="G604" s="66">
        <v>212.0869176</v>
      </c>
      <c r="H604" s="8">
        <v>6.496</v>
      </c>
      <c r="J604" s="26"/>
      <c r="K604"/>
    </row>
    <row r="605" spans="1:11">
      <c r="A605">
        <v>5</v>
      </c>
      <c r="B605" s="64">
        <v>40431</v>
      </c>
      <c r="C605" s="2">
        <v>306533.08</v>
      </c>
      <c r="D605">
        <v>1</v>
      </c>
      <c r="E605" s="65">
        <v>79.86</v>
      </c>
      <c r="F605" s="8">
        <v>2.565</v>
      </c>
      <c r="G605" s="66">
        <v>212.0499271</v>
      </c>
      <c r="H605" s="8">
        <v>6.496</v>
      </c>
      <c r="J605" s="26"/>
      <c r="K605"/>
    </row>
    <row r="606" spans="1:11">
      <c r="A606">
        <v>5</v>
      </c>
      <c r="B606" s="64">
        <v>40438</v>
      </c>
      <c r="C606" s="2">
        <v>282558.65</v>
      </c>
      <c r="D606">
        <v>0</v>
      </c>
      <c r="E606" s="65">
        <v>82.28</v>
      </c>
      <c r="F606" s="8">
        <v>2.582</v>
      </c>
      <c r="G606" s="66">
        <v>212.0769346</v>
      </c>
      <c r="H606" s="8">
        <v>6.496</v>
      </c>
      <c r="J606" s="26"/>
      <c r="K606"/>
    </row>
    <row r="607" spans="1:11">
      <c r="A607">
        <v>5</v>
      </c>
      <c r="B607" s="64">
        <v>40445</v>
      </c>
      <c r="C607" s="2">
        <v>293131.58</v>
      </c>
      <c r="D607">
        <v>0</v>
      </c>
      <c r="E607" s="65">
        <v>78.53</v>
      </c>
      <c r="F607" s="8">
        <v>2.624</v>
      </c>
      <c r="G607" s="66">
        <v>212.1519404</v>
      </c>
      <c r="H607" s="8">
        <v>6.496</v>
      </c>
      <c r="J607" s="26"/>
      <c r="K607"/>
    </row>
    <row r="608" spans="1:11">
      <c r="A608">
        <v>5</v>
      </c>
      <c r="B608" s="64">
        <v>40452</v>
      </c>
      <c r="C608" s="2">
        <v>283178.12</v>
      </c>
      <c r="D608">
        <v>0</v>
      </c>
      <c r="E608" s="65">
        <v>71.1</v>
      </c>
      <c r="F608" s="8">
        <v>2.603</v>
      </c>
      <c r="G608" s="66">
        <v>212.2269463</v>
      </c>
      <c r="H608" s="8">
        <v>6.768</v>
      </c>
      <c r="J608" s="26"/>
      <c r="K608"/>
    </row>
    <row r="609" spans="1:11">
      <c r="A609">
        <v>5</v>
      </c>
      <c r="B609" s="64">
        <v>40459</v>
      </c>
      <c r="C609" s="2">
        <v>290494.85</v>
      </c>
      <c r="D609">
        <v>0</v>
      </c>
      <c r="E609" s="65">
        <v>64.99</v>
      </c>
      <c r="F609" s="8">
        <v>2.633</v>
      </c>
      <c r="G609" s="66">
        <v>212.3019522</v>
      </c>
      <c r="H609" s="8">
        <v>6.768</v>
      </c>
      <c r="J609" s="26"/>
      <c r="K609"/>
    </row>
    <row r="610" spans="1:11">
      <c r="A610">
        <v>5</v>
      </c>
      <c r="B610" s="64">
        <v>40466</v>
      </c>
      <c r="C610" s="2">
        <v>280681.2</v>
      </c>
      <c r="D610">
        <v>0</v>
      </c>
      <c r="E610" s="65">
        <v>68.11</v>
      </c>
      <c r="F610" s="8">
        <v>2.72</v>
      </c>
      <c r="G610" s="66">
        <v>212.3691867</v>
      </c>
      <c r="H610" s="8">
        <v>6.768</v>
      </c>
      <c r="J610" s="26"/>
      <c r="K610"/>
    </row>
    <row r="611" spans="1:11">
      <c r="A611">
        <v>5</v>
      </c>
      <c r="B611" s="64">
        <v>40473</v>
      </c>
      <c r="C611" s="2">
        <v>284988.27</v>
      </c>
      <c r="D611">
        <v>0</v>
      </c>
      <c r="E611" s="65">
        <v>70.96</v>
      </c>
      <c r="F611" s="8">
        <v>2.725</v>
      </c>
      <c r="G611" s="66">
        <v>212.4169928</v>
      </c>
      <c r="H611" s="8">
        <v>6.768</v>
      </c>
      <c r="J611" s="26"/>
      <c r="K611"/>
    </row>
    <row r="612" spans="1:11">
      <c r="A612">
        <v>5</v>
      </c>
      <c r="B612" s="64">
        <v>40480</v>
      </c>
      <c r="C612" s="2">
        <v>278031.81</v>
      </c>
      <c r="D612">
        <v>0</v>
      </c>
      <c r="E612" s="65">
        <v>70.58</v>
      </c>
      <c r="F612" s="8">
        <v>2.716</v>
      </c>
      <c r="G612" s="66">
        <v>212.464799</v>
      </c>
      <c r="H612" s="8">
        <v>6.768</v>
      </c>
      <c r="J612" s="26"/>
      <c r="K612"/>
    </row>
    <row r="613" spans="1:11">
      <c r="A613">
        <v>5</v>
      </c>
      <c r="B613" s="64">
        <v>40487</v>
      </c>
      <c r="C613" s="2">
        <v>325310.3</v>
      </c>
      <c r="D613">
        <v>0</v>
      </c>
      <c r="E613" s="65">
        <v>58.88</v>
      </c>
      <c r="F613" s="8">
        <v>2.689</v>
      </c>
      <c r="G613" s="66">
        <v>212.5126051</v>
      </c>
      <c r="H613" s="8">
        <v>6.768</v>
      </c>
      <c r="J613" s="26"/>
      <c r="K613"/>
    </row>
    <row r="614" spans="1:11">
      <c r="A614">
        <v>5</v>
      </c>
      <c r="B614" s="64">
        <v>40494</v>
      </c>
      <c r="C614" s="2">
        <v>301827.36</v>
      </c>
      <c r="D614">
        <v>0</v>
      </c>
      <c r="E614" s="65">
        <v>62.37</v>
      </c>
      <c r="F614" s="8">
        <v>2.728</v>
      </c>
      <c r="G614" s="66">
        <v>212.5604113</v>
      </c>
      <c r="H614" s="8">
        <v>6.768</v>
      </c>
      <c r="J614" s="26"/>
      <c r="K614"/>
    </row>
    <row r="615" spans="1:11">
      <c r="A615">
        <v>5</v>
      </c>
      <c r="B615" s="64">
        <v>40501</v>
      </c>
      <c r="C615" s="2">
        <v>297384.81</v>
      </c>
      <c r="D615">
        <v>0</v>
      </c>
      <c r="E615" s="65">
        <v>52.52</v>
      </c>
      <c r="F615" s="8">
        <v>2.771</v>
      </c>
      <c r="G615" s="66">
        <v>212.445487</v>
      </c>
      <c r="H615" s="8">
        <v>6.768</v>
      </c>
      <c r="J615" s="26"/>
      <c r="K615"/>
    </row>
    <row r="616" spans="1:11">
      <c r="A616">
        <v>5</v>
      </c>
      <c r="B616" s="64">
        <v>40508</v>
      </c>
      <c r="C616" s="2">
        <v>488362.61</v>
      </c>
      <c r="D616">
        <v>1</v>
      </c>
      <c r="E616" s="65">
        <v>66.15</v>
      </c>
      <c r="F616" s="8">
        <v>2.735</v>
      </c>
      <c r="G616" s="66">
        <v>212.303441</v>
      </c>
      <c r="H616" s="8">
        <v>6.768</v>
      </c>
      <c r="J616" s="26"/>
      <c r="K616"/>
    </row>
    <row r="617" spans="1:11">
      <c r="A617">
        <v>5</v>
      </c>
      <c r="B617" s="64">
        <v>40515</v>
      </c>
      <c r="C617" s="2">
        <v>344490.88</v>
      </c>
      <c r="D617">
        <v>0</v>
      </c>
      <c r="E617" s="65">
        <v>51.31</v>
      </c>
      <c r="F617" s="8">
        <v>2.708</v>
      </c>
      <c r="G617" s="66">
        <v>212.1613951</v>
      </c>
      <c r="H617" s="8">
        <v>6.768</v>
      </c>
      <c r="J617" s="26"/>
      <c r="K617"/>
    </row>
    <row r="618" spans="1:11">
      <c r="A618">
        <v>5</v>
      </c>
      <c r="B618" s="64">
        <v>40522</v>
      </c>
      <c r="C618" s="2">
        <v>352811.53</v>
      </c>
      <c r="D618">
        <v>0</v>
      </c>
      <c r="E618" s="65">
        <v>48.27</v>
      </c>
      <c r="F618" s="8">
        <v>2.843</v>
      </c>
      <c r="G618" s="66">
        <v>212.0193491</v>
      </c>
      <c r="H618" s="8">
        <v>6.768</v>
      </c>
      <c r="J618" s="26"/>
      <c r="K618"/>
    </row>
    <row r="619" spans="1:11">
      <c r="A619">
        <v>5</v>
      </c>
      <c r="B619" s="64">
        <v>40529</v>
      </c>
      <c r="C619" s="2">
        <v>367801.19</v>
      </c>
      <c r="D619">
        <v>0</v>
      </c>
      <c r="E619" s="65">
        <v>51.61</v>
      </c>
      <c r="F619" s="8">
        <v>2.869</v>
      </c>
      <c r="G619" s="66">
        <v>211.9580815</v>
      </c>
      <c r="H619" s="8">
        <v>6.768</v>
      </c>
      <c r="J619" s="26"/>
      <c r="K619"/>
    </row>
    <row r="620" spans="1:11">
      <c r="A620">
        <v>5</v>
      </c>
      <c r="B620" s="64">
        <v>40536</v>
      </c>
      <c r="C620" s="2">
        <v>466010.25</v>
      </c>
      <c r="D620">
        <v>0</v>
      </c>
      <c r="E620" s="65">
        <v>55.01</v>
      </c>
      <c r="F620" s="8">
        <v>2.886</v>
      </c>
      <c r="G620" s="66">
        <v>211.9573978</v>
      </c>
      <c r="H620" s="8">
        <v>6.768</v>
      </c>
      <c r="J620" s="26"/>
      <c r="K620"/>
    </row>
    <row r="621" spans="1:11">
      <c r="A621">
        <v>5</v>
      </c>
      <c r="B621" s="64">
        <v>40543</v>
      </c>
      <c r="C621" s="2">
        <v>298180.18</v>
      </c>
      <c r="D621">
        <v>1</v>
      </c>
      <c r="E621" s="65">
        <v>49.79</v>
      </c>
      <c r="F621" s="8">
        <v>2.943</v>
      </c>
      <c r="G621" s="66">
        <v>211.9567142</v>
      </c>
      <c r="H621" s="8">
        <v>6.768</v>
      </c>
      <c r="J621" s="26"/>
      <c r="K621"/>
    </row>
    <row r="622" spans="1:11">
      <c r="A622">
        <v>5</v>
      </c>
      <c r="B622" s="64">
        <v>40550</v>
      </c>
      <c r="C622" s="2">
        <v>286347.26</v>
      </c>
      <c r="D622">
        <v>0</v>
      </c>
      <c r="E622" s="65">
        <v>48.3</v>
      </c>
      <c r="F622" s="8">
        <v>2.976</v>
      </c>
      <c r="G622" s="66">
        <v>211.9560305</v>
      </c>
      <c r="H622" s="8">
        <v>6.634</v>
      </c>
      <c r="J622" s="26"/>
      <c r="K622"/>
    </row>
    <row r="623" spans="1:11">
      <c r="A623">
        <v>5</v>
      </c>
      <c r="B623" s="64">
        <v>40557</v>
      </c>
      <c r="C623" s="2">
        <v>260636.71</v>
      </c>
      <c r="D623">
        <v>0</v>
      </c>
      <c r="E623" s="65">
        <v>37.74</v>
      </c>
      <c r="F623" s="8">
        <v>2.983</v>
      </c>
      <c r="G623" s="66">
        <v>212.008514</v>
      </c>
      <c r="H623" s="8">
        <v>6.634</v>
      </c>
      <c r="J623" s="26"/>
      <c r="K623"/>
    </row>
    <row r="624" spans="1:11">
      <c r="A624">
        <v>5</v>
      </c>
      <c r="B624" s="64">
        <v>40564</v>
      </c>
      <c r="C624" s="2">
        <v>275313.34</v>
      </c>
      <c r="D624">
        <v>0</v>
      </c>
      <c r="E624" s="65">
        <v>45.41</v>
      </c>
      <c r="F624" s="8">
        <v>3.016</v>
      </c>
      <c r="G624" s="66">
        <v>212.3800012</v>
      </c>
      <c r="H624" s="8">
        <v>6.634</v>
      </c>
      <c r="J624" s="26"/>
      <c r="K624"/>
    </row>
    <row r="625" spans="1:11">
      <c r="A625">
        <v>5</v>
      </c>
      <c r="B625" s="64">
        <v>40571</v>
      </c>
      <c r="C625" s="2">
        <v>279088.39</v>
      </c>
      <c r="D625">
        <v>0</v>
      </c>
      <c r="E625" s="65">
        <v>44.5</v>
      </c>
      <c r="F625" s="8">
        <v>3.01</v>
      </c>
      <c r="G625" s="66">
        <v>212.7514884</v>
      </c>
      <c r="H625" s="8">
        <v>6.634</v>
      </c>
      <c r="J625" s="26"/>
      <c r="K625"/>
    </row>
    <row r="626" spans="1:11">
      <c r="A626">
        <v>5</v>
      </c>
      <c r="B626" s="64">
        <v>40578</v>
      </c>
      <c r="C626" s="2">
        <v>329613.2</v>
      </c>
      <c r="D626">
        <v>0</v>
      </c>
      <c r="E626" s="65">
        <v>41.67</v>
      </c>
      <c r="F626" s="8">
        <v>2.989</v>
      </c>
      <c r="G626" s="66">
        <v>213.1229755</v>
      </c>
      <c r="H626" s="8">
        <v>6.634</v>
      </c>
      <c r="J626" s="26"/>
      <c r="K626"/>
    </row>
    <row r="627" spans="1:11">
      <c r="A627">
        <v>5</v>
      </c>
      <c r="B627" s="64">
        <v>40585</v>
      </c>
      <c r="C627" s="2">
        <v>311590.54</v>
      </c>
      <c r="D627">
        <v>1</v>
      </c>
      <c r="E627" s="65">
        <v>38.25</v>
      </c>
      <c r="F627" s="8">
        <v>3.022</v>
      </c>
      <c r="G627" s="66">
        <v>213.4944627</v>
      </c>
      <c r="H627" s="8">
        <v>6.634</v>
      </c>
      <c r="J627" s="26"/>
      <c r="K627"/>
    </row>
    <row r="628" spans="1:11">
      <c r="A628">
        <v>5</v>
      </c>
      <c r="B628" s="64">
        <v>40592</v>
      </c>
      <c r="C628" s="2">
        <v>356622.61</v>
      </c>
      <c r="D628">
        <v>0</v>
      </c>
      <c r="E628" s="65">
        <v>58.83</v>
      </c>
      <c r="F628" s="8">
        <v>3.045</v>
      </c>
      <c r="G628" s="66">
        <v>213.8068304</v>
      </c>
      <c r="H628" s="8">
        <v>6.634</v>
      </c>
      <c r="J628" s="26"/>
      <c r="K628"/>
    </row>
    <row r="629" spans="1:11">
      <c r="A629">
        <v>5</v>
      </c>
      <c r="B629" s="64">
        <v>40599</v>
      </c>
      <c r="C629" s="2">
        <v>294659.5</v>
      </c>
      <c r="D629">
        <v>0</v>
      </c>
      <c r="E629" s="65">
        <v>63.35</v>
      </c>
      <c r="F629" s="8">
        <v>3.065</v>
      </c>
      <c r="G629" s="66">
        <v>214.0955503</v>
      </c>
      <c r="H629" s="8">
        <v>6.634</v>
      </c>
      <c r="J629" s="26"/>
      <c r="K629"/>
    </row>
    <row r="630" spans="1:11">
      <c r="A630">
        <v>5</v>
      </c>
      <c r="B630" s="64">
        <v>40606</v>
      </c>
      <c r="C630" s="2">
        <v>329033.66</v>
      </c>
      <c r="D630">
        <v>0</v>
      </c>
      <c r="E630" s="65">
        <v>60.35</v>
      </c>
      <c r="F630" s="8">
        <v>3.288</v>
      </c>
      <c r="G630" s="66">
        <v>214.3842702</v>
      </c>
      <c r="H630" s="8">
        <v>6.634</v>
      </c>
      <c r="J630" s="26"/>
      <c r="K630"/>
    </row>
    <row r="631" spans="1:11">
      <c r="A631">
        <v>5</v>
      </c>
      <c r="B631" s="64">
        <v>40613</v>
      </c>
      <c r="C631" s="2">
        <v>293098.1</v>
      </c>
      <c r="D631">
        <v>0</v>
      </c>
      <c r="E631" s="65">
        <v>55.74</v>
      </c>
      <c r="F631" s="8">
        <v>3.459</v>
      </c>
      <c r="G631" s="66">
        <v>214.6729901</v>
      </c>
      <c r="H631" s="8">
        <v>6.634</v>
      </c>
      <c r="J631" s="26"/>
      <c r="K631"/>
    </row>
    <row r="632" spans="1:11">
      <c r="A632">
        <v>5</v>
      </c>
      <c r="B632" s="64">
        <v>40620</v>
      </c>
      <c r="C632" s="2">
        <v>312177.67</v>
      </c>
      <c r="D632">
        <v>0</v>
      </c>
      <c r="E632" s="65">
        <v>64.31</v>
      </c>
      <c r="F632" s="8">
        <v>3.488</v>
      </c>
      <c r="G632" s="66">
        <v>214.9257339</v>
      </c>
      <c r="H632" s="8">
        <v>6.634</v>
      </c>
      <c r="J632" s="26"/>
      <c r="K632"/>
    </row>
    <row r="633" spans="1:11">
      <c r="A633">
        <v>5</v>
      </c>
      <c r="B633" s="64">
        <v>40627</v>
      </c>
      <c r="C633" s="2">
        <v>294732.5</v>
      </c>
      <c r="D633">
        <v>0</v>
      </c>
      <c r="E633" s="65">
        <v>70.71</v>
      </c>
      <c r="F633" s="8">
        <v>3.473</v>
      </c>
      <c r="G633" s="66">
        <v>215.1640872</v>
      </c>
      <c r="H633" s="8">
        <v>6.634</v>
      </c>
      <c r="J633" s="26"/>
      <c r="K633"/>
    </row>
    <row r="634" spans="1:11">
      <c r="A634">
        <v>5</v>
      </c>
      <c r="B634" s="64">
        <v>40634</v>
      </c>
      <c r="C634" s="2">
        <v>314316.55</v>
      </c>
      <c r="D634">
        <v>0</v>
      </c>
      <c r="E634" s="65">
        <v>61.5</v>
      </c>
      <c r="F634" s="8">
        <v>3.524</v>
      </c>
      <c r="G634" s="66">
        <v>215.4024406</v>
      </c>
      <c r="H634" s="8">
        <v>6.489</v>
      </c>
      <c r="J634" s="26"/>
      <c r="K634"/>
    </row>
    <row r="635" spans="1:11">
      <c r="A635">
        <v>5</v>
      </c>
      <c r="B635" s="64">
        <v>40641</v>
      </c>
      <c r="C635" s="2">
        <v>307333.62</v>
      </c>
      <c r="D635">
        <v>0</v>
      </c>
      <c r="E635" s="65">
        <v>69.64</v>
      </c>
      <c r="F635" s="8">
        <v>3.622</v>
      </c>
      <c r="G635" s="66">
        <v>215.6407939</v>
      </c>
      <c r="H635" s="8">
        <v>6.489</v>
      </c>
      <c r="J635" s="26"/>
      <c r="K635"/>
    </row>
    <row r="636" spans="1:11">
      <c r="A636">
        <v>5</v>
      </c>
      <c r="B636" s="64">
        <v>40648</v>
      </c>
      <c r="C636" s="2">
        <v>307913.58</v>
      </c>
      <c r="D636">
        <v>0</v>
      </c>
      <c r="E636" s="65">
        <v>72.02</v>
      </c>
      <c r="F636" s="8">
        <v>3.743</v>
      </c>
      <c r="G636" s="66">
        <v>215.8592673</v>
      </c>
      <c r="H636" s="8">
        <v>6.489</v>
      </c>
      <c r="J636" s="26"/>
      <c r="K636"/>
    </row>
    <row r="637" spans="1:11">
      <c r="A637">
        <v>5</v>
      </c>
      <c r="B637" s="64">
        <v>40655</v>
      </c>
      <c r="C637" s="2">
        <v>328415.44</v>
      </c>
      <c r="D637">
        <v>0</v>
      </c>
      <c r="E637" s="65">
        <v>74.34</v>
      </c>
      <c r="F637" s="8">
        <v>3.807</v>
      </c>
      <c r="G637" s="66">
        <v>216.0280407</v>
      </c>
      <c r="H637" s="8">
        <v>6.489</v>
      </c>
      <c r="J637" s="26"/>
      <c r="K637"/>
    </row>
    <row r="638" spans="1:11">
      <c r="A638">
        <v>5</v>
      </c>
      <c r="B638" s="64">
        <v>40662</v>
      </c>
      <c r="C638" s="2">
        <v>307291.56</v>
      </c>
      <c r="D638">
        <v>0</v>
      </c>
      <c r="E638" s="65">
        <v>74.75</v>
      </c>
      <c r="F638" s="8">
        <v>3.81</v>
      </c>
      <c r="G638" s="66">
        <v>216.1968142</v>
      </c>
      <c r="H638" s="8">
        <v>6.489</v>
      </c>
      <c r="J638" s="26"/>
      <c r="K638"/>
    </row>
    <row r="639" spans="1:11">
      <c r="A639">
        <v>5</v>
      </c>
      <c r="B639" s="64">
        <v>40669</v>
      </c>
      <c r="C639" s="2">
        <v>322904.68</v>
      </c>
      <c r="D639">
        <v>0</v>
      </c>
      <c r="E639" s="65">
        <v>66.27</v>
      </c>
      <c r="F639" s="8">
        <v>3.906</v>
      </c>
      <c r="G639" s="66">
        <v>216.3655877</v>
      </c>
      <c r="H639" s="8">
        <v>6.489</v>
      </c>
      <c r="J639" s="26"/>
      <c r="K639"/>
    </row>
    <row r="640" spans="1:11">
      <c r="A640">
        <v>5</v>
      </c>
      <c r="B640" s="64">
        <v>40676</v>
      </c>
      <c r="C640" s="2">
        <v>290930.01</v>
      </c>
      <c r="D640">
        <v>0</v>
      </c>
      <c r="E640" s="65">
        <v>77.38</v>
      </c>
      <c r="F640" s="8">
        <v>3.899</v>
      </c>
      <c r="G640" s="66">
        <v>216.5343611</v>
      </c>
      <c r="H640" s="8">
        <v>6.489</v>
      </c>
      <c r="J640" s="26"/>
      <c r="K640"/>
    </row>
    <row r="641" spans="1:11">
      <c r="A641">
        <v>5</v>
      </c>
      <c r="B641" s="64">
        <v>40683</v>
      </c>
      <c r="C641" s="2">
        <v>299614.33</v>
      </c>
      <c r="D641">
        <v>0</v>
      </c>
      <c r="E641" s="65">
        <v>71.37</v>
      </c>
      <c r="F641" s="8">
        <v>3.907</v>
      </c>
      <c r="G641" s="66">
        <v>216.3023847</v>
      </c>
      <c r="H641" s="8">
        <v>6.489</v>
      </c>
      <c r="J641" s="26"/>
      <c r="K641"/>
    </row>
    <row r="642" spans="1:11">
      <c r="A642">
        <v>5</v>
      </c>
      <c r="B642" s="64">
        <v>40690</v>
      </c>
      <c r="C642" s="2">
        <v>297149.69</v>
      </c>
      <c r="D642">
        <v>0</v>
      </c>
      <c r="E642" s="65">
        <v>80.14</v>
      </c>
      <c r="F642" s="8">
        <v>3.786</v>
      </c>
      <c r="G642" s="66">
        <v>216.0704083</v>
      </c>
      <c r="H642" s="8">
        <v>6.489</v>
      </c>
      <c r="J642" s="26"/>
      <c r="K642"/>
    </row>
    <row r="643" spans="1:11">
      <c r="A643">
        <v>5</v>
      </c>
      <c r="B643" s="64">
        <v>40697</v>
      </c>
      <c r="C643" s="2">
        <v>329183.92</v>
      </c>
      <c r="D643">
        <v>0</v>
      </c>
      <c r="E643" s="65">
        <v>83.81</v>
      </c>
      <c r="F643" s="8">
        <v>3.699</v>
      </c>
      <c r="G643" s="66">
        <v>215.8384319</v>
      </c>
      <c r="H643" s="8">
        <v>6.489</v>
      </c>
      <c r="J643" s="26"/>
      <c r="K643"/>
    </row>
    <row r="644" spans="1:11">
      <c r="A644">
        <v>5</v>
      </c>
      <c r="B644" s="64">
        <v>40704</v>
      </c>
      <c r="C644" s="2">
        <v>304984.14</v>
      </c>
      <c r="D644">
        <v>0</v>
      </c>
      <c r="E644" s="65">
        <v>83.61</v>
      </c>
      <c r="F644" s="8">
        <v>3.648</v>
      </c>
      <c r="G644" s="66">
        <v>215.6064555</v>
      </c>
      <c r="H644" s="8">
        <v>6.489</v>
      </c>
      <c r="J644" s="26"/>
      <c r="K644"/>
    </row>
    <row r="645" spans="1:11">
      <c r="A645">
        <v>5</v>
      </c>
      <c r="B645" s="64">
        <v>40711</v>
      </c>
      <c r="C645" s="2">
        <v>304811.82</v>
      </c>
      <c r="D645">
        <v>0</v>
      </c>
      <c r="E645" s="65">
        <v>86.84</v>
      </c>
      <c r="F645" s="8">
        <v>3.637</v>
      </c>
      <c r="G645" s="66">
        <v>215.560463</v>
      </c>
      <c r="H645" s="8">
        <v>6.489</v>
      </c>
      <c r="J645" s="26"/>
      <c r="K645"/>
    </row>
    <row r="646" spans="1:11">
      <c r="A646">
        <v>5</v>
      </c>
      <c r="B646" s="64">
        <v>40718</v>
      </c>
      <c r="C646" s="2">
        <v>302881.64</v>
      </c>
      <c r="D646">
        <v>0</v>
      </c>
      <c r="E646" s="65">
        <v>84.76</v>
      </c>
      <c r="F646" s="8">
        <v>3.594</v>
      </c>
      <c r="G646" s="66">
        <v>215.6539583</v>
      </c>
      <c r="H646" s="8">
        <v>6.489</v>
      </c>
      <c r="J646" s="26"/>
      <c r="K646"/>
    </row>
    <row r="647" spans="1:11">
      <c r="A647">
        <v>5</v>
      </c>
      <c r="B647" s="64">
        <v>40725</v>
      </c>
      <c r="C647" s="2">
        <v>327093.89</v>
      </c>
      <c r="D647">
        <v>0</v>
      </c>
      <c r="E647" s="65">
        <v>85.81</v>
      </c>
      <c r="F647" s="8">
        <v>3.524</v>
      </c>
      <c r="G647" s="66">
        <v>215.7474537</v>
      </c>
      <c r="H647" s="8">
        <v>6.529</v>
      </c>
      <c r="J647" s="26"/>
      <c r="K647"/>
    </row>
    <row r="648" spans="1:11">
      <c r="A648">
        <v>5</v>
      </c>
      <c r="B648" s="64">
        <v>40732</v>
      </c>
      <c r="C648" s="2">
        <v>310804.93</v>
      </c>
      <c r="D648">
        <v>0</v>
      </c>
      <c r="E648" s="65">
        <v>86.64</v>
      </c>
      <c r="F648" s="8">
        <v>3.48</v>
      </c>
      <c r="G648" s="66">
        <v>215.8409491</v>
      </c>
      <c r="H648" s="8">
        <v>6.529</v>
      </c>
      <c r="J648" s="26"/>
      <c r="K648"/>
    </row>
    <row r="649" spans="1:11">
      <c r="A649">
        <v>5</v>
      </c>
      <c r="B649" s="64">
        <v>40739</v>
      </c>
      <c r="C649" s="2">
        <v>283248.62</v>
      </c>
      <c r="D649">
        <v>0</v>
      </c>
      <c r="E649" s="65">
        <v>88.64</v>
      </c>
      <c r="F649" s="8">
        <v>3.575</v>
      </c>
      <c r="G649" s="66">
        <v>215.9250696</v>
      </c>
      <c r="H649" s="8">
        <v>6.529</v>
      </c>
      <c r="J649" s="26"/>
      <c r="K649"/>
    </row>
    <row r="650" spans="1:11">
      <c r="A650">
        <v>5</v>
      </c>
      <c r="B650" s="64">
        <v>40746</v>
      </c>
      <c r="C650" s="2">
        <v>292539.73</v>
      </c>
      <c r="D650">
        <v>0</v>
      </c>
      <c r="E650" s="65">
        <v>86.97</v>
      </c>
      <c r="F650" s="8">
        <v>3.651</v>
      </c>
      <c r="G650" s="66">
        <v>215.985753</v>
      </c>
      <c r="H650" s="8">
        <v>6.529</v>
      </c>
      <c r="J650" s="26"/>
      <c r="K650"/>
    </row>
    <row r="651" spans="1:11">
      <c r="A651">
        <v>5</v>
      </c>
      <c r="B651" s="64">
        <v>40753</v>
      </c>
      <c r="C651" s="2">
        <v>275142.17</v>
      </c>
      <c r="D651">
        <v>0</v>
      </c>
      <c r="E651" s="65">
        <v>89.42</v>
      </c>
      <c r="F651" s="8">
        <v>3.682</v>
      </c>
      <c r="G651" s="66">
        <v>216.0464364</v>
      </c>
      <c r="H651" s="8">
        <v>6.529</v>
      </c>
      <c r="J651" s="26"/>
      <c r="K651"/>
    </row>
    <row r="652" spans="1:11">
      <c r="A652">
        <v>5</v>
      </c>
      <c r="B652" s="64">
        <v>40760</v>
      </c>
      <c r="C652" s="2">
        <v>317738.56</v>
      </c>
      <c r="D652">
        <v>0</v>
      </c>
      <c r="E652" s="65">
        <v>91.07</v>
      </c>
      <c r="F652" s="8">
        <v>3.684</v>
      </c>
      <c r="G652" s="66">
        <v>216.1071198</v>
      </c>
      <c r="H652" s="8">
        <v>6.529</v>
      </c>
      <c r="J652" s="26"/>
      <c r="K652"/>
    </row>
    <row r="653" spans="1:11">
      <c r="A653">
        <v>5</v>
      </c>
      <c r="B653" s="64">
        <v>40767</v>
      </c>
      <c r="C653" s="2">
        <v>289886.16</v>
      </c>
      <c r="D653">
        <v>0</v>
      </c>
      <c r="E653" s="65">
        <v>90.16</v>
      </c>
      <c r="F653" s="8">
        <v>3.638</v>
      </c>
      <c r="G653" s="66">
        <v>216.1678032</v>
      </c>
      <c r="H653" s="8">
        <v>6.529</v>
      </c>
      <c r="J653" s="26"/>
      <c r="K653"/>
    </row>
    <row r="654" spans="1:11">
      <c r="A654">
        <v>5</v>
      </c>
      <c r="B654" s="64">
        <v>40774</v>
      </c>
      <c r="C654" s="2">
        <v>303643.84</v>
      </c>
      <c r="D654">
        <v>0</v>
      </c>
      <c r="E654" s="65">
        <v>89.35</v>
      </c>
      <c r="F654" s="8">
        <v>3.554</v>
      </c>
      <c r="G654" s="66">
        <v>216.2311855</v>
      </c>
      <c r="H654" s="8">
        <v>6.529</v>
      </c>
      <c r="J654" s="26"/>
      <c r="K654"/>
    </row>
    <row r="655" spans="1:11">
      <c r="A655">
        <v>5</v>
      </c>
      <c r="B655" s="64">
        <v>40781</v>
      </c>
      <c r="C655" s="2">
        <v>310338.17</v>
      </c>
      <c r="D655">
        <v>0</v>
      </c>
      <c r="E655" s="65">
        <v>89.18</v>
      </c>
      <c r="F655" s="8">
        <v>3.523</v>
      </c>
      <c r="G655" s="66">
        <v>216.2950176</v>
      </c>
      <c r="H655" s="8">
        <v>6.529</v>
      </c>
      <c r="J655" s="26"/>
      <c r="K655"/>
    </row>
    <row r="656" spans="1:11">
      <c r="A656">
        <v>5</v>
      </c>
      <c r="B656" s="64">
        <v>40788</v>
      </c>
      <c r="C656" s="2">
        <v>315645.53</v>
      </c>
      <c r="D656">
        <v>0</v>
      </c>
      <c r="E656" s="65">
        <v>90.38</v>
      </c>
      <c r="F656" s="8">
        <v>3.533</v>
      </c>
      <c r="G656" s="66">
        <v>216.3588498</v>
      </c>
      <c r="H656" s="8">
        <v>6.529</v>
      </c>
      <c r="J656" s="26"/>
      <c r="K656"/>
    </row>
    <row r="657" spans="1:11">
      <c r="A657">
        <v>5</v>
      </c>
      <c r="B657" s="64">
        <v>40795</v>
      </c>
      <c r="C657" s="2">
        <v>321110.22</v>
      </c>
      <c r="D657">
        <v>1</v>
      </c>
      <c r="E657" s="65">
        <v>79.04</v>
      </c>
      <c r="F657" s="8">
        <v>3.546</v>
      </c>
      <c r="G657" s="66">
        <v>216.4226819</v>
      </c>
      <c r="H657" s="8">
        <v>6.529</v>
      </c>
      <c r="J657" s="26"/>
      <c r="K657"/>
    </row>
    <row r="658" spans="1:11">
      <c r="A658">
        <v>5</v>
      </c>
      <c r="B658" s="64">
        <v>40802</v>
      </c>
      <c r="C658" s="2">
        <v>278529.71</v>
      </c>
      <c r="D658">
        <v>0</v>
      </c>
      <c r="E658" s="65">
        <v>83.55</v>
      </c>
      <c r="F658" s="8">
        <v>3.526</v>
      </c>
      <c r="G658" s="66">
        <v>216.6033083</v>
      </c>
      <c r="H658" s="8">
        <v>6.529</v>
      </c>
      <c r="J658" s="26"/>
      <c r="K658"/>
    </row>
    <row r="659" spans="1:11">
      <c r="A659">
        <v>5</v>
      </c>
      <c r="B659" s="64">
        <v>40809</v>
      </c>
      <c r="C659" s="2">
        <v>291024.98</v>
      </c>
      <c r="D659">
        <v>0</v>
      </c>
      <c r="E659" s="65">
        <v>78.01</v>
      </c>
      <c r="F659" s="8">
        <v>3.467</v>
      </c>
      <c r="G659" s="66">
        <v>216.9396605</v>
      </c>
      <c r="H659" s="8">
        <v>6.529</v>
      </c>
      <c r="J659" s="26"/>
      <c r="K659"/>
    </row>
    <row r="660" spans="1:11">
      <c r="A660">
        <v>5</v>
      </c>
      <c r="B660" s="64">
        <v>40816</v>
      </c>
      <c r="C660" s="2">
        <v>292315.38</v>
      </c>
      <c r="D660">
        <v>0</v>
      </c>
      <c r="E660" s="65">
        <v>81.16</v>
      </c>
      <c r="F660" s="8">
        <v>3.355</v>
      </c>
      <c r="G660" s="66">
        <v>217.2760127</v>
      </c>
      <c r="H660" s="8">
        <v>6.529</v>
      </c>
      <c r="J660" s="26"/>
      <c r="K660"/>
    </row>
    <row r="661" spans="1:11">
      <c r="A661">
        <v>5</v>
      </c>
      <c r="B661" s="64">
        <v>40823</v>
      </c>
      <c r="C661" s="2">
        <v>309111.47</v>
      </c>
      <c r="D661">
        <v>0</v>
      </c>
      <c r="E661" s="65">
        <v>71.64</v>
      </c>
      <c r="F661" s="8">
        <v>3.285</v>
      </c>
      <c r="G661" s="66">
        <v>217.6123648</v>
      </c>
      <c r="H661" s="8">
        <v>6.3</v>
      </c>
      <c r="J661" s="26"/>
      <c r="K661"/>
    </row>
    <row r="662" spans="1:11">
      <c r="A662">
        <v>5</v>
      </c>
      <c r="B662" s="64">
        <v>40830</v>
      </c>
      <c r="C662" s="2">
        <v>286117.72</v>
      </c>
      <c r="D662">
        <v>0</v>
      </c>
      <c r="E662" s="65">
        <v>72.36</v>
      </c>
      <c r="F662" s="8">
        <v>3.274</v>
      </c>
      <c r="G662" s="66">
        <v>217.9237458</v>
      </c>
      <c r="H662" s="8">
        <v>6.3</v>
      </c>
      <c r="J662" s="26"/>
      <c r="K662"/>
    </row>
    <row r="663" spans="1:11">
      <c r="A663">
        <v>5</v>
      </c>
      <c r="B663" s="64">
        <v>40837</v>
      </c>
      <c r="C663" s="2">
        <v>306069.18</v>
      </c>
      <c r="D663">
        <v>0</v>
      </c>
      <c r="E663" s="65">
        <v>66.9</v>
      </c>
      <c r="F663" s="8">
        <v>3.353</v>
      </c>
      <c r="G663" s="66">
        <v>218.0852999</v>
      </c>
      <c r="H663" s="8">
        <v>6.3</v>
      </c>
      <c r="J663" s="26"/>
      <c r="K663"/>
    </row>
    <row r="664" spans="1:11">
      <c r="A664">
        <v>5</v>
      </c>
      <c r="B664" s="64">
        <v>40844</v>
      </c>
      <c r="C664" s="2">
        <v>307035.11</v>
      </c>
      <c r="D664">
        <v>0</v>
      </c>
      <c r="E664" s="65">
        <v>69.27</v>
      </c>
      <c r="F664" s="8">
        <v>3.372</v>
      </c>
      <c r="G664" s="66">
        <v>218.2468539</v>
      </c>
      <c r="H664" s="8">
        <v>6.3</v>
      </c>
      <c r="J664" s="26"/>
      <c r="K664"/>
    </row>
    <row r="665" spans="1:11">
      <c r="A665">
        <v>5</v>
      </c>
      <c r="B665" s="64">
        <v>40851</v>
      </c>
      <c r="C665" s="2">
        <v>353652.23</v>
      </c>
      <c r="D665">
        <v>0</v>
      </c>
      <c r="E665" s="65">
        <v>56.71</v>
      </c>
      <c r="F665" s="8">
        <v>3.332</v>
      </c>
      <c r="G665" s="66">
        <v>218.408408</v>
      </c>
      <c r="H665" s="8">
        <v>6.3</v>
      </c>
      <c r="J665" s="26"/>
      <c r="K665"/>
    </row>
    <row r="666" spans="1:11">
      <c r="A666">
        <v>5</v>
      </c>
      <c r="B666" s="64">
        <v>40858</v>
      </c>
      <c r="C666" s="2">
        <v>311906.7</v>
      </c>
      <c r="D666">
        <v>0</v>
      </c>
      <c r="E666" s="65">
        <v>60.71</v>
      </c>
      <c r="F666" s="8">
        <v>3.297</v>
      </c>
      <c r="G666" s="66">
        <v>218.5699621</v>
      </c>
      <c r="H666" s="8">
        <v>6.3</v>
      </c>
      <c r="J666" s="26"/>
      <c r="K666"/>
    </row>
    <row r="667" spans="1:11">
      <c r="A667">
        <v>5</v>
      </c>
      <c r="B667" s="64">
        <v>40865</v>
      </c>
      <c r="C667" s="2">
        <v>307944.37</v>
      </c>
      <c r="D667">
        <v>0</v>
      </c>
      <c r="E667" s="65">
        <v>64.33</v>
      </c>
      <c r="F667" s="8">
        <v>3.308</v>
      </c>
      <c r="G667" s="66">
        <v>218.793912</v>
      </c>
      <c r="H667" s="8">
        <v>6.3</v>
      </c>
      <c r="J667" s="26"/>
      <c r="K667"/>
    </row>
    <row r="668" spans="1:11">
      <c r="A668">
        <v>5</v>
      </c>
      <c r="B668" s="64">
        <v>40872</v>
      </c>
      <c r="C668" s="2">
        <v>507900.07</v>
      </c>
      <c r="D668">
        <v>1</v>
      </c>
      <c r="E668" s="65">
        <v>61.93</v>
      </c>
      <c r="F668" s="8">
        <v>3.236</v>
      </c>
      <c r="G668" s="66">
        <v>219.0428204</v>
      </c>
      <c r="H668" s="8">
        <v>6.3</v>
      </c>
      <c r="J668" s="26"/>
      <c r="K668"/>
    </row>
    <row r="669" spans="1:11">
      <c r="A669">
        <v>5</v>
      </c>
      <c r="B669" s="64">
        <v>40879</v>
      </c>
      <c r="C669" s="2">
        <v>376225.61</v>
      </c>
      <c r="D669">
        <v>0</v>
      </c>
      <c r="E669" s="65">
        <v>51.14</v>
      </c>
      <c r="F669" s="8">
        <v>3.172</v>
      </c>
      <c r="G669" s="66">
        <v>219.2917287</v>
      </c>
      <c r="H669" s="8">
        <v>6.3</v>
      </c>
      <c r="J669" s="26"/>
      <c r="K669"/>
    </row>
    <row r="670" spans="1:11">
      <c r="A670">
        <v>5</v>
      </c>
      <c r="B670" s="64">
        <v>40886</v>
      </c>
      <c r="C670" s="2">
        <v>367433.77</v>
      </c>
      <c r="D670">
        <v>0</v>
      </c>
      <c r="E670" s="65">
        <v>44.12</v>
      </c>
      <c r="F670" s="8">
        <v>3.158</v>
      </c>
      <c r="G670" s="66">
        <v>219.540637</v>
      </c>
      <c r="H670" s="8">
        <v>6.3</v>
      </c>
      <c r="J670" s="26"/>
      <c r="K670"/>
    </row>
    <row r="671" spans="1:11">
      <c r="A671">
        <v>5</v>
      </c>
      <c r="B671" s="64">
        <v>40893</v>
      </c>
      <c r="C671" s="2">
        <v>379530.3</v>
      </c>
      <c r="D671">
        <v>0</v>
      </c>
      <c r="E671" s="65">
        <v>54.42</v>
      </c>
      <c r="F671" s="8">
        <v>3.159</v>
      </c>
      <c r="G671" s="66">
        <v>219.7596266</v>
      </c>
      <c r="H671" s="8">
        <v>6.3</v>
      </c>
      <c r="J671" s="26"/>
      <c r="K671"/>
    </row>
    <row r="672" spans="1:11">
      <c r="A672">
        <v>5</v>
      </c>
      <c r="B672" s="64">
        <v>40900</v>
      </c>
      <c r="C672" s="2">
        <v>458562.24</v>
      </c>
      <c r="D672">
        <v>0</v>
      </c>
      <c r="E672" s="65">
        <v>50.33</v>
      </c>
      <c r="F672" s="8">
        <v>3.112</v>
      </c>
      <c r="G672" s="66">
        <v>219.9387246</v>
      </c>
      <c r="H672" s="8">
        <v>6.3</v>
      </c>
      <c r="J672" s="26"/>
      <c r="K672"/>
    </row>
    <row r="673" spans="1:11">
      <c r="A673">
        <v>5</v>
      </c>
      <c r="B673" s="64">
        <v>40907</v>
      </c>
      <c r="C673" s="2">
        <v>349624.88</v>
      </c>
      <c r="D673">
        <v>1</v>
      </c>
      <c r="E673" s="65">
        <v>45.62</v>
      </c>
      <c r="F673" s="8">
        <v>3.129</v>
      </c>
      <c r="G673" s="66">
        <v>220.1178226</v>
      </c>
      <c r="H673" s="8">
        <v>6.3</v>
      </c>
      <c r="J673" s="26"/>
      <c r="K673"/>
    </row>
    <row r="674" spans="1:11">
      <c r="A674">
        <v>5</v>
      </c>
      <c r="B674" s="64">
        <v>40914</v>
      </c>
      <c r="C674" s="2">
        <v>312078.71</v>
      </c>
      <c r="D674">
        <v>0</v>
      </c>
      <c r="E674" s="65">
        <v>50.21</v>
      </c>
      <c r="F674" s="8">
        <v>3.157</v>
      </c>
      <c r="G674" s="66">
        <v>220.2969205</v>
      </c>
      <c r="H674" s="8">
        <v>5.943</v>
      </c>
      <c r="J674" s="26"/>
      <c r="K674"/>
    </row>
    <row r="675" spans="1:11">
      <c r="A675">
        <v>5</v>
      </c>
      <c r="B675" s="64">
        <v>40921</v>
      </c>
      <c r="C675" s="2">
        <v>291454.52</v>
      </c>
      <c r="D675">
        <v>0</v>
      </c>
      <c r="E675" s="65">
        <v>48.86</v>
      </c>
      <c r="F675" s="8">
        <v>3.261</v>
      </c>
      <c r="G675" s="66">
        <v>220.4760185</v>
      </c>
      <c r="H675" s="8">
        <v>5.943</v>
      </c>
      <c r="J675" s="26"/>
      <c r="K675"/>
    </row>
    <row r="676" spans="1:11">
      <c r="A676">
        <v>5</v>
      </c>
      <c r="B676" s="64">
        <v>40928</v>
      </c>
      <c r="C676" s="2">
        <v>287523.98</v>
      </c>
      <c r="D676">
        <v>0</v>
      </c>
      <c r="E676" s="65">
        <v>54.65</v>
      </c>
      <c r="F676" s="8">
        <v>3.268</v>
      </c>
      <c r="G676" s="66">
        <v>220.5694104</v>
      </c>
      <c r="H676" s="8">
        <v>5.943</v>
      </c>
      <c r="J676" s="26"/>
      <c r="K676"/>
    </row>
    <row r="677" spans="1:11">
      <c r="A677">
        <v>5</v>
      </c>
      <c r="B677" s="64">
        <v>40935</v>
      </c>
      <c r="C677" s="2">
        <v>295974.22</v>
      </c>
      <c r="D677">
        <v>0</v>
      </c>
      <c r="E677" s="65">
        <v>54.63</v>
      </c>
      <c r="F677" s="8">
        <v>3.29</v>
      </c>
      <c r="G677" s="66">
        <v>220.6628023</v>
      </c>
      <c r="H677" s="8">
        <v>5.943</v>
      </c>
      <c r="J677" s="26"/>
      <c r="K677"/>
    </row>
    <row r="678" spans="1:11">
      <c r="A678">
        <v>5</v>
      </c>
      <c r="B678" s="64">
        <v>40942</v>
      </c>
      <c r="C678" s="2">
        <v>333948</v>
      </c>
      <c r="D678">
        <v>0</v>
      </c>
      <c r="E678" s="65">
        <v>57.35</v>
      </c>
      <c r="F678" s="8">
        <v>3.36</v>
      </c>
      <c r="G678" s="66">
        <v>220.7561941</v>
      </c>
      <c r="H678" s="8">
        <v>5.943</v>
      </c>
      <c r="J678" s="26"/>
      <c r="K678"/>
    </row>
    <row r="679" spans="1:11">
      <c r="A679">
        <v>5</v>
      </c>
      <c r="B679" s="64">
        <v>40949</v>
      </c>
      <c r="C679" s="2">
        <v>349239.88</v>
      </c>
      <c r="D679">
        <v>1</v>
      </c>
      <c r="E679" s="65">
        <v>48.57</v>
      </c>
      <c r="F679" s="8">
        <v>3.409</v>
      </c>
      <c r="G679" s="66">
        <v>220.849586</v>
      </c>
      <c r="H679" s="8">
        <v>5.943</v>
      </c>
      <c r="J679" s="26"/>
      <c r="K679"/>
    </row>
    <row r="680" spans="1:11">
      <c r="A680">
        <v>5</v>
      </c>
      <c r="B680" s="64">
        <v>40956</v>
      </c>
      <c r="C680" s="2">
        <v>356427.98</v>
      </c>
      <c r="D680">
        <v>0</v>
      </c>
      <c r="E680" s="65">
        <v>48.25</v>
      </c>
      <c r="F680" s="8">
        <v>3.51</v>
      </c>
      <c r="G680" s="66">
        <v>221.0106341</v>
      </c>
      <c r="H680" s="8">
        <v>5.943</v>
      </c>
      <c r="J680" s="26"/>
      <c r="K680"/>
    </row>
    <row r="681" spans="1:11">
      <c r="A681">
        <v>5</v>
      </c>
      <c r="B681" s="64">
        <v>40963</v>
      </c>
      <c r="C681" s="2">
        <v>312220.47</v>
      </c>
      <c r="D681">
        <v>0</v>
      </c>
      <c r="E681" s="65">
        <v>57.75</v>
      </c>
      <c r="F681" s="8">
        <v>3.555</v>
      </c>
      <c r="G681" s="66">
        <v>221.2224243</v>
      </c>
      <c r="H681" s="8">
        <v>5.943</v>
      </c>
      <c r="J681" s="26"/>
      <c r="K681"/>
    </row>
    <row r="682" spans="1:11">
      <c r="A682">
        <v>5</v>
      </c>
      <c r="B682" s="64">
        <v>40970</v>
      </c>
      <c r="C682" s="2">
        <v>359206.21</v>
      </c>
      <c r="D682">
        <v>0</v>
      </c>
      <c r="E682" s="65">
        <v>60.66</v>
      </c>
      <c r="F682" s="8">
        <v>3.63</v>
      </c>
      <c r="G682" s="66">
        <v>221.4342146</v>
      </c>
      <c r="H682" s="8">
        <v>5.943</v>
      </c>
      <c r="J682" s="26"/>
      <c r="K682"/>
    </row>
    <row r="683" spans="1:11">
      <c r="A683">
        <v>5</v>
      </c>
      <c r="B683" s="64">
        <v>40977</v>
      </c>
      <c r="C683" s="2">
        <v>347295.6</v>
      </c>
      <c r="D683">
        <v>0</v>
      </c>
      <c r="E683" s="65">
        <v>57.69</v>
      </c>
      <c r="F683" s="8">
        <v>3.669</v>
      </c>
      <c r="G683" s="66">
        <v>221.6460048</v>
      </c>
      <c r="H683" s="8">
        <v>5.943</v>
      </c>
      <c r="J683" s="26"/>
      <c r="K683"/>
    </row>
    <row r="684" spans="1:11">
      <c r="A684">
        <v>5</v>
      </c>
      <c r="B684" s="64">
        <v>40984</v>
      </c>
      <c r="C684" s="2">
        <v>339392.54</v>
      </c>
      <c r="D684">
        <v>0</v>
      </c>
      <c r="E684" s="65">
        <v>63.55</v>
      </c>
      <c r="F684" s="8">
        <v>3.734</v>
      </c>
      <c r="G684" s="66">
        <v>221.7989713</v>
      </c>
      <c r="H684" s="8">
        <v>5.943</v>
      </c>
      <c r="J684" s="26"/>
      <c r="K684"/>
    </row>
    <row r="685" spans="1:11">
      <c r="A685">
        <v>5</v>
      </c>
      <c r="B685" s="64">
        <v>40991</v>
      </c>
      <c r="C685" s="2">
        <v>321299.99</v>
      </c>
      <c r="D685">
        <v>0</v>
      </c>
      <c r="E685" s="65">
        <v>64.44</v>
      </c>
      <c r="F685" s="8">
        <v>3.787</v>
      </c>
      <c r="G685" s="66">
        <v>221.8735063</v>
      </c>
      <c r="H685" s="8">
        <v>5.943</v>
      </c>
      <c r="J685" s="26"/>
      <c r="K685"/>
    </row>
    <row r="686" spans="1:11">
      <c r="A686">
        <v>5</v>
      </c>
      <c r="B686" s="64">
        <v>40998</v>
      </c>
      <c r="C686" s="2">
        <v>331318.73</v>
      </c>
      <c r="D686">
        <v>0</v>
      </c>
      <c r="E686" s="65">
        <v>67.76</v>
      </c>
      <c r="F686" s="8">
        <v>3.845</v>
      </c>
      <c r="G686" s="66">
        <v>221.9480412</v>
      </c>
      <c r="H686" s="8">
        <v>5.943</v>
      </c>
      <c r="J686" s="26"/>
      <c r="K686"/>
    </row>
    <row r="687" spans="1:11">
      <c r="A687">
        <v>5</v>
      </c>
      <c r="B687" s="64">
        <v>41005</v>
      </c>
      <c r="C687" s="2">
        <v>402985.7</v>
      </c>
      <c r="D687">
        <v>0</v>
      </c>
      <c r="E687" s="65">
        <v>70.4</v>
      </c>
      <c r="F687" s="8">
        <v>3.891</v>
      </c>
      <c r="G687" s="66">
        <v>222.0225762</v>
      </c>
      <c r="H687" s="8">
        <v>5.801</v>
      </c>
      <c r="J687" s="26"/>
      <c r="K687"/>
    </row>
    <row r="688" spans="1:11">
      <c r="A688">
        <v>5</v>
      </c>
      <c r="B688" s="64">
        <v>41012</v>
      </c>
      <c r="C688" s="2">
        <v>351832.03</v>
      </c>
      <c r="D688">
        <v>0</v>
      </c>
      <c r="E688" s="65">
        <v>70.56</v>
      </c>
      <c r="F688" s="8">
        <v>3.891</v>
      </c>
      <c r="G688" s="66">
        <v>222.0971111</v>
      </c>
      <c r="H688" s="8">
        <v>5.801</v>
      </c>
      <c r="J688" s="26"/>
      <c r="K688"/>
    </row>
    <row r="689" spans="1:11">
      <c r="A689">
        <v>5</v>
      </c>
      <c r="B689" s="64">
        <v>41019</v>
      </c>
      <c r="C689" s="2">
        <v>330063.06</v>
      </c>
      <c r="D689">
        <v>0</v>
      </c>
      <c r="E689" s="65">
        <v>67.33</v>
      </c>
      <c r="F689" s="8">
        <v>3.877</v>
      </c>
      <c r="G689" s="66">
        <v>222.1512315</v>
      </c>
      <c r="H689" s="8">
        <v>5.801</v>
      </c>
      <c r="J689" s="26"/>
      <c r="K689"/>
    </row>
    <row r="690" spans="1:11">
      <c r="A690">
        <v>5</v>
      </c>
      <c r="B690" s="64">
        <v>41026</v>
      </c>
      <c r="C690" s="2">
        <v>324839.74</v>
      </c>
      <c r="D690">
        <v>0</v>
      </c>
      <c r="E690" s="65">
        <v>68.96</v>
      </c>
      <c r="F690" s="8">
        <v>3.814</v>
      </c>
      <c r="G690" s="66">
        <v>222.2053519</v>
      </c>
      <c r="H690" s="8">
        <v>5.801</v>
      </c>
      <c r="J690" s="26"/>
      <c r="K690"/>
    </row>
    <row r="691" spans="1:11">
      <c r="A691">
        <v>5</v>
      </c>
      <c r="B691" s="64">
        <v>41033</v>
      </c>
      <c r="C691" s="2">
        <v>360932.69</v>
      </c>
      <c r="D691">
        <v>0</v>
      </c>
      <c r="E691" s="65">
        <v>77.1</v>
      </c>
      <c r="F691" s="8">
        <v>3.749</v>
      </c>
      <c r="G691" s="66">
        <v>222.2594722</v>
      </c>
      <c r="H691" s="8">
        <v>5.801</v>
      </c>
      <c r="J691" s="26"/>
      <c r="K691"/>
    </row>
    <row r="692" spans="1:11">
      <c r="A692">
        <v>5</v>
      </c>
      <c r="B692" s="64">
        <v>41040</v>
      </c>
      <c r="C692" s="2">
        <v>333870.52</v>
      </c>
      <c r="D692">
        <v>0</v>
      </c>
      <c r="E692" s="65">
        <v>73.45</v>
      </c>
      <c r="F692" s="8">
        <v>3.688</v>
      </c>
      <c r="G692" s="66">
        <v>222.3135926</v>
      </c>
      <c r="H692" s="8">
        <v>5.801</v>
      </c>
      <c r="J692" s="26"/>
      <c r="K692"/>
    </row>
    <row r="693" spans="1:11">
      <c r="A693">
        <v>5</v>
      </c>
      <c r="B693" s="64">
        <v>41047</v>
      </c>
      <c r="C693" s="2">
        <v>336189.66</v>
      </c>
      <c r="D693">
        <v>0</v>
      </c>
      <c r="E693" s="65">
        <v>70.45</v>
      </c>
      <c r="F693" s="8">
        <v>3.63</v>
      </c>
      <c r="G693" s="66">
        <v>222.330443</v>
      </c>
      <c r="H693" s="8">
        <v>5.801</v>
      </c>
      <c r="J693" s="26"/>
      <c r="K693"/>
    </row>
    <row r="694" spans="1:11">
      <c r="A694">
        <v>5</v>
      </c>
      <c r="B694" s="64">
        <v>41054</v>
      </c>
      <c r="C694" s="2">
        <v>341994.48</v>
      </c>
      <c r="D694">
        <v>0</v>
      </c>
      <c r="E694" s="65">
        <v>78.23</v>
      </c>
      <c r="F694" s="8">
        <v>3.561</v>
      </c>
      <c r="G694" s="66">
        <v>222.3323853</v>
      </c>
      <c r="H694" s="8">
        <v>5.801</v>
      </c>
      <c r="J694" s="26"/>
      <c r="K694"/>
    </row>
    <row r="695" spans="1:11">
      <c r="A695">
        <v>5</v>
      </c>
      <c r="B695" s="64">
        <v>41061</v>
      </c>
      <c r="C695" s="2">
        <v>359867.8</v>
      </c>
      <c r="D695">
        <v>0</v>
      </c>
      <c r="E695" s="65">
        <v>79.72</v>
      </c>
      <c r="F695" s="8">
        <v>3.501</v>
      </c>
      <c r="G695" s="66">
        <v>222.3343277</v>
      </c>
      <c r="H695" s="8">
        <v>5.801</v>
      </c>
      <c r="J695" s="26"/>
      <c r="K695"/>
    </row>
    <row r="696" spans="1:11">
      <c r="A696">
        <v>5</v>
      </c>
      <c r="B696" s="64">
        <v>41068</v>
      </c>
      <c r="C696" s="2">
        <v>341704.59</v>
      </c>
      <c r="D696">
        <v>0</v>
      </c>
      <c r="E696" s="65">
        <v>81.02</v>
      </c>
      <c r="F696" s="8">
        <v>3.452</v>
      </c>
      <c r="G696" s="66">
        <v>222.33627</v>
      </c>
      <c r="H696" s="8">
        <v>5.801</v>
      </c>
      <c r="J696" s="26"/>
      <c r="K696"/>
    </row>
    <row r="697" spans="1:11">
      <c r="A697">
        <v>5</v>
      </c>
      <c r="B697" s="64">
        <v>41075</v>
      </c>
      <c r="C697" s="2">
        <v>327383.64</v>
      </c>
      <c r="D697">
        <v>0</v>
      </c>
      <c r="E697" s="65">
        <v>81.64</v>
      </c>
      <c r="F697" s="8">
        <v>3.393</v>
      </c>
      <c r="G697" s="66">
        <v>222.3492901</v>
      </c>
      <c r="H697" s="8">
        <v>5.801</v>
      </c>
      <c r="J697" s="26"/>
      <c r="K697"/>
    </row>
    <row r="698" spans="1:11">
      <c r="A698">
        <v>5</v>
      </c>
      <c r="B698" s="64">
        <v>41082</v>
      </c>
      <c r="C698" s="2">
        <v>325041.68</v>
      </c>
      <c r="D698">
        <v>0</v>
      </c>
      <c r="E698" s="65">
        <v>80.57</v>
      </c>
      <c r="F698" s="8">
        <v>3.346</v>
      </c>
      <c r="G698" s="66">
        <v>222.3900046</v>
      </c>
      <c r="H698" s="8">
        <v>5.801</v>
      </c>
      <c r="J698" s="26"/>
      <c r="K698"/>
    </row>
    <row r="699" spans="1:11">
      <c r="A699">
        <v>5</v>
      </c>
      <c r="B699" s="64">
        <v>41089</v>
      </c>
      <c r="C699" s="2">
        <v>329658.1</v>
      </c>
      <c r="D699">
        <v>0</v>
      </c>
      <c r="E699" s="65">
        <v>87.08</v>
      </c>
      <c r="F699" s="8">
        <v>3.286</v>
      </c>
      <c r="G699" s="66">
        <v>222.4307191</v>
      </c>
      <c r="H699" s="8">
        <v>5.801</v>
      </c>
      <c r="J699" s="26"/>
      <c r="K699"/>
    </row>
    <row r="700" spans="1:11">
      <c r="A700">
        <v>5</v>
      </c>
      <c r="B700" s="64">
        <v>41096</v>
      </c>
      <c r="C700" s="2">
        <v>341214.43</v>
      </c>
      <c r="D700">
        <v>0</v>
      </c>
      <c r="E700" s="65">
        <v>82.35</v>
      </c>
      <c r="F700" s="8">
        <v>3.227</v>
      </c>
      <c r="G700" s="66">
        <v>222.4714336</v>
      </c>
      <c r="H700" s="8">
        <v>5.603</v>
      </c>
      <c r="J700" s="26"/>
      <c r="K700"/>
    </row>
    <row r="701" spans="1:11">
      <c r="A701">
        <v>5</v>
      </c>
      <c r="B701" s="64">
        <v>41103</v>
      </c>
      <c r="C701" s="2">
        <v>316203.64</v>
      </c>
      <c r="D701">
        <v>0</v>
      </c>
      <c r="E701" s="65">
        <v>80.78</v>
      </c>
      <c r="F701" s="8">
        <v>3.256</v>
      </c>
      <c r="G701" s="66">
        <v>222.5121481</v>
      </c>
      <c r="H701" s="8">
        <v>5.603</v>
      </c>
      <c r="J701" s="26"/>
      <c r="K701"/>
    </row>
    <row r="702" spans="1:11">
      <c r="A702">
        <v>5</v>
      </c>
      <c r="B702" s="64">
        <v>41110</v>
      </c>
      <c r="C702" s="2">
        <v>321205.12</v>
      </c>
      <c r="D702">
        <v>0</v>
      </c>
      <c r="E702" s="65">
        <v>81.05</v>
      </c>
      <c r="F702" s="8">
        <v>3.311</v>
      </c>
      <c r="G702" s="66">
        <v>222.5209358</v>
      </c>
      <c r="H702" s="8">
        <v>5.603</v>
      </c>
      <c r="J702" s="26"/>
      <c r="K702"/>
    </row>
    <row r="703" spans="1:11">
      <c r="A703">
        <v>5</v>
      </c>
      <c r="B703" s="64">
        <v>41117</v>
      </c>
      <c r="C703" s="2">
        <v>306827.36</v>
      </c>
      <c r="D703">
        <v>0</v>
      </c>
      <c r="E703" s="65">
        <v>85.06</v>
      </c>
      <c r="F703" s="8">
        <v>3.407</v>
      </c>
      <c r="G703" s="66">
        <v>222.5297234</v>
      </c>
      <c r="H703" s="8">
        <v>5.603</v>
      </c>
      <c r="J703" s="26"/>
      <c r="K703"/>
    </row>
    <row r="704" spans="1:11">
      <c r="A704">
        <v>5</v>
      </c>
      <c r="B704" s="64">
        <v>41124</v>
      </c>
      <c r="C704" s="2">
        <v>324195.17</v>
      </c>
      <c r="D704">
        <v>0</v>
      </c>
      <c r="E704" s="65">
        <v>86.91</v>
      </c>
      <c r="F704" s="8">
        <v>3.417</v>
      </c>
      <c r="G704" s="66">
        <v>222.5385111</v>
      </c>
      <c r="H704" s="8">
        <v>5.603</v>
      </c>
      <c r="J704" s="26"/>
      <c r="K704"/>
    </row>
    <row r="705" spans="1:11">
      <c r="A705">
        <v>5</v>
      </c>
      <c r="B705" s="64">
        <v>41131</v>
      </c>
      <c r="C705" s="2">
        <v>306759.7</v>
      </c>
      <c r="D705">
        <v>0</v>
      </c>
      <c r="E705" s="65">
        <v>86.96</v>
      </c>
      <c r="F705" s="8">
        <v>3.494</v>
      </c>
      <c r="G705" s="66">
        <v>222.5472987</v>
      </c>
      <c r="H705" s="8">
        <v>5.603</v>
      </c>
      <c r="J705" s="26"/>
      <c r="K705"/>
    </row>
    <row r="706" spans="1:11">
      <c r="A706">
        <v>5</v>
      </c>
      <c r="B706" s="64">
        <v>41138</v>
      </c>
      <c r="C706" s="2">
        <v>314014.18</v>
      </c>
      <c r="D706">
        <v>0</v>
      </c>
      <c r="E706" s="65">
        <v>87.52</v>
      </c>
      <c r="F706" s="8">
        <v>3.571</v>
      </c>
      <c r="G706" s="66">
        <v>222.6276753</v>
      </c>
      <c r="H706" s="8">
        <v>5.603</v>
      </c>
      <c r="J706" s="26"/>
      <c r="K706"/>
    </row>
    <row r="707" spans="1:11">
      <c r="A707">
        <v>5</v>
      </c>
      <c r="B707" s="64">
        <v>41145</v>
      </c>
      <c r="C707" s="2">
        <v>320831.36</v>
      </c>
      <c r="D707">
        <v>0</v>
      </c>
      <c r="E707" s="65">
        <v>79.45</v>
      </c>
      <c r="F707" s="8">
        <v>3.62</v>
      </c>
      <c r="G707" s="66">
        <v>222.7617437</v>
      </c>
      <c r="H707" s="8">
        <v>5.603</v>
      </c>
      <c r="J707" s="26"/>
      <c r="K707"/>
    </row>
    <row r="708" spans="1:11">
      <c r="A708">
        <v>5</v>
      </c>
      <c r="B708" s="64">
        <v>41152</v>
      </c>
      <c r="C708" s="2">
        <v>344642.01</v>
      </c>
      <c r="D708">
        <v>0</v>
      </c>
      <c r="E708" s="65">
        <v>84.25</v>
      </c>
      <c r="F708" s="8">
        <v>3.638</v>
      </c>
      <c r="G708" s="66">
        <v>222.8958121</v>
      </c>
      <c r="H708" s="8">
        <v>5.603</v>
      </c>
      <c r="J708" s="26"/>
      <c r="K708"/>
    </row>
    <row r="709" spans="1:11">
      <c r="A709">
        <v>5</v>
      </c>
      <c r="B709" s="64">
        <v>41159</v>
      </c>
      <c r="C709" s="2">
        <v>350648.91</v>
      </c>
      <c r="D709">
        <v>1</v>
      </c>
      <c r="E709" s="65">
        <v>86.3</v>
      </c>
      <c r="F709" s="8">
        <v>3.73</v>
      </c>
      <c r="G709" s="66">
        <v>223.0298805</v>
      </c>
      <c r="H709" s="8">
        <v>5.603</v>
      </c>
      <c r="J709" s="26"/>
      <c r="K709"/>
    </row>
    <row r="710" spans="1:11">
      <c r="A710">
        <v>5</v>
      </c>
      <c r="B710" s="64">
        <v>41166</v>
      </c>
      <c r="C710" s="2">
        <v>299800.67</v>
      </c>
      <c r="D710">
        <v>0</v>
      </c>
      <c r="E710" s="65">
        <v>76.65</v>
      </c>
      <c r="F710" s="8">
        <v>3.717</v>
      </c>
      <c r="G710" s="66">
        <v>223.1734167</v>
      </c>
      <c r="H710" s="8">
        <v>5.603</v>
      </c>
      <c r="J710" s="26"/>
      <c r="K710"/>
    </row>
    <row r="711" spans="1:11">
      <c r="A711">
        <v>5</v>
      </c>
      <c r="B711" s="64">
        <v>41173</v>
      </c>
      <c r="C711" s="2">
        <v>307306.76</v>
      </c>
      <c r="D711">
        <v>0</v>
      </c>
      <c r="E711" s="65">
        <v>71.09</v>
      </c>
      <c r="F711" s="8">
        <v>3.721</v>
      </c>
      <c r="G711" s="66">
        <v>223.3737593</v>
      </c>
      <c r="H711" s="8">
        <v>5.603</v>
      </c>
      <c r="J711" s="26"/>
      <c r="K711"/>
    </row>
    <row r="712" spans="1:11">
      <c r="A712">
        <v>5</v>
      </c>
      <c r="B712" s="64">
        <v>41180</v>
      </c>
      <c r="C712" s="2">
        <v>310141.68</v>
      </c>
      <c r="D712">
        <v>0</v>
      </c>
      <c r="E712" s="65">
        <v>78.33</v>
      </c>
      <c r="F712" s="8">
        <v>3.666</v>
      </c>
      <c r="G712" s="66">
        <v>223.5741019</v>
      </c>
      <c r="H712" s="8">
        <v>5.603</v>
      </c>
      <c r="J712" s="26"/>
      <c r="K712"/>
    </row>
    <row r="713" spans="1:11">
      <c r="A713">
        <v>5</v>
      </c>
      <c r="B713" s="64">
        <v>41187</v>
      </c>
      <c r="C713" s="2">
        <v>343048.29</v>
      </c>
      <c r="D713">
        <v>0</v>
      </c>
      <c r="E713" s="65">
        <v>71.17</v>
      </c>
      <c r="F713" s="8">
        <v>3.617</v>
      </c>
      <c r="G713" s="66">
        <v>223.7744444</v>
      </c>
      <c r="H713" s="8">
        <v>5.422</v>
      </c>
      <c r="J713" s="26"/>
      <c r="K713"/>
    </row>
    <row r="714" spans="1:11">
      <c r="A714">
        <v>5</v>
      </c>
      <c r="B714" s="64">
        <v>41194</v>
      </c>
      <c r="C714" s="2">
        <v>325345.41</v>
      </c>
      <c r="D714">
        <v>0</v>
      </c>
      <c r="E714" s="65">
        <v>66.24</v>
      </c>
      <c r="F714" s="8">
        <v>3.601</v>
      </c>
      <c r="G714" s="66">
        <v>223.974787</v>
      </c>
      <c r="H714" s="8">
        <v>5.422</v>
      </c>
      <c r="J714" s="26"/>
      <c r="K714"/>
    </row>
    <row r="715" spans="1:11">
      <c r="A715">
        <v>5</v>
      </c>
      <c r="B715" s="64">
        <v>41201</v>
      </c>
      <c r="C715" s="2">
        <v>313358.15</v>
      </c>
      <c r="D715">
        <v>0</v>
      </c>
      <c r="E715" s="65">
        <v>69.17</v>
      </c>
      <c r="F715" s="8">
        <v>3.594</v>
      </c>
      <c r="G715" s="66">
        <v>224.0192873</v>
      </c>
      <c r="H715" s="8">
        <v>5.422</v>
      </c>
      <c r="J715" s="26"/>
      <c r="K715"/>
    </row>
    <row r="716" spans="1:11">
      <c r="A716">
        <v>5</v>
      </c>
      <c r="B716" s="64">
        <v>41208</v>
      </c>
      <c r="C716" s="2">
        <v>319550.77</v>
      </c>
      <c r="D716">
        <v>0</v>
      </c>
      <c r="E716" s="65">
        <v>71.7</v>
      </c>
      <c r="F716" s="8">
        <v>3.506</v>
      </c>
      <c r="G716" s="66">
        <v>224.0378139</v>
      </c>
      <c r="H716" s="8">
        <v>5.422</v>
      </c>
      <c r="J716" s="26"/>
      <c r="K716"/>
    </row>
    <row r="717" spans="1:11">
      <c r="A717">
        <v>6</v>
      </c>
      <c r="B717" s="64">
        <v>40214</v>
      </c>
      <c r="C717" s="2">
        <v>1652635.1</v>
      </c>
      <c r="D717">
        <v>0</v>
      </c>
      <c r="E717" s="65">
        <v>40.43</v>
      </c>
      <c r="F717" s="8">
        <v>2.572</v>
      </c>
      <c r="G717" s="66">
        <v>212.6223518</v>
      </c>
      <c r="H717" s="8">
        <v>7.259</v>
      </c>
      <c r="J717" s="26"/>
      <c r="K717"/>
    </row>
    <row r="718" spans="1:11">
      <c r="A718">
        <v>6</v>
      </c>
      <c r="B718" s="64">
        <v>40221</v>
      </c>
      <c r="C718" s="2">
        <v>1606283.86</v>
      </c>
      <c r="D718">
        <v>1</v>
      </c>
      <c r="E718" s="65">
        <v>40.57</v>
      </c>
      <c r="F718" s="8">
        <v>2.548</v>
      </c>
      <c r="G718" s="66">
        <v>212.7700425</v>
      </c>
      <c r="H718" s="8">
        <v>7.259</v>
      </c>
      <c r="J718" s="26"/>
      <c r="K718"/>
    </row>
    <row r="719" spans="1:11">
      <c r="A719">
        <v>6</v>
      </c>
      <c r="B719" s="64">
        <v>40228</v>
      </c>
      <c r="C719" s="2">
        <v>1567138.07</v>
      </c>
      <c r="D719">
        <v>0</v>
      </c>
      <c r="E719" s="65">
        <v>43.58</v>
      </c>
      <c r="F719" s="8">
        <v>2.514</v>
      </c>
      <c r="G719" s="66">
        <v>212.8161546</v>
      </c>
      <c r="H719" s="8">
        <v>7.259</v>
      </c>
      <c r="J719" s="26"/>
      <c r="K719"/>
    </row>
    <row r="720" spans="1:11">
      <c r="A720">
        <v>6</v>
      </c>
      <c r="B720" s="64">
        <v>40235</v>
      </c>
      <c r="C720" s="2">
        <v>1432953.21</v>
      </c>
      <c r="D720">
        <v>0</v>
      </c>
      <c r="E720" s="65">
        <v>47.1</v>
      </c>
      <c r="F720" s="8">
        <v>2.561</v>
      </c>
      <c r="G720" s="66">
        <v>212.845337</v>
      </c>
      <c r="H720" s="8">
        <v>7.259</v>
      </c>
      <c r="J720" s="26"/>
      <c r="K720"/>
    </row>
    <row r="721" spans="1:11">
      <c r="A721">
        <v>6</v>
      </c>
      <c r="B721" s="64">
        <v>40242</v>
      </c>
      <c r="C721" s="2">
        <v>1601348.82</v>
      </c>
      <c r="D721">
        <v>0</v>
      </c>
      <c r="E721" s="65">
        <v>49.63</v>
      </c>
      <c r="F721" s="8">
        <v>2.625</v>
      </c>
      <c r="G721" s="66">
        <v>212.8745193</v>
      </c>
      <c r="H721" s="8">
        <v>7.259</v>
      </c>
      <c r="J721" s="26"/>
      <c r="K721"/>
    </row>
    <row r="722" spans="1:11">
      <c r="A722">
        <v>6</v>
      </c>
      <c r="B722" s="64">
        <v>40249</v>
      </c>
      <c r="C722" s="2">
        <v>1558621.36</v>
      </c>
      <c r="D722">
        <v>0</v>
      </c>
      <c r="E722" s="65">
        <v>58.82</v>
      </c>
      <c r="F722" s="8">
        <v>2.667</v>
      </c>
      <c r="G722" s="66">
        <v>212.9037017</v>
      </c>
      <c r="H722" s="8">
        <v>7.259</v>
      </c>
      <c r="J722" s="26"/>
      <c r="K722"/>
    </row>
    <row r="723" spans="1:11">
      <c r="A723">
        <v>6</v>
      </c>
      <c r="B723" s="64">
        <v>40256</v>
      </c>
      <c r="C723" s="2">
        <v>1693058.91</v>
      </c>
      <c r="D723">
        <v>0</v>
      </c>
      <c r="E723" s="65">
        <v>56.55</v>
      </c>
      <c r="F723" s="8">
        <v>2.72</v>
      </c>
      <c r="G723" s="66">
        <v>212.7351935</v>
      </c>
      <c r="H723" s="8">
        <v>7.259</v>
      </c>
      <c r="J723" s="26"/>
      <c r="K723"/>
    </row>
    <row r="724" spans="1:11">
      <c r="A724">
        <v>6</v>
      </c>
      <c r="B724" s="64">
        <v>40263</v>
      </c>
      <c r="C724" s="2">
        <v>1472033.38</v>
      </c>
      <c r="D724">
        <v>0</v>
      </c>
      <c r="E724" s="65">
        <v>53.74</v>
      </c>
      <c r="F724" s="8">
        <v>2.732</v>
      </c>
      <c r="G724" s="66">
        <v>212.533737</v>
      </c>
      <c r="H724" s="8">
        <v>7.259</v>
      </c>
      <c r="J724" s="26"/>
      <c r="K724"/>
    </row>
    <row r="725" spans="1:11">
      <c r="A725">
        <v>6</v>
      </c>
      <c r="B725" s="64">
        <v>40270</v>
      </c>
      <c r="C725" s="2">
        <v>1770333.9</v>
      </c>
      <c r="D725">
        <v>0</v>
      </c>
      <c r="E725" s="65">
        <v>64.94</v>
      </c>
      <c r="F725" s="8">
        <v>2.719</v>
      </c>
      <c r="G725" s="66">
        <v>212.3322805</v>
      </c>
      <c r="H725" s="8">
        <v>7.092</v>
      </c>
      <c r="J725" s="26"/>
      <c r="K725"/>
    </row>
    <row r="726" spans="1:11">
      <c r="A726">
        <v>6</v>
      </c>
      <c r="B726" s="64">
        <v>40277</v>
      </c>
      <c r="C726" s="2">
        <v>1667181.82</v>
      </c>
      <c r="D726">
        <v>0</v>
      </c>
      <c r="E726" s="65">
        <v>66.15</v>
      </c>
      <c r="F726" s="8">
        <v>2.77</v>
      </c>
      <c r="G726" s="66">
        <v>212.1308239</v>
      </c>
      <c r="H726" s="8">
        <v>7.092</v>
      </c>
      <c r="J726" s="26"/>
      <c r="K726"/>
    </row>
    <row r="727" spans="1:11">
      <c r="A727">
        <v>6</v>
      </c>
      <c r="B727" s="64">
        <v>40284</v>
      </c>
      <c r="C727" s="2">
        <v>1519846.36</v>
      </c>
      <c r="D727">
        <v>0</v>
      </c>
      <c r="E727" s="65">
        <v>65.68</v>
      </c>
      <c r="F727" s="8">
        <v>2.808</v>
      </c>
      <c r="G727" s="66">
        <v>211.9942765</v>
      </c>
      <c r="H727" s="8">
        <v>7.092</v>
      </c>
      <c r="J727" s="26"/>
      <c r="K727"/>
    </row>
    <row r="728" spans="1:11">
      <c r="A728">
        <v>6</v>
      </c>
      <c r="B728" s="64">
        <v>40291</v>
      </c>
      <c r="C728" s="2">
        <v>1540435.99</v>
      </c>
      <c r="D728">
        <v>0</v>
      </c>
      <c r="E728" s="65">
        <v>64.11</v>
      </c>
      <c r="F728" s="8">
        <v>2.795</v>
      </c>
      <c r="G728" s="66">
        <v>211.9442745</v>
      </c>
      <c r="H728" s="8">
        <v>7.092</v>
      </c>
      <c r="J728" s="26"/>
      <c r="K728"/>
    </row>
    <row r="729" spans="1:11">
      <c r="A729">
        <v>6</v>
      </c>
      <c r="B729" s="64">
        <v>40298</v>
      </c>
      <c r="C729" s="2">
        <v>1498080.16</v>
      </c>
      <c r="D729">
        <v>0</v>
      </c>
      <c r="E729" s="65">
        <v>68.91</v>
      </c>
      <c r="F729" s="8">
        <v>2.78</v>
      </c>
      <c r="G729" s="66">
        <v>211.8942725</v>
      </c>
      <c r="H729" s="8">
        <v>7.092</v>
      </c>
      <c r="J729" s="26"/>
      <c r="K729"/>
    </row>
    <row r="730" spans="1:11">
      <c r="A730">
        <v>6</v>
      </c>
      <c r="B730" s="64">
        <v>40305</v>
      </c>
      <c r="C730" s="2">
        <v>1619920.04</v>
      </c>
      <c r="D730">
        <v>0</v>
      </c>
      <c r="E730" s="65">
        <v>73.68</v>
      </c>
      <c r="F730" s="8">
        <v>2.835</v>
      </c>
      <c r="G730" s="66">
        <v>211.8442706</v>
      </c>
      <c r="H730" s="8">
        <v>7.092</v>
      </c>
      <c r="J730" s="26"/>
      <c r="K730"/>
    </row>
    <row r="731" spans="1:11">
      <c r="A731">
        <v>6</v>
      </c>
      <c r="B731" s="64">
        <v>40312</v>
      </c>
      <c r="C731" s="2">
        <v>1524059.4</v>
      </c>
      <c r="D731">
        <v>0</v>
      </c>
      <c r="E731" s="65">
        <v>74.95</v>
      </c>
      <c r="F731" s="8">
        <v>2.854</v>
      </c>
      <c r="G731" s="66">
        <v>211.8421769</v>
      </c>
      <c r="H731" s="8">
        <v>7.092</v>
      </c>
      <c r="J731" s="26"/>
      <c r="K731"/>
    </row>
    <row r="732" spans="1:11">
      <c r="A732">
        <v>6</v>
      </c>
      <c r="B732" s="64">
        <v>40319</v>
      </c>
      <c r="C732" s="2">
        <v>1531938.44</v>
      </c>
      <c r="D732">
        <v>0</v>
      </c>
      <c r="E732" s="65">
        <v>74.8</v>
      </c>
      <c r="F732" s="8">
        <v>2.826</v>
      </c>
      <c r="G732" s="66">
        <v>212.1275324</v>
      </c>
      <c r="H732" s="8">
        <v>7.092</v>
      </c>
      <c r="J732" s="26"/>
      <c r="K732"/>
    </row>
    <row r="733" spans="1:11">
      <c r="A733">
        <v>6</v>
      </c>
      <c r="B733" s="64">
        <v>40326</v>
      </c>
      <c r="C733" s="2">
        <v>1644470.66</v>
      </c>
      <c r="D733">
        <v>0</v>
      </c>
      <c r="E733" s="65">
        <v>78.89</v>
      </c>
      <c r="F733" s="8">
        <v>2.759</v>
      </c>
      <c r="G733" s="66">
        <v>212.412888</v>
      </c>
      <c r="H733" s="8">
        <v>7.092</v>
      </c>
      <c r="J733" s="26"/>
      <c r="K733"/>
    </row>
    <row r="734" spans="1:11">
      <c r="A734">
        <v>6</v>
      </c>
      <c r="B734" s="64">
        <v>40333</v>
      </c>
      <c r="C734" s="2">
        <v>1857380.09</v>
      </c>
      <c r="D734">
        <v>0</v>
      </c>
      <c r="E734" s="65">
        <v>79.44</v>
      </c>
      <c r="F734" s="8">
        <v>2.705</v>
      </c>
      <c r="G734" s="66">
        <v>212.6982436</v>
      </c>
      <c r="H734" s="8">
        <v>7.092</v>
      </c>
      <c r="J734" s="26"/>
      <c r="K734"/>
    </row>
    <row r="735" spans="1:11">
      <c r="A735">
        <v>6</v>
      </c>
      <c r="B735" s="64">
        <v>40340</v>
      </c>
      <c r="C735" s="2">
        <v>1685652.35</v>
      </c>
      <c r="D735">
        <v>0</v>
      </c>
      <c r="E735" s="65">
        <v>81.81</v>
      </c>
      <c r="F735" s="8">
        <v>2.668</v>
      </c>
      <c r="G735" s="66">
        <v>212.9835992</v>
      </c>
      <c r="H735" s="8">
        <v>7.092</v>
      </c>
      <c r="J735" s="26"/>
      <c r="K735"/>
    </row>
    <row r="736" spans="1:11">
      <c r="A736">
        <v>6</v>
      </c>
      <c r="B736" s="64">
        <v>40347</v>
      </c>
      <c r="C736" s="2">
        <v>1677248.24</v>
      </c>
      <c r="D736">
        <v>0</v>
      </c>
      <c r="E736" s="65">
        <v>83.89</v>
      </c>
      <c r="F736" s="8">
        <v>2.637</v>
      </c>
      <c r="G736" s="66">
        <v>212.9813843</v>
      </c>
      <c r="H736" s="8">
        <v>7.092</v>
      </c>
      <c r="J736" s="26"/>
      <c r="K736"/>
    </row>
    <row r="737" spans="1:11">
      <c r="A737">
        <v>6</v>
      </c>
      <c r="B737" s="64">
        <v>40354</v>
      </c>
      <c r="C737" s="2">
        <v>1640681.88</v>
      </c>
      <c r="D737">
        <v>0</v>
      </c>
      <c r="E737" s="65">
        <v>84.2</v>
      </c>
      <c r="F737" s="8">
        <v>2.653</v>
      </c>
      <c r="G737" s="66">
        <v>212.8641412</v>
      </c>
      <c r="H737" s="8">
        <v>7.092</v>
      </c>
      <c r="J737" s="26"/>
      <c r="K737"/>
    </row>
    <row r="738" spans="1:11">
      <c r="A738">
        <v>6</v>
      </c>
      <c r="B738" s="64">
        <v>40361</v>
      </c>
      <c r="C738" s="2">
        <v>1759777.25</v>
      </c>
      <c r="D738">
        <v>0</v>
      </c>
      <c r="E738" s="65">
        <v>80.34</v>
      </c>
      <c r="F738" s="8">
        <v>2.669</v>
      </c>
      <c r="G738" s="66">
        <v>212.746898</v>
      </c>
      <c r="H738" s="8">
        <v>6.973</v>
      </c>
      <c r="J738" s="26"/>
      <c r="K738"/>
    </row>
    <row r="739" spans="1:11">
      <c r="A739">
        <v>6</v>
      </c>
      <c r="B739" s="64">
        <v>40368</v>
      </c>
      <c r="C739" s="2">
        <v>1690317.99</v>
      </c>
      <c r="D739">
        <v>0</v>
      </c>
      <c r="E739" s="65">
        <v>80.93</v>
      </c>
      <c r="F739" s="8">
        <v>2.642</v>
      </c>
      <c r="G739" s="66">
        <v>212.6296549</v>
      </c>
      <c r="H739" s="8">
        <v>6.973</v>
      </c>
      <c r="J739" s="26"/>
      <c r="K739"/>
    </row>
    <row r="740" spans="1:11">
      <c r="A740">
        <v>6</v>
      </c>
      <c r="B740" s="64">
        <v>40375</v>
      </c>
      <c r="C740" s="2">
        <v>1560120.8</v>
      </c>
      <c r="D740">
        <v>0</v>
      </c>
      <c r="E740" s="65">
        <v>83.75</v>
      </c>
      <c r="F740" s="8">
        <v>2.623</v>
      </c>
      <c r="G740" s="66">
        <v>212.6212163</v>
      </c>
      <c r="H740" s="8">
        <v>6.973</v>
      </c>
      <c r="J740" s="26"/>
      <c r="K740"/>
    </row>
    <row r="741" spans="1:11">
      <c r="A741">
        <v>6</v>
      </c>
      <c r="B741" s="64">
        <v>40382</v>
      </c>
      <c r="C741" s="2">
        <v>1585240.92</v>
      </c>
      <c r="D741">
        <v>0</v>
      </c>
      <c r="E741" s="65">
        <v>83.9</v>
      </c>
      <c r="F741" s="8">
        <v>2.608</v>
      </c>
      <c r="G741" s="66">
        <v>212.7578505</v>
      </c>
      <c r="H741" s="8">
        <v>6.973</v>
      </c>
      <c r="J741" s="26"/>
      <c r="K741"/>
    </row>
    <row r="742" spans="1:11">
      <c r="A742">
        <v>6</v>
      </c>
      <c r="B742" s="64">
        <v>40389</v>
      </c>
      <c r="C742" s="2">
        <v>1532308.78</v>
      </c>
      <c r="D742">
        <v>0</v>
      </c>
      <c r="E742" s="65">
        <v>81.37</v>
      </c>
      <c r="F742" s="8">
        <v>2.64</v>
      </c>
      <c r="G742" s="66">
        <v>212.8944846</v>
      </c>
      <c r="H742" s="8">
        <v>6.973</v>
      </c>
      <c r="J742" s="26"/>
      <c r="K742"/>
    </row>
    <row r="743" spans="1:11">
      <c r="A743">
        <v>6</v>
      </c>
      <c r="B743" s="64">
        <v>40396</v>
      </c>
      <c r="C743" s="2">
        <v>1633241.59</v>
      </c>
      <c r="D743">
        <v>0</v>
      </c>
      <c r="E743" s="65">
        <v>86.61</v>
      </c>
      <c r="F743" s="8">
        <v>2.627</v>
      </c>
      <c r="G743" s="66">
        <v>213.0311188</v>
      </c>
      <c r="H743" s="8">
        <v>6.973</v>
      </c>
      <c r="J743" s="26"/>
      <c r="K743"/>
    </row>
    <row r="744" spans="1:11">
      <c r="A744">
        <v>6</v>
      </c>
      <c r="B744" s="64">
        <v>40403</v>
      </c>
      <c r="C744" s="2">
        <v>1547654.98</v>
      </c>
      <c r="D744">
        <v>0</v>
      </c>
      <c r="E744" s="65">
        <v>86.83</v>
      </c>
      <c r="F744" s="8">
        <v>2.692</v>
      </c>
      <c r="G744" s="66">
        <v>213.1677529</v>
      </c>
      <c r="H744" s="8">
        <v>6.973</v>
      </c>
      <c r="J744" s="26"/>
      <c r="K744"/>
    </row>
    <row r="745" spans="1:11">
      <c r="A745">
        <v>6</v>
      </c>
      <c r="B745" s="64">
        <v>40410</v>
      </c>
      <c r="C745" s="2">
        <v>1539930.5</v>
      </c>
      <c r="D745">
        <v>0</v>
      </c>
      <c r="E745" s="65">
        <v>87.36</v>
      </c>
      <c r="F745" s="8">
        <v>2.664</v>
      </c>
      <c r="G745" s="66">
        <v>213.1291427</v>
      </c>
      <c r="H745" s="8">
        <v>6.973</v>
      </c>
      <c r="J745" s="26"/>
      <c r="K745"/>
    </row>
    <row r="746" spans="1:11">
      <c r="A746">
        <v>6</v>
      </c>
      <c r="B746" s="64">
        <v>40417</v>
      </c>
      <c r="C746" s="2">
        <v>1450766.12</v>
      </c>
      <c r="D746">
        <v>0</v>
      </c>
      <c r="E746" s="65">
        <v>85.71</v>
      </c>
      <c r="F746" s="8">
        <v>2.619</v>
      </c>
      <c r="G746" s="66">
        <v>213.0905324</v>
      </c>
      <c r="H746" s="8">
        <v>6.973</v>
      </c>
      <c r="J746" s="26"/>
      <c r="K746"/>
    </row>
    <row r="747" spans="1:11">
      <c r="A747">
        <v>6</v>
      </c>
      <c r="B747" s="64">
        <v>40424</v>
      </c>
      <c r="C747" s="2">
        <v>1510925.32</v>
      </c>
      <c r="D747">
        <v>0</v>
      </c>
      <c r="E747" s="65">
        <v>82.15</v>
      </c>
      <c r="F747" s="8">
        <v>2.577</v>
      </c>
      <c r="G747" s="66">
        <v>213.0519222</v>
      </c>
      <c r="H747" s="8">
        <v>6.973</v>
      </c>
      <c r="J747" s="26"/>
      <c r="K747"/>
    </row>
    <row r="748" spans="1:11">
      <c r="A748">
        <v>6</v>
      </c>
      <c r="B748" s="64">
        <v>40431</v>
      </c>
      <c r="C748" s="2">
        <v>1424225.44</v>
      </c>
      <c r="D748">
        <v>1</v>
      </c>
      <c r="E748" s="65">
        <v>78.78</v>
      </c>
      <c r="F748" s="8">
        <v>2.565</v>
      </c>
      <c r="G748" s="66">
        <v>213.013312</v>
      </c>
      <c r="H748" s="8">
        <v>6.973</v>
      </c>
      <c r="J748" s="26"/>
      <c r="K748"/>
    </row>
    <row r="749" spans="1:11">
      <c r="A749">
        <v>6</v>
      </c>
      <c r="B749" s="64">
        <v>40438</v>
      </c>
      <c r="C749" s="2">
        <v>1308537.75</v>
      </c>
      <c r="D749">
        <v>0</v>
      </c>
      <c r="E749" s="65">
        <v>81.78</v>
      </c>
      <c r="F749" s="8">
        <v>2.582</v>
      </c>
      <c r="G749" s="66">
        <v>213.0398643</v>
      </c>
      <c r="H749" s="8">
        <v>6.973</v>
      </c>
      <c r="J749" s="26"/>
      <c r="K749"/>
    </row>
    <row r="750" spans="1:11">
      <c r="A750">
        <v>6</v>
      </c>
      <c r="B750" s="64">
        <v>40445</v>
      </c>
      <c r="C750" s="2">
        <v>1275591.84</v>
      </c>
      <c r="D750">
        <v>0</v>
      </c>
      <c r="E750" s="65">
        <v>76.49</v>
      </c>
      <c r="F750" s="8">
        <v>2.624</v>
      </c>
      <c r="G750" s="66">
        <v>213.1152886</v>
      </c>
      <c r="H750" s="8">
        <v>6.973</v>
      </c>
      <c r="J750" s="26"/>
      <c r="K750"/>
    </row>
    <row r="751" spans="1:11">
      <c r="A751">
        <v>6</v>
      </c>
      <c r="B751" s="64">
        <v>40452</v>
      </c>
      <c r="C751" s="2">
        <v>1328468.89</v>
      </c>
      <c r="D751">
        <v>0</v>
      </c>
      <c r="E751" s="65">
        <v>70.69</v>
      </c>
      <c r="F751" s="8">
        <v>2.603</v>
      </c>
      <c r="G751" s="66">
        <v>213.1907129</v>
      </c>
      <c r="H751" s="8">
        <v>7.007</v>
      </c>
      <c r="J751" s="26"/>
      <c r="K751"/>
    </row>
    <row r="752" spans="1:11">
      <c r="A752">
        <v>6</v>
      </c>
      <c r="B752" s="64">
        <v>40459</v>
      </c>
      <c r="C752" s="2">
        <v>1360317.9</v>
      </c>
      <c r="D752">
        <v>0</v>
      </c>
      <c r="E752" s="65">
        <v>65.21</v>
      </c>
      <c r="F752" s="8">
        <v>2.633</v>
      </c>
      <c r="G752" s="66">
        <v>213.2661373</v>
      </c>
      <c r="H752" s="8">
        <v>7.007</v>
      </c>
      <c r="J752" s="26"/>
      <c r="K752"/>
    </row>
    <row r="753" spans="1:11">
      <c r="A753">
        <v>6</v>
      </c>
      <c r="B753" s="64">
        <v>40466</v>
      </c>
      <c r="C753" s="2">
        <v>1344580.92</v>
      </c>
      <c r="D753">
        <v>0</v>
      </c>
      <c r="E753" s="65">
        <v>68.93</v>
      </c>
      <c r="F753" s="8">
        <v>2.72</v>
      </c>
      <c r="G753" s="66">
        <v>213.3337977</v>
      </c>
      <c r="H753" s="8">
        <v>7.007</v>
      </c>
      <c r="J753" s="26"/>
      <c r="K753"/>
    </row>
    <row r="754" spans="1:11">
      <c r="A754">
        <v>6</v>
      </c>
      <c r="B754" s="64">
        <v>40473</v>
      </c>
      <c r="C754" s="2">
        <v>1332716.53</v>
      </c>
      <c r="D754">
        <v>0</v>
      </c>
      <c r="E754" s="65">
        <v>70.97</v>
      </c>
      <c r="F754" s="8">
        <v>2.725</v>
      </c>
      <c r="G754" s="66">
        <v>213.3820486</v>
      </c>
      <c r="H754" s="8">
        <v>7.007</v>
      </c>
      <c r="J754" s="26"/>
      <c r="K754"/>
    </row>
    <row r="755" spans="1:11">
      <c r="A755">
        <v>6</v>
      </c>
      <c r="B755" s="64">
        <v>40480</v>
      </c>
      <c r="C755" s="2">
        <v>1385323.7</v>
      </c>
      <c r="D755">
        <v>0</v>
      </c>
      <c r="E755" s="65">
        <v>70.39</v>
      </c>
      <c r="F755" s="8">
        <v>2.716</v>
      </c>
      <c r="G755" s="66">
        <v>213.4302994</v>
      </c>
      <c r="H755" s="8">
        <v>7.007</v>
      </c>
      <c r="J755" s="26"/>
      <c r="K755"/>
    </row>
    <row r="756" spans="1:11">
      <c r="A756">
        <v>6</v>
      </c>
      <c r="B756" s="64">
        <v>40487</v>
      </c>
      <c r="C756" s="2">
        <v>1505442.15</v>
      </c>
      <c r="D756">
        <v>0</v>
      </c>
      <c r="E756" s="65">
        <v>59.9</v>
      </c>
      <c r="F756" s="8">
        <v>2.689</v>
      </c>
      <c r="G756" s="66">
        <v>213.4785503</v>
      </c>
      <c r="H756" s="8">
        <v>7.007</v>
      </c>
      <c r="J756" s="26"/>
      <c r="K756"/>
    </row>
    <row r="757" spans="1:11">
      <c r="A757">
        <v>6</v>
      </c>
      <c r="B757" s="64">
        <v>40494</v>
      </c>
      <c r="C757" s="2">
        <v>1495536.46</v>
      </c>
      <c r="D757">
        <v>0</v>
      </c>
      <c r="E757" s="65">
        <v>62.11</v>
      </c>
      <c r="F757" s="8">
        <v>2.728</v>
      </c>
      <c r="G757" s="66">
        <v>213.5268011</v>
      </c>
      <c r="H757" s="8">
        <v>7.007</v>
      </c>
      <c r="J757" s="26"/>
      <c r="K757"/>
    </row>
    <row r="758" spans="1:11">
      <c r="A758">
        <v>6</v>
      </c>
      <c r="B758" s="64">
        <v>40501</v>
      </c>
      <c r="C758" s="2">
        <v>1518841.45</v>
      </c>
      <c r="D758">
        <v>0</v>
      </c>
      <c r="E758" s="65">
        <v>52.99</v>
      </c>
      <c r="F758" s="8">
        <v>2.771</v>
      </c>
      <c r="G758" s="66">
        <v>213.4107412</v>
      </c>
      <c r="H758" s="8">
        <v>7.007</v>
      </c>
      <c r="J758" s="26"/>
      <c r="K758"/>
    </row>
    <row r="759" spans="1:11">
      <c r="A759">
        <v>6</v>
      </c>
      <c r="B759" s="64">
        <v>40508</v>
      </c>
      <c r="C759" s="2">
        <v>2267452.4</v>
      </c>
      <c r="D759">
        <v>1</v>
      </c>
      <c r="E759" s="65">
        <v>65.79</v>
      </c>
      <c r="F759" s="8">
        <v>2.735</v>
      </c>
      <c r="G759" s="66">
        <v>213.2672961</v>
      </c>
      <c r="H759" s="8">
        <v>7.007</v>
      </c>
      <c r="J759" s="26"/>
      <c r="K759"/>
    </row>
    <row r="760" spans="1:11">
      <c r="A760">
        <v>6</v>
      </c>
      <c r="B760" s="64">
        <v>40515</v>
      </c>
      <c r="C760" s="2">
        <v>1677067.24</v>
      </c>
      <c r="D760">
        <v>0</v>
      </c>
      <c r="E760" s="65">
        <v>52.3</v>
      </c>
      <c r="F760" s="8">
        <v>2.708</v>
      </c>
      <c r="G760" s="66">
        <v>213.123851</v>
      </c>
      <c r="H760" s="8">
        <v>7.007</v>
      </c>
      <c r="J760" s="26"/>
      <c r="K760"/>
    </row>
    <row r="761" spans="1:11">
      <c r="A761">
        <v>6</v>
      </c>
      <c r="B761" s="64">
        <v>40522</v>
      </c>
      <c r="C761" s="2">
        <v>1834737.58</v>
      </c>
      <c r="D761">
        <v>0</v>
      </c>
      <c r="E761" s="65">
        <v>48.46</v>
      </c>
      <c r="F761" s="8">
        <v>2.843</v>
      </c>
      <c r="G761" s="66">
        <v>212.9804059</v>
      </c>
      <c r="H761" s="8">
        <v>7.007</v>
      </c>
      <c r="J761" s="26"/>
      <c r="K761"/>
    </row>
    <row r="762" spans="1:11">
      <c r="A762">
        <v>6</v>
      </c>
      <c r="B762" s="64">
        <v>40529</v>
      </c>
      <c r="C762" s="2">
        <v>2090268.95</v>
      </c>
      <c r="D762">
        <v>0</v>
      </c>
      <c r="E762" s="65">
        <v>52.24</v>
      </c>
      <c r="F762" s="8">
        <v>2.869</v>
      </c>
      <c r="G762" s="66">
        <v>212.918049</v>
      </c>
      <c r="H762" s="8">
        <v>7.007</v>
      </c>
      <c r="J762" s="26"/>
      <c r="K762"/>
    </row>
    <row r="763" spans="1:11">
      <c r="A763">
        <v>6</v>
      </c>
      <c r="B763" s="64">
        <v>40536</v>
      </c>
      <c r="C763" s="2">
        <v>2727575.18</v>
      </c>
      <c r="D763">
        <v>0</v>
      </c>
      <c r="E763" s="65">
        <v>55.07</v>
      </c>
      <c r="F763" s="8">
        <v>2.886</v>
      </c>
      <c r="G763" s="66">
        <v>212.9165082</v>
      </c>
      <c r="H763" s="8">
        <v>7.007</v>
      </c>
      <c r="J763" s="26"/>
      <c r="K763"/>
    </row>
    <row r="764" spans="1:11">
      <c r="A764">
        <v>6</v>
      </c>
      <c r="B764" s="64">
        <v>40543</v>
      </c>
      <c r="C764" s="2">
        <v>1464050.02</v>
      </c>
      <c r="D764">
        <v>1</v>
      </c>
      <c r="E764" s="65">
        <v>49.14</v>
      </c>
      <c r="F764" s="8">
        <v>2.943</v>
      </c>
      <c r="G764" s="66">
        <v>212.9149674</v>
      </c>
      <c r="H764" s="8">
        <v>7.007</v>
      </c>
      <c r="J764" s="26"/>
      <c r="K764"/>
    </row>
    <row r="765" spans="1:11">
      <c r="A765">
        <v>6</v>
      </c>
      <c r="B765" s="64">
        <v>40550</v>
      </c>
      <c r="C765" s="2">
        <v>1350441.68</v>
      </c>
      <c r="D765">
        <v>0</v>
      </c>
      <c r="E765" s="65">
        <v>47.78</v>
      </c>
      <c r="F765" s="8">
        <v>2.976</v>
      </c>
      <c r="G765" s="66">
        <v>212.9134266</v>
      </c>
      <c r="H765" s="8">
        <v>6.858</v>
      </c>
      <c r="J765" s="26"/>
      <c r="K765"/>
    </row>
    <row r="766" spans="1:11">
      <c r="A766">
        <v>6</v>
      </c>
      <c r="B766" s="64">
        <v>40557</v>
      </c>
      <c r="C766" s="2">
        <v>1306194.55</v>
      </c>
      <c r="D766">
        <v>0</v>
      </c>
      <c r="E766" s="65">
        <v>38.37</v>
      </c>
      <c r="F766" s="8">
        <v>2.983</v>
      </c>
      <c r="G766" s="66">
        <v>212.9655882</v>
      </c>
      <c r="H766" s="8">
        <v>6.858</v>
      </c>
      <c r="J766" s="26"/>
      <c r="K766"/>
    </row>
    <row r="767" spans="1:11">
      <c r="A767">
        <v>6</v>
      </c>
      <c r="B767" s="64">
        <v>40564</v>
      </c>
      <c r="C767" s="2">
        <v>1261253.18</v>
      </c>
      <c r="D767">
        <v>0</v>
      </c>
      <c r="E767" s="65">
        <v>46.2</v>
      </c>
      <c r="F767" s="8">
        <v>3.016</v>
      </c>
      <c r="G767" s="66">
        <v>213.3399647</v>
      </c>
      <c r="H767" s="8">
        <v>6.858</v>
      </c>
      <c r="J767" s="26"/>
      <c r="K767"/>
    </row>
    <row r="768" spans="1:11">
      <c r="A768">
        <v>6</v>
      </c>
      <c r="B768" s="64">
        <v>40571</v>
      </c>
      <c r="C768" s="2">
        <v>1287034.7</v>
      </c>
      <c r="D768">
        <v>0</v>
      </c>
      <c r="E768" s="65">
        <v>44.98</v>
      </c>
      <c r="F768" s="8">
        <v>3.01</v>
      </c>
      <c r="G768" s="66">
        <v>213.7143412</v>
      </c>
      <c r="H768" s="8">
        <v>6.858</v>
      </c>
      <c r="J768" s="26"/>
      <c r="K768"/>
    </row>
    <row r="769" spans="1:11">
      <c r="A769">
        <v>6</v>
      </c>
      <c r="B769" s="64">
        <v>40578</v>
      </c>
      <c r="C769" s="2">
        <v>1514999.17</v>
      </c>
      <c r="D769">
        <v>0</v>
      </c>
      <c r="E769" s="65">
        <v>40.59</v>
      </c>
      <c r="F769" s="8">
        <v>2.989</v>
      </c>
      <c r="G769" s="66">
        <v>214.0887176</v>
      </c>
      <c r="H769" s="8">
        <v>6.858</v>
      </c>
      <c r="J769" s="26"/>
      <c r="K769"/>
    </row>
    <row r="770" spans="1:11">
      <c r="A770">
        <v>6</v>
      </c>
      <c r="B770" s="64">
        <v>40585</v>
      </c>
      <c r="C770" s="2">
        <v>1486920.17</v>
      </c>
      <c r="D770">
        <v>1</v>
      </c>
      <c r="E770" s="65">
        <v>39.38</v>
      </c>
      <c r="F770" s="8">
        <v>3.022</v>
      </c>
      <c r="G770" s="66">
        <v>214.4630941</v>
      </c>
      <c r="H770" s="8">
        <v>6.858</v>
      </c>
      <c r="J770" s="26"/>
      <c r="K770"/>
    </row>
    <row r="771" spans="1:11">
      <c r="A771">
        <v>6</v>
      </c>
      <c r="B771" s="64">
        <v>40592</v>
      </c>
      <c r="C771" s="2">
        <v>1572117.54</v>
      </c>
      <c r="D771">
        <v>0</v>
      </c>
      <c r="E771" s="65">
        <v>59.61</v>
      </c>
      <c r="F771" s="8">
        <v>3.045</v>
      </c>
      <c r="G771" s="66">
        <v>214.7775231</v>
      </c>
      <c r="H771" s="8">
        <v>6.858</v>
      </c>
      <c r="J771" s="26"/>
      <c r="K771"/>
    </row>
    <row r="772" spans="1:11">
      <c r="A772">
        <v>6</v>
      </c>
      <c r="B772" s="64">
        <v>40599</v>
      </c>
      <c r="C772" s="2">
        <v>1422600.43</v>
      </c>
      <c r="D772">
        <v>0</v>
      </c>
      <c r="E772" s="65">
        <v>62.86</v>
      </c>
      <c r="F772" s="8">
        <v>3.065</v>
      </c>
      <c r="G772" s="66">
        <v>215.0679731</v>
      </c>
      <c r="H772" s="8">
        <v>6.858</v>
      </c>
      <c r="J772" s="26"/>
      <c r="K772"/>
    </row>
    <row r="773" spans="1:11">
      <c r="A773">
        <v>6</v>
      </c>
      <c r="B773" s="64">
        <v>40606</v>
      </c>
      <c r="C773" s="2">
        <v>1502617.99</v>
      </c>
      <c r="D773">
        <v>0</v>
      </c>
      <c r="E773" s="65">
        <v>60.45</v>
      </c>
      <c r="F773" s="8">
        <v>3.288</v>
      </c>
      <c r="G773" s="66">
        <v>215.3584231</v>
      </c>
      <c r="H773" s="8">
        <v>6.858</v>
      </c>
      <c r="J773" s="26"/>
      <c r="K773"/>
    </row>
    <row r="774" spans="1:11">
      <c r="A774">
        <v>6</v>
      </c>
      <c r="B774" s="64">
        <v>40613</v>
      </c>
      <c r="C774" s="2">
        <v>1494497.39</v>
      </c>
      <c r="D774">
        <v>0</v>
      </c>
      <c r="E774" s="65">
        <v>57.71</v>
      </c>
      <c r="F774" s="8">
        <v>3.459</v>
      </c>
      <c r="G774" s="66">
        <v>215.6488731</v>
      </c>
      <c r="H774" s="8">
        <v>6.858</v>
      </c>
      <c r="J774" s="26"/>
      <c r="K774"/>
    </row>
    <row r="775" spans="1:11">
      <c r="A775">
        <v>6</v>
      </c>
      <c r="B775" s="64">
        <v>40620</v>
      </c>
      <c r="C775" s="2">
        <v>1685375.47</v>
      </c>
      <c r="D775">
        <v>0</v>
      </c>
      <c r="E775" s="65">
        <v>65.07</v>
      </c>
      <c r="F775" s="8">
        <v>3.488</v>
      </c>
      <c r="G775" s="66">
        <v>215.9035078</v>
      </c>
      <c r="H775" s="8">
        <v>6.858</v>
      </c>
      <c r="J775" s="26"/>
      <c r="K775"/>
    </row>
    <row r="776" spans="1:11">
      <c r="A776">
        <v>6</v>
      </c>
      <c r="B776" s="64">
        <v>40627</v>
      </c>
      <c r="C776" s="2">
        <v>1438465.81</v>
      </c>
      <c r="D776">
        <v>0</v>
      </c>
      <c r="E776" s="65">
        <v>70.83</v>
      </c>
      <c r="F776" s="8">
        <v>3.473</v>
      </c>
      <c r="G776" s="66">
        <v>216.1438163</v>
      </c>
      <c r="H776" s="8">
        <v>6.858</v>
      </c>
      <c r="J776" s="26"/>
      <c r="K776"/>
    </row>
    <row r="777" spans="1:11">
      <c r="A777">
        <v>6</v>
      </c>
      <c r="B777" s="64">
        <v>40634</v>
      </c>
      <c r="C777" s="2">
        <v>1459276.77</v>
      </c>
      <c r="D777">
        <v>0</v>
      </c>
      <c r="E777" s="65">
        <v>62.25</v>
      </c>
      <c r="F777" s="8">
        <v>3.524</v>
      </c>
      <c r="G777" s="66">
        <v>216.3841249</v>
      </c>
      <c r="H777" s="8">
        <v>6.855</v>
      </c>
      <c r="J777" s="26"/>
      <c r="K777"/>
    </row>
    <row r="778" spans="1:11">
      <c r="A778">
        <v>6</v>
      </c>
      <c r="B778" s="64">
        <v>40641</v>
      </c>
      <c r="C778" s="2">
        <v>1534594</v>
      </c>
      <c r="D778">
        <v>0</v>
      </c>
      <c r="E778" s="65">
        <v>70.35</v>
      </c>
      <c r="F778" s="8">
        <v>3.622</v>
      </c>
      <c r="G778" s="66">
        <v>216.6244334</v>
      </c>
      <c r="H778" s="8">
        <v>6.855</v>
      </c>
      <c r="J778" s="26"/>
      <c r="K778"/>
    </row>
    <row r="779" spans="1:11">
      <c r="A779">
        <v>6</v>
      </c>
      <c r="B779" s="64">
        <v>40648</v>
      </c>
      <c r="C779" s="2">
        <v>1448797.02</v>
      </c>
      <c r="D779">
        <v>0</v>
      </c>
      <c r="E779" s="65">
        <v>73.17</v>
      </c>
      <c r="F779" s="8">
        <v>3.743</v>
      </c>
      <c r="G779" s="66">
        <v>216.8446627</v>
      </c>
      <c r="H779" s="8">
        <v>6.855</v>
      </c>
      <c r="J779" s="26"/>
      <c r="K779"/>
    </row>
    <row r="780" spans="1:11">
      <c r="A780">
        <v>6</v>
      </c>
      <c r="B780" s="64">
        <v>40655</v>
      </c>
      <c r="C780" s="2">
        <v>1639358.93</v>
      </c>
      <c r="D780">
        <v>0</v>
      </c>
      <c r="E780" s="65">
        <v>74.24</v>
      </c>
      <c r="F780" s="8">
        <v>3.807</v>
      </c>
      <c r="G780" s="66">
        <v>217.0146941</v>
      </c>
      <c r="H780" s="8">
        <v>6.855</v>
      </c>
      <c r="J780" s="26"/>
      <c r="K780"/>
    </row>
    <row r="781" spans="1:11">
      <c r="A781">
        <v>6</v>
      </c>
      <c r="B781" s="64">
        <v>40662</v>
      </c>
      <c r="C781" s="2">
        <v>1479249.9</v>
      </c>
      <c r="D781">
        <v>0</v>
      </c>
      <c r="E781" s="65">
        <v>75.27</v>
      </c>
      <c r="F781" s="8">
        <v>3.81</v>
      </c>
      <c r="G781" s="66">
        <v>217.1847255</v>
      </c>
      <c r="H781" s="8">
        <v>6.855</v>
      </c>
      <c r="J781" s="26"/>
      <c r="K781"/>
    </row>
    <row r="782" spans="1:11">
      <c r="A782">
        <v>6</v>
      </c>
      <c r="B782" s="64">
        <v>40669</v>
      </c>
      <c r="C782" s="2">
        <v>1504651.57</v>
      </c>
      <c r="D782">
        <v>0</v>
      </c>
      <c r="E782" s="65">
        <v>65.42</v>
      </c>
      <c r="F782" s="8">
        <v>3.906</v>
      </c>
      <c r="G782" s="66">
        <v>217.3547569</v>
      </c>
      <c r="H782" s="8">
        <v>6.855</v>
      </c>
      <c r="J782" s="26"/>
      <c r="K782"/>
    </row>
    <row r="783" spans="1:11">
      <c r="A783">
        <v>6</v>
      </c>
      <c r="B783" s="64">
        <v>40676</v>
      </c>
      <c r="C783" s="2">
        <v>1453185.65</v>
      </c>
      <c r="D783">
        <v>0</v>
      </c>
      <c r="E783" s="65">
        <v>76.95</v>
      </c>
      <c r="F783" s="8">
        <v>3.899</v>
      </c>
      <c r="G783" s="66">
        <v>217.5247882</v>
      </c>
      <c r="H783" s="8">
        <v>6.855</v>
      </c>
      <c r="J783" s="26"/>
      <c r="K783"/>
    </row>
    <row r="784" spans="1:11">
      <c r="A784">
        <v>6</v>
      </c>
      <c r="B784" s="64">
        <v>40683</v>
      </c>
      <c r="C784" s="2">
        <v>1382783.83</v>
      </c>
      <c r="D784">
        <v>0</v>
      </c>
      <c r="E784" s="65">
        <v>72.01</v>
      </c>
      <c r="F784" s="8">
        <v>3.907</v>
      </c>
      <c r="G784" s="66">
        <v>217.2896095</v>
      </c>
      <c r="H784" s="8">
        <v>6.855</v>
      </c>
      <c r="J784" s="26"/>
      <c r="K784"/>
    </row>
    <row r="785" spans="1:11">
      <c r="A785">
        <v>6</v>
      </c>
      <c r="B785" s="64">
        <v>40690</v>
      </c>
      <c r="C785" s="2">
        <v>1523979.11</v>
      </c>
      <c r="D785">
        <v>0</v>
      </c>
      <c r="E785" s="65">
        <v>80.83</v>
      </c>
      <c r="F785" s="8">
        <v>3.786</v>
      </c>
      <c r="G785" s="66">
        <v>217.0544307</v>
      </c>
      <c r="H785" s="8">
        <v>6.855</v>
      </c>
      <c r="J785" s="26"/>
      <c r="K785"/>
    </row>
    <row r="786" spans="1:11">
      <c r="A786">
        <v>6</v>
      </c>
      <c r="B786" s="64">
        <v>40697</v>
      </c>
      <c r="C786" s="2">
        <v>1705506.29</v>
      </c>
      <c r="D786">
        <v>0</v>
      </c>
      <c r="E786" s="65">
        <v>84.01</v>
      </c>
      <c r="F786" s="8">
        <v>3.699</v>
      </c>
      <c r="G786" s="66">
        <v>216.819252</v>
      </c>
      <c r="H786" s="8">
        <v>6.855</v>
      </c>
      <c r="J786" s="26"/>
      <c r="K786"/>
    </row>
    <row r="787" spans="1:11">
      <c r="A787">
        <v>6</v>
      </c>
      <c r="B787" s="64">
        <v>40704</v>
      </c>
      <c r="C787" s="2">
        <v>1598643.65</v>
      </c>
      <c r="D787">
        <v>0</v>
      </c>
      <c r="E787" s="65">
        <v>84.49</v>
      </c>
      <c r="F787" s="8">
        <v>3.648</v>
      </c>
      <c r="G787" s="66">
        <v>216.5840732</v>
      </c>
      <c r="H787" s="8">
        <v>6.855</v>
      </c>
      <c r="J787" s="26"/>
      <c r="K787"/>
    </row>
    <row r="788" spans="1:11">
      <c r="A788">
        <v>6</v>
      </c>
      <c r="B788" s="64">
        <v>40711</v>
      </c>
      <c r="C788" s="2">
        <v>1622150.33</v>
      </c>
      <c r="D788">
        <v>0</v>
      </c>
      <c r="E788" s="65">
        <v>87.08</v>
      </c>
      <c r="F788" s="8">
        <v>3.637</v>
      </c>
      <c r="G788" s="66">
        <v>216.5371616</v>
      </c>
      <c r="H788" s="8">
        <v>6.855</v>
      </c>
      <c r="J788" s="26"/>
      <c r="K788"/>
    </row>
    <row r="789" spans="1:11">
      <c r="A789">
        <v>6</v>
      </c>
      <c r="B789" s="64">
        <v>40718</v>
      </c>
      <c r="C789" s="2">
        <v>1543365.9</v>
      </c>
      <c r="D789">
        <v>0</v>
      </c>
      <c r="E789" s="65">
        <v>85.51</v>
      </c>
      <c r="F789" s="8">
        <v>3.594</v>
      </c>
      <c r="G789" s="66">
        <v>216.6314502</v>
      </c>
      <c r="H789" s="8">
        <v>6.855</v>
      </c>
      <c r="J789" s="26"/>
      <c r="K789"/>
    </row>
    <row r="790" spans="1:11">
      <c r="A790">
        <v>6</v>
      </c>
      <c r="B790" s="64">
        <v>40725</v>
      </c>
      <c r="C790" s="2">
        <v>1694551.15</v>
      </c>
      <c r="D790">
        <v>0</v>
      </c>
      <c r="E790" s="65">
        <v>87</v>
      </c>
      <c r="F790" s="8">
        <v>3.524</v>
      </c>
      <c r="G790" s="66">
        <v>216.7257388</v>
      </c>
      <c r="H790" s="8">
        <v>6.925</v>
      </c>
      <c r="J790" s="26"/>
      <c r="K790"/>
    </row>
    <row r="791" spans="1:11">
      <c r="A791">
        <v>6</v>
      </c>
      <c r="B791" s="64">
        <v>40732</v>
      </c>
      <c r="C791" s="2">
        <v>1709373.62</v>
      </c>
      <c r="D791">
        <v>0</v>
      </c>
      <c r="E791" s="65">
        <v>88.36</v>
      </c>
      <c r="F791" s="8">
        <v>3.48</v>
      </c>
      <c r="G791" s="66">
        <v>216.8200275</v>
      </c>
      <c r="H791" s="8">
        <v>6.925</v>
      </c>
      <c r="J791" s="26"/>
      <c r="K791"/>
    </row>
    <row r="792" spans="1:11">
      <c r="A792">
        <v>6</v>
      </c>
      <c r="B792" s="64">
        <v>40739</v>
      </c>
      <c r="C792" s="2">
        <v>1526801.24</v>
      </c>
      <c r="D792">
        <v>0</v>
      </c>
      <c r="E792" s="65">
        <v>88.93</v>
      </c>
      <c r="F792" s="8">
        <v>3.575</v>
      </c>
      <c r="G792" s="66">
        <v>216.9044732</v>
      </c>
      <c r="H792" s="8">
        <v>6.925</v>
      </c>
      <c r="J792" s="26"/>
      <c r="K792"/>
    </row>
    <row r="793" spans="1:11">
      <c r="A793">
        <v>6</v>
      </c>
      <c r="B793" s="64">
        <v>40746</v>
      </c>
      <c r="C793" s="2">
        <v>1526506.08</v>
      </c>
      <c r="D793">
        <v>0</v>
      </c>
      <c r="E793" s="65">
        <v>88.06</v>
      </c>
      <c r="F793" s="8">
        <v>3.651</v>
      </c>
      <c r="G793" s="66">
        <v>216.964312</v>
      </c>
      <c r="H793" s="8">
        <v>6.925</v>
      </c>
      <c r="J793" s="26"/>
      <c r="K793"/>
    </row>
    <row r="794" spans="1:11">
      <c r="A794">
        <v>6</v>
      </c>
      <c r="B794" s="64">
        <v>40753</v>
      </c>
      <c r="C794" s="2">
        <v>1483991.05</v>
      </c>
      <c r="D794">
        <v>0</v>
      </c>
      <c r="E794" s="65">
        <v>90.22</v>
      </c>
      <c r="F794" s="8">
        <v>3.682</v>
      </c>
      <c r="G794" s="66">
        <v>217.0241507</v>
      </c>
      <c r="H794" s="8">
        <v>6.925</v>
      </c>
      <c r="J794" s="26"/>
      <c r="K794"/>
    </row>
    <row r="795" spans="1:11">
      <c r="A795">
        <v>6</v>
      </c>
      <c r="B795" s="64">
        <v>40760</v>
      </c>
      <c r="C795" s="2">
        <v>1601584.57</v>
      </c>
      <c r="D795">
        <v>0</v>
      </c>
      <c r="E795" s="65">
        <v>91.46</v>
      </c>
      <c r="F795" s="8">
        <v>3.684</v>
      </c>
      <c r="G795" s="66">
        <v>217.0839894</v>
      </c>
      <c r="H795" s="8">
        <v>6.925</v>
      </c>
      <c r="J795" s="26"/>
      <c r="K795"/>
    </row>
    <row r="796" spans="1:11">
      <c r="A796">
        <v>6</v>
      </c>
      <c r="B796" s="64">
        <v>40767</v>
      </c>
      <c r="C796" s="2">
        <v>1484995.38</v>
      </c>
      <c r="D796">
        <v>0</v>
      </c>
      <c r="E796" s="65">
        <v>90.49</v>
      </c>
      <c r="F796" s="8">
        <v>3.638</v>
      </c>
      <c r="G796" s="66">
        <v>217.1438281</v>
      </c>
      <c r="H796" s="8">
        <v>6.925</v>
      </c>
      <c r="J796" s="26"/>
      <c r="K796"/>
    </row>
    <row r="797" spans="1:11">
      <c r="A797">
        <v>6</v>
      </c>
      <c r="B797" s="64">
        <v>40774</v>
      </c>
      <c r="C797" s="2">
        <v>1493544.04</v>
      </c>
      <c r="D797">
        <v>0</v>
      </c>
      <c r="E797" s="65">
        <v>89.26</v>
      </c>
      <c r="F797" s="8">
        <v>3.554</v>
      </c>
      <c r="G797" s="66">
        <v>217.2069662</v>
      </c>
      <c r="H797" s="8">
        <v>6.925</v>
      </c>
      <c r="J797" s="26"/>
      <c r="K797"/>
    </row>
    <row r="798" spans="1:11">
      <c r="A798">
        <v>6</v>
      </c>
      <c r="B798" s="64">
        <v>40781</v>
      </c>
      <c r="C798" s="2">
        <v>1420405.41</v>
      </c>
      <c r="D798">
        <v>0</v>
      </c>
      <c r="E798" s="65">
        <v>90.07</v>
      </c>
      <c r="F798" s="8">
        <v>3.523</v>
      </c>
      <c r="G798" s="66">
        <v>217.2706543</v>
      </c>
      <c r="H798" s="8">
        <v>6.925</v>
      </c>
      <c r="J798" s="26"/>
      <c r="K798"/>
    </row>
    <row r="799" spans="1:11">
      <c r="A799">
        <v>6</v>
      </c>
      <c r="B799" s="64">
        <v>40788</v>
      </c>
      <c r="C799" s="2">
        <v>1481618.74</v>
      </c>
      <c r="D799">
        <v>0</v>
      </c>
      <c r="E799" s="65">
        <v>91.22</v>
      </c>
      <c r="F799" s="8">
        <v>3.533</v>
      </c>
      <c r="G799" s="66">
        <v>217.3343423</v>
      </c>
      <c r="H799" s="8">
        <v>6.925</v>
      </c>
      <c r="J799" s="26"/>
      <c r="K799"/>
    </row>
    <row r="800" spans="1:11">
      <c r="A800">
        <v>6</v>
      </c>
      <c r="B800" s="64">
        <v>40795</v>
      </c>
      <c r="C800" s="2">
        <v>1483574.38</v>
      </c>
      <c r="D800">
        <v>1</v>
      </c>
      <c r="E800" s="65">
        <v>80.21</v>
      </c>
      <c r="F800" s="8">
        <v>3.546</v>
      </c>
      <c r="G800" s="66">
        <v>217.3980304</v>
      </c>
      <c r="H800" s="8">
        <v>6.925</v>
      </c>
      <c r="J800" s="26"/>
      <c r="K800"/>
    </row>
    <row r="801" spans="1:11">
      <c r="A801">
        <v>6</v>
      </c>
      <c r="B801" s="64">
        <v>40802</v>
      </c>
      <c r="C801" s="2">
        <v>1351407.79</v>
      </c>
      <c r="D801">
        <v>0</v>
      </c>
      <c r="E801" s="65">
        <v>84.94</v>
      </c>
      <c r="F801" s="8">
        <v>3.526</v>
      </c>
      <c r="G801" s="66">
        <v>217.5797506</v>
      </c>
      <c r="H801" s="8">
        <v>6.925</v>
      </c>
      <c r="J801" s="26"/>
      <c r="K801"/>
    </row>
    <row r="802" spans="1:11">
      <c r="A802">
        <v>6</v>
      </c>
      <c r="B802" s="64">
        <v>40809</v>
      </c>
      <c r="C802" s="2">
        <v>1336044.75</v>
      </c>
      <c r="D802">
        <v>0</v>
      </c>
      <c r="E802" s="65">
        <v>78.49</v>
      </c>
      <c r="F802" s="8">
        <v>3.467</v>
      </c>
      <c r="G802" s="66">
        <v>217.9188471</v>
      </c>
      <c r="H802" s="8">
        <v>6.925</v>
      </c>
      <c r="J802" s="26"/>
      <c r="K802"/>
    </row>
    <row r="803" spans="1:11">
      <c r="A803">
        <v>6</v>
      </c>
      <c r="B803" s="64">
        <v>40816</v>
      </c>
      <c r="C803" s="2">
        <v>1307551.92</v>
      </c>
      <c r="D803">
        <v>0</v>
      </c>
      <c r="E803" s="65">
        <v>82.51</v>
      </c>
      <c r="F803" s="8">
        <v>3.355</v>
      </c>
      <c r="G803" s="66">
        <v>218.2579435</v>
      </c>
      <c r="H803" s="8">
        <v>6.925</v>
      </c>
      <c r="J803" s="26"/>
      <c r="K803"/>
    </row>
    <row r="804" spans="1:11">
      <c r="A804">
        <v>6</v>
      </c>
      <c r="B804" s="64">
        <v>40823</v>
      </c>
      <c r="C804" s="2">
        <v>1481739.2</v>
      </c>
      <c r="D804">
        <v>0</v>
      </c>
      <c r="E804" s="65">
        <v>74.1</v>
      </c>
      <c r="F804" s="8">
        <v>3.285</v>
      </c>
      <c r="G804" s="66">
        <v>218.59704</v>
      </c>
      <c r="H804" s="8">
        <v>6.551</v>
      </c>
      <c r="J804" s="26"/>
      <c r="K804"/>
    </row>
    <row r="805" spans="1:11">
      <c r="A805">
        <v>6</v>
      </c>
      <c r="B805" s="64">
        <v>40830</v>
      </c>
      <c r="C805" s="2">
        <v>1386520.99</v>
      </c>
      <c r="D805">
        <v>0</v>
      </c>
      <c r="E805" s="65">
        <v>71.24</v>
      </c>
      <c r="F805" s="8">
        <v>3.274</v>
      </c>
      <c r="G805" s="66">
        <v>218.9109844</v>
      </c>
      <c r="H805" s="8">
        <v>6.551</v>
      </c>
      <c r="J805" s="26"/>
      <c r="K805"/>
    </row>
    <row r="806" spans="1:11">
      <c r="A806">
        <v>6</v>
      </c>
      <c r="B806" s="64">
        <v>40837</v>
      </c>
      <c r="C806" s="2">
        <v>1417922.37</v>
      </c>
      <c r="D806">
        <v>0</v>
      </c>
      <c r="E806" s="65">
        <v>68.53</v>
      </c>
      <c r="F806" s="8">
        <v>3.353</v>
      </c>
      <c r="G806" s="66">
        <v>219.0740167</v>
      </c>
      <c r="H806" s="8">
        <v>6.551</v>
      </c>
      <c r="J806" s="26"/>
      <c r="K806"/>
    </row>
    <row r="807" spans="1:11">
      <c r="A807">
        <v>6</v>
      </c>
      <c r="B807" s="64">
        <v>40844</v>
      </c>
      <c r="C807" s="2">
        <v>1419445.12</v>
      </c>
      <c r="D807">
        <v>0</v>
      </c>
      <c r="E807" s="65">
        <v>69.51</v>
      </c>
      <c r="F807" s="8">
        <v>3.372</v>
      </c>
      <c r="G807" s="66">
        <v>219.237049</v>
      </c>
      <c r="H807" s="8">
        <v>6.551</v>
      </c>
      <c r="J807" s="26"/>
      <c r="K807"/>
    </row>
    <row r="808" spans="1:11">
      <c r="A808">
        <v>6</v>
      </c>
      <c r="B808" s="64">
        <v>40851</v>
      </c>
      <c r="C808" s="2">
        <v>1523420.38</v>
      </c>
      <c r="D808">
        <v>0</v>
      </c>
      <c r="E808" s="65">
        <v>58.54</v>
      </c>
      <c r="F808" s="8">
        <v>3.332</v>
      </c>
      <c r="G808" s="66">
        <v>219.4000812</v>
      </c>
      <c r="H808" s="8">
        <v>6.551</v>
      </c>
      <c r="J808" s="26"/>
      <c r="K808"/>
    </row>
    <row r="809" spans="1:11">
      <c r="A809">
        <v>6</v>
      </c>
      <c r="B809" s="64">
        <v>40858</v>
      </c>
      <c r="C809" s="2">
        <v>1536176.54</v>
      </c>
      <c r="D809">
        <v>0</v>
      </c>
      <c r="E809" s="65">
        <v>61.33</v>
      </c>
      <c r="F809" s="8">
        <v>3.297</v>
      </c>
      <c r="G809" s="66">
        <v>219.5631135</v>
      </c>
      <c r="H809" s="8">
        <v>6.551</v>
      </c>
      <c r="J809" s="26"/>
      <c r="K809"/>
    </row>
    <row r="810" spans="1:11">
      <c r="A810">
        <v>6</v>
      </c>
      <c r="B810" s="64">
        <v>40865</v>
      </c>
      <c r="C810" s="2">
        <v>1524390.07</v>
      </c>
      <c r="D810">
        <v>0</v>
      </c>
      <c r="E810" s="65">
        <v>63.89</v>
      </c>
      <c r="F810" s="8">
        <v>3.308</v>
      </c>
      <c r="G810" s="66">
        <v>219.7897137</v>
      </c>
      <c r="H810" s="8">
        <v>6.551</v>
      </c>
      <c r="J810" s="26"/>
      <c r="K810"/>
    </row>
    <row r="811" spans="1:11">
      <c r="A811">
        <v>6</v>
      </c>
      <c r="B811" s="64">
        <v>40872</v>
      </c>
      <c r="C811" s="2">
        <v>2249811.55</v>
      </c>
      <c r="D811">
        <v>1</v>
      </c>
      <c r="E811" s="65">
        <v>62.78</v>
      </c>
      <c r="F811" s="8">
        <v>3.236</v>
      </c>
      <c r="G811" s="66">
        <v>220.0417412</v>
      </c>
      <c r="H811" s="8">
        <v>6.551</v>
      </c>
      <c r="J811" s="26"/>
      <c r="K811"/>
    </row>
    <row r="812" spans="1:11">
      <c r="A812">
        <v>6</v>
      </c>
      <c r="B812" s="64">
        <v>40879</v>
      </c>
      <c r="C812" s="2">
        <v>1688531.34</v>
      </c>
      <c r="D812">
        <v>0</v>
      </c>
      <c r="E812" s="65">
        <v>51.18</v>
      </c>
      <c r="F812" s="8">
        <v>3.172</v>
      </c>
      <c r="G812" s="66">
        <v>220.2937686</v>
      </c>
      <c r="H812" s="8">
        <v>6.551</v>
      </c>
      <c r="J812" s="26"/>
      <c r="K812"/>
    </row>
    <row r="813" spans="1:11">
      <c r="A813">
        <v>6</v>
      </c>
      <c r="B813" s="64">
        <v>40886</v>
      </c>
      <c r="C813" s="2">
        <v>1903385.14</v>
      </c>
      <c r="D813">
        <v>0</v>
      </c>
      <c r="E813" s="65">
        <v>43.64</v>
      </c>
      <c r="F813" s="8">
        <v>3.158</v>
      </c>
      <c r="G813" s="66">
        <v>220.5457961</v>
      </c>
      <c r="H813" s="8">
        <v>6.551</v>
      </c>
      <c r="J813" s="26"/>
      <c r="K813"/>
    </row>
    <row r="814" spans="1:11">
      <c r="A814">
        <v>6</v>
      </c>
      <c r="B814" s="64">
        <v>40893</v>
      </c>
      <c r="C814" s="2">
        <v>2034695.56</v>
      </c>
      <c r="D814">
        <v>0</v>
      </c>
      <c r="E814" s="65">
        <v>53.27</v>
      </c>
      <c r="F814" s="8">
        <v>3.159</v>
      </c>
      <c r="G814" s="66">
        <v>220.7671856</v>
      </c>
      <c r="H814" s="8">
        <v>6.551</v>
      </c>
      <c r="J814" s="26"/>
      <c r="K814"/>
    </row>
    <row r="815" spans="1:11">
      <c r="A815">
        <v>6</v>
      </c>
      <c r="B815" s="64">
        <v>40900</v>
      </c>
      <c r="C815" s="2">
        <v>2644633.02</v>
      </c>
      <c r="D815">
        <v>0</v>
      </c>
      <c r="E815" s="65">
        <v>49.45</v>
      </c>
      <c r="F815" s="8">
        <v>3.112</v>
      </c>
      <c r="G815" s="66">
        <v>220.9477245</v>
      </c>
      <c r="H815" s="8">
        <v>6.551</v>
      </c>
      <c r="J815" s="26"/>
      <c r="K815"/>
    </row>
    <row r="816" spans="1:11">
      <c r="A816">
        <v>6</v>
      </c>
      <c r="B816" s="64">
        <v>40907</v>
      </c>
      <c r="C816" s="2">
        <v>1598080.52</v>
      </c>
      <c r="D816">
        <v>1</v>
      </c>
      <c r="E816" s="65">
        <v>46.8</v>
      </c>
      <c r="F816" s="8">
        <v>3.129</v>
      </c>
      <c r="G816" s="66">
        <v>221.1282634</v>
      </c>
      <c r="H816" s="8">
        <v>6.551</v>
      </c>
      <c r="J816" s="26"/>
      <c r="K816"/>
    </row>
    <row r="817" spans="1:11">
      <c r="A817">
        <v>6</v>
      </c>
      <c r="B817" s="64">
        <v>40914</v>
      </c>
      <c r="C817" s="2">
        <v>1395339.71</v>
      </c>
      <c r="D817">
        <v>0</v>
      </c>
      <c r="E817" s="65">
        <v>50.82</v>
      </c>
      <c r="F817" s="8">
        <v>3.157</v>
      </c>
      <c r="G817" s="66">
        <v>221.3088023</v>
      </c>
      <c r="H817" s="8">
        <v>6.132</v>
      </c>
      <c r="J817" s="26"/>
      <c r="K817"/>
    </row>
    <row r="818" spans="1:11">
      <c r="A818">
        <v>6</v>
      </c>
      <c r="B818" s="64">
        <v>40921</v>
      </c>
      <c r="C818" s="2">
        <v>1344243.17</v>
      </c>
      <c r="D818">
        <v>0</v>
      </c>
      <c r="E818" s="65">
        <v>48.33</v>
      </c>
      <c r="F818" s="8">
        <v>3.261</v>
      </c>
      <c r="G818" s="66">
        <v>221.4893412</v>
      </c>
      <c r="H818" s="8">
        <v>6.132</v>
      </c>
      <c r="J818" s="26"/>
      <c r="K818"/>
    </row>
    <row r="819" spans="1:11">
      <c r="A819">
        <v>6</v>
      </c>
      <c r="B819" s="64">
        <v>40928</v>
      </c>
      <c r="C819" s="2">
        <v>1326255.7</v>
      </c>
      <c r="D819">
        <v>0</v>
      </c>
      <c r="E819" s="65">
        <v>55.37</v>
      </c>
      <c r="F819" s="8">
        <v>3.268</v>
      </c>
      <c r="G819" s="66">
        <v>221.5831306</v>
      </c>
      <c r="H819" s="8">
        <v>6.132</v>
      </c>
      <c r="J819" s="26"/>
      <c r="K819"/>
    </row>
    <row r="820" spans="1:11">
      <c r="A820">
        <v>6</v>
      </c>
      <c r="B820" s="64">
        <v>40935</v>
      </c>
      <c r="C820" s="2">
        <v>1315610.66</v>
      </c>
      <c r="D820">
        <v>0</v>
      </c>
      <c r="E820" s="65">
        <v>53.95</v>
      </c>
      <c r="F820" s="8">
        <v>3.29</v>
      </c>
      <c r="G820" s="66">
        <v>221.6769199</v>
      </c>
      <c r="H820" s="8">
        <v>6.132</v>
      </c>
      <c r="J820" s="26"/>
      <c r="K820"/>
    </row>
    <row r="821" spans="1:11">
      <c r="A821">
        <v>6</v>
      </c>
      <c r="B821" s="64">
        <v>40942</v>
      </c>
      <c r="C821" s="2">
        <v>1496305.78</v>
      </c>
      <c r="D821">
        <v>0</v>
      </c>
      <c r="E821" s="65">
        <v>57.45</v>
      </c>
      <c r="F821" s="8">
        <v>3.36</v>
      </c>
      <c r="G821" s="66">
        <v>221.7707093</v>
      </c>
      <c r="H821" s="8">
        <v>6.132</v>
      </c>
      <c r="J821" s="26"/>
      <c r="K821"/>
    </row>
    <row r="822" spans="1:11">
      <c r="A822">
        <v>6</v>
      </c>
      <c r="B822" s="64">
        <v>40949</v>
      </c>
      <c r="C822" s="2">
        <v>1620603.92</v>
      </c>
      <c r="D822">
        <v>1</v>
      </c>
      <c r="E822" s="65">
        <v>48.58</v>
      </c>
      <c r="F822" s="8">
        <v>3.409</v>
      </c>
      <c r="G822" s="66">
        <v>221.8644987</v>
      </c>
      <c r="H822" s="8">
        <v>6.132</v>
      </c>
      <c r="J822" s="26"/>
      <c r="K822"/>
    </row>
    <row r="823" spans="1:11">
      <c r="A823">
        <v>6</v>
      </c>
      <c r="B823" s="64">
        <v>40956</v>
      </c>
      <c r="C823" s="2">
        <v>1632616.09</v>
      </c>
      <c r="D823">
        <v>0</v>
      </c>
      <c r="E823" s="65">
        <v>49.03</v>
      </c>
      <c r="F823" s="8">
        <v>3.51</v>
      </c>
      <c r="G823" s="66">
        <v>222.026359</v>
      </c>
      <c r="H823" s="8">
        <v>6.132</v>
      </c>
      <c r="J823" s="26"/>
      <c r="K823"/>
    </row>
    <row r="824" spans="1:11">
      <c r="A824">
        <v>6</v>
      </c>
      <c r="B824" s="64">
        <v>40963</v>
      </c>
      <c r="C824" s="2">
        <v>1465187.71</v>
      </c>
      <c r="D824">
        <v>0</v>
      </c>
      <c r="E824" s="65">
        <v>59.17</v>
      </c>
      <c r="F824" s="8">
        <v>3.555</v>
      </c>
      <c r="G824" s="66">
        <v>222.2392726</v>
      </c>
      <c r="H824" s="8">
        <v>6.132</v>
      </c>
      <c r="J824" s="26"/>
      <c r="K824"/>
    </row>
    <row r="825" spans="1:11">
      <c r="A825">
        <v>6</v>
      </c>
      <c r="B825" s="64">
        <v>40970</v>
      </c>
      <c r="C825" s="2">
        <v>1550385.65</v>
      </c>
      <c r="D825">
        <v>0</v>
      </c>
      <c r="E825" s="65">
        <v>60.32</v>
      </c>
      <c r="F825" s="8">
        <v>3.63</v>
      </c>
      <c r="G825" s="66">
        <v>222.4521862</v>
      </c>
      <c r="H825" s="8">
        <v>6.132</v>
      </c>
      <c r="J825" s="26"/>
      <c r="K825"/>
    </row>
    <row r="826" spans="1:11">
      <c r="A826">
        <v>6</v>
      </c>
      <c r="B826" s="64">
        <v>40977</v>
      </c>
      <c r="C826" s="2">
        <v>1569304.4</v>
      </c>
      <c r="D826">
        <v>0</v>
      </c>
      <c r="E826" s="65">
        <v>57.89</v>
      </c>
      <c r="F826" s="8">
        <v>3.669</v>
      </c>
      <c r="G826" s="66">
        <v>222.6650998</v>
      </c>
      <c r="H826" s="8">
        <v>6.132</v>
      </c>
      <c r="J826" s="26"/>
      <c r="K826"/>
    </row>
    <row r="827" spans="1:11">
      <c r="A827">
        <v>6</v>
      </c>
      <c r="B827" s="64">
        <v>40984</v>
      </c>
      <c r="C827" s="2">
        <v>1748010.29</v>
      </c>
      <c r="D827">
        <v>0</v>
      </c>
      <c r="E827" s="65">
        <v>62.8</v>
      </c>
      <c r="F827" s="8">
        <v>3.734</v>
      </c>
      <c r="G827" s="66">
        <v>222.8186603</v>
      </c>
      <c r="H827" s="8">
        <v>6.132</v>
      </c>
      <c r="J827" s="26"/>
      <c r="K827"/>
    </row>
    <row r="828" spans="1:11">
      <c r="A828">
        <v>6</v>
      </c>
      <c r="B828" s="64">
        <v>40991</v>
      </c>
      <c r="C828" s="2">
        <v>1495143.62</v>
      </c>
      <c r="D828">
        <v>0</v>
      </c>
      <c r="E828" s="65">
        <v>63.71</v>
      </c>
      <c r="F828" s="8">
        <v>3.787</v>
      </c>
      <c r="G828" s="66">
        <v>222.8930835</v>
      </c>
      <c r="H828" s="8">
        <v>6.132</v>
      </c>
      <c r="J828" s="26"/>
      <c r="K828"/>
    </row>
    <row r="829" spans="1:11">
      <c r="A829">
        <v>6</v>
      </c>
      <c r="B829" s="64">
        <v>40998</v>
      </c>
      <c r="C829" s="2">
        <v>1508933.26</v>
      </c>
      <c r="D829">
        <v>0</v>
      </c>
      <c r="E829" s="65">
        <v>67.91</v>
      </c>
      <c r="F829" s="8">
        <v>3.845</v>
      </c>
      <c r="G829" s="66">
        <v>222.9675066</v>
      </c>
      <c r="H829" s="8">
        <v>6.132</v>
      </c>
      <c r="J829" s="26"/>
      <c r="K829"/>
    </row>
    <row r="830" spans="1:11">
      <c r="A830">
        <v>6</v>
      </c>
      <c r="B830" s="64">
        <v>41005</v>
      </c>
      <c r="C830" s="2">
        <v>1840131.19</v>
      </c>
      <c r="D830">
        <v>0</v>
      </c>
      <c r="E830" s="65">
        <v>71.6</v>
      </c>
      <c r="F830" s="8">
        <v>3.891</v>
      </c>
      <c r="G830" s="66">
        <v>223.0419298</v>
      </c>
      <c r="H830" s="8">
        <v>5.964</v>
      </c>
      <c r="J830" s="26"/>
      <c r="K830"/>
    </row>
    <row r="831" spans="1:11">
      <c r="A831">
        <v>6</v>
      </c>
      <c r="B831" s="64">
        <v>41012</v>
      </c>
      <c r="C831" s="2">
        <v>1616394.45</v>
      </c>
      <c r="D831">
        <v>0</v>
      </c>
      <c r="E831" s="65">
        <v>71.29</v>
      </c>
      <c r="F831" s="8">
        <v>3.891</v>
      </c>
      <c r="G831" s="66">
        <v>223.1163529</v>
      </c>
      <c r="H831" s="8">
        <v>5.964</v>
      </c>
      <c r="J831" s="26"/>
      <c r="K831"/>
    </row>
    <row r="832" spans="1:11">
      <c r="A832">
        <v>6</v>
      </c>
      <c r="B832" s="64">
        <v>41019</v>
      </c>
      <c r="C832" s="2">
        <v>1456073.24</v>
      </c>
      <c r="D832">
        <v>0</v>
      </c>
      <c r="E832" s="65">
        <v>68.64</v>
      </c>
      <c r="F832" s="8">
        <v>3.877</v>
      </c>
      <c r="G832" s="66">
        <v>223.17092</v>
      </c>
      <c r="H832" s="8">
        <v>5.964</v>
      </c>
      <c r="J832" s="26"/>
      <c r="K832"/>
    </row>
    <row r="833" spans="1:11">
      <c r="A833">
        <v>6</v>
      </c>
      <c r="B833" s="64">
        <v>41026</v>
      </c>
      <c r="C833" s="2">
        <v>1456221.1</v>
      </c>
      <c r="D833">
        <v>0</v>
      </c>
      <c r="E833" s="65">
        <v>71.5</v>
      </c>
      <c r="F833" s="8">
        <v>3.814</v>
      </c>
      <c r="G833" s="66">
        <v>223.2254871</v>
      </c>
      <c r="H833" s="8">
        <v>5.964</v>
      </c>
      <c r="J833" s="26"/>
      <c r="K833"/>
    </row>
    <row r="834" spans="1:11">
      <c r="A834">
        <v>6</v>
      </c>
      <c r="B834" s="64">
        <v>41033</v>
      </c>
      <c r="C834" s="2">
        <v>1543461.12</v>
      </c>
      <c r="D834">
        <v>0</v>
      </c>
      <c r="E834" s="65">
        <v>77.66</v>
      </c>
      <c r="F834" s="8">
        <v>3.749</v>
      </c>
      <c r="G834" s="66">
        <v>223.2800541</v>
      </c>
      <c r="H834" s="8">
        <v>5.964</v>
      </c>
      <c r="J834" s="26"/>
      <c r="K834"/>
    </row>
    <row r="835" spans="1:11">
      <c r="A835">
        <v>6</v>
      </c>
      <c r="B835" s="64">
        <v>41040</v>
      </c>
      <c r="C835" s="2">
        <v>1517075.67</v>
      </c>
      <c r="D835">
        <v>0</v>
      </c>
      <c r="E835" s="65">
        <v>72.66</v>
      </c>
      <c r="F835" s="8">
        <v>3.688</v>
      </c>
      <c r="G835" s="66">
        <v>223.3346212</v>
      </c>
      <c r="H835" s="8">
        <v>5.964</v>
      </c>
      <c r="J835" s="26"/>
      <c r="K835"/>
    </row>
    <row r="836" spans="1:11">
      <c r="A836">
        <v>6</v>
      </c>
      <c r="B836" s="64">
        <v>41047</v>
      </c>
      <c r="C836" s="2">
        <v>1513635.64</v>
      </c>
      <c r="D836">
        <v>0</v>
      </c>
      <c r="E836" s="65">
        <v>70.5</v>
      </c>
      <c r="F836" s="8">
        <v>3.63</v>
      </c>
      <c r="G836" s="66">
        <v>223.3511928</v>
      </c>
      <c r="H836" s="8">
        <v>5.964</v>
      </c>
      <c r="J836" s="26"/>
      <c r="K836"/>
    </row>
    <row r="837" spans="1:11">
      <c r="A837">
        <v>6</v>
      </c>
      <c r="B837" s="64">
        <v>41054</v>
      </c>
      <c r="C837" s="2">
        <v>1603793.42</v>
      </c>
      <c r="D837">
        <v>0</v>
      </c>
      <c r="E837" s="65">
        <v>78.47</v>
      </c>
      <c r="F837" s="8">
        <v>3.561</v>
      </c>
      <c r="G837" s="66">
        <v>223.3525662</v>
      </c>
      <c r="H837" s="8">
        <v>5.964</v>
      </c>
      <c r="J837" s="26"/>
      <c r="K837"/>
    </row>
    <row r="838" spans="1:11">
      <c r="A838">
        <v>6</v>
      </c>
      <c r="B838" s="64">
        <v>41061</v>
      </c>
      <c r="C838" s="2">
        <v>1681121.38</v>
      </c>
      <c r="D838">
        <v>0</v>
      </c>
      <c r="E838" s="65">
        <v>80.39</v>
      </c>
      <c r="F838" s="8">
        <v>3.501</v>
      </c>
      <c r="G838" s="66">
        <v>223.3539397</v>
      </c>
      <c r="H838" s="8">
        <v>5.964</v>
      </c>
      <c r="J838" s="26"/>
      <c r="K838"/>
    </row>
    <row r="839" spans="1:11">
      <c r="A839">
        <v>6</v>
      </c>
      <c r="B839" s="64">
        <v>41068</v>
      </c>
      <c r="C839" s="2">
        <v>1696619.52</v>
      </c>
      <c r="D839">
        <v>0</v>
      </c>
      <c r="E839" s="65">
        <v>80.5</v>
      </c>
      <c r="F839" s="8">
        <v>3.452</v>
      </c>
      <c r="G839" s="66">
        <v>223.3553131</v>
      </c>
      <c r="H839" s="8">
        <v>5.964</v>
      </c>
      <c r="J839" s="26"/>
      <c r="K839"/>
    </row>
    <row r="840" spans="1:11">
      <c r="A840">
        <v>6</v>
      </c>
      <c r="B840" s="64">
        <v>41075</v>
      </c>
      <c r="C840" s="2">
        <v>1642247.48</v>
      </c>
      <c r="D840">
        <v>0</v>
      </c>
      <c r="E840" s="65">
        <v>82.1</v>
      </c>
      <c r="F840" s="8">
        <v>3.393</v>
      </c>
      <c r="G840" s="66">
        <v>223.3680933</v>
      </c>
      <c r="H840" s="8">
        <v>5.964</v>
      </c>
      <c r="J840" s="26"/>
      <c r="K840"/>
    </row>
    <row r="841" spans="1:11">
      <c r="A841">
        <v>6</v>
      </c>
      <c r="B841" s="64">
        <v>41082</v>
      </c>
      <c r="C841" s="2">
        <v>1618272.25</v>
      </c>
      <c r="D841">
        <v>0</v>
      </c>
      <c r="E841" s="65">
        <v>81.2</v>
      </c>
      <c r="F841" s="8">
        <v>3.346</v>
      </c>
      <c r="G841" s="66">
        <v>223.4093906</v>
      </c>
      <c r="H841" s="8">
        <v>5.964</v>
      </c>
      <c r="J841" s="26"/>
      <c r="K841"/>
    </row>
    <row r="842" spans="1:11">
      <c r="A842">
        <v>6</v>
      </c>
      <c r="B842" s="64">
        <v>41089</v>
      </c>
      <c r="C842" s="2">
        <v>1648863.46</v>
      </c>
      <c r="D842">
        <v>0</v>
      </c>
      <c r="E842" s="65">
        <v>87.35</v>
      </c>
      <c r="F842" s="8">
        <v>3.286</v>
      </c>
      <c r="G842" s="66">
        <v>223.4506878</v>
      </c>
      <c r="H842" s="8">
        <v>5.964</v>
      </c>
      <c r="J842" s="26"/>
      <c r="K842"/>
    </row>
    <row r="843" spans="1:11">
      <c r="A843">
        <v>6</v>
      </c>
      <c r="B843" s="64">
        <v>41096</v>
      </c>
      <c r="C843" s="2">
        <v>1876359.39</v>
      </c>
      <c r="D843">
        <v>0</v>
      </c>
      <c r="E843" s="65">
        <v>82.95</v>
      </c>
      <c r="F843" s="8">
        <v>3.227</v>
      </c>
      <c r="G843" s="66">
        <v>223.4919851</v>
      </c>
      <c r="H843" s="8">
        <v>5.668</v>
      </c>
      <c r="J843" s="26"/>
      <c r="K843"/>
    </row>
    <row r="844" spans="1:11">
      <c r="A844">
        <v>6</v>
      </c>
      <c r="B844" s="64">
        <v>41103</v>
      </c>
      <c r="C844" s="2">
        <v>1588142.26</v>
      </c>
      <c r="D844">
        <v>0</v>
      </c>
      <c r="E844" s="65">
        <v>80.27</v>
      </c>
      <c r="F844" s="8">
        <v>3.256</v>
      </c>
      <c r="G844" s="66">
        <v>223.5332824</v>
      </c>
      <c r="H844" s="8">
        <v>5.668</v>
      </c>
      <c r="J844" s="26"/>
      <c r="K844"/>
    </row>
    <row r="845" spans="1:11">
      <c r="A845">
        <v>6</v>
      </c>
      <c r="B845" s="64">
        <v>41110</v>
      </c>
      <c r="C845" s="2">
        <v>1574361.97</v>
      </c>
      <c r="D845">
        <v>0</v>
      </c>
      <c r="E845" s="65">
        <v>81.57</v>
      </c>
      <c r="F845" s="8">
        <v>3.311</v>
      </c>
      <c r="G845" s="66">
        <v>223.5424501</v>
      </c>
      <c r="H845" s="8">
        <v>5.668</v>
      </c>
      <c r="J845" s="26"/>
      <c r="K845"/>
    </row>
    <row r="846" spans="1:11">
      <c r="A846">
        <v>6</v>
      </c>
      <c r="B846" s="64">
        <v>41117</v>
      </c>
      <c r="C846" s="2">
        <v>1513229.16</v>
      </c>
      <c r="D846">
        <v>0</v>
      </c>
      <c r="E846" s="65">
        <v>85.78</v>
      </c>
      <c r="F846" s="8">
        <v>3.407</v>
      </c>
      <c r="G846" s="66">
        <v>223.5516178</v>
      </c>
      <c r="H846" s="8">
        <v>5.668</v>
      </c>
      <c r="J846" s="26"/>
      <c r="K846"/>
    </row>
    <row r="847" spans="1:11">
      <c r="A847">
        <v>6</v>
      </c>
      <c r="B847" s="64">
        <v>41124</v>
      </c>
      <c r="C847" s="2">
        <v>1627274.93</v>
      </c>
      <c r="D847">
        <v>0</v>
      </c>
      <c r="E847" s="65">
        <v>87.55</v>
      </c>
      <c r="F847" s="8">
        <v>3.417</v>
      </c>
      <c r="G847" s="66">
        <v>223.5607856</v>
      </c>
      <c r="H847" s="8">
        <v>5.668</v>
      </c>
      <c r="J847" s="26"/>
      <c r="K847"/>
    </row>
    <row r="848" spans="1:11">
      <c r="A848">
        <v>6</v>
      </c>
      <c r="B848" s="64">
        <v>41131</v>
      </c>
      <c r="C848" s="2">
        <v>1588380.73</v>
      </c>
      <c r="D848">
        <v>0</v>
      </c>
      <c r="E848" s="65">
        <v>87.04</v>
      </c>
      <c r="F848" s="8">
        <v>3.494</v>
      </c>
      <c r="G848" s="66">
        <v>223.5699533</v>
      </c>
      <c r="H848" s="8">
        <v>5.668</v>
      </c>
      <c r="J848" s="26"/>
      <c r="K848"/>
    </row>
    <row r="849" spans="1:11">
      <c r="A849">
        <v>6</v>
      </c>
      <c r="B849" s="64">
        <v>41138</v>
      </c>
      <c r="C849" s="2">
        <v>1543049.52</v>
      </c>
      <c r="D849">
        <v>0</v>
      </c>
      <c r="E849" s="65">
        <v>87.53</v>
      </c>
      <c r="F849" s="8">
        <v>3.571</v>
      </c>
      <c r="G849" s="66">
        <v>223.6510224</v>
      </c>
      <c r="H849" s="8">
        <v>5.668</v>
      </c>
      <c r="J849" s="26"/>
      <c r="K849"/>
    </row>
    <row r="850" spans="1:11">
      <c r="A850">
        <v>6</v>
      </c>
      <c r="B850" s="64">
        <v>41145</v>
      </c>
      <c r="C850" s="2">
        <v>1501095.49</v>
      </c>
      <c r="D850">
        <v>0</v>
      </c>
      <c r="E850" s="65">
        <v>79.03</v>
      </c>
      <c r="F850" s="8">
        <v>3.62</v>
      </c>
      <c r="G850" s="66">
        <v>223.7860175</v>
      </c>
      <c r="H850" s="8">
        <v>5.668</v>
      </c>
      <c r="J850" s="26"/>
      <c r="K850"/>
    </row>
    <row r="851" spans="1:11">
      <c r="A851">
        <v>6</v>
      </c>
      <c r="B851" s="64">
        <v>41152</v>
      </c>
      <c r="C851" s="2">
        <v>1577439.81</v>
      </c>
      <c r="D851">
        <v>0</v>
      </c>
      <c r="E851" s="65">
        <v>83.58</v>
      </c>
      <c r="F851" s="8">
        <v>3.638</v>
      </c>
      <c r="G851" s="66">
        <v>223.9210125</v>
      </c>
      <c r="H851" s="8">
        <v>5.668</v>
      </c>
      <c r="J851" s="26"/>
      <c r="K851"/>
    </row>
    <row r="852" spans="1:11">
      <c r="A852">
        <v>6</v>
      </c>
      <c r="B852" s="64">
        <v>41159</v>
      </c>
      <c r="C852" s="2">
        <v>1608077.01</v>
      </c>
      <c r="D852">
        <v>1</v>
      </c>
      <c r="E852" s="65">
        <v>86.33</v>
      </c>
      <c r="F852" s="8">
        <v>3.73</v>
      </c>
      <c r="G852" s="66">
        <v>224.0560076</v>
      </c>
      <c r="H852" s="8">
        <v>5.668</v>
      </c>
      <c r="J852" s="26"/>
      <c r="K852"/>
    </row>
    <row r="853" spans="1:11">
      <c r="A853">
        <v>6</v>
      </c>
      <c r="B853" s="64">
        <v>41166</v>
      </c>
      <c r="C853" s="2">
        <v>1375166.86</v>
      </c>
      <c r="D853">
        <v>0</v>
      </c>
      <c r="E853" s="65">
        <v>76.41</v>
      </c>
      <c r="F853" s="8">
        <v>3.717</v>
      </c>
      <c r="G853" s="66">
        <v>224.2004678</v>
      </c>
      <c r="H853" s="8">
        <v>5.668</v>
      </c>
      <c r="J853" s="26"/>
      <c r="K853"/>
    </row>
    <row r="854" spans="1:11">
      <c r="A854">
        <v>6</v>
      </c>
      <c r="B854" s="64">
        <v>41173</v>
      </c>
      <c r="C854" s="2">
        <v>1425603.65</v>
      </c>
      <c r="D854">
        <v>0</v>
      </c>
      <c r="E854" s="65">
        <v>70.81</v>
      </c>
      <c r="F854" s="8">
        <v>3.721</v>
      </c>
      <c r="G854" s="66">
        <v>224.4017192</v>
      </c>
      <c r="H854" s="8">
        <v>5.668</v>
      </c>
      <c r="J854" s="26"/>
      <c r="K854"/>
    </row>
    <row r="855" spans="1:11">
      <c r="A855">
        <v>6</v>
      </c>
      <c r="B855" s="64">
        <v>41180</v>
      </c>
      <c r="C855" s="2">
        <v>1369131.46</v>
      </c>
      <c r="D855">
        <v>0</v>
      </c>
      <c r="E855" s="65">
        <v>77.82</v>
      </c>
      <c r="F855" s="8">
        <v>3.666</v>
      </c>
      <c r="G855" s="66">
        <v>224.6029706</v>
      </c>
      <c r="H855" s="8">
        <v>5.668</v>
      </c>
      <c r="J855" s="26"/>
      <c r="K855"/>
    </row>
    <row r="856" spans="1:11">
      <c r="A856">
        <v>6</v>
      </c>
      <c r="B856" s="64">
        <v>41187</v>
      </c>
      <c r="C856" s="2">
        <v>1518177.71</v>
      </c>
      <c r="D856">
        <v>0</v>
      </c>
      <c r="E856" s="65">
        <v>70.84</v>
      </c>
      <c r="F856" s="8">
        <v>3.617</v>
      </c>
      <c r="G856" s="66">
        <v>224.804222</v>
      </c>
      <c r="H856" s="8">
        <v>5.329</v>
      </c>
      <c r="J856" s="26"/>
      <c r="K856"/>
    </row>
    <row r="857" spans="1:11">
      <c r="A857">
        <v>6</v>
      </c>
      <c r="B857" s="64">
        <v>41194</v>
      </c>
      <c r="C857" s="2">
        <v>1459396.84</v>
      </c>
      <c r="D857">
        <v>0</v>
      </c>
      <c r="E857" s="65">
        <v>65.43</v>
      </c>
      <c r="F857" s="8">
        <v>3.601</v>
      </c>
      <c r="G857" s="66">
        <v>225.0054733</v>
      </c>
      <c r="H857" s="8">
        <v>5.329</v>
      </c>
      <c r="J857" s="26"/>
      <c r="K857"/>
    </row>
    <row r="858" spans="1:11">
      <c r="A858">
        <v>6</v>
      </c>
      <c r="B858" s="64">
        <v>41201</v>
      </c>
      <c r="C858" s="2">
        <v>1436883.99</v>
      </c>
      <c r="D858">
        <v>0</v>
      </c>
      <c r="E858" s="65">
        <v>69.68</v>
      </c>
      <c r="F858" s="8">
        <v>3.594</v>
      </c>
      <c r="G858" s="66">
        <v>225.0501013</v>
      </c>
      <c r="H858" s="8">
        <v>5.329</v>
      </c>
      <c r="J858" s="26"/>
      <c r="K858"/>
    </row>
    <row r="859" spans="1:11">
      <c r="A859">
        <v>6</v>
      </c>
      <c r="B859" s="64">
        <v>41208</v>
      </c>
      <c r="C859" s="2">
        <v>1431426.34</v>
      </c>
      <c r="D859">
        <v>0</v>
      </c>
      <c r="E859" s="65">
        <v>72.34</v>
      </c>
      <c r="F859" s="8">
        <v>3.506</v>
      </c>
      <c r="G859" s="66">
        <v>225.0686254</v>
      </c>
      <c r="H859" s="8">
        <v>5.329</v>
      </c>
      <c r="J859" s="26"/>
      <c r="K859"/>
    </row>
    <row r="860" spans="1:11">
      <c r="A860">
        <v>7</v>
      </c>
      <c r="B860" s="64">
        <v>40214</v>
      </c>
      <c r="C860" s="2">
        <v>496725.44</v>
      </c>
      <c r="D860">
        <v>0</v>
      </c>
      <c r="E860" s="65">
        <v>10.53</v>
      </c>
      <c r="F860" s="8">
        <v>2.58</v>
      </c>
      <c r="G860" s="66">
        <v>189.3816974</v>
      </c>
      <c r="H860" s="8">
        <v>9.014</v>
      </c>
      <c r="J860" s="26"/>
      <c r="K860"/>
    </row>
    <row r="861" spans="1:11">
      <c r="A861">
        <v>7</v>
      </c>
      <c r="B861" s="64">
        <v>40221</v>
      </c>
      <c r="C861" s="2">
        <v>524104.92</v>
      </c>
      <c r="D861">
        <v>1</v>
      </c>
      <c r="E861" s="65">
        <v>25.9</v>
      </c>
      <c r="F861" s="8">
        <v>2.572</v>
      </c>
      <c r="G861" s="66">
        <v>189.4642725</v>
      </c>
      <c r="H861" s="8">
        <v>9.014</v>
      </c>
      <c r="J861" s="26"/>
      <c r="K861"/>
    </row>
    <row r="862" spans="1:11">
      <c r="A862">
        <v>7</v>
      </c>
      <c r="B862" s="64">
        <v>40228</v>
      </c>
      <c r="C862" s="2">
        <v>506760.54</v>
      </c>
      <c r="D862">
        <v>0</v>
      </c>
      <c r="E862" s="65">
        <v>27.28</v>
      </c>
      <c r="F862" s="8">
        <v>2.55</v>
      </c>
      <c r="G862" s="66">
        <v>189.5340998</v>
      </c>
      <c r="H862" s="8">
        <v>9.014</v>
      </c>
      <c r="J862" s="26"/>
      <c r="K862"/>
    </row>
    <row r="863" spans="1:11">
      <c r="A863">
        <v>7</v>
      </c>
      <c r="B863" s="64">
        <v>40235</v>
      </c>
      <c r="C863" s="2">
        <v>496083.24</v>
      </c>
      <c r="D863">
        <v>0</v>
      </c>
      <c r="E863" s="65">
        <v>24.91</v>
      </c>
      <c r="F863" s="8">
        <v>2.586</v>
      </c>
      <c r="G863" s="66">
        <v>189.6018023</v>
      </c>
      <c r="H863" s="8">
        <v>9.014</v>
      </c>
      <c r="J863" s="26"/>
      <c r="K863"/>
    </row>
    <row r="864" spans="1:11">
      <c r="A864">
        <v>7</v>
      </c>
      <c r="B864" s="64">
        <v>40242</v>
      </c>
      <c r="C864" s="2">
        <v>491419.55</v>
      </c>
      <c r="D864">
        <v>0</v>
      </c>
      <c r="E864" s="65">
        <v>35.86</v>
      </c>
      <c r="F864" s="8">
        <v>2.62</v>
      </c>
      <c r="G864" s="66">
        <v>189.6695049</v>
      </c>
      <c r="H864" s="8">
        <v>9.014</v>
      </c>
      <c r="J864" s="26"/>
      <c r="K864"/>
    </row>
    <row r="865" spans="1:11">
      <c r="A865">
        <v>7</v>
      </c>
      <c r="B865" s="64">
        <v>40249</v>
      </c>
      <c r="C865" s="2">
        <v>480452.1</v>
      </c>
      <c r="D865">
        <v>0</v>
      </c>
      <c r="E865" s="65">
        <v>27.25</v>
      </c>
      <c r="F865" s="8">
        <v>2.684</v>
      </c>
      <c r="G865" s="66">
        <v>189.7372075</v>
      </c>
      <c r="H865" s="8">
        <v>9.014</v>
      </c>
      <c r="J865" s="26"/>
      <c r="K865"/>
    </row>
    <row r="866" spans="1:11">
      <c r="A866">
        <v>7</v>
      </c>
      <c r="B866" s="64">
        <v>40256</v>
      </c>
      <c r="C866" s="2">
        <v>574450.23</v>
      </c>
      <c r="D866">
        <v>0</v>
      </c>
      <c r="E866" s="65">
        <v>29.04</v>
      </c>
      <c r="F866" s="8">
        <v>2.692</v>
      </c>
      <c r="G866" s="66">
        <v>189.734262</v>
      </c>
      <c r="H866" s="8">
        <v>9.014</v>
      </c>
      <c r="J866" s="26"/>
      <c r="K866"/>
    </row>
    <row r="867" spans="1:11">
      <c r="A867">
        <v>7</v>
      </c>
      <c r="B867" s="64">
        <v>40263</v>
      </c>
      <c r="C867" s="2">
        <v>514731.6</v>
      </c>
      <c r="D867">
        <v>0</v>
      </c>
      <c r="E867" s="65">
        <v>23.33</v>
      </c>
      <c r="F867" s="8">
        <v>2.717</v>
      </c>
      <c r="G867" s="66">
        <v>189.7195417</v>
      </c>
      <c r="H867" s="8">
        <v>9.014</v>
      </c>
      <c r="J867" s="26"/>
      <c r="K867"/>
    </row>
    <row r="868" spans="1:11">
      <c r="A868">
        <v>7</v>
      </c>
      <c r="B868" s="64">
        <v>40270</v>
      </c>
      <c r="C868" s="2">
        <v>561145.14</v>
      </c>
      <c r="D868">
        <v>0</v>
      </c>
      <c r="E868" s="65">
        <v>38.26</v>
      </c>
      <c r="F868" s="8">
        <v>2.725</v>
      </c>
      <c r="G868" s="66">
        <v>189.7048215</v>
      </c>
      <c r="H868" s="8">
        <v>8.963</v>
      </c>
      <c r="J868" s="26"/>
      <c r="K868"/>
    </row>
    <row r="869" spans="1:11">
      <c r="A869">
        <v>7</v>
      </c>
      <c r="B869" s="64">
        <v>40277</v>
      </c>
      <c r="C869" s="2">
        <v>484263.25</v>
      </c>
      <c r="D869">
        <v>0</v>
      </c>
      <c r="E869" s="65">
        <v>33.79</v>
      </c>
      <c r="F869" s="8">
        <v>2.75</v>
      </c>
      <c r="G869" s="66">
        <v>189.6901012</v>
      </c>
      <c r="H869" s="8">
        <v>8.963</v>
      </c>
      <c r="J869" s="26"/>
      <c r="K869"/>
    </row>
    <row r="870" spans="1:11">
      <c r="A870">
        <v>7</v>
      </c>
      <c r="B870" s="64">
        <v>40284</v>
      </c>
      <c r="C870" s="2">
        <v>406228.19</v>
      </c>
      <c r="D870">
        <v>0</v>
      </c>
      <c r="E870" s="65">
        <v>41.89</v>
      </c>
      <c r="F870" s="8">
        <v>2.765</v>
      </c>
      <c r="G870" s="66">
        <v>189.6628845</v>
      </c>
      <c r="H870" s="8">
        <v>8.963</v>
      </c>
      <c r="J870" s="26"/>
      <c r="K870"/>
    </row>
    <row r="871" spans="1:11">
      <c r="A871">
        <v>7</v>
      </c>
      <c r="B871" s="64">
        <v>40291</v>
      </c>
      <c r="C871" s="2">
        <v>404751.25</v>
      </c>
      <c r="D871">
        <v>0</v>
      </c>
      <c r="E871" s="65">
        <v>43.07</v>
      </c>
      <c r="F871" s="8">
        <v>2.776</v>
      </c>
      <c r="G871" s="66">
        <v>189.6190057</v>
      </c>
      <c r="H871" s="8">
        <v>8.963</v>
      </c>
      <c r="J871" s="26"/>
      <c r="K871"/>
    </row>
    <row r="872" spans="1:11">
      <c r="A872">
        <v>7</v>
      </c>
      <c r="B872" s="64">
        <v>40298</v>
      </c>
      <c r="C872" s="2">
        <v>373655.61</v>
      </c>
      <c r="D872">
        <v>0</v>
      </c>
      <c r="E872" s="65">
        <v>38.99</v>
      </c>
      <c r="F872" s="8">
        <v>2.766</v>
      </c>
      <c r="G872" s="66">
        <v>189.575127</v>
      </c>
      <c r="H872" s="8">
        <v>8.963</v>
      </c>
      <c r="J872" s="26"/>
      <c r="K872"/>
    </row>
    <row r="873" spans="1:11">
      <c r="A873">
        <v>7</v>
      </c>
      <c r="B873" s="64">
        <v>40305</v>
      </c>
      <c r="C873" s="2">
        <v>395453.83</v>
      </c>
      <c r="D873">
        <v>0</v>
      </c>
      <c r="E873" s="65">
        <v>40.07</v>
      </c>
      <c r="F873" s="8">
        <v>2.771</v>
      </c>
      <c r="G873" s="66">
        <v>189.5312483</v>
      </c>
      <c r="H873" s="8">
        <v>8.963</v>
      </c>
      <c r="J873" s="26"/>
      <c r="K873"/>
    </row>
    <row r="874" spans="1:11">
      <c r="A874">
        <v>7</v>
      </c>
      <c r="B874" s="64">
        <v>40312</v>
      </c>
      <c r="C874" s="2">
        <v>372673.61</v>
      </c>
      <c r="D874">
        <v>0</v>
      </c>
      <c r="E874" s="65">
        <v>41.41</v>
      </c>
      <c r="F874" s="8">
        <v>2.788</v>
      </c>
      <c r="G874" s="66">
        <v>189.4904116</v>
      </c>
      <c r="H874" s="8">
        <v>8.963</v>
      </c>
      <c r="J874" s="26"/>
      <c r="K874"/>
    </row>
    <row r="875" spans="1:11">
      <c r="A875">
        <v>7</v>
      </c>
      <c r="B875" s="64">
        <v>40319</v>
      </c>
      <c r="C875" s="2">
        <v>395195.65</v>
      </c>
      <c r="D875">
        <v>0</v>
      </c>
      <c r="E875" s="65">
        <v>46.6</v>
      </c>
      <c r="F875" s="8">
        <v>2.776</v>
      </c>
      <c r="G875" s="66">
        <v>189.467827</v>
      </c>
      <c r="H875" s="8">
        <v>8.963</v>
      </c>
      <c r="J875" s="26"/>
      <c r="K875"/>
    </row>
    <row r="876" spans="1:11">
      <c r="A876">
        <v>7</v>
      </c>
      <c r="B876" s="64">
        <v>40326</v>
      </c>
      <c r="C876" s="2">
        <v>442734.55</v>
      </c>
      <c r="D876">
        <v>0</v>
      </c>
      <c r="E876" s="65">
        <v>54.24</v>
      </c>
      <c r="F876" s="8">
        <v>2.737</v>
      </c>
      <c r="G876" s="66">
        <v>189.4452425</v>
      </c>
      <c r="H876" s="8">
        <v>8.963</v>
      </c>
      <c r="J876" s="26"/>
      <c r="K876"/>
    </row>
    <row r="877" spans="1:11">
      <c r="A877">
        <v>7</v>
      </c>
      <c r="B877" s="64">
        <v>40333</v>
      </c>
      <c r="C877" s="2">
        <v>509183.22</v>
      </c>
      <c r="D877">
        <v>0</v>
      </c>
      <c r="E877" s="65">
        <v>53.63</v>
      </c>
      <c r="F877" s="8">
        <v>2.7</v>
      </c>
      <c r="G877" s="66">
        <v>189.422658</v>
      </c>
      <c r="H877" s="8">
        <v>8.963</v>
      </c>
      <c r="J877" s="26"/>
      <c r="K877"/>
    </row>
    <row r="878" spans="1:11">
      <c r="A878">
        <v>7</v>
      </c>
      <c r="B878" s="64">
        <v>40340</v>
      </c>
      <c r="C878" s="2">
        <v>498580.87</v>
      </c>
      <c r="D878">
        <v>0</v>
      </c>
      <c r="E878" s="65">
        <v>63.59</v>
      </c>
      <c r="F878" s="8">
        <v>2.684</v>
      </c>
      <c r="G878" s="66">
        <v>189.4000734</v>
      </c>
      <c r="H878" s="8">
        <v>8.963</v>
      </c>
      <c r="J878" s="26"/>
      <c r="K878"/>
    </row>
    <row r="879" spans="1:11">
      <c r="A879">
        <v>7</v>
      </c>
      <c r="B879" s="64">
        <v>40347</v>
      </c>
      <c r="C879" s="2">
        <v>481144.09</v>
      </c>
      <c r="D879">
        <v>0</v>
      </c>
      <c r="E879" s="65">
        <v>52.7</v>
      </c>
      <c r="F879" s="8">
        <v>2.674</v>
      </c>
      <c r="G879" s="66">
        <v>189.4185259</v>
      </c>
      <c r="H879" s="8">
        <v>8.963</v>
      </c>
      <c r="J879" s="26"/>
      <c r="K879"/>
    </row>
    <row r="880" spans="1:11">
      <c r="A880">
        <v>7</v>
      </c>
      <c r="B880" s="64">
        <v>40354</v>
      </c>
      <c r="C880" s="2">
        <v>553714.87</v>
      </c>
      <c r="D880">
        <v>0</v>
      </c>
      <c r="E880" s="65">
        <v>59.94</v>
      </c>
      <c r="F880" s="8">
        <v>2.715</v>
      </c>
      <c r="G880" s="66">
        <v>189.4533931</v>
      </c>
      <c r="H880" s="8">
        <v>8.963</v>
      </c>
      <c r="J880" s="26"/>
      <c r="K880"/>
    </row>
    <row r="881" spans="1:11">
      <c r="A881">
        <v>7</v>
      </c>
      <c r="B881" s="64">
        <v>40361</v>
      </c>
      <c r="C881" s="2">
        <v>575570.77</v>
      </c>
      <c r="D881">
        <v>0</v>
      </c>
      <c r="E881" s="65">
        <v>61.31</v>
      </c>
      <c r="F881" s="8">
        <v>2.728</v>
      </c>
      <c r="G881" s="66">
        <v>189.4882603</v>
      </c>
      <c r="H881" s="8">
        <v>9.017</v>
      </c>
      <c r="J881" s="26"/>
      <c r="K881"/>
    </row>
    <row r="882" spans="1:11">
      <c r="A882">
        <v>7</v>
      </c>
      <c r="B882" s="64">
        <v>40368</v>
      </c>
      <c r="C882" s="2">
        <v>593462.34</v>
      </c>
      <c r="D882">
        <v>0</v>
      </c>
      <c r="E882" s="65">
        <v>58</v>
      </c>
      <c r="F882" s="8">
        <v>2.711</v>
      </c>
      <c r="G882" s="66">
        <v>189.5231276</v>
      </c>
      <c r="H882" s="8">
        <v>9.017</v>
      </c>
      <c r="J882" s="26"/>
      <c r="K882"/>
    </row>
    <row r="883" spans="1:11">
      <c r="A883">
        <v>7</v>
      </c>
      <c r="B883" s="64">
        <v>40375</v>
      </c>
      <c r="C883" s="2">
        <v>557166.35</v>
      </c>
      <c r="D883">
        <v>0</v>
      </c>
      <c r="E883" s="65">
        <v>62.19</v>
      </c>
      <c r="F883" s="8">
        <v>2.699</v>
      </c>
      <c r="G883" s="66">
        <v>189.6125456</v>
      </c>
      <c r="H883" s="8">
        <v>9.017</v>
      </c>
      <c r="J883" s="26"/>
      <c r="K883"/>
    </row>
    <row r="884" spans="1:11">
      <c r="A884">
        <v>7</v>
      </c>
      <c r="B884" s="64">
        <v>40382</v>
      </c>
      <c r="C884" s="2">
        <v>570231.21</v>
      </c>
      <c r="D884">
        <v>0</v>
      </c>
      <c r="E884" s="65">
        <v>64.64</v>
      </c>
      <c r="F884" s="8">
        <v>2.691</v>
      </c>
      <c r="G884" s="66">
        <v>189.774698</v>
      </c>
      <c r="H884" s="8">
        <v>9.017</v>
      </c>
      <c r="J884" s="26"/>
      <c r="K884"/>
    </row>
    <row r="885" spans="1:11">
      <c r="A885">
        <v>7</v>
      </c>
      <c r="B885" s="64">
        <v>40389</v>
      </c>
      <c r="C885" s="2">
        <v>603547.16</v>
      </c>
      <c r="D885">
        <v>0</v>
      </c>
      <c r="E885" s="65">
        <v>66.07</v>
      </c>
      <c r="F885" s="8">
        <v>2.69</v>
      </c>
      <c r="G885" s="66">
        <v>189.9368504</v>
      </c>
      <c r="H885" s="8">
        <v>9.017</v>
      </c>
      <c r="J885" s="26"/>
      <c r="K885"/>
    </row>
    <row r="886" spans="1:11">
      <c r="A886">
        <v>7</v>
      </c>
      <c r="B886" s="64">
        <v>40396</v>
      </c>
      <c r="C886" s="2">
        <v>643854.17</v>
      </c>
      <c r="D886">
        <v>0</v>
      </c>
      <c r="E886" s="65">
        <v>61.7</v>
      </c>
      <c r="F886" s="8">
        <v>2.69</v>
      </c>
      <c r="G886" s="66">
        <v>190.0990028</v>
      </c>
      <c r="H886" s="8">
        <v>9.017</v>
      </c>
      <c r="J886" s="26"/>
      <c r="K886"/>
    </row>
    <row r="887" spans="1:11">
      <c r="A887">
        <v>7</v>
      </c>
      <c r="B887" s="64">
        <v>40403</v>
      </c>
      <c r="C887" s="2">
        <v>598185.4</v>
      </c>
      <c r="D887">
        <v>0</v>
      </c>
      <c r="E887" s="65">
        <v>60.13</v>
      </c>
      <c r="F887" s="8">
        <v>2.723</v>
      </c>
      <c r="G887" s="66">
        <v>190.2611552</v>
      </c>
      <c r="H887" s="8">
        <v>9.017</v>
      </c>
      <c r="J887" s="26"/>
      <c r="K887"/>
    </row>
    <row r="888" spans="1:11">
      <c r="A888">
        <v>7</v>
      </c>
      <c r="B888" s="64">
        <v>40410</v>
      </c>
      <c r="C888" s="2">
        <v>582353.17</v>
      </c>
      <c r="D888">
        <v>0</v>
      </c>
      <c r="E888" s="65">
        <v>59.59</v>
      </c>
      <c r="F888" s="8">
        <v>2.732</v>
      </c>
      <c r="G888" s="66">
        <v>190.2948237</v>
      </c>
      <c r="H888" s="8">
        <v>9.017</v>
      </c>
      <c r="J888" s="26"/>
      <c r="K888"/>
    </row>
    <row r="889" spans="1:11">
      <c r="A889">
        <v>7</v>
      </c>
      <c r="B889" s="64">
        <v>40417</v>
      </c>
      <c r="C889" s="2">
        <v>554309.24</v>
      </c>
      <c r="D889">
        <v>0</v>
      </c>
      <c r="E889" s="65">
        <v>57.57</v>
      </c>
      <c r="F889" s="8">
        <v>2.731</v>
      </c>
      <c r="G889" s="66">
        <v>190.3284922</v>
      </c>
      <c r="H889" s="8">
        <v>9.017</v>
      </c>
      <c r="J889" s="26"/>
      <c r="K889"/>
    </row>
    <row r="890" spans="1:11">
      <c r="A890">
        <v>7</v>
      </c>
      <c r="B890" s="64">
        <v>40424</v>
      </c>
      <c r="C890" s="2">
        <v>532765.05</v>
      </c>
      <c r="D890">
        <v>0</v>
      </c>
      <c r="E890" s="65">
        <v>49.84</v>
      </c>
      <c r="F890" s="8">
        <v>2.773</v>
      </c>
      <c r="G890" s="66">
        <v>190.3621607</v>
      </c>
      <c r="H890" s="8">
        <v>9.017</v>
      </c>
      <c r="J890" s="26"/>
      <c r="K890"/>
    </row>
    <row r="891" spans="1:11">
      <c r="A891">
        <v>7</v>
      </c>
      <c r="B891" s="64">
        <v>40431</v>
      </c>
      <c r="C891" s="2">
        <v>535769.32</v>
      </c>
      <c r="D891">
        <v>1</v>
      </c>
      <c r="E891" s="65">
        <v>48.5</v>
      </c>
      <c r="F891" s="8">
        <v>2.78</v>
      </c>
      <c r="G891" s="66">
        <v>190.3958293</v>
      </c>
      <c r="H891" s="8">
        <v>9.017</v>
      </c>
      <c r="J891" s="26"/>
      <c r="K891"/>
    </row>
    <row r="892" spans="1:11">
      <c r="A892">
        <v>7</v>
      </c>
      <c r="B892" s="64">
        <v>40438</v>
      </c>
      <c r="C892" s="2">
        <v>489408.53</v>
      </c>
      <c r="D892">
        <v>0</v>
      </c>
      <c r="E892" s="65">
        <v>48.56</v>
      </c>
      <c r="F892" s="8">
        <v>2.8</v>
      </c>
      <c r="G892" s="66">
        <v>190.4688287</v>
      </c>
      <c r="H892" s="8">
        <v>9.017</v>
      </c>
      <c r="J892" s="26"/>
      <c r="K892"/>
    </row>
    <row r="893" spans="1:11">
      <c r="A893">
        <v>7</v>
      </c>
      <c r="B893" s="64">
        <v>40445</v>
      </c>
      <c r="C893" s="2">
        <v>488008.83</v>
      </c>
      <c r="D893">
        <v>0</v>
      </c>
      <c r="E893" s="65">
        <v>47.55</v>
      </c>
      <c r="F893" s="8">
        <v>2.793</v>
      </c>
      <c r="G893" s="66">
        <v>190.5713264</v>
      </c>
      <c r="H893" s="8">
        <v>9.017</v>
      </c>
      <c r="J893" s="26"/>
      <c r="K893"/>
    </row>
    <row r="894" spans="1:11">
      <c r="A894">
        <v>7</v>
      </c>
      <c r="B894" s="64">
        <v>40452</v>
      </c>
      <c r="C894" s="2">
        <v>448998.73</v>
      </c>
      <c r="D894">
        <v>0</v>
      </c>
      <c r="E894" s="65">
        <v>49.99</v>
      </c>
      <c r="F894" s="8">
        <v>2.759</v>
      </c>
      <c r="G894" s="66">
        <v>190.6738241</v>
      </c>
      <c r="H894" s="8">
        <v>9.137</v>
      </c>
      <c r="J894" s="26"/>
      <c r="K894"/>
    </row>
    <row r="895" spans="1:11">
      <c r="A895">
        <v>7</v>
      </c>
      <c r="B895" s="64">
        <v>40459</v>
      </c>
      <c r="C895" s="2">
        <v>480239.88</v>
      </c>
      <c r="D895">
        <v>0</v>
      </c>
      <c r="E895" s="65">
        <v>44.13</v>
      </c>
      <c r="F895" s="8">
        <v>2.745</v>
      </c>
      <c r="G895" s="66">
        <v>190.7763218</v>
      </c>
      <c r="H895" s="8">
        <v>9.137</v>
      </c>
      <c r="J895" s="26"/>
      <c r="K895"/>
    </row>
    <row r="896" spans="1:11">
      <c r="A896">
        <v>7</v>
      </c>
      <c r="B896" s="64">
        <v>40466</v>
      </c>
      <c r="C896" s="2">
        <v>463370.48</v>
      </c>
      <c r="D896">
        <v>0</v>
      </c>
      <c r="E896" s="65">
        <v>35.86</v>
      </c>
      <c r="F896" s="8">
        <v>2.762</v>
      </c>
      <c r="G896" s="66">
        <v>190.8623087</v>
      </c>
      <c r="H896" s="8">
        <v>9.137</v>
      </c>
      <c r="J896" s="26"/>
      <c r="K896"/>
    </row>
    <row r="897" spans="1:11">
      <c r="A897">
        <v>7</v>
      </c>
      <c r="B897" s="64">
        <v>40473</v>
      </c>
      <c r="C897" s="2">
        <v>472450.81</v>
      </c>
      <c r="D897">
        <v>0</v>
      </c>
      <c r="E897" s="65">
        <v>36.84</v>
      </c>
      <c r="F897" s="8">
        <v>2.762</v>
      </c>
      <c r="G897" s="66">
        <v>190.9070184</v>
      </c>
      <c r="H897" s="8">
        <v>9.137</v>
      </c>
      <c r="J897" s="26"/>
      <c r="K897"/>
    </row>
    <row r="898" spans="1:11">
      <c r="A898">
        <v>7</v>
      </c>
      <c r="B898" s="64">
        <v>40480</v>
      </c>
      <c r="C898" s="2">
        <v>465493.15</v>
      </c>
      <c r="D898">
        <v>0</v>
      </c>
      <c r="E898" s="65">
        <v>34.78</v>
      </c>
      <c r="F898" s="8">
        <v>2.748</v>
      </c>
      <c r="G898" s="66">
        <v>190.951728</v>
      </c>
      <c r="H898" s="8">
        <v>9.137</v>
      </c>
      <c r="J898" s="26"/>
      <c r="K898"/>
    </row>
    <row r="899" spans="1:11">
      <c r="A899">
        <v>7</v>
      </c>
      <c r="B899" s="64">
        <v>40487</v>
      </c>
      <c r="C899" s="2">
        <v>480512.44</v>
      </c>
      <c r="D899">
        <v>0</v>
      </c>
      <c r="E899" s="65">
        <v>49.44</v>
      </c>
      <c r="F899" s="8">
        <v>2.729</v>
      </c>
      <c r="G899" s="66">
        <v>190.9964377</v>
      </c>
      <c r="H899" s="8">
        <v>9.137</v>
      </c>
      <c r="J899" s="26"/>
      <c r="K899"/>
    </row>
    <row r="900" spans="1:11">
      <c r="A900">
        <v>7</v>
      </c>
      <c r="B900" s="64">
        <v>40494</v>
      </c>
      <c r="C900" s="2">
        <v>507584.29</v>
      </c>
      <c r="D900">
        <v>0</v>
      </c>
      <c r="E900" s="65">
        <v>22.12</v>
      </c>
      <c r="F900" s="8">
        <v>2.737</v>
      </c>
      <c r="G900" s="66">
        <v>191.0411474</v>
      </c>
      <c r="H900" s="8">
        <v>9.137</v>
      </c>
      <c r="J900" s="26"/>
      <c r="K900"/>
    </row>
    <row r="901" spans="1:11">
      <c r="A901">
        <v>7</v>
      </c>
      <c r="B901" s="64">
        <v>40501</v>
      </c>
      <c r="C901" s="2">
        <v>482528.36</v>
      </c>
      <c r="D901">
        <v>0</v>
      </c>
      <c r="E901" s="65">
        <v>25.56</v>
      </c>
      <c r="F901" s="8">
        <v>2.758</v>
      </c>
      <c r="G901" s="66">
        <v>191.0312172</v>
      </c>
      <c r="H901" s="8">
        <v>9.137</v>
      </c>
      <c r="J901" s="26"/>
      <c r="K901"/>
    </row>
    <row r="902" spans="1:11">
      <c r="A902">
        <v>7</v>
      </c>
      <c r="B902" s="64">
        <v>40508</v>
      </c>
      <c r="C902" s="2">
        <v>835189.26</v>
      </c>
      <c r="D902">
        <v>1</v>
      </c>
      <c r="E902" s="65">
        <v>17.95</v>
      </c>
      <c r="F902" s="8">
        <v>2.742</v>
      </c>
      <c r="G902" s="66">
        <v>191.0121805</v>
      </c>
      <c r="H902" s="8">
        <v>9.137</v>
      </c>
      <c r="J902" s="26"/>
      <c r="K902"/>
    </row>
    <row r="903" spans="1:11">
      <c r="A903">
        <v>7</v>
      </c>
      <c r="B903" s="64">
        <v>40515</v>
      </c>
      <c r="C903" s="2">
        <v>552811.62</v>
      </c>
      <c r="D903">
        <v>0</v>
      </c>
      <c r="E903" s="65">
        <v>21.88</v>
      </c>
      <c r="F903" s="8">
        <v>2.712</v>
      </c>
      <c r="G903" s="66">
        <v>190.9931437</v>
      </c>
      <c r="H903" s="8">
        <v>9.137</v>
      </c>
      <c r="J903" s="26"/>
      <c r="K903"/>
    </row>
    <row r="904" spans="1:11">
      <c r="A904">
        <v>7</v>
      </c>
      <c r="B904" s="64">
        <v>40522</v>
      </c>
      <c r="C904" s="2">
        <v>599730.07</v>
      </c>
      <c r="D904">
        <v>0</v>
      </c>
      <c r="E904" s="65">
        <v>24.24</v>
      </c>
      <c r="F904" s="8">
        <v>2.728</v>
      </c>
      <c r="G904" s="66">
        <v>190.9741069</v>
      </c>
      <c r="H904" s="8">
        <v>9.137</v>
      </c>
      <c r="J904" s="26"/>
      <c r="K904"/>
    </row>
    <row r="905" spans="1:11">
      <c r="A905">
        <v>7</v>
      </c>
      <c r="B905" s="64">
        <v>40529</v>
      </c>
      <c r="C905" s="2">
        <v>716388.81</v>
      </c>
      <c r="D905">
        <v>0</v>
      </c>
      <c r="E905" s="65">
        <v>20.74</v>
      </c>
      <c r="F905" s="8">
        <v>2.778</v>
      </c>
      <c r="G905" s="66">
        <v>191.0303376</v>
      </c>
      <c r="H905" s="8">
        <v>9.137</v>
      </c>
      <c r="J905" s="26"/>
      <c r="K905"/>
    </row>
    <row r="906" spans="1:11">
      <c r="A906">
        <v>7</v>
      </c>
      <c r="B906" s="64">
        <v>40536</v>
      </c>
      <c r="C906" s="2">
        <v>1045124.88</v>
      </c>
      <c r="D906">
        <v>0</v>
      </c>
      <c r="E906" s="65">
        <v>26.04</v>
      </c>
      <c r="F906" s="8">
        <v>2.781</v>
      </c>
      <c r="G906" s="66">
        <v>191.1430189</v>
      </c>
      <c r="H906" s="8">
        <v>9.137</v>
      </c>
      <c r="J906" s="26"/>
      <c r="K906"/>
    </row>
    <row r="907" spans="1:11">
      <c r="A907">
        <v>7</v>
      </c>
      <c r="B907" s="64">
        <v>40543</v>
      </c>
      <c r="C907" s="2">
        <v>729572.08</v>
      </c>
      <c r="D907">
        <v>1</v>
      </c>
      <c r="E907" s="65">
        <v>13.76</v>
      </c>
      <c r="F907" s="8">
        <v>2.829</v>
      </c>
      <c r="G907" s="66">
        <v>191.2557002</v>
      </c>
      <c r="H907" s="8">
        <v>9.137</v>
      </c>
      <c r="J907" s="26"/>
      <c r="K907"/>
    </row>
    <row r="908" spans="1:11">
      <c r="A908">
        <v>7</v>
      </c>
      <c r="B908" s="64">
        <v>40550</v>
      </c>
      <c r="C908" s="2">
        <v>661163.94</v>
      </c>
      <c r="D908">
        <v>0</v>
      </c>
      <c r="E908" s="65">
        <v>10.09</v>
      </c>
      <c r="F908" s="8">
        <v>2.882</v>
      </c>
      <c r="G908" s="66">
        <v>191.3683815</v>
      </c>
      <c r="H908" s="8">
        <v>8.818</v>
      </c>
      <c r="J908" s="26"/>
      <c r="K908"/>
    </row>
    <row r="909" spans="1:11">
      <c r="A909">
        <v>7</v>
      </c>
      <c r="B909" s="64">
        <v>40557</v>
      </c>
      <c r="C909" s="2">
        <v>547384.9</v>
      </c>
      <c r="D909">
        <v>0</v>
      </c>
      <c r="E909" s="65">
        <v>11.32</v>
      </c>
      <c r="F909" s="8">
        <v>2.911</v>
      </c>
      <c r="G909" s="66">
        <v>191.4784939</v>
      </c>
      <c r="H909" s="8">
        <v>8.818</v>
      </c>
      <c r="J909" s="26"/>
      <c r="K909"/>
    </row>
    <row r="910" spans="1:11">
      <c r="A910">
        <v>7</v>
      </c>
      <c r="B910" s="64">
        <v>40564</v>
      </c>
      <c r="C910" s="2">
        <v>521539.46</v>
      </c>
      <c r="D910">
        <v>0</v>
      </c>
      <c r="E910" s="65">
        <v>25.4</v>
      </c>
      <c r="F910" s="8">
        <v>2.973</v>
      </c>
      <c r="G910" s="66">
        <v>191.5731924</v>
      </c>
      <c r="H910" s="8">
        <v>8.818</v>
      </c>
      <c r="J910" s="26"/>
      <c r="K910"/>
    </row>
    <row r="911" spans="1:11">
      <c r="A911">
        <v>7</v>
      </c>
      <c r="B911" s="64">
        <v>40571</v>
      </c>
      <c r="C911" s="2">
        <v>513372.17</v>
      </c>
      <c r="D911">
        <v>0</v>
      </c>
      <c r="E911" s="65">
        <v>10.11</v>
      </c>
      <c r="F911" s="8">
        <v>3.008</v>
      </c>
      <c r="G911" s="66">
        <v>191.667891</v>
      </c>
      <c r="H911" s="8">
        <v>8.818</v>
      </c>
      <c r="J911" s="26"/>
      <c r="K911"/>
    </row>
    <row r="912" spans="1:11">
      <c r="A912">
        <v>7</v>
      </c>
      <c r="B912" s="64">
        <v>40578</v>
      </c>
      <c r="C912" s="2">
        <v>558027.77</v>
      </c>
      <c r="D912">
        <v>0</v>
      </c>
      <c r="E912" s="65">
        <v>-2.06</v>
      </c>
      <c r="F912" s="8">
        <v>3.011</v>
      </c>
      <c r="G912" s="66">
        <v>191.7625895</v>
      </c>
      <c r="H912" s="8">
        <v>8.818</v>
      </c>
      <c r="J912" s="26"/>
      <c r="K912"/>
    </row>
    <row r="913" spans="1:11">
      <c r="A913">
        <v>7</v>
      </c>
      <c r="B913" s="64">
        <v>40585</v>
      </c>
      <c r="C913" s="2">
        <v>559903.13</v>
      </c>
      <c r="D913">
        <v>1</v>
      </c>
      <c r="E913" s="65">
        <v>10.24</v>
      </c>
      <c r="F913" s="8">
        <v>3.037</v>
      </c>
      <c r="G913" s="66">
        <v>191.8572881</v>
      </c>
      <c r="H913" s="8">
        <v>8.818</v>
      </c>
      <c r="J913" s="26"/>
      <c r="K913"/>
    </row>
    <row r="914" spans="1:11">
      <c r="A914">
        <v>7</v>
      </c>
      <c r="B914" s="64">
        <v>40592</v>
      </c>
      <c r="C914" s="2">
        <v>572387.47</v>
      </c>
      <c r="D914">
        <v>0</v>
      </c>
      <c r="E914" s="65">
        <v>17.3</v>
      </c>
      <c r="F914" s="8">
        <v>3.051</v>
      </c>
      <c r="G914" s="66">
        <v>191.9178331</v>
      </c>
      <c r="H914" s="8">
        <v>8.818</v>
      </c>
      <c r="J914" s="26"/>
      <c r="K914"/>
    </row>
    <row r="915" spans="1:11">
      <c r="A915">
        <v>7</v>
      </c>
      <c r="B915" s="64">
        <v>40599</v>
      </c>
      <c r="C915" s="2">
        <v>546690.84</v>
      </c>
      <c r="D915">
        <v>0</v>
      </c>
      <c r="E915" s="65">
        <v>17.46</v>
      </c>
      <c r="F915" s="8">
        <v>3.101</v>
      </c>
      <c r="G915" s="66">
        <v>191.9647167</v>
      </c>
      <c r="H915" s="8">
        <v>8.818</v>
      </c>
      <c r="J915" s="26"/>
      <c r="K915"/>
    </row>
    <row r="916" spans="1:11">
      <c r="A916">
        <v>7</v>
      </c>
      <c r="B916" s="64">
        <v>40606</v>
      </c>
      <c r="C916" s="2">
        <v>551378.39</v>
      </c>
      <c r="D916">
        <v>0</v>
      </c>
      <c r="E916" s="65">
        <v>21.84</v>
      </c>
      <c r="F916" s="8">
        <v>3.232</v>
      </c>
      <c r="G916" s="66">
        <v>192.0116004</v>
      </c>
      <c r="H916" s="8">
        <v>8.818</v>
      </c>
      <c r="J916" s="26"/>
      <c r="K916"/>
    </row>
    <row r="917" spans="1:11">
      <c r="A917">
        <v>7</v>
      </c>
      <c r="B917" s="64">
        <v>40613</v>
      </c>
      <c r="C917" s="2">
        <v>558963.83</v>
      </c>
      <c r="D917">
        <v>0</v>
      </c>
      <c r="E917" s="65">
        <v>20.7</v>
      </c>
      <c r="F917" s="8">
        <v>3.372</v>
      </c>
      <c r="G917" s="66">
        <v>192.058484</v>
      </c>
      <c r="H917" s="8">
        <v>8.818</v>
      </c>
      <c r="J917" s="26"/>
      <c r="K917"/>
    </row>
    <row r="918" spans="1:11">
      <c r="A918">
        <v>7</v>
      </c>
      <c r="B918" s="64">
        <v>40620</v>
      </c>
      <c r="C918" s="2">
        <v>635014.69</v>
      </c>
      <c r="D918">
        <v>0</v>
      </c>
      <c r="E918" s="65">
        <v>27.69</v>
      </c>
      <c r="F918" s="8">
        <v>3.406</v>
      </c>
      <c r="G918" s="66">
        <v>192.1237981</v>
      </c>
      <c r="H918" s="8">
        <v>8.818</v>
      </c>
      <c r="J918" s="26"/>
      <c r="K918"/>
    </row>
    <row r="919" spans="1:11">
      <c r="A919">
        <v>7</v>
      </c>
      <c r="B919" s="64">
        <v>40627</v>
      </c>
      <c r="C919" s="2">
        <v>559061.58</v>
      </c>
      <c r="D919">
        <v>0</v>
      </c>
      <c r="E919" s="65">
        <v>25.69</v>
      </c>
      <c r="F919" s="8">
        <v>3.414</v>
      </c>
      <c r="G919" s="66">
        <v>192.1964844</v>
      </c>
      <c r="H919" s="8">
        <v>8.818</v>
      </c>
      <c r="J919" s="26"/>
      <c r="K919"/>
    </row>
    <row r="920" spans="1:11">
      <c r="A920">
        <v>7</v>
      </c>
      <c r="B920" s="64">
        <v>40634</v>
      </c>
      <c r="C920" s="2">
        <v>513409.67</v>
      </c>
      <c r="D920">
        <v>0</v>
      </c>
      <c r="E920" s="65">
        <v>24.83</v>
      </c>
      <c r="F920" s="8">
        <v>3.461</v>
      </c>
      <c r="G920" s="66">
        <v>192.2691707</v>
      </c>
      <c r="H920" s="8">
        <v>8.595</v>
      </c>
      <c r="J920" s="26"/>
      <c r="K920"/>
    </row>
    <row r="921" spans="1:11">
      <c r="A921">
        <v>7</v>
      </c>
      <c r="B921" s="64">
        <v>40641</v>
      </c>
      <c r="C921" s="2">
        <v>500552.16</v>
      </c>
      <c r="D921">
        <v>0</v>
      </c>
      <c r="E921" s="65">
        <v>30.64</v>
      </c>
      <c r="F921" s="8">
        <v>3.532</v>
      </c>
      <c r="G921" s="66">
        <v>192.3418571</v>
      </c>
      <c r="H921" s="8">
        <v>8.595</v>
      </c>
      <c r="J921" s="26"/>
      <c r="K921"/>
    </row>
    <row r="922" spans="1:11">
      <c r="A922">
        <v>7</v>
      </c>
      <c r="B922" s="64">
        <v>40648</v>
      </c>
      <c r="C922" s="2">
        <v>423380.14</v>
      </c>
      <c r="D922">
        <v>0</v>
      </c>
      <c r="E922" s="65">
        <v>27.79</v>
      </c>
      <c r="F922" s="8">
        <v>3.611</v>
      </c>
      <c r="G922" s="66">
        <v>192.4225954</v>
      </c>
      <c r="H922" s="8">
        <v>8.595</v>
      </c>
      <c r="J922" s="26"/>
      <c r="K922"/>
    </row>
    <row r="923" spans="1:11">
      <c r="A923">
        <v>7</v>
      </c>
      <c r="B923" s="64">
        <v>40655</v>
      </c>
      <c r="C923" s="2">
        <v>466594.89</v>
      </c>
      <c r="D923">
        <v>0</v>
      </c>
      <c r="E923" s="65">
        <v>31.84</v>
      </c>
      <c r="F923" s="8">
        <v>3.636</v>
      </c>
      <c r="G923" s="66">
        <v>192.5234638</v>
      </c>
      <c r="H923" s="8">
        <v>8.595</v>
      </c>
      <c r="J923" s="26"/>
      <c r="K923"/>
    </row>
    <row r="924" spans="1:11">
      <c r="A924">
        <v>7</v>
      </c>
      <c r="B924" s="64">
        <v>40662</v>
      </c>
      <c r="C924" s="2">
        <v>410429.73</v>
      </c>
      <c r="D924">
        <v>0</v>
      </c>
      <c r="E924" s="65">
        <v>26.79</v>
      </c>
      <c r="F924" s="8">
        <v>3.663</v>
      </c>
      <c r="G924" s="66">
        <v>192.6243322</v>
      </c>
      <c r="H924" s="8">
        <v>8.595</v>
      </c>
      <c r="J924" s="26"/>
      <c r="K924"/>
    </row>
    <row r="925" spans="1:11">
      <c r="A925">
        <v>7</v>
      </c>
      <c r="B925" s="64">
        <v>40669</v>
      </c>
      <c r="C925" s="2">
        <v>407012.47</v>
      </c>
      <c r="D925">
        <v>0</v>
      </c>
      <c r="E925" s="65">
        <v>26.54</v>
      </c>
      <c r="F925" s="8">
        <v>3.735</v>
      </c>
      <c r="G925" s="66">
        <v>192.7252006</v>
      </c>
      <c r="H925" s="8">
        <v>8.595</v>
      </c>
      <c r="J925" s="26"/>
      <c r="K925"/>
    </row>
    <row r="926" spans="1:11">
      <c r="A926">
        <v>7</v>
      </c>
      <c r="B926" s="64">
        <v>40676</v>
      </c>
      <c r="C926" s="2">
        <v>414094.05</v>
      </c>
      <c r="D926">
        <v>0</v>
      </c>
      <c r="E926" s="65">
        <v>36.61</v>
      </c>
      <c r="F926" s="8">
        <v>3.767</v>
      </c>
      <c r="G926" s="66">
        <v>192.826069</v>
      </c>
      <c r="H926" s="8">
        <v>8.595</v>
      </c>
      <c r="J926" s="26"/>
      <c r="K926"/>
    </row>
    <row r="927" spans="1:11">
      <c r="A927">
        <v>7</v>
      </c>
      <c r="B927" s="64">
        <v>40683</v>
      </c>
      <c r="C927" s="2">
        <v>424670.98</v>
      </c>
      <c r="D927">
        <v>0</v>
      </c>
      <c r="E927" s="65">
        <v>36.16</v>
      </c>
      <c r="F927" s="8">
        <v>3.828</v>
      </c>
      <c r="G927" s="66">
        <v>192.831317</v>
      </c>
      <c r="H927" s="8">
        <v>8.595</v>
      </c>
      <c r="J927" s="26"/>
      <c r="K927"/>
    </row>
    <row r="928" spans="1:11">
      <c r="A928">
        <v>7</v>
      </c>
      <c r="B928" s="64">
        <v>40690</v>
      </c>
      <c r="C928" s="2">
        <v>457216.87</v>
      </c>
      <c r="D928">
        <v>0</v>
      </c>
      <c r="E928" s="65">
        <v>37.51</v>
      </c>
      <c r="F928" s="8">
        <v>3.795</v>
      </c>
      <c r="G928" s="66">
        <v>192.8365651</v>
      </c>
      <c r="H928" s="8">
        <v>8.595</v>
      </c>
      <c r="J928" s="26"/>
      <c r="K928"/>
    </row>
    <row r="929" spans="1:11">
      <c r="A929">
        <v>7</v>
      </c>
      <c r="B929" s="64">
        <v>40697</v>
      </c>
      <c r="C929" s="2">
        <v>542295.37</v>
      </c>
      <c r="D929">
        <v>0</v>
      </c>
      <c r="E929" s="65">
        <v>45.77</v>
      </c>
      <c r="F929" s="8">
        <v>3.763</v>
      </c>
      <c r="G929" s="66">
        <v>192.8418131</v>
      </c>
      <c r="H929" s="8">
        <v>8.595</v>
      </c>
      <c r="J929" s="26"/>
      <c r="K929"/>
    </row>
    <row r="930" spans="1:11">
      <c r="A930">
        <v>7</v>
      </c>
      <c r="B930" s="64">
        <v>40704</v>
      </c>
      <c r="C930" s="2">
        <v>621099.95</v>
      </c>
      <c r="D930">
        <v>0</v>
      </c>
      <c r="E930" s="65">
        <v>53.3</v>
      </c>
      <c r="F930" s="8">
        <v>3.735</v>
      </c>
      <c r="G930" s="66">
        <v>192.8470612</v>
      </c>
      <c r="H930" s="8">
        <v>8.595</v>
      </c>
      <c r="J930" s="26"/>
      <c r="K930"/>
    </row>
    <row r="931" spans="1:11">
      <c r="A931">
        <v>7</v>
      </c>
      <c r="B931" s="64">
        <v>40711</v>
      </c>
      <c r="C931" s="2">
        <v>610991.35</v>
      </c>
      <c r="D931">
        <v>0</v>
      </c>
      <c r="E931" s="65">
        <v>48.79</v>
      </c>
      <c r="F931" s="8">
        <v>3.697</v>
      </c>
      <c r="G931" s="66">
        <v>192.9034759</v>
      </c>
      <c r="H931" s="8">
        <v>8.595</v>
      </c>
      <c r="J931" s="26"/>
      <c r="K931"/>
    </row>
    <row r="932" spans="1:11">
      <c r="A932">
        <v>7</v>
      </c>
      <c r="B932" s="64">
        <v>40718</v>
      </c>
      <c r="C932" s="2">
        <v>640043.97</v>
      </c>
      <c r="D932">
        <v>0</v>
      </c>
      <c r="E932" s="65">
        <v>46.85</v>
      </c>
      <c r="F932" s="8">
        <v>3.661</v>
      </c>
      <c r="G932" s="66">
        <v>192.9982655</v>
      </c>
      <c r="H932" s="8">
        <v>8.595</v>
      </c>
      <c r="J932" s="26"/>
      <c r="K932"/>
    </row>
    <row r="933" spans="1:11">
      <c r="A933">
        <v>7</v>
      </c>
      <c r="B933" s="64">
        <v>40725</v>
      </c>
      <c r="C933" s="2">
        <v>704344.21</v>
      </c>
      <c r="D933">
        <v>0</v>
      </c>
      <c r="E933" s="65">
        <v>58.54</v>
      </c>
      <c r="F933" s="8">
        <v>3.597</v>
      </c>
      <c r="G933" s="66">
        <v>193.0930552</v>
      </c>
      <c r="H933" s="8">
        <v>8.622</v>
      </c>
      <c r="J933" s="26"/>
      <c r="K933"/>
    </row>
    <row r="934" spans="1:11">
      <c r="A934">
        <v>7</v>
      </c>
      <c r="B934" s="64">
        <v>40732</v>
      </c>
      <c r="C934" s="2">
        <v>761793.94</v>
      </c>
      <c r="D934">
        <v>0</v>
      </c>
      <c r="E934" s="65">
        <v>59.08</v>
      </c>
      <c r="F934" s="8">
        <v>3.54</v>
      </c>
      <c r="G934" s="66">
        <v>193.1878448</v>
      </c>
      <c r="H934" s="8">
        <v>8.622</v>
      </c>
      <c r="J934" s="26"/>
      <c r="K934"/>
    </row>
    <row r="935" spans="1:11">
      <c r="A935">
        <v>7</v>
      </c>
      <c r="B935" s="64">
        <v>40739</v>
      </c>
      <c r="C935" s="2">
        <v>642748.21</v>
      </c>
      <c r="D935">
        <v>0</v>
      </c>
      <c r="E935" s="65">
        <v>54.37</v>
      </c>
      <c r="F935" s="8">
        <v>3.532</v>
      </c>
      <c r="G935" s="66">
        <v>193.3125484</v>
      </c>
      <c r="H935" s="8">
        <v>8.622</v>
      </c>
      <c r="J935" s="26"/>
      <c r="K935"/>
    </row>
    <row r="936" spans="1:11">
      <c r="A936">
        <v>7</v>
      </c>
      <c r="B936" s="64">
        <v>40746</v>
      </c>
      <c r="C936" s="2">
        <v>688043.96</v>
      </c>
      <c r="D936">
        <v>0</v>
      </c>
      <c r="E936" s="65">
        <v>56.22</v>
      </c>
      <c r="F936" s="8">
        <v>3.545</v>
      </c>
      <c r="G936" s="66">
        <v>193.5120367</v>
      </c>
      <c r="H936" s="8">
        <v>8.622</v>
      </c>
      <c r="J936" s="26"/>
      <c r="K936"/>
    </row>
    <row r="937" spans="1:11">
      <c r="A937">
        <v>7</v>
      </c>
      <c r="B937" s="64">
        <v>40753</v>
      </c>
      <c r="C937" s="2">
        <v>653382.62</v>
      </c>
      <c r="D937">
        <v>0</v>
      </c>
      <c r="E937" s="65">
        <v>56.66</v>
      </c>
      <c r="F937" s="8">
        <v>3.547</v>
      </c>
      <c r="G937" s="66">
        <v>193.711525</v>
      </c>
      <c r="H937" s="8">
        <v>8.622</v>
      </c>
      <c r="J937" s="26"/>
      <c r="K937"/>
    </row>
    <row r="938" spans="1:11">
      <c r="A938">
        <v>7</v>
      </c>
      <c r="B938" s="64">
        <v>40760</v>
      </c>
      <c r="C938" s="2">
        <v>695392.84</v>
      </c>
      <c r="D938">
        <v>0</v>
      </c>
      <c r="E938" s="65">
        <v>55.91</v>
      </c>
      <c r="F938" s="8">
        <v>3.554</v>
      </c>
      <c r="G938" s="66">
        <v>193.9110133</v>
      </c>
      <c r="H938" s="8">
        <v>8.622</v>
      </c>
      <c r="J938" s="26"/>
      <c r="K938"/>
    </row>
    <row r="939" spans="1:11">
      <c r="A939">
        <v>7</v>
      </c>
      <c r="B939" s="64">
        <v>40767</v>
      </c>
      <c r="C939" s="2">
        <v>670670.46</v>
      </c>
      <c r="D939">
        <v>0</v>
      </c>
      <c r="E939" s="65">
        <v>54.56</v>
      </c>
      <c r="F939" s="8">
        <v>3.542</v>
      </c>
      <c r="G939" s="66">
        <v>194.1105017</v>
      </c>
      <c r="H939" s="8">
        <v>8.622</v>
      </c>
      <c r="J939" s="26"/>
      <c r="K939"/>
    </row>
    <row r="940" spans="1:11">
      <c r="A940">
        <v>7</v>
      </c>
      <c r="B940" s="64">
        <v>40774</v>
      </c>
      <c r="C940" s="2">
        <v>645156.21</v>
      </c>
      <c r="D940">
        <v>0</v>
      </c>
      <c r="E940" s="65">
        <v>56.06</v>
      </c>
      <c r="F940" s="8">
        <v>3.499</v>
      </c>
      <c r="G940" s="66">
        <v>194.2500634</v>
      </c>
      <c r="H940" s="8">
        <v>8.622</v>
      </c>
      <c r="J940" s="26"/>
      <c r="K940"/>
    </row>
    <row r="941" spans="1:11">
      <c r="A941">
        <v>7</v>
      </c>
      <c r="B941" s="64">
        <v>40781</v>
      </c>
      <c r="C941" s="2">
        <v>629994.47</v>
      </c>
      <c r="D941">
        <v>0</v>
      </c>
      <c r="E941" s="65">
        <v>57.6</v>
      </c>
      <c r="F941" s="8">
        <v>3.485</v>
      </c>
      <c r="G941" s="66">
        <v>194.3796374</v>
      </c>
      <c r="H941" s="8">
        <v>8.622</v>
      </c>
      <c r="J941" s="26"/>
      <c r="K941"/>
    </row>
    <row r="942" spans="1:11">
      <c r="A942">
        <v>7</v>
      </c>
      <c r="B942" s="64">
        <v>40788</v>
      </c>
      <c r="C942" s="2">
        <v>592355.24</v>
      </c>
      <c r="D942">
        <v>0</v>
      </c>
      <c r="E942" s="65">
        <v>53.4</v>
      </c>
      <c r="F942" s="8">
        <v>3.511</v>
      </c>
      <c r="G942" s="66">
        <v>194.5092113</v>
      </c>
      <c r="H942" s="8">
        <v>8.622</v>
      </c>
      <c r="J942" s="26"/>
      <c r="K942"/>
    </row>
    <row r="943" spans="1:11">
      <c r="A943">
        <v>7</v>
      </c>
      <c r="B943" s="64">
        <v>40795</v>
      </c>
      <c r="C943" s="2">
        <v>613135.23</v>
      </c>
      <c r="D943">
        <v>1</v>
      </c>
      <c r="E943" s="65">
        <v>45.61</v>
      </c>
      <c r="F943" s="8">
        <v>3.566</v>
      </c>
      <c r="G943" s="66">
        <v>194.6387853</v>
      </c>
      <c r="H943" s="8">
        <v>8.622</v>
      </c>
      <c r="J943" s="26"/>
      <c r="K943"/>
    </row>
    <row r="944" spans="1:11">
      <c r="A944">
        <v>7</v>
      </c>
      <c r="B944" s="64">
        <v>40802</v>
      </c>
      <c r="C944" s="2">
        <v>558981.45</v>
      </c>
      <c r="D944">
        <v>0</v>
      </c>
      <c r="E944" s="65">
        <v>43.67</v>
      </c>
      <c r="F944" s="8">
        <v>3.596</v>
      </c>
      <c r="G944" s="66">
        <v>194.7419707</v>
      </c>
      <c r="H944" s="8">
        <v>8.622</v>
      </c>
      <c r="J944" s="26"/>
      <c r="K944"/>
    </row>
    <row r="945" spans="1:11">
      <c r="A945">
        <v>7</v>
      </c>
      <c r="B945" s="64">
        <v>40809</v>
      </c>
      <c r="C945" s="2">
        <v>536144.81</v>
      </c>
      <c r="D945">
        <v>0</v>
      </c>
      <c r="E945" s="65">
        <v>43.67</v>
      </c>
      <c r="F945" s="8">
        <v>3.581</v>
      </c>
      <c r="G945" s="66">
        <v>194.8099713</v>
      </c>
      <c r="H945" s="8">
        <v>8.622</v>
      </c>
      <c r="J945" s="26"/>
      <c r="K945"/>
    </row>
    <row r="946" spans="1:11">
      <c r="A946">
        <v>7</v>
      </c>
      <c r="B946" s="64">
        <v>40816</v>
      </c>
      <c r="C946" s="2">
        <v>488880.26</v>
      </c>
      <c r="D946">
        <v>0</v>
      </c>
      <c r="E946" s="65">
        <v>47.34</v>
      </c>
      <c r="F946" s="8">
        <v>3.538</v>
      </c>
      <c r="G946" s="66">
        <v>194.8779718</v>
      </c>
      <c r="H946" s="8">
        <v>8.622</v>
      </c>
      <c r="J946" s="26"/>
      <c r="K946"/>
    </row>
    <row r="947" spans="1:11">
      <c r="A947">
        <v>7</v>
      </c>
      <c r="B947" s="64">
        <v>40823</v>
      </c>
      <c r="C947" s="2">
        <v>525866.36</v>
      </c>
      <c r="D947">
        <v>0</v>
      </c>
      <c r="E947" s="65">
        <v>40.65</v>
      </c>
      <c r="F947" s="8">
        <v>3.498</v>
      </c>
      <c r="G947" s="66">
        <v>194.9459724</v>
      </c>
      <c r="H947" s="8">
        <v>8.513</v>
      </c>
      <c r="J947" s="26"/>
      <c r="K947"/>
    </row>
    <row r="948" spans="1:11">
      <c r="A948">
        <v>7</v>
      </c>
      <c r="B948" s="64">
        <v>40830</v>
      </c>
      <c r="C948" s="2">
        <v>501959.19</v>
      </c>
      <c r="D948">
        <v>0</v>
      </c>
      <c r="E948" s="65">
        <v>32.65</v>
      </c>
      <c r="F948" s="8">
        <v>3.491</v>
      </c>
      <c r="G948" s="66">
        <v>195.0261012</v>
      </c>
      <c r="H948" s="8">
        <v>8.513</v>
      </c>
      <c r="J948" s="26"/>
      <c r="K948"/>
    </row>
    <row r="949" spans="1:11">
      <c r="A949">
        <v>7</v>
      </c>
      <c r="B949" s="64">
        <v>40837</v>
      </c>
      <c r="C949" s="2">
        <v>558691.43</v>
      </c>
      <c r="D949">
        <v>0</v>
      </c>
      <c r="E949" s="65">
        <v>37.49</v>
      </c>
      <c r="F949" s="8">
        <v>3.548</v>
      </c>
      <c r="G949" s="66">
        <v>195.1789994</v>
      </c>
      <c r="H949" s="8">
        <v>8.513</v>
      </c>
      <c r="J949" s="26"/>
      <c r="K949"/>
    </row>
    <row r="950" spans="1:11">
      <c r="A950">
        <v>7</v>
      </c>
      <c r="B950" s="64">
        <v>40844</v>
      </c>
      <c r="C950" s="2">
        <v>527339.52</v>
      </c>
      <c r="D950">
        <v>0</v>
      </c>
      <c r="E950" s="65">
        <v>28.82</v>
      </c>
      <c r="F950" s="8">
        <v>3.55</v>
      </c>
      <c r="G950" s="66">
        <v>195.3318977</v>
      </c>
      <c r="H950" s="8">
        <v>8.513</v>
      </c>
      <c r="J950" s="26"/>
      <c r="K950"/>
    </row>
    <row r="951" spans="1:11">
      <c r="A951">
        <v>7</v>
      </c>
      <c r="B951" s="64">
        <v>40851</v>
      </c>
      <c r="C951" s="2">
        <v>564536.01</v>
      </c>
      <c r="D951">
        <v>0</v>
      </c>
      <c r="E951" s="65">
        <v>23.41</v>
      </c>
      <c r="F951" s="8">
        <v>3.527</v>
      </c>
      <c r="G951" s="66">
        <v>195.4847959</v>
      </c>
      <c r="H951" s="8">
        <v>8.513</v>
      </c>
      <c r="J951" s="26"/>
      <c r="K951"/>
    </row>
    <row r="952" spans="1:11">
      <c r="A952">
        <v>7</v>
      </c>
      <c r="B952" s="64">
        <v>40858</v>
      </c>
      <c r="C952" s="2">
        <v>556015.59</v>
      </c>
      <c r="D952">
        <v>0</v>
      </c>
      <c r="E952" s="65">
        <v>19.53</v>
      </c>
      <c r="F952" s="8">
        <v>3.505</v>
      </c>
      <c r="G952" s="66">
        <v>195.6376941</v>
      </c>
      <c r="H952" s="8">
        <v>8.513</v>
      </c>
      <c r="J952" s="26"/>
      <c r="K952"/>
    </row>
    <row r="953" spans="1:11">
      <c r="A953">
        <v>7</v>
      </c>
      <c r="B953" s="64">
        <v>40865</v>
      </c>
      <c r="C953" s="2">
        <v>539826.56</v>
      </c>
      <c r="D953">
        <v>0</v>
      </c>
      <c r="E953" s="65">
        <v>29.53</v>
      </c>
      <c r="F953" s="8">
        <v>3.479</v>
      </c>
      <c r="G953" s="66">
        <v>195.7184713</v>
      </c>
      <c r="H953" s="8">
        <v>8.513</v>
      </c>
      <c r="J953" s="26"/>
      <c r="K953"/>
    </row>
    <row r="954" spans="1:11">
      <c r="A954">
        <v>7</v>
      </c>
      <c r="B954" s="64">
        <v>40872</v>
      </c>
      <c r="C954" s="2">
        <v>949075.87</v>
      </c>
      <c r="D954">
        <v>1</v>
      </c>
      <c r="E954" s="65">
        <v>27.6</v>
      </c>
      <c r="F954" s="8">
        <v>3.424</v>
      </c>
      <c r="G954" s="66">
        <v>195.7704</v>
      </c>
      <c r="H954" s="8">
        <v>8.513</v>
      </c>
      <c r="J954" s="26"/>
      <c r="K954"/>
    </row>
    <row r="955" spans="1:11">
      <c r="A955">
        <v>7</v>
      </c>
      <c r="B955" s="64">
        <v>40879</v>
      </c>
      <c r="C955" s="2">
        <v>591907.88</v>
      </c>
      <c r="D955">
        <v>0</v>
      </c>
      <c r="E955" s="65">
        <v>20.38</v>
      </c>
      <c r="F955" s="8">
        <v>3.378</v>
      </c>
      <c r="G955" s="66">
        <v>195.8223287</v>
      </c>
      <c r="H955" s="8">
        <v>8.513</v>
      </c>
      <c r="J955" s="26"/>
      <c r="K955"/>
    </row>
    <row r="956" spans="1:11">
      <c r="A956">
        <v>7</v>
      </c>
      <c r="B956" s="64">
        <v>40886</v>
      </c>
      <c r="C956" s="2">
        <v>653845.45</v>
      </c>
      <c r="D956">
        <v>0</v>
      </c>
      <c r="E956" s="65">
        <v>11.17</v>
      </c>
      <c r="F956" s="8">
        <v>3.331</v>
      </c>
      <c r="G956" s="66">
        <v>195.8742575</v>
      </c>
      <c r="H956" s="8">
        <v>8.513</v>
      </c>
      <c r="J956" s="26"/>
      <c r="K956"/>
    </row>
    <row r="957" spans="1:11">
      <c r="A957">
        <v>7</v>
      </c>
      <c r="B957" s="64">
        <v>40893</v>
      </c>
      <c r="C957" s="2">
        <v>720242.19</v>
      </c>
      <c r="D957">
        <v>0</v>
      </c>
      <c r="E957" s="65">
        <v>15.2</v>
      </c>
      <c r="F957" s="8">
        <v>3.266</v>
      </c>
      <c r="G957" s="66">
        <v>195.9841685</v>
      </c>
      <c r="H957" s="8">
        <v>8.513</v>
      </c>
      <c r="J957" s="26"/>
      <c r="K957"/>
    </row>
    <row r="958" spans="1:11">
      <c r="A958">
        <v>7</v>
      </c>
      <c r="B958" s="64">
        <v>40900</v>
      </c>
      <c r="C958" s="2">
        <v>1059715.27</v>
      </c>
      <c r="D958">
        <v>0</v>
      </c>
      <c r="E958" s="65">
        <v>12.19</v>
      </c>
      <c r="F958" s="8">
        <v>3.173</v>
      </c>
      <c r="G958" s="66">
        <v>196.1713893</v>
      </c>
      <c r="H958" s="8">
        <v>8.513</v>
      </c>
      <c r="J958" s="26"/>
      <c r="K958"/>
    </row>
    <row r="959" spans="1:11">
      <c r="A959">
        <v>7</v>
      </c>
      <c r="B959" s="64">
        <v>40907</v>
      </c>
      <c r="C959" s="2">
        <v>815915.52</v>
      </c>
      <c r="D959">
        <v>1</v>
      </c>
      <c r="E959" s="65">
        <v>15.56</v>
      </c>
      <c r="F959" s="8">
        <v>3.119</v>
      </c>
      <c r="G959" s="66">
        <v>196.3586101</v>
      </c>
      <c r="H959" s="8">
        <v>8.513</v>
      </c>
      <c r="J959" s="26"/>
      <c r="K959"/>
    </row>
    <row r="960" spans="1:11">
      <c r="A960">
        <v>7</v>
      </c>
      <c r="B960" s="64">
        <v>40914</v>
      </c>
      <c r="C960" s="2">
        <v>713117.66</v>
      </c>
      <c r="D960">
        <v>0</v>
      </c>
      <c r="E960" s="65">
        <v>18.67</v>
      </c>
      <c r="F960" s="8">
        <v>3.095</v>
      </c>
      <c r="G960" s="66">
        <v>196.5458309</v>
      </c>
      <c r="H960" s="8">
        <v>8.256</v>
      </c>
      <c r="J960" s="26"/>
      <c r="K960"/>
    </row>
    <row r="961" spans="1:11">
      <c r="A961">
        <v>7</v>
      </c>
      <c r="B961" s="64">
        <v>40921</v>
      </c>
      <c r="C961" s="2">
        <v>593875.46</v>
      </c>
      <c r="D961">
        <v>0</v>
      </c>
      <c r="E961" s="65">
        <v>7.46</v>
      </c>
      <c r="F961" s="8">
        <v>3.077</v>
      </c>
      <c r="G961" s="66">
        <v>196.7330517</v>
      </c>
      <c r="H961" s="8">
        <v>8.256</v>
      </c>
      <c r="J961" s="26"/>
      <c r="K961"/>
    </row>
    <row r="962" spans="1:11">
      <c r="A962">
        <v>7</v>
      </c>
      <c r="B962" s="64">
        <v>40928</v>
      </c>
      <c r="C962" s="2">
        <v>578002.85</v>
      </c>
      <c r="D962">
        <v>0</v>
      </c>
      <c r="E962" s="65">
        <v>27.41</v>
      </c>
      <c r="F962" s="8">
        <v>3.055</v>
      </c>
      <c r="G962" s="66">
        <v>196.7796652</v>
      </c>
      <c r="H962" s="8">
        <v>8.256</v>
      </c>
      <c r="J962" s="26"/>
      <c r="K962"/>
    </row>
    <row r="963" spans="1:11">
      <c r="A963">
        <v>7</v>
      </c>
      <c r="B963" s="64">
        <v>40935</v>
      </c>
      <c r="C963" s="2">
        <v>541037.98</v>
      </c>
      <c r="D963">
        <v>0</v>
      </c>
      <c r="E963" s="65">
        <v>26.9</v>
      </c>
      <c r="F963" s="8">
        <v>3.038</v>
      </c>
      <c r="G963" s="66">
        <v>196.8262786</v>
      </c>
      <c r="H963" s="8">
        <v>8.256</v>
      </c>
      <c r="J963" s="26"/>
      <c r="K963"/>
    </row>
    <row r="964" spans="1:11">
      <c r="A964">
        <v>7</v>
      </c>
      <c r="B964" s="64">
        <v>40942</v>
      </c>
      <c r="C964" s="2">
        <v>580453.32</v>
      </c>
      <c r="D964">
        <v>0</v>
      </c>
      <c r="E964" s="65">
        <v>22.2</v>
      </c>
      <c r="F964" s="8">
        <v>3.031</v>
      </c>
      <c r="G964" s="66">
        <v>196.8728921</v>
      </c>
      <c r="H964" s="8">
        <v>8.256</v>
      </c>
      <c r="J964" s="26"/>
      <c r="K964"/>
    </row>
    <row r="965" spans="1:11">
      <c r="A965">
        <v>7</v>
      </c>
      <c r="B965" s="64">
        <v>40949</v>
      </c>
      <c r="C965" s="2">
        <v>563460.77</v>
      </c>
      <c r="D965">
        <v>1</v>
      </c>
      <c r="E965" s="65">
        <v>18.79</v>
      </c>
      <c r="F965" s="8">
        <v>3.103</v>
      </c>
      <c r="G965" s="66">
        <v>196.9195056</v>
      </c>
      <c r="H965" s="8">
        <v>8.256</v>
      </c>
      <c r="J965" s="26"/>
      <c r="K965"/>
    </row>
    <row r="966" spans="1:11">
      <c r="A966">
        <v>7</v>
      </c>
      <c r="B966" s="64">
        <v>40956</v>
      </c>
      <c r="C966" s="2">
        <v>620908.18</v>
      </c>
      <c r="D966">
        <v>0</v>
      </c>
      <c r="E966" s="65">
        <v>27.03</v>
      </c>
      <c r="F966" s="8">
        <v>3.113</v>
      </c>
      <c r="G966" s="66">
        <v>196.9432711</v>
      </c>
      <c r="H966" s="8">
        <v>8.256</v>
      </c>
      <c r="J966" s="26"/>
      <c r="K966"/>
    </row>
    <row r="967" spans="1:11">
      <c r="A967">
        <v>7</v>
      </c>
      <c r="B967" s="64">
        <v>40963</v>
      </c>
      <c r="C967" s="2">
        <v>603041.14</v>
      </c>
      <c r="D967">
        <v>0</v>
      </c>
      <c r="E967" s="65">
        <v>24.41</v>
      </c>
      <c r="F967" s="8">
        <v>3.129</v>
      </c>
      <c r="G967" s="66">
        <v>196.9499007</v>
      </c>
      <c r="H967" s="8">
        <v>8.256</v>
      </c>
      <c r="J967" s="26"/>
      <c r="K967"/>
    </row>
    <row r="968" spans="1:11">
      <c r="A968">
        <v>7</v>
      </c>
      <c r="B968" s="64">
        <v>40970</v>
      </c>
      <c r="C968" s="2">
        <v>551058.13</v>
      </c>
      <c r="D968">
        <v>0</v>
      </c>
      <c r="E968" s="65">
        <v>21.64</v>
      </c>
      <c r="F968" s="8">
        <v>3.191</v>
      </c>
      <c r="G968" s="66">
        <v>196.9565303</v>
      </c>
      <c r="H968" s="8">
        <v>8.256</v>
      </c>
      <c r="J968" s="26"/>
      <c r="K968"/>
    </row>
    <row r="969" spans="1:11">
      <c r="A969">
        <v>7</v>
      </c>
      <c r="B969" s="64">
        <v>40977</v>
      </c>
      <c r="C969" s="2">
        <v>579166.5</v>
      </c>
      <c r="D969">
        <v>0</v>
      </c>
      <c r="E969" s="65">
        <v>30.1</v>
      </c>
      <c r="F969" s="8">
        <v>3.286</v>
      </c>
      <c r="G969" s="66">
        <v>196.9631599</v>
      </c>
      <c r="H969" s="8">
        <v>8.256</v>
      </c>
      <c r="J969" s="26"/>
      <c r="K969"/>
    </row>
    <row r="970" spans="1:11">
      <c r="A970">
        <v>7</v>
      </c>
      <c r="B970" s="64">
        <v>40984</v>
      </c>
      <c r="C970" s="2">
        <v>669205.73</v>
      </c>
      <c r="D970">
        <v>0</v>
      </c>
      <c r="E970" s="65">
        <v>37.29</v>
      </c>
      <c r="F970" s="8">
        <v>3.486</v>
      </c>
      <c r="G970" s="66">
        <v>197.0457208</v>
      </c>
      <c r="H970" s="8">
        <v>8.256</v>
      </c>
      <c r="J970" s="26"/>
      <c r="K970"/>
    </row>
    <row r="971" spans="1:11">
      <c r="A971">
        <v>7</v>
      </c>
      <c r="B971" s="64">
        <v>40991</v>
      </c>
      <c r="C971" s="2">
        <v>615997.29</v>
      </c>
      <c r="D971">
        <v>0</v>
      </c>
      <c r="E971" s="65">
        <v>35.06</v>
      </c>
      <c r="F971" s="8">
        <v>3.664</v>
      </c>
      <c r="G971" s="66">
        <v>197.2295234</v>
      </c>
      <c r="H971" s="8">
        <v>8.256</v>
      </c>
      <c r="J971" s="26"/>
      <c r="K971"/>
    </row>
    <row r="972" spans="1:11">
      <c r="A972">
        <v>7</v>
      </c>
      <c r="B972" s="64">
        <v>40998</v>
      </c>
      <c r="C972" s="2">
        <v>583322.2</v>
      </c>
      <c r="D972">
        <v>0</v>
      </c>
      <c r="E972" s="65">
        <v>44.99</v>
      </c>
      <c r="F972" s="8">
        <v>3.75</v>
      </c>
      <c r="G972" s="66">
        <v>197.4133259</v>
      </c>
      <c r="H972" s="8">
        <v>8.256</v>
      </c>
      <c r="J972" s="26"/>
      <c r="K972"/>
    </row>
    <row r="973" spans="1:11">
      <c r="A973">
        <v>7</v>
      </c>
      <c r="B973" s="64">
        <v>41005</v>
      </c>
      <c r="C973" s="2">
        <v>621425.98</v>
      </c>
      <c r="D973">
        <v>0</v>
      </c>
      <c r="E973" s="65">
        <v>44.29</v>
      </c>
      <c r="F973" s="8">
        <v>3.854</v>
      </c>
      <c r="G973" s="66">
        <v>197.5971285</v>
      </c>
      <c r="H973" s="8">
        <v>8.09</v>
      </c>
      <c r="J973" s="26"/>
      <c r="K973"/>
    </row>
    <row r="974" spans="1:11">
      <c r="A974">
        <v>7</v>
      </c>
      <c r="B974" s="64">
        <v>41012</v>
      </c>
      <c r="C974" s="2">
        <v>517420.23</v>
      </c>
      <c r="D974">
        <v>0</v>
      </c>
      <c r="E974" s="65">
        <v>41.43</v>
      </c>
      <c r="F974" s="8">
        <v>3.901</v>
      </c>
      <c r="G974" s="66">
        <v>197.780931</v>
      </c>
      <c r="H974" s="8">
        <v>8.09</v>
      </c>
      <c r="J974" s="26"/>
      <c r="K974"/>
    </row>
    <row r="975" spans="1:11">
      <c r="A975">
        <v>7</v>
      </c>
      <c r="B975" s="64">
        <v>41019</v>
      </c>
      <c r="C975" s="2">
        <v>457340.06</v>
      </c>
      <c r="D975">
        <v>0</v>
      </c>
      <c r="E975" s="65">
        <v>39.3</v>
      </c>
      <c r="F975" s="8">
        <v>3.936</v>
      </c>
      <c r="G975" s="66">
        <v>197.7227385</v>
      </c>
      <c r="H975" s="8">
        <v>8.09</v>
      </c>
      <c r="J975" s="26"/>
      <c r="K975"/>
    </row>
    <row r="976" spans="1:11">
      <c r="A976">
        <v>7</v>
      </c>
      <c r="B976" s="64">
        <v>41026</v>
      </c>
      <c r="C976" s="2">
        <v>467827.75</v>
      </c>
      <c r="D976">
        <v>0</v>
      </c>
      <c r="E976" s="65">
        <v>51.49</v>
      </c>
      <c r="F976" s="8">
        <v>3.927</v>
      </c>
      <c r="G976" s="66">
        <v>197.664546</v>
      </c>
      <c r="H976" s="8">
        <v>8.09</v>
      </c>
      <c r="J976" s="26"/>
      <c r="K976"/>
    </row>
    <row r="977" spans="1:11">
      <c r="A977">
        <v>7</v>
      </c>
      <c r="B977" s="64">
        <v>41033</v>
      </c>
      <c r="C977" s="2">
        <v>465198.89</v>
      </c>
      <c r="D977">
        <v>0</v>
      </c>
      <c r="E977" s="65">
        <v>45.38</v>
      </c>
      <c r="F977" s="8">
        <v>3.903</v>
      </c>
      <c r="G977" s="66">
        <v>197.6063534</v>
      </c>
      <c r="H977" s="8">
        <v>8.09</v>
      </c>
      <c r="J977" s="26"/>
      <c r="K977"/>
    </row>
    <row r="978" spans="1:11">
      <c r="A978">
        <v>7</v>
      </c>
      <c r="B978" s="64">
        <v>41040</v>
      </c>
      <c r="C978" s="2">
        <v>460397.41</v>
      </c>
      <c r="D978">
        <v>0</v>
      </c>
      <c r="E978" s="65">
        <v>48.54</v>
      </c>
      <c r="F978" s="8">
        <v>3.87</v>
      </c>
      <c r="G978" s="66">
        <v>197.5481609</v>
      </c>
      <c r="H978" s="8">
        <v>8.09</v>
      </c>
      <c r="J978" s="26"/>
      <c r="K978"/>
    </row>
    <row r="979" spans="1:11">
      <c r="A979">
        <v>7</v>
      </c>
      <c r="B979" s="64">
        <v>41047</v>
      </c>
      <c r="C979" s="2">
        <v>468428.3</v>
      </c>
      <c r="D979">
        <v>0</v>
      </c>
      <c r="E979" s="65">
        <v>49.41</v>
      </c>
      <c r="F979" s="8">
        <v>3.837</v>
      </c>
      <c r="G979" s="66">
        <v>197.5553137</v>
      </c>
      <c r="H979" s="8">
        <v>8.09</v>
      </c>
      <c r="J979" s="26"/>
      <c r="K979"/>
    </row>
    <row r="980" spans="1:11">
      <c r="A980">
        <v>7</v>
      </c>
      <c r="B980" s="64">
        <v>41054</v>
      </c>
      <c r="C980" s="2">
        <v>532739.77</v>
      </c>
      <c r="D980">
        <v>0</v>
      </c>
      <c r="E980" s="65">
        <v>50.6</v>
      </c>
      <c r="F980" s="8">
        <v>3.804</v>
      </c>
      <c r="G980" s="66">
        <v>197.5886046</v>
      </c>
      <c r="H980" s="8">
        <v>8.09</v>
      </c>
      <c r="J980" s="26"/>
      <c r="K980"/>
    </row>
    <row r="981" spans="1:11">
      <c r="A981">
        <v>7</v>
      </c>
      <c r="B981" s="64">
        <v>41061</v>
      </c>
      <c r="C981" s="2">
        <v>598495.02</v>
      </c>
      <c r="D981">
        <v>0</v>
      </c>
      <c r="E981" s="65">
        <v>55.06</v>
      </c>
      <c r="F981" s="8">
        <v>3.764</v>
      </c>
      <c r="G981" s="66">
        <v>197.6218954</v>
      </c>
      <c r="H981" s="8">
        <v>8.09</v>
      </c>
      <c r="J981" s="26"/>
      <c r="K981"/>
    </row>
    <row r="982" spans="1:11">
      <c r="A982">
        <v>7</v>
      </c>
      <c r="B982" s="64">
        <v>41068</v>
      </c>
      <c r="C982" s="2">
        <v>642963.75</v>
      </c>
      <c r="D982">
        <v>0</v>
      </c>
      <c r="E982" s="65">
        <v>63.07</v>
      </c>
      <c r="F982" s="8">
        <v>3.741</v>
      </c>
      <c r="G982" s="66">
        <v>197.6551863</v>
      </c>
      <c r="H982" s="8">
        <v>8.09</v>
      </c>
      <c r="J982" s="26"/>
      <c r="K982"/>
    </row>
    <row r="983" spans="1:11">
      <c r="A983">
        <v>7</v>
      </c>
      <c r="B983" s="64">
        <v>41075</v>
      </c>
      <c r="C983" s="2">
        <v>666942.02</v>
      </c>
      <c r="D983">
        <v>0</v>
      </c>
      <c r="E983" s="65">
        <v>59.33</v>
      </c>
      <c r="F983" s="8">
        <v>3.723</v>
      </c>
      <c r="G983" s="66">
        <v>197.692292</v>
      </c>
      <c r="H983" s="8">
        <v>8.09</v>
      </c>
      <c r="J983" s="26"/>
      <c r="K983"/>
    </row>
    <row r="984" spans="1:11">
      <c r="A984">
        <v>7</v>
      </c>
      <c r="B984" s="64">
        <v>41082</v>
      </c>
      <c r="C984" s="2">
        <v>687344.68</v>
      </c>
      <c r="D984">
        <v>0</v>
      </c>
      <c r="E984" s="65">
        <v>63.69</v>
      </c>
      <c r="F984" s="8">
        <v>3.735</v>
      </c>
      <c r="G984" s="66">
        <v>197.7389345</v>
      </c>
      <c r="H984" s="8">
        <v>8.09</v>
      </c>
      <c r="J984" s="26"/>
      <c r="K984"/>
    </row>
    <row r="985" spans="1:11">
      <c r="A985">
        <v>7</v>
      </c>
      <c r="B985" s="64">
        <v>41089</v>
      </c>
      <c r="C985" s="2">
        <v>704335.41</v>
      </c>
      <c r="D985">
        <v>0</v>
      </c>
      <c r="E985" s="65">
        <v>68.84</v>
      </c>
      <c r="F985" s="8">
        <v>3.693</v>
      </c>
      <c r="G985" s="66">
        <v>197.785577</v>
      </c>
      <c r="H985" s="8">
        <v>8.09</v>
      </c>
      <c r="J985" s="26"/>
      <c r="K985"/>
    </row>
    <row r="986" spans="1:11">
      <c r="A986">
        <v>7</v>
      </c>
      <c r="B986" s="64">
        <v>41096</v>
      </c>
      <c r="C986" s="2">
        <v>805642.61</v>
      </c>
      <c r="D986">
        <v>0</v>
      </c>
      <c r="E986" s="65">
        <v>64.67</v>
      </c>
      <c r="F986" s="8">
        <v>3.646</v>
      </c>
      <c r="G986" s="66">
        <v>197.8322195</v>
      </c>
      <c r="H986" s="8">
        <v>7.872</v>
      </c>
      <c r="J986" s="26"/>
      <c r="K986"/>
    </row>
    <row r="987" spans="1:11">
      <c r="A987">
        <v>7</v>
      </c>
      <c r="B987" s="64">
        <v>41103</v>
      </c>
      <c r="C987" s="2">
        <v>694150.89</v>
      </c>
      <c r="D987">
        <v>0</v>
      </c>
      <c r="E987" s="65">
        <v>64.21</v>
      </c>
      <c r="F987" s="8">
        <v>3.613</v>
      </c>
      <c r="G987" s="66">
        <v>197.8788621</v>
      </c>
      <c r="H987" s="8">
        <v>7.872</v>
      </c>
      <c r="J987" s="26"/>
      <c r="K987"/>
    </row>
    <row r="988" spans="1:11">
      <c r="A988">
        <v>7</v>
      </c>
      <c r="B988" s="64">
        <v>41110</v>
      </c>
      <c r="C988" s="2">
        <v>686345.69</v>
      </c>
      <c r="D988">
        <v>0</v>
      </c>
      <c r="E988" s="65">
        <v>62.87</v>
      </c>
      <c r="F988" s="8">
        <v>3.585</v>
      </c>
      <c r="G988" s="66">
        <v>197.9290378</v>
      </c>
      <c r="H988" s="8">
        <v>7.872</v>
      </c>
      <c r="J988" s="26"/>
      <c r="K988"/>
    </row>
    <row r="989" spans="1:11">
      <c r="A989">
        <v>7</v>
      </c>
      <c r="B989" s="64">
        <v>41117</v>
      </c>
      <c r="C989" s="2">
        <v>686365.4</v>
      </c>
      <c r="D989">
        <v>0</v>
      </c>
      <c r="E989" s="65">
        <v>64.6</v>
      </c>
      <c r="F989" s="8">
        <v>3.57</v>
      </c>
      <c r="G989" s="66">
        <v>197.9792136</v>
      </c>
      <c r="H989" s="8">
        <v>7.872</v>
      </c>
      <c r="J989" s="26"/>
      <c r="K989"/>
    </row>
    <row r="990" spans="1:11">
      <c r="A990">
        <v>7</v>
      </c>
      <c r="B990" s="64">
        <v>41124</v>
      </c>
      <c r="C990" s="2">
        <v>680954.81</v>
      </c>
      <c r="D990">
        <v>0</v>
      </c>
      <c r="E990" s="65">
        <v>61.83</v>
      </c>
      <c r="F990" s="8">
        <v>3.528</v>
      </c>
      <c r="G990" s="66">
        <v>198.0293893</v>
      </c>
      <c r="H990" s="8">
        <v>7.872</v>
      </c>
      <c r="J990" s="26"/>
      <c r="K990"/>
    </row>
    <row r="991" spans="1:11">
      <c r="A991">
        <v>7</v>
      </c>
      <c r="B991" s="64">
        <v>41131</v>
      </c>
      <c r="C991" s="2">
        <v>675926.3</v>
      </c>
      <c r="D991">
        <v>0</v>
      </c>
      <c r="E991" s="65">
        <v>63.41</v>
      </c>
      <c r="F991" s="8">
        <v>3.509</v>
      </c>
      <c r="G991" s="66">
        <v>198.0795651</v>
      </c>
      <c r="H991" s="8">
        <v>7.872</v>
      </c>
      <c r="J991" s="26"/>
      <c r="K991"/>
    </row>
    <row r="992" spans="1:11">
      <c r="A992">
        <v>7</v>
      </c>
      <c r="B992" s="64">
        <v>41138</v>
      </c>
      <c r="C992" s="2">
        <v>642450.4</v>
      </c>
      <c r="D992">
        <v>0</v>
      </c>
      <c r="E992" s="65">
        <v>59.66</v>
      </c>
      <c r="F992" s="8">
        <v>3.545</v>
      </c>
      <c r="G992" s="66">
        <v>198.1001057</v>
      </c>
      <c r="H992" s="8">
        <v>7.872</v>
      </c>
      <c r="J992" s="26"/>
      <c r="K992"/>
    </row>
    <row r="993" spans="1:11">
      <c r="A993">
        <v>7</v>
      </c>
      <c r="B993" s="64">
        <v>41145</v>
      </c>
      <c r="C993" s="2">
        <v>609099.37</v>
      </c>
      <c r="D993">
        <v>0</v>
      </c>
      <c r="E993" s="65">
        <v>59.27</v>
      </c>
      <c r="F993" s="8">
        <v>3.558</v>
      </c>
      <c r="G993" s="66">
        <v>198.0984199</v>
      </c>
      <c r="H993" s="8">
        <v>7.872</v>
      </c>
      <c r="J993" s="26"/>
      <c r="K993"/>
    </row>
    <row r="994" spans="1:11">
      <c r="A994">
        <v>7</v>
      </c>
      <c r="B994" s="64">
        <v>41152</v>
      </c>
      <c r="C994" s="2">
        <v>586467.16</v>
      </c>
      <c r="D994">
        <v>0</v>
      </c>
      <c r="E994" s="65">
        <v>60.46</v>
      </c>
      <c r="F994" s="8">
        <v>3.556</v>
      </c>
      <c r="G994" s="66">
        <v>198.0967341</v>
      </c>
      <c r="H994" s="8">
        <v>7.872</v>
      </c>
      <c r="J994" s="26"/>
      <c r="K994"/>
    </row>
    <row r="995" spans="1:11">
      <c r="A995">
        <v>7</v>
      </c>
      <c r="B995" s="64">
        <v>41159</v>
      </c>
      <c r="C995" s="2">
        <v>597876.55</v>
      </c>
      <c r="D995">
        <v>1</v>
      </c>
      <c r="E995" s="65">
        <v>57.84</v>
      </c>
      <c r="F995" s="8">
        <v>3.596</v>
      </c>
      <c r="G995" s="66">
        <v>198.0950484</v>
      </c>
      <c r="H995" s="8">
        <v>7.872</v>
      </c>
      <c r="J995" s="26"/>
      <c r="K995"/>
    </row>
    <row r="996" spans="1:11">
      <c r="A996">
        <v>7</v>
      </c>
      <c r="B996" s="64">
        <v>41166</v>
      </c>
      <c r="C996" s="2">
        <v>541120.2</v>
      </c>
      <c r="D996">
        <v>0</v>
      </c>
      <c r="E996" s="65">
        <v>53.66</v>
      </c>
      <c r="F996" s="8">
        <v>3.659</v>
      </c>
      <c r="G996" s="66">
        <v>198.1267184</v>
      </c>
      <c r="H996" s="8">
        <v>7.872</v>
      </c>
      <c r="J996" s="26"/>
      <c r="K996"/>
    </row>
    <row r="997" spans="1:11">
      <c r="A997">
        <v>7</v>
      </c>
      <c r="B997" s="64">
        <v>41173</v>
      </c>
      <c r="C997" s="2">
        <v>530842.25</v>
      </c>
      <c r="D997">
        <v>0</v>
      </c>
      <c r="E997" s="65">
        <v>51.77</v>
      </c>
      <c r="F997" s="8">
        <v>3.765</v>
      </c>
      <c r="G997" s="66">
        <v>198.358523</v>
      </c>
      <c r="H997" s="8">
        <v>7.872</v>
      </c>
      <c r="J997" s="26"/>
      <c r="K997"/>
    </row>
    <row r="998" spans="1:11">
      <c r="A998">
        <v>7</v>
      </c>
      <c r="B998" s="64">
        <v>41180</v>
      </c>
      <c r="C998" s="2">
        <v>525545.76</v>
      </c>
      <c r="D998">
        <v>0</v>
      </c>
      <c r="E998" s="65">
        <v>50.64</v>
      </c>
      <c r="F998" s="8">
        <v>3.789</v>
      </c>
      <c r="G998" s="66">
        <v>198.5903276</v>
      </c>
      <c r="H998" s="8">
        <v>7.872</v>
      </c>
      <c r="J998" s="26"/>
      <c r="K998"/>
    </row>
    <row r="999" spans="1:11">
      <c r="A999">
        <v>7</v>
      </c>
      <c r="B999" s="64">
        <v>41187</v>
      </c>
      <c r="C999" s="2">
        <v>505830.56</v>
      </c>
      <c r="D999">
        <v>0</v>
      </c>
      <c r="E999" s="65">
        <v>48.43</v>
      </c>
      <c r="F999" s="8">
        <v>3.779</v>
      </c>
      <c r="G999" s="66">
        <v>198.8221322</v>
      </c>
      <c r="H999" s="8">
        <v>7.557</v>
      </c>
      <c r="J999" s="26"/>
      <c r="K999"/>
    </row>
    <row r="1000" spans="1:11">
      <c r="A1000">
        <v>7</v>
      </c>
      <c r="B1000" s="64">
        <v>41194</v>
      </c>
      <c r="C1000" s="2">
        <v>503463.93</v>
      </c>
      <c r="D1000">
        <v>0</v>
      </c>
      <c r="E1000" s="65">
        <v>41.43</v>
      </c>
      <c r="F1000" s="8">
        <v>3.76</v>
      </c>
      <c r="G1000" s="66">
        <v>199.0539368</v>
      </c>
      <c r="H1000" s="8">
        <v>7.557</v>
      </c>
      <c r="J1000" s="26"/>
      <c r="K1000"/>
    </row>
    <row r="1001" spans="1:11">
      <c r="A1001">
        <v>7</v>
      </c>
      <c r="B1001" s="64">
        <v>41201</v>
      </c>
      <c r="C1001" s="2">
        <v>516424.83</v>
      </c>
      <c r="D1001">
        <v>0</v>
      </c>
      <c r="E1001" s="65">
        <v>43.01</v>
      </c>
      <c r="F1001" s="8">
        <v>3.75</v>
      </c>
      <c r="G1001" s="66">
        <v>199.1481963</v>
      </c>
      <c r="H1001" s="8">
        <v>7.557</v>
      </c>
      <c r="J1001" s="26"/>
      <c r="K1001"/>
    </row>
    <row r="1002" spans="1:11">
      <c r="A1002">
        <v>7</v>
      </c>
      <c r="B1002" s="64">
        <v>41208</v>
      </c>
      <c r="C1002" s="2">
        <v>495543.28</v>
      </c>
      <c r="D1002">
        <v>0</v>
      </c>
      <c r="E1002" s="65">
        <v>42.53</v>
      </c>
      <c r="F1002" s="8">
        <v>3.686</v>
      </c>
      <c r="G1002" s="66">
        <v>199.2195317</v>
      </c>
      <c r="H1002" s="8">
        <v>7.557</v>
      </c>
      <c r="J1002" s="26"/>
      <c r="K1002"/>
    </row>
    <row r="1003" spans="1:11">
      <c r="A1003">
        <v>8</v>
      </c>
      <c r="B1003" s="64">
        <v>40214</v>
      </c>
      <c r="C1003" s="2">
        <v>1004137.09</v>
      </c>
      <c r="D1003">
        <v>0</v>
      </c>
      <c r="E1003" s="65">
        <v>34.14</v>
      </c>
      <c r="F1003" s="8">
        <v>2.572</v>
      </c>
      <c r="G1003" s="66">
        <v>214.4714512</v>
      </c>
      <c r="H1003" s="8">
        <v>6.299</v>
      </c>
      <c r="J1003" s="26"/>
      <c r="K1003"/>
    </row>
    <row r="1004" spans="1:11">
      <c r="A1004">
        <v>8</v>
      </c>
      <c r="B1004" s="64">
        <v>40221</v>
      </c>
      <c r="C1004" s="2">
        <v>994801.4</v>
      </c>
      <c r="D1004">
        <v>1</v>
      </c>
      <c r="E1004" s="65">
        <v>33.34</v>
      </c>
      <c r="F1004" s="8">
        <v>2.548</v>
      </c>
      <c r="G1004" s="66">
        <v>214.6214189</v>
      </c>
      <c r="H1004" s="8">
        <v>6.299</v>
      </c>
      <c r="J1004" s="26"/>
      <c r="K1004"/>
    </row>
    <row r="1005" spans="1:11">
      <c r="A1005">
        <v>8</v>
      </c>
      <c r="B1005" s="64">
        <v>40228</v>
      </c>
      <c r="C1005" s="2">
        <v>963960.37</v>
      </c>
      <c r="D1005">
        <v>0</v>
      </c>
      <c r="E1005" s="65">
        <v>39.1</v>
      </c>
      <c r="F1005" s="8">
        <v>2.514</v>
      </c>
      <c r="G1005" s="66">
        <v>214.6664878</v>
      </c>
      <c r="H1005" s="8">
        <v>6.299</v>
      </c>
      <c r="J1005" s="26"/>
      <c r="K1005"/>
    </row>
    <row r="1006" spans="1:11">
      <c r="A1006">
        <v>8</v>
      </c>
      <c r="B1006" s="64">
        <v>40235</v>
      </c>
      <c r="C1006" s="2">
        <v>847592.11</v>
      </c>
      <c r="D1006">
        <v>0</v>
      </c>
      <c r="E1006" s="65">
        <v>37.91</v>
      </c>
      <c r="F1006" s="8">
        <v>2.561</v>
      </c>
      <c r="G1006" s="66">
        <v>214.6940735</v>
      </c>
      <c r="H1006" s="8">
        <v>6.299</v>
      </c>
      <c r="J1006" s="26"/>
      <c r="K1006"/>
    </row>
    <row r="1007" spans="1:11">
      <c r="A1007">
        <v>8</v>
      </c>
      <c r="B1007" s="64">
        <v>40242</v>
      </c>
      <c r="C1007" s="2">
        <v>881503.95</v>
      </c>
      <c r="D1007">
        <v>0</v>
      </c>
      <c r="E1007" s="65">
        <v>45.64</v>
      </c>
      <c r="F1007" s="8">
        <v>2.625</v>
      </c>
      <c r="G1007" s="66">
        <v>214.7216592</v>
      </c>
      <c r="H1007" s="8">
        <v>6.299</v>
      </c>
      <c r="J1007" s="26"/>
      <c r="K1007"/>
    </row>
    <row r="1008" spans="1:11">
      <c r="A1008">
        <v>8</v>
      </c>
      <c r="B1008" s="64">
        <v>40249</v>
      </c>
      <c r="C1008" s="2">
        <v>860336.16</v>
      </c>
      <c r="D1008">
        <v>0</v>
      </c>
      <c r="E1008" s="65">
        <v>49.76</v>
      </c>
      <c r="F1008" s="8">
        <v>2.667</v>
      </c>
      <c r="G1008" s="66">
        <v>214.7492449</v>
      </c>
      <c r="H1008" s="8">
        <v>6.299</v>
      </c>
      <c r="J1008" s="26"/>
      <c r="K1008"/>
    </row>
    <row r="1009" spans="1:11">
      <c r="A1009">
        <v>8</v>
      </c>
      <c r="B1009" s="64">
        <v>40256</v>
      </c>
      <c r="C1009" s="2">
        <v>839911</v>
      </c>
      <c r="D1009">
        <v>0</v>
      </c>
      <c r="E1009" s="65">
        <v>47.26</v>
      </c>
      <c r="F1009" s="8">
        <v>2.72</v>
      </c>
      <c r="G1009" s="66">
        <v>214.5764954</v>
      </c>
      <c r="H1009" s="8">
        <v>6.299</v>
      </c>
      <c r="J1009" s="26"/>
      <c r="K1009"/>
    </row>
    <row r="1010" spans="1:11">
      <c r="A1010">
        <v>8</v>
      </c>
      <c r="B1010" s="64">
        <v>40263</v>
      </c>
      <c r="C1010" s="2">
        <v>772539.12</v>
      </c>
      <c r="D1010">
        <v>0</v>
      </c>
      <c r="E1010" s="65">
        <v>46.51</v>
      </c>
      <c r="F1010" s="8">
        <v>2.732</v>
      </c>
      <c r="G1010" s="66">
        <v>214.3703567</v>
      </c>
      <c r="H1010" s="8">
        <v>6.299</v>
      </c>
      <c r="J1010" s="26"/>
      <c r="K1010"/>
    </row>
    <row r="1011" spans="1:11">
      <c r="A1011">
        <v>8</v>
      </c>
      <c r="B1011" s="64">
        <v>40270</v>
      </c>
      <c r="C1011" s="2">
        <v>914500.91</v>
      </c>
      <c r="D1011">
        <v>0</v>
      </c>
      <c r="E1011" s="65">
        <v>60.18</v>
      </c>
      <c r="F1011" s="8">
        <v>2.719</v>
      </c>
      <c r="G1011" s="66">
        <v>214.164218</v>
      </c>
      <c r="H1011" s="8">
        <v>6.29</v>
      </c>
      <c r="J1011" s="26"/>
      <c r="K1011"/>
    </row>
    <row r="1012" spans="1:11">
      <c r="A1012">
        <v>8</v>
      </c>
      <c r="B1012" s="64">
        <v>40277</v>
      </c>
      <c r="C1012" s="2">
        <v>916033.92</v>
      </c>
      <c r="D1012">
        <v>0</v>
      </c>
      <c r="E1012" s="65">
        <v>59.25</v>
      </c>
      <c r="F1012" s="8">
        <v>2.77</v>
      </c>
      <c r="G1012" s="66">
        <v>213.9580793</v>
      </c>
      <c r="H1012" s="8">
        <v>6.29</v>
      </c>
      <c r="J1012" s="26"/>
      <c r="K1012"/>
    </row>
    <row r="1013" spans="1:11">
      <c r="A1013">
        <v>8</v>
      </c>
      <c r="B1013" s="64">
        <v>40284</v>
      </c>
      <c r="C1013" s="2">
        <v>882917.12</v>
      </c>
      <c r="D1013">
        <v>0</v>
      </c>
      <c r="E1013" s="65">
        <v>62.66</v>
      </c>
      <c r="F1013" s="8">
        <v>2.808</v>
      </c>
      <c r="G1013" s="66">
        <v>213.8186357</v>
      </c>
      <c r="H1013" s="8">
        <v>6.29</v>
      </c>
      <c r="J1013" s="26"/>
      <c r="K1013"/>
    </row>
    <row r="1014" spans="1:11">
      <c r="A1014">
        <v>8</v>
      </c>
      <c r="B1014" s="64">
        <v>40291</v>
      </c>
      <c r="C1014" s="2">
        <v>850440.26</v>
      </c>
      <c r="D1014">
        <v>0</v>
      </c>
      <c r="E1014" s="65">
        <v>56.1</v>
      </c>
      <c r="F1014" s="8">
        <v>2.795</v>
      </c>
      <c r="G1014" s="66">
        <v>213.768119</v>
      </c>
      <c r="H1014" s="8">
        <v>6.29</v>
      </c>
      <c r="J1014" s="26"/>
      <c r="K1014"/>
    </row>
    <row r="1015" spans="1:11">
      <c r="A1015">
        <v>8</v>
      </c>
      <c r="B1015" s="64">
        <v>40298</v>
      </c>
      <c r="C1015" s="2">
        <v>778672.64</v>
      </c>
      <c r="D1015">
        <v>0</v>
      </c>
      <c r="E1015" s="65">
        <v>61.01</v>
      </c>
      <c r="F1015" s="8">
        <v>2.78</v>
      </c>
      <c r="G1015" s="66">
        <v>213.7176024</v>
      </c>
      <c r="H1015" s="8">
        <v>6.29</v>
      </c>
      <c r="J1015" s="26"/>
      <c r="K1015"/>
    </row>
    <row r="1016" spans="1:11">
      <c r="A1016">
        <v>8</v>
      </c>
      <c r="B1016" s="64">
        <v>40305</v>
      </c>
      <c r="C1016" s="2">
        <v>916820.96</v>
      </c>
      <c r="D1016">
        <v>0</v>
      </c>
      <c r="E1016" s="65">
        <v>62.68</v>
      </c>
      <c r="F1016" s="8">
        <v>2.835</v>
      </c>
      <c r="G1016" s="66">
        <v>213.6670857</v>
      </c>
      <c r="H1016" s="8">
        <v>6.29</v>
      </c>
      <c r="J1016" s="26"/>
      <c r="K1016"/>
    </row>
    <row r="1017" spans="1:11">
      <c r="A1017">
        <v>8</v>
      </c>
      <c r="B1017" s="64">
        <v>40312</v>
      </c>
      <c r="C1017" s="2">
        <v>873337.84</v>
      </c>
      <c r="D1017">
        <v>0</v>
      </c>
      <c r="E1017" s="65">
        <v>61.35</v>
      </c>
      <c r="F1017" s="8">
        <v>2.854</v>
      </c>
      <c r="G1017" s="66">
        <v>213.6655355</v>
      </c>
      <c r="H1017" s="8">
        <v>6.29</v>
      </c>
      <c r="J1017" s="26"/>
      <c r="K1017"/>
    </row>
    <row r="1018" spans="1:11">
      <c r="A1018">
        <v>8</v>
      </c>
      <c r="B1018" s="64">
        <v>40319</v>
      </c>
      <c r="C1018" s="2">
        <v>818333.21</v>
      </c>
      <c r="D1018">
        <v>0</v>
      </c>
      <c r="E1018" s="65">
        <v>66.03</v>
      </c>
      <c r="F1018" s="8">
        <v>2.826</v>
      </c>
      <c r="G1018" s="66">
        <v>213.9577839</v>
      </c>
      <c r="H1018" s="8">
        <v>6.29</v>
      </c>
      <c r="J1018" s="26"/>
      <c r="K1018"/>
    </row>
    <row r="1019" spans="1:11">
      <c r="A1019">
        <v>8</v>
      </c>
      <c r="B1019" s="64">
        <v>40326</v>
      </c>
      <c r="C1019" s="2">
        <v>868041.56</v>
      </c>
      <c r="D1019">
        <v>0</v>
      </c>
      <c r="E1019" s="65">
        <v>74.71</v>
      </c>
      <c r="F1019" s="8">
        <v>2.759</v>
      </c>
      <c r="G1019" s="66">
        <v>214.2500323</v>
      </c>
      <c r="H1019" s="8">
        <v>6.29</v>
      </c>
      <c r="J1019" s="26"/>
      <c r="K1019"/>
    </row>
    <row r="1020" spans="1:11">
      <c r="A1020">
        <v>8</v>
      </c>
      <c r="B1020" s="64">
        <v>40333</v>
      </c>
      <c r="C1020" s="2">
        <v>958225.41</v>
      </c>
      <c r="D1020">
        <v>0</v>
      </c>
      <c r="E1020" s="65">
        <v>75.71</v>
      </c>
      <c r="F1020" s="8">
        <v>2.705</v>
      </c>
      <c r="G1020" s="66">
        <v>214.5422806</v>
      </c>
      <c r="H1020" s="8">
        <v>6.29</v>
      </c>
      <c r="J1020" s="26"/>
      <c r="K1020"/>
    </row>
    <row r="1021" spans="1:11">
      <c r="A1021">
        <v>8</v>
      </c>
      <c r="B1021" s="64">
        <v>40340</v>
      </c>
      <c r="C1021" s="2">
        <v>914835.86</v>
      </c>
      <c r="D1021">
        <v>0</v>
      </c>
      <c r="E1021" s="65">
        <v>82.21</v>
      </c>
      <c r="F1021" s="8">
        <v>2.668</v>
      </c>
      <c r="G1021" s="66">
        <v>214.834529</v>
      </c>
      <c r="H1021" s="8">
        <v>6.29</v>
      </c>
      <c r="J1021" s="26"/>
      <c r="K1021"/>
    </row>
    <row r="1022" spans="1:11">
      <c r="A1022">
        <v>8</v>
      </c>
      <c r="B1022" s="64">
        <v>40347</v>
      </c>
      <c r="C1022" s="2">
        <v>869922.56</v>
      </c>
      <c r="D1022">
        <v>0</v>
      </c>
      <c r="E1022" s="65">
        <v>78.79</v>
      </c>
      <c r="F1022" s="8">
        <v>2.637</v>
      </c>
      <c r="G1022" s="66">
        <v>214.8324452</v>
      </c>
      <c r="H1022" s="8">
        <v>6.29</v>
      </c>
      <c r="J1022" s="26"/>
      <c r="K1022"/>
    </row>
    <row r="1023" spans="1:11">
      <c r="A1023">
        <v>8</v>
      </c>
      <c r="B1023" s="64">
        <v>40354</v>
      </c>
      <c r="C1023" s="2">
        <v>814919.11</v>
      </c>
      <c r="D1023">
        <v>0</v>
      </c>
      <c r="E1023" s="65">
        <v>81.78</v>
      </c>
      <c r="F1023" s="8">
        <v>2.653</v>
      </c>
      <c r="G1023" s="66">
        <v>214.7126286</v>
      </c>
      <c r="H1023" s="8">
        <v>6.29</v>
      </c>
      <c r="J1023" s="26"/>
      <c r="K1023"/>
    </row>
    <row r="1024" spans="1:11">
      <c r="A1024">
        <v>8</v>
      </c>
      <c r="B1024" s="64">
        <v>40361</v>
      </c>
      <c r="C1024" s="2">
        <v>852333.75</v>
      </c>
      <c r="D1024">
        <v>0</v>
      </c>
      <c r="E1024" s="65">
        <v>74.78</v>
      </c>
      <c r="F1024" s="8">
        <v>2.669</v>
      </c>
      <c r="G1024" s="66">
        <v>214.5928119</v>
      </c>
      <c r="H1024" s="8">
        <v>6.315</v>
      </c>
      <c r="J1024" s="26"/>
      <c r="K1024"/>
    </row>
    <row r="1025" spans="1:11">
      <c r="A1025">
        <v>8</v>
      </c>
      <c r="B1025" s="64">
        <v>40368</v>
      </c>
      <c r="C1025" s="2">
        <v>845289.77</v>
      </c>
      <c r="D1025">
        <v>0</v>
      </c>
      <c r="E1025" s="65">
        <v>72.49</v>
      </c>
      <c r="F1025" s="8">
        <v>2.642</v>
      </c>
      <c r="G1025" s="66">
        <v>214.4729952</v>
      </c>
      <c r="H1025" s="8">
        <v>6.315</v>
      </c>
      <c r="J1025" s="26"/>
      <c r="K1025"/>
    </row>
    <row r="1026" spans="1:11">
      <c r="A1026">
        <v>8</v>
      </c>
      <c r="B1026" s="64">
        <v>40375</v>
      </c>
      <c r="C1026" s="2">
        <v>848630.57</v>
      </c>
      <c r="D1026">
        <v>0</v>
      </c>
      <c r="E1026" s="65">
        <v>77.49</v>
      </c>
      <c r="F1026" s="8">
        <v>2.623</v>
      </c>
      <c r="G1026" s="66">
        <v>214.4640599</v>
      </c>
      <c r="H1026" s="8">
        <v>6.315</v>
      </c>
      <c r="J1026" s="26"/>
      <c r="K1026"/>
    </row>
    <row r="1027" spans="1:11">
      <c r="A1027">
        <v>8</v>
      </c>
      <c r="B1027" s="64">
        <v>40382</v>
      </c>
      <c r="C1027" s="2">
        <v>785515.88</v>
      </c>
      <c r="D1027">
        <v>0</v>
      </c>
      <c r="E1027" s="65">
        <v>78.29</v>
      </c>
      <c r="F1027" s="8">
        <v>2.608</v>
      </c>
      <c r="G1027" s="66">
        <v>214.6029664</v>
      </c>
      <c r="H1027" s="8">
        <v>6.315</v>
      </c>
      <c r="J1027" s="26"/>
      <c r="K1027"/>
    </row>
    <row r="1028" spans="1:11">
      <c r="A1028">
        <v>8</v>
      </c>
      <c r="B1028" s="64">
        <v>40389</v>
      </c>
      <c r="C1028" s="2">
        <v>787295.09</v>
      </c>
      <c r="D1028">
        <v>0</v>
      </c>
      <c r="E1028" s="65">
        <v>76.02</v>
      </c>
      <c r="F1028" s="8">
        <v>2.64</v>
      </c>
      <c r="G1028" s="66">
        <v>214.7418728</v>
      </c>
      <c r="H1028" s="8">
        <v>6.315</v>
      </c>
      <c r="J1028" s="26"/>
      <c r="K1028"/>
    </row>
    <row r="1029" spans="1:11">
      <c r="A1029">
        <v>8</v>
      </c>
      <c r="B1029" s="64">
        <v>40396</v>
      </c>
      <c r="C1029" s="2">
        <v>893399.77</v>
      </c>
      <c r="D1029">
        <v>0</v>
      </c>
      <c r="E1029" s="65">
        <v>80.37</v>
      </c>
      <c r="F1029" s="8">
        <v>2.627</v>
      </c>
      <c r="G1029" s="66">
        <v>214.8807793</v>
      </c>
      <c r="H1029" s="8">
        <v>6.315</v>
      </c>
      <c r="J1029" s="26"/>
      <c r="K1029"/>
    </row>
    <row r="1030" spans="1:11">
      <c r="A1030">
        <v>8</v>
      </c>
      <c r="B1030" s="64">
        <v>40403</v>
      </c>
      <c r="C1030" s="2">
        <v>867919.21</v>
      </c>
      <c r="D1030">
        <v>0</v>
      </c>
      <c r="E1030" s="65">
        <v>80.11</v>
      </c>
      <c r="F1030" s="8">
        <v>2.692</v>
      </c>
      <c r="G1030" s="66">
        <v>215.0196857</v>
      </c>
      <c r="H1030" s="8">
        <v>6.315</v>
      </c>
      <c r="J1030" s="26"/>
      <c r="K1030"/>
    </row>
    <row r="1031" spans="1:11">
      <c r="A1031">
        <v>8</v>
      </c>
      <c r="B1031" s="64">
        <v>40410</v>
      </c>
      <c r="C1031" s="2">
        <v>870676.44</v>
      </c>
      <c r="D1031">
        <v>0</v>
      </c>
      <c r="E1031" s="65">
        <v>79.36</v>
      </c>
      <c r="F1031" s="8">
        <v>2.664</v>
      </c>
      <c r="G1031" s="66">
        <v>214.9779825</v>
      </c>
      <c r="H1031" s="8">
        <v>6.315</v>
      </c>
      <c r="J1031" s="26"/>
      <c r="K1031"/>
    </row>
    <row r="1032" spans="1:11">
      <c r="A1032">
        <v>8</v>
      </c>
      <c r="B1032" s="64">
        <v>40417</v>
      </c>
      <c r="C1032" s="2">
        <v>888816.78</v>
      </c>
      <c r="D1032">
        <v>0</v>
      </c>
      <c r="E1032" s="65">
        <v>74.92</v>
      </c>
      <c r="F1032" s="8">
        <v>2.619</v>
      </c>
      <c r="G1032" s="66">
        <v>214.9362793</v>
      </c>
      <c r="H1032" s="8">
        <v>6.315</v>
      </c>
      <c r="J1032" s="26"/>
      <c r="K1032"/>
    </row>
    <row r="1033" spans="1:11">
      <c r="A1033">
        <v>8</v>
      </c>
      <c r="B1033" s="64">
        <v>40424</v>
      </c>
      <c r="C1033" s="2">
        <v>899036.47</v>
      </c>
      <c r="D1033">
        <v>0</v>
      </c>
      <c r="E1033" s="65">
        <v>76.14</v>
      </c>
      <c r="F1033" s="8">
        <v>2.577</v>
      </c>
      <c r="G1033" s="66">
        <v>214.894576</v>
      </c>
      <c r="H1033" s="8">
        <v>6.315</v>
      </c>
      <c r="J1033" s="26"/>
      <c r="K1033"/>
    </row>
    <row r="1034" spans="1:11">
      <c r="A1034">
        <v>8</v>
      </c>
      <c r="B1034" s="64">
        <v>40431</v>
      </c>
      <c r="C1034" s="2">
        <v>831425.2</v>
      </c>
      <c r="D1034">
        <v>1</v>
      </c>
      <c r="E1034" s="65">
        <v>74.34</v>
      </c>
      <c r="F1034" s="8">
        <v>2.565</v>
      </c>
      <c r="G1034" s="66">
        <v>214.8528728</v>
      </c>
      <c r="H1034" s="8">
        <v>6.315</v>
      </c>
      <c r="J1034" s="26"/>
      <c r="K1034"/>
    </row>
    <row r="1035" spans="1:11">
      <c r="A1035">
        <v>8</v>
      </c>
      <c r="B1035" s="64">
        <v>40438</v>
      </c>
      <c r="C1035" s="2">
        <v>836707.85</v>
      </c>
      <c r="D1035">
        <v>0</v>
      </c>
      <c r="E1035" s="65">
        <v>75.32</v>
      </c>
      <c r="F1035" s="8">
        <v>2.582</v>
      </c>
      <c r="G1035" s="66">
        <v>214.8785562</v>
      </c>
      <c r="H1035" s="8">
        <v>6.315</v>
      </c>
      <c r="J1035" s="26"/>
      <c r="K1035"/>
    </row>
    <row r="1036" spans="1:11">
      <c r="A1036">
        <v>8</v>
      </c>
      <c r="B1036" s="64">
        <v>40445</v>
      </c>
      <c r="C1036" s="2">
        <v>773725.08</v>
      </c>
      <c r="D1036">
        <v>0</v>
      </c>
      <c r="E1036" s="65">
        <v>72.21</v>
      </c>
      <c r="F1036" s="8">
        <v>2.624</v>
      </c>
      <c r="G1036" s="66">
        <v>214.9547795</v>
      </c>
      <c r="H1036" s="8">
        <v>6.315</v>
      </c>
      <c r="J1036" s="26"/>
      <c r="K1036"/>
    </row>
    <row r="1037" spans="1:11">
      <c r="A1037">
        <v>8</v>
      </c>
      <c r="B1037" s="64">
        <v>40452</v>
      </c>
      <c r="C1037" s="2">
        <v>804105.49</v>
      </c>
      <c r="D1037">
        <v>0</v>
      </c>
      <c r="E1037" s="65">
        <v>68.7</v>
      </c>
      <c r="F1037" s="8">
        <v>2.603</v>
      </c>
      <c r="G1037" s="66">
        <v>215.0310029</v>
      </c>
      <c r="H1037" s="8">
        <v>6.433</v>
      </c>
      <c r="J1037" s="26"/>
      <c r="K1037"/>
    </row>
    <row r="1038" spans="1:11">
      <c r="A1038">
        <v>8</v>
      </c>
      <c r="B1038" s="64">
        <v>40459</v>
      </c>
      <c r="C1038" s="2">
        <v>870349.86</v>
      </c>
      <c r="D1038">
        <v>0</v>
      </c>
      <c r="E1038" s="65">
        <v>62.94</v>
      </c>
      <c r="F1038" s="8">
        <v>2.633</v>
      </c>
      <c r="G1038" s="66">
        <v>215.1072262</v>
      </c>
      <c r="H1038" s="8">
        <v>6.433</v>
      </c>
      <c r="J1038" s="26"/>
      <c r="K1038"/>
    </row>
    <row r="1039" spans="1:11">
      <c r="A1039">
        <v>8</v>
      </c>
      <c r="B1039" s="64">
        <v>40466</v>
      </c>
      <c r="C1039" s="2">
        <v>826546.96</v>
      </c>
      <c r="D1039">
        <v>0</v>
      </c>
      <c r="E1039" s="65">
        <v>62.59</v>
      </c>
      <c r="F1039" s="8">
        <v>2.72</v>
      </c>
      <c r="G1039" s="66">
        <v>215.1757</v>
      </c>
      <c r="H1039" s="8">
        <v>6.433</v>
      </c>
      <c r="J1039" s="26"/>
      <c r="K1039"/>
    </row>
    <row r="1040" spans="1:11">
      <c r="A1040">
        <v>8</v>
      </c>
      <c r="B1040" s="64">
        <v>40473</v>
      </c>
      <c r="C1040" s="2">
        <v>836419.14</v>
      </c>
      <c r="D1040">
        <v>0</v>
      </c>
      <c r="E1040" s="65">
        <v>62.86</v>
      </c>
      <c r="F1040" s="8">
        <v>2.725</v>
      </c>
      <c r="G1040" s="66">
        <v>215.2248</v>
      </c>
      <c r="H1040" s="8">
        <v>6.433</v>
      </c>
      <c r="J1040" s="26"/>
      <c r="K1040"/>
    </row>
    <row r="1041" spans="1:11">
      <c r="A1041">
        <v>8</v>
      </c>
      <c r="B1041" s="64">
        <v>40480</v>
      </c>
      <c r="C1041" s="2">
        <v>830756.76</v>
      </c>
      <c r="D1041">
        <v>0</v>
      </c>
      <c r="E1041" s="65">
        <v>57.93</v>
      </c>
      <c r="F1041" s="8">
        <v>2.716</v>
      </c>
      <c r="G1041" s="66">
        <v>215.2739</v>
      </c>
      <c r="H1041" s="8">
        <v>6.433</v>
      </c>
      <c r="J1041" s="26"/>
      <c r="K1041"/>
    </row>
    <row r="1042" spans="1:11">
      <c r="A1042">
        <v>8</v>
      </c>
      <c r="B1042" s="64">
        <v>40487</v>
      </c>
      <c r="C1042" s="2">
        <v>927266.34</v>
      </c>
      <c r="D1042">
        <v>0</v>
      </c>
      <c r="E1042" s="65">
        <v>55.76</v>
      </c>
      <c r="F1042" s="8">
        <v>2.689</v>
      </c>
      <c r="G1042" s="66">
        <v>215.323</v>
      </c>
      <c r="H1042" s="8">
        <v>6.433</v>
      </c>
      <c r="J1042" s="26"/>
      <c r="K1042"/>
    </row>
    <row r="1043" spans="1:11">
      <c r="A1043">
        <v>8</v>
      </c>
      <c r="B1043" s="64">
        <v>40494</v>
      </c>
      <c r="C1043" s="2">
        <v>911538.98</v>
      </c>
      <c r="D1043">
        <v>0</v>
      </c>
      <c r="E1043" s="65">
        <v>54.89</v>
      </c>
      <c r="F1043" s="8">
        <v>2.728</v>
      </c>
      <c r="G1043" s="66">
        <v>215.3721</v>
      </c>
      <c r="H1043" s="8">
        <v>6.433</v>
      </c>
      <c r="J1043" s="26"/>
      <c r="K1043"/>
    </row>
    <row r="1044" spans="1:11">
      <c r="A1044">
        <v>8</v>
      </c>
      <c r="B1044" s="64">
        <v>40501</v>
      </c>
      <c r="C1044" s="2">
        <v>885608.04</v>
      </c>
      <c r="D1044">
        <v>0</v>
      </c>
      <c r="E1044" s="65">
        <v>43.86</v>
      </c>
      <c r="F1044" s="8">
        <v>2.771</v>
      </c>
      <c r="G1044" s="66">
        <v>215.2538714</v>
      </c>
      <c r="H1044" s="8">
        <v>6.433</v>
      </c>
      <c r="J1044" s="26"/>
      <c r="K1044"/>
    </row>
    <row r="1045" spans="1:11">
      <c r="A1045">
        <v>8</v>
      </c>
      <c r="B1045" s="64">
        <v>40508</v>
      </c>
      <c r="C1045" s="2">
        <v>1261693.16</v>
      </c>
      <c r="D1045">
        <v>1</v>
      </c>
      <c r="E1045" s="65">
        <v>51.07</v>
      </c>
      <c r="F1045" s="8">
        <v>2.735</v>
      </c>
      <c r="G1045" s="66">
        <v>215.1077548</v>
      </c>
      <c r="H1045" s="8">
        <v>6.433</v>
      </c>
      <c r="J1045" s="26"/>
      <c r="K1045"/>
    </row>
    <row r="1046" spans="1:11">
      <c r="A1046">
        <v>8</v>
      </c>
      <c r="B1046" s="64">
        <v>40515</v>
      </c>
      <c r="C1046" s="2">
        <v>952766.93</v>
      </c>
      <c r="D1046">
        <v>0</v>
      </c>
      <c r="E1046" s="65">
        <v>42.85</v>
      </c>
      <c r="F1046" s="8">
        <v>2.708</v>
      </c>
      <c r="G1046" s="66">
        <v>214.9616381</v>
      </c>
      <c r="H1046" s="8">
        <v>6.433</v>
      </c>
      <c r="J1046" s="26"/>
      <c r="K1046"/>
    </row>
    <row r="1047" spans="1:11">
      <c r="A1047">
        <v>8</v>
      </c>
      <c r="B1047" s="64">
        <v>40522</v>
      </c>
      <c r="C1047" s="2">
        <v>1069061.63</v>
      </c>
      <c r="D1047">
        <v>0</v>
      </c>
      <c r="E1047" s="65">
        <v>42.47</v>
      </c>
      <c r="F1047" s="8">
        <v>2.843</v>
      </c>
      <c r="G1047" s="66">
        <v>214.8155214</v>
      </c>
      <c r="H1047" s="8">
        <v>6.433</v>
      </c>
      <c r="J1047" s="26"/>
      <c r="K1047"/>
    </row>
    <row r="1048" spans="1:11">
      <c r="A1048">
        <v>8</v>
      </c>
      <c r="B1048" s="64">
        <v>40529</v>
      </c>
      <c r="C1048" s="2">
        <v>1220579.55</v>
      </c>
      <c r="D1048">
        <v>0</v>
      </c>
      <c r="E1048" s="65">
        <v>45.03</v>
      </c>
      <c r="F1048" s="8">
        <v>2.869</v>
      </c>
      <c r="G1048" s="66">
        <v>214.7510843</v>
      </c>
      <c r="H1048" s="8">
        <v>6.433</v>
      </c>
      <c r="J1048" s="26"/>
      <c r="K1048"/>
    </row>
    <row r="1049" spans="1:11">
      <c r="A1049">
        <v>8</v>
      </c>
      <c r="B1049" s="64">
        <v>40536</v>
      </c>
      <c r="C1049" s="2">
        <v>1511641.09</v>
      </c>
      <c r="D1049">
        <v>0</v>
      </c>
      <c r="E1049" s="65">
        <v>45.67</v>
      </c>
      <c r="F1049" s="8">
        <v>2.886</v>
      </c>
      <c r="G1049" s="66">
        <v>214.7479069</v>
      </c>
      <c r="H1049" s="8">
        <v>6.433</v>
      </c>
      <c r="J1049" s="26"/>
      <c r="K1049"/>
    </row>
    <row r="1050" spans="1:11">
      <c r="A1050">
        <v>8</v>
      </c>
      <c r="B1050" s="64">
        <v>40543</v>
      </c>
      <c r="C1050" s="2">
        <v>773586.49</v>
      </c>
      <c r="D1050">
        <v>1</v>
      </c>
      <c r="E1050" s="65">
        <v>41.47</v>
      </c>
      <c r="F1050" s="8">
        <v>2.943</v>
      </c>
      <c r="G1050" s="66">
        <v>214.7447295</v>
      </c>
      <c r="H1050" s="8">
        <v>6.433</v>
      </c>
      <c r="J1050" s="26"/>
      <c r="K1050"/>
    </row>
    <row r="1051" spans="1:11">
      <c r="A1051">
        <v>8</v>
      </c>
      <c r="B1051" s="64">
        <v>40550</v>
      </c>
      <c r="C1051" s="2">
        <v>873065.23</v>
      </c>
      <c r="D1051">
        <v>0</v>
      </c>
      <c r="E1051" s="65">
        <v>35.77</v>
      </c>
      <c r="F1051" s="8">
        <v>2.976</v>
      </c>
      <c r="G1051" s="66">
        <v>214.7415521</v>
      </c>
      <c r="H1051" s="8">
        <v>6.262</v>
      </c>
      <c r="J1051" s="26"/>
      <c r="K1051"/>
    </row>
    <row r="1052" spans="1:11">
      <c r="A1052">
        <v>8</v>
      </c>
      <c r="B1052" s="64">
        <v>40557</v>
      </c>
      <c r="C1052" s="2">
        <v>809646.66</v>
      </c>
      <c r="D1052">
        <v>0</v>
      </c>
      <c r="E1052" s="65">
        <v>31.62</v>
      </c>
      <c r="F1052" s="8">
        <v>2.983</v>
      </c>
      <c r="G1052" s="66">
        <v>214.7930991</v>
      </c>
      <c r="H1052" s="8">
        <v>6.262</v>
      </c>
      <c r="J1052" s="26"/>
      <c r="K1052"/>
    </row>
    <row r="1053" spans="1:11">
      <c r="A1053">
        <v>8</v>
      </c>
      <c r="B1053" s="64">
        <v>40564</v>
      </c>
      <c r="C1053" s="2">
        <v>822668.23</v>
      </c>
      <c r="D1053">
        <v>0</v>
      </c>
      <c r="E1053" s="65">
        <v>42.06</v>
      </c>
      <c r="F1053" s="8">
        <v>3.016</v>
      </c>
      <c r="G1053" s="66">
        <v>215.1729926</v>
      </c>
      <c r="H1053" s="8">
        <v>6.262</v>
      </c>
      <c r="J1053" s="26"/>
      <c r="K1053"/>
    </row>
    <row r="1054" spans="1:11">
      <c r="A1054">
        <v>8</v>
      </c>
      <c r="B1054" s="64">
        <v>40571</v>
      </c>
      <c r="C1054" s="2">
        <v>782256.66</v>
      </c>
      <c r="D1054">
        <v>0</v>
      </c>
      <c r="E1054" s="65">
        <v>39.26</v>
      </c>
      <c r="F1054" s="8">
        <v>3.01</v>
      </c>
      <c r="G1054" s="66">
        <v>215.5528862</v>
      </c>
      <c r="H1054" s="8">
        <v>6.262</v>
      </c>
      <c r="J1054" s="26"/>
      <c r="K1054"/>
    </row>
    <row r="1055" spans="1:11">
      <c r="A1055">
        <v>8</v>
      </c>
      <c r="B1055" s="64">
        <v>40578</v>
      </c>
      <c r="C1055" s="2">
        <v>944594.78</v>
      </c>
      <c r="D1055">
        <v>0</v>
      </c>
      <c r="E1055" s="65">
        <v>24.48</v>
      </c>
      <c r="F1055" s="8">
        <v>2.989</v>
      </c>
      <c r="G1055" s="66">
        <v>215.9327797</v>
      </c>
      <c r="H1055" s="8">
        <v>6.262</v>
      </c>
      <c r="J1055" s="26"/>
      <c r="K1055"/>
    </row>
    <row r="1056" spans="1:11">
      <c r="A1056">
        <v>8</v>
      </c>
      <c r="B1056" s="64">
        <v>40585</v>
      </c>
      <c r="C1056" s="2">
        <v>996147.39</v>
      </c>
      <c r="D1056">
        <v>1</v>
      </c>
      <c r="E1056" s="65">
        <v>28.26</v>
      </c>
      <c r="F1056" s="8">
        <v>3.022</v>
      </c>
      <c r="G1056" s="66">
        <v>216.3126733</v>
      </c>
      <c r="H1056" s="8">
        <v>6.262</v>
      </c>
      <c r="J1056" s="26"/>
      <c r="K1056"/>
    </row>
    <row r="1057" spans="1:11">
      <c r="A1057">
        <v>8</v>
      </c>
      <c r="B1057" s="64">
        <v>40592</v>
      </c>
      <c r="C1057" s="2">
        <v>1065108.64</v>
      </c>
      <c r="D1057">
        <v>0</v>
      </c>
      <c r="E1057" s="65">
        <v>50.64</v>
      </c>
      <c r="F1057" s="8">
        <v>3.045</v>
      </c>
      <c r="G1057" s="66">
        <v>216.6310383</v>
      </c>
      <c r="H1057" s="8">
        <v>6.262</v>
      </c>
      <c r="J1057" s="26"/>
      <c r="K1057"/>
    </row>
    <row r="1058" spans="1:11">
      <c r="A1058">
        <v>8</v>
      </c>
      <c r="B1058" s="64">
        <v>40599</v>
      </c>
      <c r="C1058" s="2">
        <v>917317.15</v>
      </c>
      <c r="D1058">
        <v>0</v>
      </c>
      <c r="E1058" s="65">
        <v>51.29</v>
      </c>
      <c r="F1058" s="8">
        <v>3.065</v>
      </c>
      <c r="G1058" s="66">
        <v>216.9247918</v>
      </c>
      <c r="H1058" s="8">
        <v>6.262</v>
      </c>
      <c r="J1058" s="26"/>
      <c r="K1058"/>
    </row>
    <row r="1059" spans="1:11">
      <c r="A1059">
        <v>8</v>
      </c>
      <c r="B1059" s="64">
        <v>40606</v>
      </c>
      <c r="C1059" s="2">
        <v>935266.43</v>
      </c>
      <c r="D1059">
        <v>0</v>
      </c>
      <c r="E1059" s="65">
        <v>53.18</v>
      </c>
      <c r="F1059" s="8">
        <v>3.288</v>
      </c>
      <c r="G1059" s="66">
        <v>217.2185454</v>
      </c>
      <c r="H1059" s="8">
        <v>6.262</v>
      </c>
      <c r="J1059" s="26"/>
      <c r="K1059"/>
    </row>
    <row r="1060" spans="1:11">
      <c r="A1060">
        <v>8</v>
      </c>
      <c r="B1060" s="64">
        <v>40613</v>
      </c>
      <c r="C1060" s="2">
        <v>900387.29</v>
      </c>
      <c r="D1060">
        <v>0</v>
      </c>
      <c r="E1060" s="65">
        <v>49.14</v>
      </c>
      <c r="F1060" s="8">
        <v>3.459</v>
      </c>
      <c r="G1060" s="66">
        <v>217.512299</v>
      </c>
      <c r="H1060" s="8">
        <v>6.262</v>
      </c>
      <c r="J1060" s="26"/>
      <c r="K1060"/>
    </row>
    <row r="1061" spans="1:11">
      <c r="A1061">
        <v>8</v>
      </c>
      <c r="B1061" s="64">
        <v>40620</v>
      </c>
      <c r="C1061" s="2">
        <v>898289.14</v>
      </c>
      <c r="D1061">
        <v>0</v>
      </c>
      <c r="E1061" s="65">
        <v>56.68</v>
      </c>
      <c r="F1061" s="8">
        <v>3.488</v>
      </c>
      <c r="G1061" s="66">
        <v>217.7705442</v>
      </c>
      <c r="H1061" s="8">
        <v>6.262</v>
      </c>
      <c r="J1061" s="26"/>
      <c r="K1061"/>
    </row>
    <row r="1062" spans="1:11">
      <c r="A1062">
        <v>8</v>
      </c>
      <c r="B1062" s="64">
        <v>40627</v>
      </c>
      <c r="C1062" s="2">
        <v>827968.36</v>
      </c>
      <c r="D1062">
        <v>0</v>
      </c>
      <c r="E1062" s="65">
        <v>59.74</v>
      </c>
      <c r="F1062" s="8">
        <v>3.473</v>
      </c>
      <c r="G1062" s="66">
        <v>218.0145862</v>
      </c>
      <c r="H1062" s="8">
        <v>6.262</v>
      </c>
      <c r="J1062" s="26"/>
      <c r="K1062"/>
    </row>
    <row r="1063" spans="1:11">
      <c r="A1063">
        <v>8</v>
      </c>
      <c r="B1063" s="64">
        <v>40634</v>
      </c>
      <c r="C1063" s="2">
        <v>878762.3</v>
      </c>
      <c r="D1063">
        <v>0</v>
      </c>
      <c r="E1063" s="65">
        <v>49.86</v>
      </c>
      <c r="F1063" s="8">
        <v>3.524</v>
      </c>
      <c r="G1063" s="66">
        <v>218.2586281</v>
      </c>
      <c r="H1063" s="8">
        <v>6.297</v>
      </c>
      <c r="J1063" s="26"/>
      <c r="K1063"/>
    </row>
    <row r="1064" spans="1:11">
      <c r="A1064">
        <v>8</v>
      </c>
      <c r="B1064" s="64">
        <v>40641</v>
      </c>
      <c r="C1064" s="2">
        <v>949825.83</v>
      </c>
      <c r="D1064">
        <v>0</v>
      </c>
      <c r="E1064" s="65">
        <v>65.62</v>
      </c>
      <c r="F1064" s="8">
        <v>3.622</v>
      </c>
      <c r="G1064" s="66">
        <v>218.50267</v>
      </c>
      <c r="H1064" s="8">
        <v>6.297</v>
      </c>
      <c r="J1064" s="26"/>
      <c r="K1064"/>
    </row>
    <row r="1065" spans="1:11">
      <c r="A1065">
        <v>8</v>
      </c>
      <c r="B1065" s="64">
        <v>40648</v>
      </c>
      <c r="C1065" s="2">
        <v>908278.74</v>
      </c>
      <c r="D1065">
        <v>0</v>
      </c>
      <c r="E1065" s="65">
        <v>63.55</v>
      </c>
      <c r="F1065" s="8">
        <v>3.743</v>
      </c>
      <c r="G1065" s="66">
        <v>218.7262524</v>
      </c>
      <c r="H1065" s="8">
        <v>6.297</v>
      </c>
      <c r="J1065" s="26"/>
      <c r="K1065"/>
    </row>
    <row r="1066" spans="1:11">
      <c r="A1066">
        <v>8</v>
      </c>
      <c r="B1066" s="64">
        <v>40655</v>
      </c>
      <c r="C1066" s="2">
        <v>937473.13</v>
      </c>
      <c r="D1066">
        <v>0</v>
      </c>
      <c r="E1066" s="65">
        <v>65.11</v>
      </c>
      <c r="F1066" s="8">
        <v>3.807</v>
      </c>
      <c r="G1066" s="66">
        <v>218.8986857</v>
      </c>
      <c r="H1066" s="8">
        <v>6.297</v>
      </c>
      <c r="J1066" s="26"/>
      <c r="K1066"/>
    </row>
    <row r="1067" spans="1:11">
      <c r="A1067">
        <v>8</v>
      </c>
      <c r="B1067" s="64">
        <v>40662</v>
      </c>
      <c r="C1067" s="2">
        <v>855014.77</v>
      </c>
      <c r="D1067">
        <v>0</v>
      </c>
      <c r="E1067" s="65">
        <v>62.29</v>
      </c>
      <c r="F1067" s="8">
        <v>3.81</v>
      </c>
      <c r="G1067" s="66">
        <v>219.071119</v>
      </c>
      <c r="H1067" s="8">
        <v>6.297</v>
      </c>
      <c r="J1067" s="26"/>
      <c r="K1067"/>
    </row>
    <row r="1068" spans="1:11">
      <c r="A1068">
        <v>8</v>
      </c>
      <c r="B1068" s="64">
        <v>40669</v>
      </c>
      <c r="C1068" s="2">
        <v>941457.34</v>
      </c>
      <c r="D1068">
        <v>0</v>
      </c>
      <c r="E1068" s="65">
        <v>58.92</v>
      </c>
      <c r="F1068" s="8">
        <v>3.906</v>
      </c>
      <c r="G1068" s="66">
        <v>219.2435524</v>
      </c>
      <c r="H1068" s="8">
        <v>6.297</v>
      </c>
      <c r="J1068" s="26"/>
      <c r="K1068"/>
    </row>
    <row r="1069" spans="1:11">
      <c r="A1069">
        <v>8</v>
      </c>
      <c r="B1069" s="64">
        <v>40676</v>
      </c>
      <c r="C1069" s="2">
        <v>895763.41</v>
      </c>
      <c r="D1069">
        <v>0</v>
      </c>
      <c r="E1069" s="65">
        <v>72.96</v>
      </c>
      <c r="F1069" s="8">
        <v>3.899</v>
      </c>
      <c r="G1069" s="66">
        <v>219.4159857</v>
      </c>
      <c r="H1069" s="8">
        <v>6.297</v>
      </c>
      <c r="J1069" s="26"/>
      <c r="K1069"/>
    </row>
    <row r="1070" spans="1:11">
      <c r="A1070">
        <v>8</v>
      </c>
      <c r="B1070" s="64">
        <v>40683</v>
      </c>
      <c r="C1070" s="2">
        <v>836049.89</v>
      </c>
      <c r="D1070">
        <v>0</v>
      </c>
      <c r="E1070" s="65">
        <v>65.54</v>
      </c>
      <c r="F1070" s="8">
        <v>3.907</v>
      </c>
      <c r="G1070" s="66">
        <v>219.1746922</v>
      </c>
      <c r="H1070" s="8">
        <v>6.297</v>
      </c>
      <c r="J1070" s="26"/>
      <c r="K1070"/>
    </row>
    <row r="1071" spans="1:11">
      <c r="A1071">
        <v>8</v>
      </c>
      <c r="B1071" s="64">
        <v>40690</v>
      </c>
      <c r="C1071" s="2">
        <v>857939.41</v>
      </c>
      <c r="D1071">
        <v>0</v>
      </c>
      <c r="E1071" s="65">
        <v>73.14</v>
      </c>
      <c r="F1071" s="8">
        <v>3.786</v>
      </c>
      <c r="G1071" s="66">
        <v>218.9333986</v>
      </c>
      <c r="H1071" s="8">
        <v>6.297</v>
      </c>
      <c r="J1071" s="26"/>
      <c r="K1071"/>
    </row>
    <row r="1072" spans="1:11">
      <c r="A1072">
        <v>8</v>
      </c>
      <c r="B1072" s="64">
        <v>40697</v>
      </c>
      <c r="C1072" s="2">
        <v>929222.16</v>
      </c>
      <c r="D1072">
        <v>0</v>
      </c>
      <c r="E1072" s="65">
        <v>82.05</v>
      </c>
      <c r="F1072" s="8">
        <v>3.699</v>
      </c>
      <c r="G1072" s="66">
        <v>218.6921051</v>
      </c>
      <c r="H1072" s="8">
        <v>6.297</v>
      </c>
      <c r="J1072" s="26"/>
      <c r="K1072"/>
    </row>
    <row r="1073" spans="1:11">
      <c r="A1073">
        <v>8</v>
      </c>
      <c r="B1073" s="64">
        <v>40704</v>
      </c>
      <c r="C1073" s="2">
        <v>897309.41</v>
      </c>
      <c r="D1073">
        <v>0</v>
      </c>
      <c r="E1073" s="65">
        <v>82.21</v>
      </c>
      <c r="F1073" s="8">
        <v>3.648</v>
      </c>
      <c r="G1073" s="66">
        <v>218.4508115</v>
      </c>
      <c r="H1073" s="8">
        <v>6.297</v>
      </c>
      <c r="J1073" s="26"/>
      <c r="K1073"/>
    </row>
    <row r="1074" spans="1:11">
      <c r="A1074">
        <v>8</v>
      </c>
      <c r="B1074" s="64">
        <v>40711</v>
      </c>
      <c r="C1074" s="2">
        <v>922048.41</v>
      </c>
      <c r="D1074">
        <v>0</v>
      </c>
      <c r="E1074" s="65">
        <v>84.73</v>
      </c>
      <c r="F1074" s="8">
        <v>3.637</v>
      </c>
      <c r="G1074" s="66">
        <v>218.4021448</v>
      </c>
      <c r="H1074" s="8">
        <v>6.297</v>
      </c>
      <c r="J1074" s="26"/>
      <c r="K1074"/>
    </row>
    <row r="1075" spans="1:11">
      <c r="A1075">
        <v>8</v>
      </c>
      <c r="B1075" s="64">
        <v>40718</v>
      </c>
      <c r="C1075" s="2">
        <v>864881.24</v>
      </c>
      <c r="D1075">
        <v>0</v>
      </c>
      <c r="E1075" s="65">
        <v>83.94</v>
      </c>
      <c r="F1075" s="8">
        <v>3.594</v>
      </c>
      <c r="G1075" s="66">
        <v>218.4979481</v>
      </c>
      <c r="H1075" s="8">
        <v>6.297</v>
      </c>
      <c r="J1075" s="26"/>
      <c r="K1075"/>
    </row>
    <row r="1076" spans="1:11">
      <c r="A1076">
        <v>8</v>
      </c>
      <c r="B1076" s="64">
        <v>40725</v>
      </c>
      <c r="C1076" s="2">
        <v>883683.35</v>
      </c>
      <c r="D1076">
        <v>0</v>
      </c>
      <c r="E1076" s="65">
        <v>87.26</v>
      </c>
      <c r="F1076" s="8">
        <v>3.524</v>
      </c>
      <c r="G1076" s="66">
        <v>218.5937514</v>
      </c>
      <c r="H1076" s="8">
        <v>6.425</v>
      </c>
      <c r="J1076" s="26"/>
      <c r="K1076"/>
    </row>
    <row r="1077" spans="1:11">
      <c r="A1077">
        <v>8</v>
      </c>
      <c r="B1077" s="64">
        <v>40732</v>
      </c>
      <c r="C1077" s="2">
        <v>861965.12</v>
      </c>
      <c r="D1077">
        <v>0</v>
      </c>
      <c r="E1077" s="65">
        <v>83.57</v>
      </c>
      <c r="F1077" s="8">
        <v>3.48</v>
      </c>
      <c r="G1077" s="66">
        <v>218.6895548</v>
      </c>
      <c r="H1077" s="8">
        <v>6.425</v>
      </c>
      <c r="J1077" s="26"/>
      <c r="K1077"/>
    </row>
    <row r="1078" spans="1:11">
      <c r="A1078">
        <v>8</v>
      </c>
      <c r="B1078" s="64">
        <v>40739</v>
      </c>
      <c r="C1078" s="2">
        <v>849925.37</v>
      </c>
      <c r="D1078">
        <v>0</v>
      </c>
      <c r="E1078" s="65">
        <v>84.26</v>
      </c>
      <c r="F1078" s="8">
        <v>3.575</v>
      </c>
      <c r="G1078" s="66">
        <v>218.7746217</v>
      </c>
      <c r="H1078" s="8">
        <v>6.425</v>
      </c>
      <c r="J1078" s="26"/>
      <c r="K1078"/>
    </row>
    <row r="1079" spans="1:11">
      <c r="A1079">
        <v>8</v>
      </c>
      <c r="B1079" s="64">
        <v>40746</v>
      </c>
      <c r="C1079" s="2">
        <v>829902.42</v>
      </c>
      <c r="D1079">
        <v>0</v>
      </c>
      <c r="E1079" s="65">
        <v>85.46</v>
      </c>
      <c r="F1079" s="8">
        <v>3.651</v>
      </c>
      <c r="G1079" s="66">
        <v>218.8328475</v>
      </c>
      <c r="H1079" s="8">
        <v>6.425</v>
      </c>
      <c r="J1079" s="26"/>
      <c r="K1079"/>
    </row>
    <row r="1080" spans="1:11">
      <c r="A1080">
        <v>8</v>
      </c>
      <c r="B1080" s="64">
        <v>40753</v>
      </c>
      <c r="C1080" s="2">
        <v>807082.19</v>
      </c>
      <c r="D1080">
        <v>0</v>
      </c>
      <c r="E1080" s="65">
        <v>86.46</v>
      </c>
      <c r="F1080" s="8">
        <v>3.682</v>
      </c>
      <c r="G1080" s="66">
        <v>218.8910733</v>
      </c>
      <c r="H1080" s="8">
        <v>6.425</v>
      </c>
      <c r="J1080" s="26"/>
      <c r="K1080"/>
    </row>
    <row r="1081" spans="1:11">
      <c r="A1081">
        <v>8</v>
      </c>
      <c r="B1081" s="64">
        <v>40760</v>
      </c>
      <c r="C1081" s="2">
        <v>892393.77</v>
      </c>
      <c r="D1081">
        <v>0</v>
      </c>
      <c r="E1081" s="65">
        <v>85.15</v>
      </c>
      <c r="F1081" s="8">
        <v>3.684</v>
      </c>
      <c r="G1081" s="66">
        <v>218.9492991</v>
      </c>
      <c r="H1081" s="8">
        <v>6.425</v>
      </c>
      <c r="J1081" s="26"/>
      <c r="K1081"/>
    </row>
    <row r="1082" spans="1:11">
      <c r="A1082">
        <v>8</v>
      </c>
      <c r="B1082" s="64">
        <v>40767</v>
      </c>
      <c r="C1082" s="2">
        <v>856796.1</v>
      </c>
      <c r="D1082">
        <v>0</v>
      </c>
      <c r="E1082" s="65">
        <v>86.05</v>
      </c>
      <c r="F1082" s="8">
        <v>3.638</v>
      </c>
      <c r="G1082" s="66">
        <v>219.0075249</v>
      </c>
      <c r="H1082" s="8">
        <v>6.425</v>
      </c>
      <c r="J1082" s="26"/>
      <c r="K1082"/>
    </row>
    <row r="1083" spans="1:11">
      <c r="A1083">
        <v>8</v>
      </c>
      <c r="B1083" s="64">
        <v>40774</v>
      </c>
      <c r="C1083" s="2">
        <v>895066.5</v>
      </c>
      <c r="D1083">
        <v>0</v>
      </c>
      <c r="E1083" s="65">
        <v>82.92</v>
      </c>
      <c r="F1083" s="8">
        <v>3.554</v>
      </c>
      <c r="G1083" s="66">
        <v>219.0701968</v>
      </c>
      <c r="H1083" s="8">
        <v>6.425</v>
      </c>
      <c r="J1083" s="26"/>
      <c r="K1083"/>
    </row>
    <row r="1084" spans="1:11">
      <c r="A1084">
        <v>8</v>
      </c>
      <c r="B1084" s="64">
        <v>40781</v>
      </c>
      <c r="C1084" s="2">
        <v>912542.82</v>
      </c>
      <c r="D1084">
        <v>0</v>
      </c>
      <c r="E1084" s="65">
        <v>84.69</v>
      </c>
      <c r="F1084" s="8">
        <v>3.523</v>
      </c>
      <c r="G1084" s="66">
        <v>219.1336097</v>
      </c>
      <c r="H1084" s="8">
        <v>6.425</v>
      </c>
      <c r="J1084" s="26"/>
      <c r="K1084"/>
    </row>
    <row r="1085" spans="1:11">
      <c r="A1085">
        <v>8</v>
      </c>
      <c r="B1085" s="64">
        <v>40788</v>
      </c>
      <c r="C1085" s="2">
        <v>891387.14</v>
      </c>
      <c r="D1085">
        <v>0</v>
      </c>
      <c r="E1085" s="65">
        <v>84.77</v>
      </c>
      <c r="F1085" s="8">
        <v>3.533</v>
      </c>
      <c r="G1085" s="66">
        <v>219.1970226</v>
      </c>
      <c r="H1085" s="8">
        <v>6.425</v>
      </c>
      <c r="J1085" s="26"/>
      <c r="K1085"/>
    </row>
    <row r="1086" spans="1:11">
      <c r="A1086">
        <v>8</v>
      </c>
      <c r="B1086" s="64">
        <v>40795</v>
      </c>
      <c r="C1086" s="2">
        <v>848358.09</v>
      </c>
      <c r="D1086">
        <v>1</v>
      </c>
      <c r="E1086" s="65">
        <v>69.01</v>
      </c>
      <c r="F1086" s="8">
        <v>3.546</v>
      </c>
      <c r="G1086" s="66">
        <v>219.2604355</v>
      </c>
      <c r="H1086" s="8">
        <v>6.425</v>
      </c>
      <c r="J1086" s="26"/>
      <c r="K1086"/>
    </row>
    <row r="1087" spans="1:11">
      <c r="A1087">
        <v>8</v>
      </c>
      <c r="B1087" s="64">
        <v>40802</v>
      </c>
      <c r="C1087" s="2">
        <v>870971.82</v>
      </c>
      <c r="D1087">
        <v>0</v>
      </c>
      <c r="E1087" s="65">
        <v>69.09</v>
      </c>
      <c r="F1087" s="8">
        <v>3.526</v>
      </c>
      <c r="G1087" s="66">
        <v>219.4442443</v>
      </c>
      <c r="H1087" s="8">
        <v>6.425</v>
      </c>
      <c r="J1087" s="26"/>
      <c r="K1087"/>
    </row>
    <row r="1088" spans="1:11">
      <c r="A1088">
        <v>8</v>
      </c>
      <c r="B1088" s="64">
        <v>40809</v>
      </c>
      <c r="C1088" s="2">
        <v>806444.29</v>
      </c>
      <c r="D1088">
        <v>0</v>
      </c>
      <c r="E1088" s="65">
        <v>68.72</v>
      </c>
      <c r="F1088" s="8">
        <v>3.467</v>
      </c>
      <c r="G1088" s="66">
        <v>219.788581</v>
      </c>
      <c r="H1088" s="8">
        <v>6.425</v>
      </c>
      <c r="J1088" s="26"/>
      <c r="K1088"/>
    </row>
    <row r="1089" spans="1:11">
      <c r="A1089">
        <v>8</v>
      </c>
      <c r="B1089" s="64">
        <v>40816</v>
      </c>
      <c r="C1089" s="2">
        <v>809049.37</v>
      </c>
      <c r="D1089">
        <v>0</v>
      </c>
      <c r="E1089" s="65">
        <v>72.2</v>
      </c>
      <c r="F1089" s="8">
        <v>3.355</v>
      </c>
      <c r="G1089" s="66">
        <v>220.1329176</v>
      </c>
      <c r="H1089" s="8">
        <v>6.425</v>
      </c>
      <c r="J1089" s="26"/>
      <c r="K1089"/>
    </row>
    <row r="1090" spans="1:11">
      <c r="A1090">
        <v>8</v>
      </c>
      <c r="B1090" s="64">
        <v>40823</v>
      </c>
      <c r="C1090" s="2">
        <v>929976.55</v>
      </c>
      <c r="D1090">
        <v>0</v>
      </c>
      <c r="E1090" s="65">
        <v>67.61</v>
      </c>
      <c r="F1090" s="8">
        <v>3.285</v>
      </c>
      <c r="G1090" s="66">
        <v>220.4772543</v>
      </c>
      <c r="H1090" s="8">
        <v>6.123</v>
      </c>
      <c r="J1090" s="26"/>
      <c r="K1090"/>
    </row>
    <row r="1091" spans="1:11">
      <c r="A1091">
        <v>8</v>
      </c>
      <c r="B1091" s="64">
        <v>40830</v>
      </c>
      <c r="C1091" s="2">
        <v>863188.26</v>
      </c>
      <c r="D1091">
        <v>0</v>
      </c>
      <c r="E1091" s="65">
        <v>61.74</v>
      </c>
      <c r="F1091" s="8">
        <v>3.274</v>
      </c>
      <c r="G1091" s="66">
        <v>220.7960935</v>
      </c>
      <c r="H1091" s="8">
        <v>6.123</v>
      </c>
      <c r="J1091" s="26"/>
      <c r="K1091"/>
    </row>
    <row r="1092" spans="1:11">
      <c r="A1092">
        <v>8</v>
      </c>
      <c r="B1092" s="64">
        <v>40837</v>
      </c>
      <c r="C1092" s="2">
        <v>905984.49</v>
      </c>
      <c r="D1092">
        <v>0</v>
      </c>
      <c r="E1092" s="65">
        <v>59.97</v>
      </c>
      <c r="F1092" s="8">
        <v>3.353</v>
      </c>
      <c r="G1092" s="66">
        <v>220.9619484</v>
      </c>
      <c r="H1092" s="8">
        <v>6.123</v>
      </c>
      <c r="J1092" s="26"/>
      <c r="K1092"/>
    </row>
    <row r="1093" spans="1:11">
      <c r="A1093">
        <v>8</v>
      </c>
      <c r="B1093" s="64">
        <v>40844</v>
      </c>
      <c r="C1093" s="2">
        <v>876712.31</v>
      </c>
      <c r="D1093">
        <v>0</v>
      </c>
      <c r="E1093" s="65">
        <v>56.86</v>
      </c>
      <c r="F1093" s="8">
        <v>3.372</v>
      </c>
      <c r="G1093" s="66">
        <v>221.1278032</v>
      </c>
      <c r="H1093" s="8">
        <v>6.123</v>
      </c>
      <c r="J1093" s="26"/>
      <c r="K1093"/>
    </row>
    <row r="1094" spans="1:11">
      <c r="A1094">
        <v>8</v>
      </c>
      <c r="B1094" s="64">
        <v>40851</v>
      </c>
      <c r="C1094" s="2">
        <v>947815.05</v>
      </c>
      <c r="D1094">
        <v>0</v>
      </c>
      <c r="E1094" s="65">
        <v>49.68</v>
      </c>
      <c r="F1094" s="8">
        <v>3.332</v>
      </c>
      <c r="G1094" s="66">
        <v>221.2936581</v>
      </c>
      <c r="H1094" s="8">
        <v>6.123</v>
      </c>
      <c r="J1094" s="26"/>
      <c r="K1094"/>
    </row>
    <row r="1095" spans="1:11">
      <c r="A1095">
        <v>8</v>
      </c>
      <c r="B1095" s="64">
        <v>40858</v>
      </c>
      <c r="C1095" s="2">
        <v>917088.48</v>
      </c>
      <c r="D1095">
        <v>0</v>
      </c>
      <c r="E1095" s="65">
        <v>50.56</v>
      </c>
      <c r="F1095" s="8">
        <v>3.297</v>
      </c>
      <c r="G1095" s="66">
        <v>221.4595129</v>
      </c>
      <c r="H1095" s="8">
        <v>6.123</v>
      </c>
      <c r="J1095" s="26"/>
      <c r="K1095"/>
    </row>
    <row r="1096" spans="1:11">
      <c r="A1096">
        <v>8</v>
      </c>
      <c r="B1096" s="64">
        <v>40865</v>
      </c>
      <c r="C1096" s="2">
        <v>897032.19</v>
      </c>
      <c r="D1096">
        <v>0</v>
      </c>
      <c r="E1096" s="65">
        <v>51.72</v>
      </c>
      <c r="F1096" s="8">
        <v>3.308</v>
      </c>
      <c r="G1096" s="66">
        <v>221.6911738</v>
      </c>
      <c r="H1096" s="8">
        <v>6.123</v>
      </c>
      <c r="J1096" s="26"/>
      <c r="K1096"/>
    </row>
    <row r="1097" spans="1:11">
      <c r="A1097">
        <v>8</v>
      </c>
      <c r="B1097" s="64">
        <v>40872</v>
      </c>
      <c r="C1097" s="2">
        <v>1235163.86</v>
      </c>
      <c r="D1097">
        <v>1</v>
      </c>
      <c r="E1097" s="65">
        <v>49.61</v>
      </c>
      <c r="F1097" s="8">
        <v>3.236</v>
      </c>
      <c r="G1097" s="66">
        <v>221.9491571</v>
      </c>
      <c r="H1097" s="8">
        <v>6.123</v>
      </c>
      <c r="J1097" s="26"/>
      <c r="K1097"/>
    </row>
    <row r="1098" spans="1:11">
      <c r="A1098">
        <v>8</v>
      </c>
      <c r="B1098" s="64">
        <v>40879</v>
      </c>
      <c r="C1098" s="2">
        <v>986601.46</v>
      </c>
      <c r="D1098">
        <v>0</v>
      </c>
      <c r="E1098" s="65">
        <v>40.82</v>
      </c>
      <c r="F1098" s="8">
        <v>3.172</v>
      </c>
      <c r="G1098" s="66">
        <v>222.2071405</v>
      </c>
      <c r="H1098" s="8">
        <v>6.123</v>
      </c>
      <c r="J1098" s="26"/>
      <c r="K1098"/>
    </row>
    <row r="1099" spans="1:11">
      <c r="A1099">
        <v>8</v>
      </c>
      <c r="B1099" s="64">
        <v>40886</v>
      </c>
      <c r="C1099" s="2">
        <v>1051922.95</v>
      </c>
      <c r="D1099">
        <v>0</v>
      </c>
      <c r="E1099" s="65">
        <v>30.51</v>
      </c>
      <c r="F1099" s="8">
        <v>3.158</v>
      </c>
      <c r="G1099" s="66">
        <v>222.4651238</v>
      </c>
      <c r="H1099" s="8">
        <v>6.123</v>
      </c>
      <c r="J1099" s="26"/>
      <c r="K1099"/>
    </row>
    <row r="1100" spans="1:11">
      <c r="A1100">
        <v>8</v>
      </c>
      <c r="B1100" s="64">
        <v>40893</v>
      </c>
      <c r="C1100" s="2">
        <v>1118163.94</v>
      </c>
      <c r="D1100">
        <v>0</v>
      </c>
      <c r="E1100" s="65">
        <v>39.79</v>
      </c>
      <c r="F1100" s="8">
        <v>3.159</v>
      </c>
      <c r="G1100" s="66">
        <v>222.6910959</v>
      </c>
      <c r="H1100" s="8">
        <v>6.123</v>
      </c>
      <c r="J1100" s="26"/>
      <c r="K1100"/>
    </row>
    <row r="1101" spans="1:11">
      <c r="A1101">
        <v>8</v>
      </c>
      <c r="B1101" s="64">
        <v>40900</v>
      </c>
      <c r="C1101" s="2">
        <v>1462254.05</v>
      </c>
      <c r="D1101">
        <v>0</v>
      </c>
      <c r="E1101" s="65">
        <v>38.16</v>
      </c>
      <c r="F1101" s="8">
        <v>3.112</v>
      </c>
      <c r="G1101" s="66">
        <v>222.8743862</v>
      </c>
      <c r="H1101" s="8">
        <v>6.123</v>
      </c>
      <c r="J1101" s="26"/>
      <c r="K1101"/>
    </row>
    <row r="1102" spans="1:11">
      <c r="A1102">
        <v>8</v>
      </c>
      <c r="B1102" s="64">
        <v>40907</v>
      </c>
      <c r="C1102" s="2">
        <v>858572.22</v>
      </c>
      <c r="D1102">
        <v>1</v>
      </c>
      <c r="E1102" s="65">
        <v>36.33</v>
      </c>
      <c r="F1102" s="8">
        <v>3.129</v>
      </c>
      <c r="G1102" s="66">
        <v>223.0576765</v>
      </c>
      <c r="H1102" s="8">
        <v>6.123</v>
      </c>
      <c r="J1102" s="26"/>
      <c r="K1102"/>
    </row>
    <row r="1103" spans="1:11">
      <c r="A1103">
        <v>8</v>
      </c>
      <c r="B1103" s="64">
        <v>40914</v>
      </c>
      <c r="C1103" s="2">
        <v>872113.23</v>
      </c>
      <c r="D1103">
        <v>0</v>
      </c>
      <c r="E1103" s="65">
        <v>43.47</v>
      </c>
      <c r="F1103" s="8">
        <v>3.157</v>
      </c>
      <c r="G1103" s="66">
        <v>223.2409668</v>
      </c>
      <c r="H1103" s="8">
        <v>5.825</v>
      </c>
      <c r="J1103" s="26"/>
      <c r="K1103"/>
    </row>
    <row r="1104" spans="1:11">
      <c r="A1104">
        <v>8</v>
      </c>
      <c r="B1104" s="64">
        <v>40921</v>
      </c>
      <c r="C1104" s="2">
        <v>817661.76</v>
      </c>
      <c r="D1104">
        <v>0</v>
      </c>
      <c r="E1104" s="65">
        <v>36.46</v>
      </c>
      <c r="F1104" s="8">
        <v>3.261</v>
      </c>
      <c r="G1104" s="66">
        <v>223.4242571</v>
      </c>
      <c r="H1104" s="8">
        <v>5.825</v>
      </c>
      <c r="J1104" s="26"/>
      <c r="K1104"/>
    </row>
    <row r="1105" spans="1:11">
      <c r="A1105">
        <v>8</v>
      </c>
      <c r="B1105" s="64">
        <v>40928</v>
      </c>
      <c r="C1105" s="2">
        <v>813954.82</v>
      </c>
      <c r="D1105">
        <v>0</v>
      </c>
      <c r="E1105" s="65">
        <v>46.81</v>
      </c>
      <c r="F1105" s="8">
        <v>3.268</v>
      </c>
      <c r="G1105" s="66">
        <v>223.5188055</v>
      </c>
      <c r="H1105" s="8">
        <v>5.825</v>
      </c>
      <c r="J1105" s="26"/>
      <c r="K1105"/>
    </row>
    <row r="1106" spans="1:11">
      <c r="A1106">
        <v>8</v>
      </c>
      <c r="B1106" s="64">
        <v>40935</v>
      </c>
      <c r="C1106" s="2">
        <v>778178.53</v>
      </c>
      <c r="D1106">
        <v>0</v>
      </c>
      <c r="E1106" s="65">
        <v>45.52</v>
      </c>
      <c r="F1106" s="8">
        <v>3.29</v>
      </c>
      <c r="G1106" s="66">
        <v>223.6133539</v>
      </c>
      <c r="H1106" s="8">
        <v>5.825</v>
      </c>
      <c r="J1106" s="26"/>
      <c r="K1106"/>
    </row>
    <row r="1107" spans="1:11">
      <c r="A1107">
        <v>8</v>
      </c>
      <c r="B1107" s="64">
        <v>40942</v>
      </c>
      <c r="C1107" s="2">
        <v>927610.69</v>
      </c>
      <c r="D1107">
        <v>0</v>
      </c>
      <c r="E1107" s="65">
        <v>45.56</v>
      </c>
      <c r="F1107" s="8">
        <v>3.36</v>
      </c>
      <c r="G1107" s="66">
        <v>223.7079023</v>
      </c>
      <c r="H1107" s="8">
        <v>5.825</v>
      </c>
      <c r="J1107" s="26"/>
      <c r="K1107"/>
    </row>
    <row r="1108" spans="1:11">
      <c r="A1108">
        <v>8</v>
      </c>
      <c r="B1108" s="64">
        <v>40949</v>
      </c>
      <c r="C1108" s="2">
        <v>1021400.42</v>
      </c>
      <c r="D1108">
        <v>1</v>
      </c>
      <c r="E1108" s="65">
        <v>35.71</v>
      </c>
      <c r="F1108" s="8">
        <v>3.409</v>
      </c>
      <c r="G1108" s="66">
        <v>223.8024507</v>
      </c>
      <c r="H1108" s="8">
        <v>5.825</v>
      </c>
      <c r="J1108" s="26"/>
      <c r="K1108"/>
    </row>
    <row r="1109" spans="1:11">
      <c r="A1109">
        <v>8</v>
      </c>
      <c r="B1109" s="64">
        <v>40956</v>
      </c>
      <c r="C1109" s="2">
        <v>1096232.89</v>
      </c>
      <c r="D1109">
        <v>0</v>
      </c>
      <c r="E1109" s="65">
        <v>37.51</v>
      </c>
      <c r="F1109" s="8">
        <v>3.51</v>
      </c>
      <c r="G1109" s="66">
        <v>223.9658621</v>
      </c>
      <c r="H1109" s="8">
        <v>5.825</v>
      </c>
      <c r="J1109" s="26"/>
      <c r="K1109"/>
    </row>
    <row r="1110" spans="1:11">
      <c r="A1110">
        <v>8</v>
      </c>
      <c r="B1110" s="64">
        <v>40963</v>
      </c>
      <c r="C1110" s="2">
        <v>928537.54</v>
      </c>
      <c r="D1110">
        <v>0</v>
      </c>
      <c r="E1110" s="65">
        <v>46.33</v>
      </c>
      <c r="F1110" s="8">
        <v>3.555</v>
      </c>
      <c r="G1110" s="66">
        <v>224.1809207</v>
      </c>
      <c r="H1110" s="8">
        <v>5.825</v>
      </c>
      <c r="J1110" s="26"/>
      <c r="K1110"/>
    </row>
    <row r="1111" spans="1:11">
      <c r="A1111">
        <v>8</v>
      </c>
      <c r="B1111" s="64">
        <v>40970</v>
      </c>
      <c r="C1111" s="2">
        <v>952264.91</v>
      </c>
      <c r="D1111">
        <v>0</v>
      </c>
      <c r="E1111" s="65">
        <v>50.95</v>
      </c>
      <c r="F1111" s="8">
        <v>3.63</v>
      </c>
      <c r="G1111" s="66">
        <v>224.3959793</v>
      </c>
      <c r="H1111" s="8">
        <v>5.825</v>
      </c>
      <c r="J1111" s="26"/>
      <c r="K1111"/>
    </row>
    <row r="1112" spans="1:11">
      <c r="A1112">
        <v>8</v>
      </c>
      <c r="B1112" s="64">
        <v>40977</v>
      </c>
      <c r="C1112" s="2">
        <v>960115.56</v>
      </c>
      <c r="D1112">
        <v>0</v>
      </c>
      <c r="E1112" s="65">
        <v>49.59</v>
      </c>
      <c r="F1112" s="8">
        <v>3.669</v>
      </c>
      <c r="G1112" s="66">
        <v>224.6110379</v>
      </c>
      <c r="H1112" s="8">
        <v>5.825</v>
      </c>
      <c r="J1112" s="26"/>
      <c r="K1112"/>
    </row>
    <row r="1113" spans="1:11">
      <c r="A1113">
        <v>8</v>
      </c>
      <c r="B1113" s="64">
        <v>40984</v>
      </c>
      <c r="C1113" s="2">
        <v>921178.39</v>
      </c>
      <c r="D1113">
        <v>0</v>
      </c>
      <c r="E1113" s="65">
        <v>56.63</v>
      </c>
      <c r="F1113" s="8">
        <v>3.734</v>
      </c>
      <c r="G1113" s="66">
        <v>224.7657327</v>
      </c>
      <c r="H1113" s="8">
        <v>5.825</v>
      </c>
      <c r="J1113" s="26"/>
      <c r="K1113"/>
    </row>
    <row r="1114" spans="1:11">
      <c r="A1114">
        <v>8</v>
      </c>
      <c r="B1114" s="64">
        <v>40991</v>
      </c>
      <c r="C1114" s="2">
        <v>874223.25</v>
      </c>
      <c r="D1114">
        <v>0</v>
      </c>
      <c r="E1114" s="65">
        <v>52.9</v>
      </c>
      <c r="F1114" s="8">
        <v>3.787</v>
      </c>
      <c r="G1114" s="66">
        <v>224.8399424</v>
      </c>
      <c r="H1114" s="8">
        <v>5.825</v>
      </c>
      <c r="J1114" s="26"/>
      <c r="K1114"/>
    </row>
    <row r="1115" spans="1:11">
      <c r="A1115">
        <v>8</v>
      </c>
      <c r="B1115" s="64">
        <v>40998</v>
      </c>
      <c r="C1115" s="2">
        <v>905935.29</v>
      </c>
      <c r="D1115">
        <v>0</v>
      </c>
      <c r="E1115" s="65">
        <v>66.69</v>
      </c>
      <c r="F1115" s="8">
        <v>3.845</v>
      </c>
      <c r="G1115" s="66">
        <v>224.9141521</v>
      </c>
      <c r="H1115" s="8">
        <v>5.825</v>
      </c>
      <c r="J1115" s="26"/>
      <c r="K1115"/>
    </row>
    <row r="1116" spans="1:11">
      <c r="A1116">
        <v>8</v>
      </c>
      <c r="B1116" s="64">
        <v>41005</v>
      </c>
      <c r="C1116" s="2">
        <v>1046816.59</v>
      </c>
      <c r="D1116">
        <v>0</v>
      </c>
      <c r="E1116" s="65">
        <v>62.18</v>
      </c>
      <c r="F1116" s="8">
        <v>3.891</v>
      </c>
      <c r="G1116" s="66">
        <v>224.9883618</v>
      </c>
      <c r="H1116" s="8">
        <v>5.679</v>
      </c>
      <c r="J1116" s="26"/>
      <c r="K1116"/>
    </row>
    <row r="1117" spans="1:11">
      <c r="A1117">
        <v>8</v>
      </c>
      <c r="B1117" s="64">
        <v>41012</v>
      </c>
      <c r="C1117" s="2">
        <v>909989.45</v>
      </c>
      <c r="D1117">
        <v>0</v>
      </c>
      <c r="E1117" s="65">
        <v>65.19</v>
      </c>
      <c r="F1117" s="8">
        <v>3.891</v>
      </c>
      <c r="G1117" s="66">
        <v>225.0625714</v>
      </c>
      <c r="H1117" s="8">
        <v>5.679</v>
      </c>
      <c r="J1117" s="26"/>
      <c r="K1117"/>
    </row>
    <row r="1118" spans="1:11">
      <c r="A1118">
        <v>8</v>
      </c>
      <c r="B1118" s="64">
        <v>41019</v>
      </c>
      <c r="C1118" s="2">
        <v>872288.46</v>
      </c>
      <c r="D1118">
        <v>0</v>
      </c>
      <c r="E1118" s="65">
        <v>63.59</v>
      </c>
      <c r="F1118" s="8">
        <v>3.877</v>
      </c>
      <c r="G1118" s="66">
        <v>225.1179914</v>
      </c>
      <c r="H1118" s="8">
        <v>5.679</v>
      </c>
      <c r="J1118" s="26"/>
      <c r="K1118"/>
    </row>
    <row r="1119" spans="1:11">
      <c r="A1119">
        <v>8</v>
      </c>
      <c r="B1119" s="64">
        <v>41026</v>
      </c>
      <c r="C1119" s="2">
        <v>879448.25</v>
      </c>
      <c r="D1119">
        <v>0</v>
      </c>
      <c r="E1119" s="65">
        <v>70.34</v>
      </c>
      <c r="F1119" s="8">
        <v>3.814</v>
      </c>
      <c r="G1119" s="66">
        <v>225.1734114</v>
      </c>
      <c r="H1119" s="8">
        <v>5.679</v>
      </c>
      <c r="J1119" s="26"/>
      <c r="K1119"/>
    </row>
    <row r="1120" spans="1:11">
      <c r="A1120">
        <v>8</v>
      </c>
      <c r="B1120" s="64">
        <v>41033</v>
      </c>
      <c r="C1120" s="2">
        <v>937232.09</v>
      </c>
      <c r="D1120">
        <v>0</v>
      </c>
      <c r="E1120" s="65">
        <v>73.96</v>
      </c>
      <c r="F1120" s="8">
        <v>3.749</v>
      </c>
      <c r="G1120" s="66">
        <v>225.2288314</v>
      </c>
      <c r="H1120" s="8">
        <v>5.679</v>
      </c>
      <c r="J1120" s="26"/>
      <c r="K1120"/>
    </row>
    <row r="1121" spans="1:11">
      <c r="A1121">
        <v>8</v>
      </c>
      <c r="B1121" s="64">
        <v>41040</v>
      </c>
      <c r="C1121" s="2">
        <v>920128.89</v>
      </c>
      <c r="D1121">
        <v>0</v>
      </c>
      <c r="E1121" s="65">
        <v>64.96</v>
      </c>
      <c r="F1121" s="8">
        <v>3.688</v>
      </c>
      <c r="G1121" s="66">
        <v>225.2842514</v>
      </c>
      <c r="H1121" s="8">
        <v>5.679</v>
      </c>
      <c r="J1121" s="26"/>
      <c r="K1121"/>
    </row>
    <row r="1122" spans="1:11">
      <c r="A1122">
        <v>8</v>
      </c>
      <c r="B1122" s="64">
        <v>41047</v>
      </c>
      <c r="C1122" s="2">
        <v>913922.01</v>
      </c>
      <c r="D1122">
        <v>0</v>
      </c>
      <c r="E1122" s="65">
        <v>64.16</v>
      </c>
      <c r="F1122" s="8">
        <v>3.63</v>
      </c>
      <c r="G1122" s="66">
        <v>225.3002908</v>
      </c>
      <c r="H1122" s="8">
        <v>5.679</v>
      </c>
      <c r="J1122" s="26"/>
      <c r="K1122"/>
    </row>
    <row r="1123" spans="1:11">
      <c r="A1123">
        <v>8</v>
      </c>
      <c r="B1123" s="64">
        <v>41054</v>
      </c>
      <c r="C1123" s="2">
        <v>895157.44</v>
      </c>
      <c r="D1123">
        <v>0</v>
      </c>
      <c r="E1123" s="65">
        <v>76.11</v>
      </c>
      <c r="F1123" s="8">
        <v>3.561</v>
      </c>
      <c r="G1123" s="66">
        <v>225.3005779</v>
      </c>
      <c r="H1123" s="8">
        <v>5.679</v>
      </c>
      <c r="J1123" s="26"/>
      <c r="K1123"/>
    </row>
    <row r="1124" spans="1:11">
      <c r="A1124">
        <v>8</v>
      </c>
      <c r="B1124" s="64">
        <v>41061</v>
      </c>
      <c r="C1124" s="2">
        <v>921161.2</v>
      </c>
      <c r="D1124">
        <v>0</v>
      </c>
      <c r="E1124" s="65">
        <v>78.31</v>
      </c>
      <c r="F1124" s="8">
        <v>3.501</v>
      </c>
      <c r="G1124" s="66">
        <v>225.300865</v>
      </c>
      <c r="H1124" s="8">
        <v>5.679</v>
      </c>
      <c r="J1124" s="26"/>
      <c r="K1124"/>
    </row>
    <row r="1125" spans="1:11">
      <c r="A1125">
        <v>8</v>
      </c>
      <c r="B1125" s="64">
        <v>41068</v>
      </c>
      <c r="C1125" s="2">
        <v>928820</v>
      </c>
      <c r="D1125">
        <v>0</v>
      </c>
      <c r="E1125" s="65">
        <v>74.28</v>
      </c>
      <c r="F1125" s="8">
        <v>3.452</v>
      </c>
      <c r="G1125" s="66">
        <v>225.3011521</v>
      </c>
      <c r="H1125" s="8">
        <v>5.679</v>
      </c>
      <c r="J1125" s="26"/>
      <c r="K1125"/>
    </row>
    <row r="1126" spans="1:11">
      <c r="A1126">
        <v>8</v>
      </c>
      <c r="B1126" s="64">
        <v>41075</v>
      </c>
      <c r="C1126" s="2">
        <v>916918.7</v>
      </c>
      <c r="D1126">
        <v>0</v>
      </c>
      <c r="E1126" s="65">
        <v>77.14</v>
      </c>
      <c r="F1126" s="8">
        <v>3.393</v>
      </c>
      <c r="G1126" s="66">
        <v>225.3134743</v>
      </c>
      <c r="H1126" s="8">
        <v>5.679</v>
      </c>
      <c r="J1126" s="26"/>
      <c r="K1126"/>
    </row>
    <row r="1127" spans="1:11">
      <c r="A1127">
        <v>8</v>
      </c>
      <c r="B1127" s="64">
        <v>41082</v>
      </c>
      <c r="C1127" s="2">
        <v>899449.65</v>
      </c>
      <c r="D1127">
        <v>0</v>
      </c>
      <c r="E1127" s="65">
        <v>78.85</v>
      </c>
      <c r="F1127" s="8">
        <v>3.346</v>
      </c>
      <c r="G1127" s="66">
        <v>225.3558843</v>
      </c>
      <c r="H1127" s="8">
        <v>5.679</v>
      </c>
      <c r="J1127" s="26"/>
      <c r="K1127"/>
    </row>
    <row r="1128" spans="1:11">
      <c r="A1128">
        <v>8</v>
      </c>
      <c r="B1128" s="64">
        <v>41089</v>
      </c>
      <c r="C1128" s="2">
        <v>878298.22</v>
      </c>
      <c r="D1128">
        <v>0</v>
      </c>
      <c r="E1128" s="65">
        <v>84.47</v>
      </c>
      <c r="F1128" s="8">
        <v>3.286</v>
      </c>
      <c r="G1128" s="66">
        <v>225.3982943</v>
      </c>
      <c r="H1128" s="8">
        <v>5.679</v>
      </c>
      <c r="J1128" s="26"/>
      <c r="K1128"/>
    </row>
    <row r="1129" spans="1:11">
      <c r="A1129">
        <v>8</v>
      </c>
      <c r="B1129" s="64">
        <v>41096</v>
      </c>
      <c r="C1129" s="2">
        <v>936205.5</v>
      </c>
      <c r="D1129">
        <v>0</v>
      </c>
      <c r="E1129" s="65">
        <v>81.24</v>
      </c>
      <c r="F1129" s="8">
        <v>3.227</v>
      </c>
      <c r="G1129" s="66">
        <v>225.4407043</v>
      </c>
      <c r="H1129" s="8">
        <v>5.401</v>
      </c>
      <c r="J1129" s="26"/>
      <c r="K1129"/>
    </row>
    <row r="1130" spans="1:11">
      <c r="A1130">
        <v>8</v>
      </c>
      <c r="B1130" s="64">
        <v>41103</v>
      </c>
      <c r="C1130" s="2">
        <v>890488.01</v>
      </c>
      <c r="D1130">
        <v>0</v>
      </c>
      <c r="E1130" s="65">
        <v>78.46</v>
      </c>
      <c r="F1130" s="8">
        <v>3.256</v>
      </c>
      <c r="G1130" s="66">
        <v>225.4831143</v>
      </c>
      <c r="H1130" s="8">
        <v>5.401</v>
      </c>
      <c r="J1130" s="26"/>
      <c r="K1130"/>
    </row>
    <row r="1131" spans="1:11">
      <c r="A1131">
        <v>8</v>
      </c>
      <c r="B1131" s="64">
        <v>41110</v>
      </c>
      <c r="C1131" s="2">
        <v>888834.07</v>
      </c>
      <c r="D1131">
        <v>0</v>
      </c>
      <c r="E1131" s="65">
        <v>79.94</v>
      </c>
      <c r="F1131" s="8">
        <v>3.311</v>
      </c>
      <c r="G1131" s="66">
        <v>225.4930078</v>
      </c>
      <c r="H1131" s="8">
        <v>5.401</v>
      </c>
      <c r="J1131" s="26"/>
      <c r="K1131"/>
    </row>
    <row r="1132" spans="1:11">
      <c r="A1132">
        <v>8</v>
      </c>
      <c r="B1132" s="64">
        <v>41117</v>
      </c>
      <c r="C1132" s="2">
        <v>838227.52</v>
      </c>
      <c r="D1132">
        <v>0</v>
      </c>
      <c r="E1132" s="65">
        <v>81.71</v>
      </c>
      <c r="F1132" s="8">
        <v>3.407</v>
      </c>
      <c r="G1132" s="66">
        <v>225.5029014</v>
      </c>
      <c r="H1132" s="8">
        <v>5.401</v>
      </c>
      <c r="J1132" s="26"/>
      <c r="K1132"/>
    </row>
    <row r="1133" spans="1:11">
      <c r="A1133">
        <v>8</v>
      </c>
      <c r="B1133" s="64">
        <v>41124</v>
      </c>
      <c r="C1133" s="2">
        <v>897076.73</v>
      </c>
      <c r="D1133">
        <v>0</v>
      </c>
      <c r="E1133" s="65">
        <v>85.06</v>
      </c>
      <c r="F1133" s="8">
        <v>3.417</v>
      </c>
      <c r="G1133" s="66">
        <v>225.5127949</v>
      </c>
      <c r="H1133" s="8">
        <v>5.401</v>
      </c>
      <c r="J1133" s="26"/>
      <c r="K1133"/>
    </row>
    <row r="1134" spans="1:11">
      <c r="A1134">
        <v>8</v>
      </c>
      <c r="B1134" s="64">
        <v>41131</v>
      </c>
      <c r="C1134" s="2">
        <v>930745.69</v>
      </c>
      <c r="D1134">
        <v>0</v>
      </c>
      <c r="E1134" s="65">
        <v>83.74</v>
      </c>
      <c r="F1134" s="8">
        <v>3.494</v>
      </c>
      <c r="G1134" s="66">
        <v>225.5226885</v>
      </c>
      <c r="H1134" s="8">
        <v>5.401</v>
      </c>
      <c r="J1134" s="26"/>
      <c r="K1134"/>
    </row>
    <row r="1135" spans="1:11">
      <c r="A1135">
        <v>8</v>
      </c>
      <c r="B1135" s="64">
        <v>41138</v>
      </c>
      <c r="C1135" s="2">
        <v>896613.19</v>
      </c>
      <c r="D1135">
        <v>0</v>
      </c>
      <c r="E1135" s="65">
        <v>81.21</v>
      </c>
      <c r="F1135" s="8">
        <v>3.571</v>
      </c>
      <c r="G1135" s="66">
        <v>225.6050797</v>
      </c>
      <c r="H1135" s="8">
        <v>5.401</v>
      </c>
      <c r="J1135" s="26"/>
      <c r="K1135"/>
    </row>
    <row r="1136" spans="1:11">
      <c r="A1136">
        <v>8</v>
      </c>
      <c r="B1136" s="64">
        <v>41145</v>
      </c>
      <c r="C1136" s="2">
        <v>936373.65</v>
      </c>
      <c r="D1136">
        <v>0</v>
      </c>
      <c r="E1136" s="65">
        <v>73.77</v>
      </c>
      <c r="F1136" s="8">
        <v>3.62</v>
      </c>
      <c r="G1136" s="66">
        <v>225.7418442</v>
      </c>
      <c r="H1136" s="8">
        <v>5.401</v>
      </c>
      <c r="J1136" s="26"/>
      <c r="K1136"/>
    </row>
    <row r="1137" spans="1:11">
      <c r="A1137">
        <v>8</v>
      </c>
      <c r="B1137" s="64">
        <v>41152</v>
      </c>
      <c r="C1137" s="2">
        <v>976137.73</v>
      </c>
      <c r="D1137">
        <v>0</v>
      </c>
      <c r="E1137" s="65">
        <v>75.33</v>
      </c>
      <c r="F1137" s="8">
        <v>3.638</v>
      </c>
      <c r="G1137" s="66">
        <v>225.8786088</v>
      </c>
      <c r="H1137" s="8">
        <v>5.401</v>
      </c>
      <c r="J1137" s="26"/>
      <c r="K1137"/>
    </row>
    <row r="1138" spans="1:11">
      <c r="A1138">
        <v>8</v>
      </c>
      <c r="B1138" s="64">
        <v>41159</v>
      </c>
      <c r="C1138" s="2">
        <v>932160.37</v>
      </c>
      <c r="D1138">
        <v>1</v>
      </c>
      <c r="E1138" s="65">
        <v>80.87</v>
      </c>
      <c r="F1138" s="8">
        <v>3.73</v>
      </c>
      <c r="G1138" s="66">
        <v>226.0153733</v>
      </c>
      <c r="H1138" s="8">
        <v>5.401</v>
      </c>
      <c r="J1138" s="26"/>
      <c r="K1138"/>
    </row>
    <row r="1139" spans="1:11">
      <c r="A1139">
        <v>8</v>
      </c>
      <c r="B1139" s="64">
        <v>41166</v>
      </c>
      <c r="C1139" s="2">
        <v>883569.38</v>
      </c>
      <c r="D1139">
        <v>0</v>
      </c>
      <c r="E1139" s="65">
        <v>67.21</v>
      </c>
      <c r="F1139" s="8">
        <v>3.717</v>
      </c>
      <c r="G1139" s="66">
        <v>226.1615981</v>
      </c>
      <c r="H1139" s="8">
        <v>5.401</v>
      </c>
      <c r="J1139" s="26"/>
      <c r="K1139"/>
    </row>
    <row r="1140" spans="1:11">
      <c r="A1140">
        <v>8</v>
      </c>
      <c r="B1140" s="64">
        <v>41173</v>
      </c>
      <c r="C1140" s="2">
        <v>857796.45</v>
      </c>
      <c r="D1140">
        <v>0</v>
      </c>
      <c r="E1140" s="65">
        <v>66.96</v>
      </c>
      <c r="F1140" s="8">
        <v>3.721</v>
      </c>
      <c r="G1140" s="66">
        <v>226.3645848</v>
      </c>
      <c r="H1140" s="8">
        <v>5.401</v>
      </c>
      <c r="J1140" s="26"/>
      <c r="K1140"/>
    </row>
    <row r="1141" spans="1:11">
      <c r="A1141">
        <v>8</v>
      </c>
      <c r="B1141" s="64">
        <v>41180</v>
      </c>
      <c r="C1141" s="2">
        <v>884724.41</v>
      </c>
      <c r="D1141">
        <v>0</v>
      </c>
      <c r="E1141" s="65">
        <v>71.1</v>
      </c>
      <c r="F1141" s="8">
        <v>3.666</v>
      </c>
      <c r="G1141" s="66">
        <v>226.5675714</v>
      </c>
      <c r="H1141" s="8">
        <v>5.401</v>
      </c>
      <c r="J1141" s="26"/>
      <c r="K1141"/>
    </row>
    <row r="1142" spans="1:11">
      <c r="A1142">
        <v>8</v>
      </c>
      <c r="B1142" s="64">
        <v>41187</v>
      </c>
      <c r="C1142" s="2">
        <v>976436.02</v>
      </c>
      <c r="D1142">
        <v>0</v>
      </c>
      <c r="E1142" s="65">
        <v>61.41</v>
      </c>
      <c r="F1142" s="8">
        <v>3.617</v>
      </c>
      <c r="G1142" s="66">
        <v>226.7705581</v>
      </c>
      <c r="H1142" s="8">
        <v>5.124</v>
      </c>
      <c r="J1142" s="26"/>
      <c r="K1142"/>
    </row>
    <row r="1143" spans="1:11">
      <c r="A1143">
        <v>8</v>
      </c>
      <c r="B1143" s="64">
        <v>41194</v>
      </c>
      <c r="C1143" s="2">
        <v>927511.99</v>
      </c>
      <c r="D1143">
        <v>0</v>
      </c>
      <c r="E1143" s="65">
        <v>55.03</v>
      </c>
      <c r="F1143" s="8">
        <v>3.601</v>
      </c>
      <c r="G1143" s="66">
        <v>226.9735448</v>
      </c>
      <c r="H1143" s="8">
        <v>5.124</v>
      </c>
      <c r="J1143" s="26"/>
      <c r="K1143"/>
    </row>
    <row r="1144" spans="1:11">
      <c r="A1144">
        <v>8</v>
      </c>
      <c r="B1144" s="64">
        <v>41201</v>
      </c>
      <c r="C1144" s="2">
        <v>900309.75</v>
      </c>
      <c r="D1144">
        <v>0</v>
      </c>
      <c r="E1144" s="65">
        <v>62.99</v>
      </c>
      <c r="F1144" s="8">
        <v>3.594</v>
      </c>
      <c r="G1144" s="66">
        <v>227.0184166</v>
      </c>
      <c r="H1144" s="8">
        <v>5.124</v>
      </c>
      <c r="J1144" s="26"/>
      <c r="K1144"/>
    </row>
    <row r="1145" spans="1:11">
      <c r="A1145">
        <v>8</v>
      </c>
      <c r="B1145" s="64">
        <v>41208</v>
      </c>
      <c r="C1145" s="2">
        <v>891671.44</v>
      </c>
      <c r="D1145">
        <v>0</v>
      </c>
      <c r="E1145" s="65">
        <v>64.74</v>
      </c>
      <c r="F1145" s="8">
        <v>3.506</v>
      </c>
      <c r="G1145" s="66">
        <v>227.0369359</v>
      </c>
      <c r="H1145" s="8">
        <v>5.124</v>
      </c>
      <c r="J1145" s="26"/>
      <c r="K1145"/>
    </row>
    <row r="1146" spans="1:11">
      <c r="A1146">
        <v>9</v>
      </c>
      <c r="B1146" s="64">
        <v>40214</v>
      </c>
      <c r="C1146" s="2">
        <v>549505.55</v>
      </c>
      <c r="D1146">
        <v>0</v>
      </c>
      <c r="E1146" s="65">
        <v>38.01</v>
      </c>
      <c r="F1146" s="8">
        <v>2.572</v>
      </c>
      <c r="G1146" s="66">
        <v>214.6554591</v>
      </c>
      <c r="H1146" s="8">
        <v>6.415</v>
      </c>
      <c r="J1146" s="26"/>
      <c r="K1146"/>
    </row>
    <row r="1147" spans="1:11">
      <c r="A1147">
        <v>9</v>
      </c>
      <c r="B1147" s="64">
        <v>40221</v>
      </c>
      <c r="C1147" s="2">
        <v>552677.48</v>
      </c>
      <c r="D1147">
        <v>1</v>
      </c>
      <c r="E1147" s="65">
        <v>37.08</v>
      </c>
      <c r="F1147" s="8">
        <v>2.548</v>
      </c>
      <c r="G1147" s="66">
        <v>214.8056534</v>
      </c>
      <c r="H1147" s="8">
        <v>6.415</v>
      </c>
      <c r="J1147" s="26"/>
      <c r="K1147"/>
    </row>
    <row r="1148" spans="1:11">
      <c r="A1148">
        <v>9</v>
      </c>
      <c r="B1148" s="64">
        <v>40228</v>
      </c>
      <c r="C1148" s="2">
        <v>511327.9</v>
      </c>
      <c r="D1148">
        <v>0</v>
      </c>
      <c r="E1148" s="65">
        <v>43.06</v>
      </c>
      <c r="F1148" s="8">
        <v>2.514</v>
      </c>
      <c r="G1148" s="66">
        <v>214.8506185</v>
      </c>
      <c r="H1148" s="8">
        <v>6.415</v>
      </c>
      <c r="J1148" s="26"/>
      <c r="K1148"/>
    </row>
    <row r="1149" spans="1:11">
      <c r="A1149">
        <v>9</v>
      </c>
      <c r="B1149" s="64">
        <v>40235</v>
      </c>
      <c r="C1149" s="2">
        <v>473773.27</v>
      </c>
      <c r="D1149">
        <v>0</v>
      </c>
      <c r="E1149" s="65">
        <v>43.83</v>
      </c>
      <c r="F1149" s="8">
        <v>2.561</v>
      </c>
      <c r="G1149" s="66">
        <v>214.8780453</v>
      </c>
      <c r="H1149" s="8">
        <v>6.415</v>
      </c>
      <c r="J1149" s="26"/>
      <c r="K1149"/>
    </row>
    <row r="1150" spans="1:11">
      <c r="A1150">
        <v>9</v>
      </c>
      <c r="B1150" s="64">
        <v>40242</v>
      </c>
      <c r="C1150" s="2">
        <v>507297.88</v>
      </c>
      <c r="D1150">
        <v>0</v>
      </c>
      <c r="E1150" s="65">
        <v>48.43</v>
      </c>
      <c r="F1150" s="8">
        <v>2.625</v>
      </c>
      <c r="G1150" s="66">
        <v>214.9054721</v>
      </c>
      <c r="H1150" s="8">
        <v>6.415</v>
      </c>
      <c r="J1150" s="26"/>
      <c r="K1150"/>
    </row>
    <row r="1151" spans="1:11">
      <c r="A1151">
        <v>9</v>
      </c>
      <c r="B1151" s="64">
        <v>40249</v>
      </c>
      <c r="C1151" s="2">
        <v>494145.8</v>
      </c>
      <c r="D1151">
        <v>0</v>
      </c>
      <c r="E1151" s="65">
        <v>55.76</v>
      </c>
      <c r="F1151" s="8">
        <v>2.667</v>
      </c>
      <c r="G1151" s="66">
        <v>214.932899</v>
      </c>
      <c r="H1151" s="8">
        <v>6.415</v>
      </c>
      <c r="J1151" s="26"/>
      <c r="K1151"/>
    </row>
    <row r="1152" spans="1:11">
      <c r="A1152">
        <v>9</v>
      </c>
      <c r="B1152" s="64">
        <v>40256</v>
      </c>
      <c r="C1152" s="2">
        <v>485744.61</v>
      </c>
      <c r="D1152">
        <v>0</v>
      </c>
      <c r="E1152" s="65">
        <v>53.15</v>
      </c>
      <c r="F1152" s="8">
        <v>2.72</v>
      </c>
      <c r="G1152" s="66">
        <v>214.7597274</v>
      </c>
      <c r="H1152" s="8">
        <v>6.415</v>
      </c>
      <c r="J1152" s="26"/>
      <c r="K1152"/>
    </row>
    <row r="1153" spans="1:11">
      <c r="A1153">
        <v>9</v>
      </c>
      <c r="B1153" s="64">
        <v>40263</v>
      </c>
      <c r="C1153" s="2">
        <v>484946.56</v>
      </c>
      <c r="D1153">
        <v>0</v>
      </c>
      <c r="E1153" s="65">
        <v>51.8</v>
      </c>
      <c r="F1153" s="8">
        <v>2.732</v>
      </c>
      <c r="G1153" s="66">
        <v>214.5531227</v>
      </c>
      <c r="H1153" s="8">
        <v>6.415</v>
      </c>
      <c r="J1153" s="26"/>
      <c r="K1153"/>
    </row>
    <row r="1154" spans="1:11">
      <c r="A1154">
        <v>9</v>
      </c>
      <c r="B1154" s="64">
        <v>40270</v>
      </c>
      <c r="C1154" s="2">
        <v>545206.32</v>
      </c>
      <c r="D1154">
        <v>0</v>
      </c>
      <c r="E1154" s="65">
        <v>65.21</v>
      </c>
      <c r="F1154" s="8">
        <v>2.719</v>
      </c>
      <c r="G1154" s="66">
        <v>214.3465181</v>
      </c>
      <c r="H1154" s="8">
        <v>6.384</v>
      </c>
      <c r="J1154" s="26"/>
      <c r="K1154"/>
    </row>
    <row r="1155" spans="1:11">
      <c r="A1155">
        <v>9</v>
      </c>
      <c r="B1155" s="64">
        <v>40277</v>
      </c>
      <c r="C1155" s="2">
        <v>529384.31</v>
      </c>
      <c r="D1155">
        <v>0</v>
      </c>
      <c r="E1155" s="65">
        <v>64.95</v>
      </c>
      <c r="F1155" s="8">
        <v>2.77</v>
      </c>
      <c r="G1155" s="66">
        <v>214.1399135</v>
      </c>
      <c r="H1155" s="8">
        <v>6.384</v>
      </c>
      <c r="J1155" s="26"/>
      <c r="K1155"/>
    </row>
    <row r="1156" spans="1:11">
      <c r="A1156">
        <v>9</v>
      </c>
      <c r="B1156" s="64">
        <v>40284</v>
      </c>
      <c r="C1156" s="2">
        <v>485764.32</v>
      </c>
      <c r="D1156">
        <v>0</v>
      </c>
      <c r="E1156" s="65">
        <v>66.09</v>
      </c>
      <c r="F1156" s="8">
        <v>2.808</v>
      </c>
      <c r="G1156" s="66">
        <v>214.0001817</v>
      </c>
      <c r="H1156" s="8">
        <v>6.384</v>
      </c>
      <c r="J1156" s="26"/>
      <c r="K1156"/>
    </row>
    <row r="1157" spans="1:11">
      <c r="A1157">
        <v>9</v>
      </c>
      <c r="B1157" s="64">
        <v>40291</v>
      </c>
      <c r="C1157" s="2">
        <v>488683.57</v>
      </c>
      <c r="D1157">
        <v>0</v>
      </c>
      <c r="E1157" s="65">
        <v>61.26</v>
      </c>
      <c r="F1157" s="8">
        <v>2.795</v>
      </c>
      <c r="G1157" s="66">
        <v>213.9496138</v>
      </c>
      <c r="H1157" s="8">
        <v>6.384</v>
      </c>
      <c r="J1157" s="26"/>
      <c r="K1157"/>
    </row>
    <row r="1158" spans="1:11">
      <c r="A1158">
        <v>9</v>
      </c>
      <c r="B1158" s="64">
        <v>40298</v>
      </c>
      <c r="C1158" s="2">
        <v>491723.42</v>
      </c>
      <c r="D1158">
        <v>0</v>
      </c>
      <c r="E1158" s="65">
        <v>66.07</v>
      </c>
      <c r="F1158" s="8">
        <v>2.78</v>
      </c>
      <c r="G1158" s="66">
        <v>213.8990459</v>
      </c>
      <c r="H1158" s="8">
        <v>6.384</v>
      </c>
      <c r="J1158" s="26"/>
      <c r="K1158"/>
    </row>
    <row r="1159" spans="1:11">
      <c r="A1159">
        <v>9</v>
      </c>
      <c r="B1159" s="64">
        <v>40305</v>
      </c>
      <c r="C1159" s="2">
        <v>526128.61</v>
      </c>
      <c r="D1159">
        <v>0</v>
      </c>
      <c r="E1159" s="65">
        <v>68.58</v>
      </c>
      <c r="F1159" s="8">
        <v>2.835</v>
      </c>
      <c r="G1159" s="66">
        <v>213.848478</v>
      </c>
      <c r="H1159" s="8">
        <v>6.384</v>
      </c>
      <c r="J1159" s="26"/>
      <c r="K1159"/>
    </row>
    <row r="1160" spans="1:11">
      <c r="A1160">
        <v>9</v>
      </c>
      <c r="B1160" s="64">
        <v>40312</v>
      </c>
      <c r="C1160" s="2">
        <v>492792.8</v>
      </c>
      <c r="D1160">
        <v>0</v>
      </c>
      <c r="E1160" s="65">
        <v>70.53</v>
      </c>
      <c r="F1160" s="8">
        <v>2.854</v>
      </c>
      <c r="G1160" s="66">
        <v>213.8469819</v>
      </c>
      <c r="H1160" s="8">
        <v>6.384</v>
      </c>
      <c r="J1160" s="26"/>
      <c r="K1160"/>
    </row>
    <row r="1161" spans="1:11">
      <c r="A1161">
        <v>9</v>
      </c>
      <c r="B1161" s="64">
        <v>40319</v>
      </c>
      <c r="C1161" s="2">
        <v>506274.94</v>
      </c>
      <c r="D1161">
        <v>0</v>
      </c>
      <c r="E1161" s="65">
        <v>71.5</v>
      </c>
      <c r="F1161" s="8">
        <v>2.826</v>
      </c>
      <c r="G1161" s="66">
        <v>214.1399162</v>
      </c>
      <c r="H1161" s="8">
        <v>6.384</v>
      </c>
      <c r="J1161" s="26"/>
      <c r="K1161"/>
    </row>
    <row r="1162" spans="1:11">
      <c r="A1162">
        <v>9</v>
      </c>
      <c r="B1162" s="64">
        <v>40326</v>
      </c>
      <c r="C1162" s="2">
        <v>558143.53</v>
      </c>
      <c r="D1162">
        <v>0</v>
      </c>
      <c r="E1162" s="65">
        <v>77.12</v>
      </c>
      <c r="F1162" s="8">
        <v>2.759</v>
      </c>
      <c r="G1162" s="66">
        <v>214.4328505</v>
      </c>
      <c r="H1162" s="8">
        <v>6.384</v>
      </c>
      <c r="J1162" s="26"/>
      <c r="K1162"/>
    </row>
    <row r="1163" spans="1:11">
      <c r="A1163">
        <v>9</v>
      </c>
      <c r="B1163" s="64">
        <v>40333</v>
      </c>
      <c r="C1163" s="2">
        <v>586061.46</v>
      </c>
      <c r="D1163">
        <v>0</v>
      </c>
      <c r="E1163" s="65">
        <v>79.65</v>
      </c>
      <c r="F1163" s="8">
        <v>2.705</v>
      </c>
      <c r="G1163" s="66">
        <v>214.7257848</v>
      </c>
      <c r="H1163" s="8">
        <v>6.384</v>
      </c>
      <c r="J1163" s="26"/>
      <c r="K1163"/>
    </row>
    <row r="1164" spans="1:11">
      <c r="A1164">
        <v>9</v>
      </c>
      <c r="B1164" s="64">
        <v>40340</v>
      </c>
      <c r="C1164" s="2">
        <v>522715.68</v>
      </c>
      <c r="D1164">
        <v>0</v>
      </c>
      <c r="E1164" s="65">
        <v>83.75</v>
      </c>
      <c r="F1164" s="8">
        <v>2.668</v>
      </c>
      <c r="G1164" s="66">
        <v>215.0187191</v>
      </c>
      <c r="H1164" s="8">
        <v>6.384</v>
      </c>
      <c r="J1164" s="26"/>
      <c r="K1164"/>
    </row>
    <row r="1165" spans="1:11">
      <c r="A1165">
        <v>9</v>
      </c>
      <c r="B1165" s="64">
        <v>40347</v>
      </c>
      <c r="C1165" s="2">
        <v>513073.87</v>
      </c>
      <c r="D1165">
        <v>0</v>
      </c>
      <c r="E1165" s="65">
        <v>82.99</v>
      </c>
      <c r="F1165" s="8">
        <v>2.637</v>
      </c>
      <c r="G1165" s="66">
        <v>215.0166484</v>
      </c>
      <c r="H1165" s="8">
        <v>6.384</v>
      </c>
      <c r="J1165" s="26"/>
      <c r="K1165"/>
    </row>
    <row r="1166" spans="1:11">
      <c r="A1166">
        <v>9</v>
      </c>
      <c r="B1166" s="64">
        <v>40354</v>
      </c>
      <c r="C1166" s="2">
        <v>509263.28</v>
      </c>
      <c r="D1166">
        <v>0</v>
      </c>
      <c r="E1166" s="65">
        <v>85.02</v>
      </c>
      <c r="F1166" s="8">
        <v>2.653</v>
      </c>
      <c r="G1166" s="66">
        <v>214.8965756</v>
      </c>
      <c r="H1166" s="8">
        <v>6.384</v>
      </c>
      <c r="J1166" s="26"/>
      <c r="K1166"/>
    </row>
    <row r="1167" spans="1:11">
      <c r="A1167">
        <v>9</v>
      </c>
      <c r="B1167" s="64">
        <v>40361</v>
      </c>
      <c r="C1167" s="2">
        <v>528832.54</v>
      </c>
      <c r="D1167">
        <v>0</v>
      </c>
      <c r="E1167" s="65">
        <v>78.55</v>
      </c>
      <c r="F1167" s="8">
        <v>2.669</v>
      </c>
      <c r="G1167" s="66">
        <v>214.7765028</v>
      </c>
      <c r="H1167" s="8">
        <v>6.442</v>
      </c>
      <c r="J1167" s="26"/>
      <c r="K1167"/>
    </row>
    <row r="1168" spans="1:11">
      <c r="A1168">
        <v>9</v>
      </c>
      <c r="B1168" s="64">
        <v>40368</v>
      </c>
      <c r="C1168" s="2">
        <v>485389.15</v>
      </c>
      <c r="D1168">
        <v>0</v>
      </c>
      <c r="E1168" s="65">
        <v>78.51</v>
      </c>
      <c r="F1168" s="8">
        <v>2.642</v>
      </c>
      <c r="G1168" s="66">
        <v>214.6564301</v>
      </c>
      <c r="H1168" s="8">
        <v>6.442</v>
      </c>
      <c r="J1168" s="26"/>
      <c r="K1168"/>
    </row>
    <row r="1169" spans="1:11">
      <c r="A1169">
        <v>9</v>
      </c>
      <c r="B1169" s="64">
        <v>40375</v>
      </c>
      <c r="C1169" s="2">
        <v>474030.51</v>
      </c>
      <c r="D1169">
        <v>0</v>
      </c>
      <c r="E1169" s="65">
        <v>82.93</v>
      </c>
      <c r="F1169" s="8">
        <v>2.623</v>
      </c>
      <c r="G1169" s="66">
        <v>214.6474453</v>
      </c>
      <c r="H1169" s="8">
        <v>6.442</v>
      </c>
      <c r="J1169" s="26"/>
      <c r="K1169"/>
    </row>
    <row r="1170" spans="1:11">
      <c r="A1170">
        <v>9</v>
      </c>
      <c r="B1170" s="64">
        <v>40382</v>
      </c>
      <c r="C1170" s="2">
        <v>462676.5</v>
      </c>
      <c r="D1170">
        <v>0</v>
      </c>
      <c r="E1170" s="65">
        <v>84.49</v>
      </c>
      <c r="F1170" s="8">
        <v>2.608</v>
      </c>
      <c r="G1170" s="66">
        <v>214.7865779</v>
      </c>
      <c r="H1170" s="8">
        <v>6.442</v>
      </c>
      <c r="J1170" s="26"/>
      <c r="K1170"/>
    </row>
    <row r="1171" spans="1:11">
      <c r="A1171">
        <v>9</v>
      </c>
      <c r="B1171" s="64">
        <v>40389</v>
      </c>
      <c r="C1171" s="2">
        <v>468675.19</v>
      </c>
      <c r="D1171">
        <v>0</v>
      </c>
      <c r="E1171" s="65">
        <v>79.83</v>
      </c>
      <c r="F1171" s="8">
        <v>2.64</v>
      </c>
      <c r="G1171" s="66">
        <v>214.9257105</v>
      </c>
      <c r="H1171" s="8">
        <v>6.442</v>
      </c>
      <c r="J1171" s="26"/>
      <c r="K1171"/>
    </row>
    <row r="1172" spans="1:11">
      <c r="A1172">
        <v>9</v>
      </c>
      <c r="B1172" s="64">
        <v>40396</v>
      </c>
      <c r="C1172" s="2">
        <v>522815.45</v>
      </c>
      <c r="D1172">
        <v>0</v>
      </c>
      <c r="E1172" s="65">
        <v>87.09</v>
      </c>
      <c r="F1172" s="8">
        <v>2.627</v>
      </c>
      <c r="G1172" s="66">
        <v>215.064843</v>
      </c>
      <c r="H1172" s="8">
        <v>6.442</v>
      </c>
      <c r="J1172" s="26"/>
      <c r="K1172"/>
    </row>
    <row r="1173" spans="1:11">
      <c r="A1173">
        <v>9</v>
      </c>
      <c r="B1173" s="64">
        <v>40403</v>
      </c>
      <c r="C1173" s="2">
        <v>481897.98</v>
      </c>
      <c r="D1173">
        <v>0</v>
      </c>
      <c r="E1173" s="65">
        <v>86.85</v>
      </c>
      <c r="F1173" s="8">
        <v>2.692</v>
      </c>
      <c r="G1173" s="66">
        <v>215.2039756</v>
      </c>
      <c r="H1173" s="8">
        <v>6.442</v>
      </c>
      <c r="J1173" s="26"/>
      <c r="K1173"/>
    </row>
    <row r="1174" spans="1:11">
      <c r="A1174">
        <v>9</v>
      </c>
      <c r="B1174" s="64">
        <v>40410</v>
      </c>
      <c r="C1174" s="2">
        <v>499325.38</v>
      </c>
      <c r="D1174">
        <v>0</v>
      </c>
      <c r="E1174" s="65">
        <v>86.3</v>
      </c>
      <c r="F1174" s="8">
        <v>2.664</v>
      </c>
      <c r="G1174" s="66">
        <v>215.1619646</v>
      </c>
      <c r="H1174" s="8">
        <v>6.442</v>
      </c>
      <c r="J1174" s="26"/>
      <c r="K1174"/>
    </row>
    <row r="1175" spans="1:11">
      <c r="A1175">
        <v>9</v>
      </c>
      <c r="B1175" s="64">
        <v>40417</v>
      </c>
      <c r="C1175" s="2">
        <v>506789.66</v>
      </c>
      <c r="D1175">
        <v>0</v>
      </c>
      <c r="E1175" s="65">
        <v>84.01</v>
      </c>
      <c r="F1175" s="8">
        <v>2.619</v>
      </c>
      <c r="G1175" s="66">
        <v>215.1199536</v>
      </c>
      <c r="H1175" s="8">
        <v>6.442</v>
      </c>
      <c r="J1175" s="26"/>
      <c r="K1175"/>
    </row>
    <row r="1176" spans="1:11">
      <c r="A1176">
        <v>9</v>
      </c>
      <c r="B1176" s="64">
        <v>40424</v>
      </c>
      <c r="C1176" s="2">
        <v>511049.06</v>
      </c>
      <c r="D1176">
        <v>0</v>
      </c>
      <c r="E1176" s="65">
        <v>82.47</v>
      </c>
      <c r="F1176" s="8">
        <v>2.577</v>
      </c>
      <c r="G1176" s="66">
        <v>215.0779426</v>
      </c>
      <c r="H1176" s="8">
        <v>6.442</v>
      </c>
      <c r="J1176" s="26"/>
      <c r="K1176"/>
    </row>
    <row r="1177" spans="1:11">
      <c r="A1177">
        <v>9</v>
      </c>
      <c r="B1177" s="64">
        <v>40431</v>
      </c>
      <c r="C1177" s="2">
        <v>484835.2</v>
      </c>
      <c r="D1177">
        <v>1</v>
      </c>
      <c r="E1177" s="65">
        <v>77.7</v>
      </c>
      <c r="F1177" s="8">
        <v>2.565</v>
      </c>
      <c r="G1177" s="66">
        <v>215.0359315</v>
      </c>
      <c r="H1177" s="8">
        <v>6.442</v>
      </c>
      <c r="J1177" s="26"/>
      <c r="K1177"/>
    </row>
    <row r="1178" spans="1:11">
      <c r="A1178">
        <v>9</v>
      </c>
      <c r="B1178" s="64">
        <v>40438</v>
      </c>
      <c r="C1178" s="2">
        <v>463448.59</v>
      </c>
      <c r="D1178">
        <v>0</v>
      </c>
      <c r="E1178" s="65">
        <v>81.19</v>
      </c>
      <c r="F1178" s="8">
        <v>2.582</v>
      </c>
      <c r="G1178" s="66">
        <v>215.0615285</v>
      </c>
      <c r="H1178" s="8">
        <v>6.442</v>
      </c>
      <c r="J1178" s="26"/>
      <c r="K1178"/>
    </row>
    <row r="1179" spans="1:11">
      <c r="A1179">
        <v>9</v>
      </c>
      <c r="B1179" s="64">
        <v>40445</v>
      </c>
      <c r="C1179" s="2">
        <v>452905.22</v>
      </c>
      <c r="D1179">
        <v>0</v>
      </c>
      <c r="E1179" s="65">
        <v>77.15</v>
      </c>
      <c r="F1179" s="8">
        <v>2.624</v>
      </c>
      <c r="G1179" s="66">
        <v>215.1378313</v>
      </c>
      <c r="H1179" s="8">
        <v>6.442</v>
      </c>
      <c r="J1179" s="26"/>
      <c r="K1179"/>
    </row>
    <row r="1180" spans="1:11">
      <c r="A1180">
        <v>9</v>
      </c>
      <c r="B1180" s="64">
        <v>40452</v>
      </c>
      <c r="C1180" s="2">
        <v>495692.19</v>
      </c>
      <c r="D1180">
        <v>0</v>
      </c>
      <c r="E1180" s="65">
        <v>69.08</v>
      </c>
      <c r="F1180" s="8">
        <v>2.603</v>
      </c>
      <c r="G1180" s="66">
        <v>215.2141341</v>
      </c>
      <c r="H1180" s="8">
        <v>6.56</v>
      </c>
      <c r="J1180" s="26"/>
      <c r="K1180"/>
    </row>
    <row r="1181" spans="1:11">
      <c r="A1181">
        <v>9</v>
      </c>
      <c r="B1181" s="64">
        <v>40459</v>
      </c>
      <c r="C1181" s="2">
        <v>505069.21</v>
      </c>
      <c r="D1181">
        <v>0</v>
      </c>
      <c r="E1181" s="65">
        <v>65.35</v>
      </c>
      <c r="F1181" s="8">
        <v>2.633</v>
      </c>
      <c r="G1181" s="66">
        <v>215.290437</v>
      </c>
      <c r="H1181" s="8">
        <v>6.56</v>
      </c>
      <c r="J1181" s="26"/>
      <c r="K1181"/>
    </row>
    <row r="1182" spans="1:11">
      <c r="A1182">
        <v>9</v>
      </c>
      <c r="B1182" s="64">
        <v>40466</v>
      </c>
      <c r="C1182" s="2">
        <v>454769.68</v>
      </c>
      <c r="D1182">
        <v>0</v>
      </c>
      <c r="E1182" s="65">
        <v>67.36</v>
      </c>
      <c r="F1182" s="8">
        <v>2.72</v>
      </c>
      <c r="G1182" s="66">
        <v>215.3589917</v>
      </c>
      <c r="H1182" s="8">
        <v>6.56</v>
      </c>
      <c r="J1182" s="26"/>
      <c r="K1182"/>
    </row>
    <row r="1183" spans="1:11">
      <c r="A1183">
        <v>9</v>
      </c>
      <c r="B1183" s="64">
        <v>40473</v>
      </c>
      <c r="C1183" s="2">
        <v>466322.76</v>
      </c>
      <c r="D1183">
        <v>0</v>
      </c>
      <c r="E1183" s="65">
        <v>69.99</v>
      </c>
      <c r="F1183" s="8">
        <v>2.725</v>
      </c>
      <c r="G1183" s="66">
        <v>215.4081762</v>
      </c>
      <c r="H1183" s="8">
        <v>6.56</v>
      </c>
      <c r="J1183" s="26"/>
      <c r="K1183"/>
    </row>
    <row r="1184" spans="1:11">
      <c r="A1184">
        <v>9</v>
      </c>
      <c r="B1184" s="64">
        <v>40480</v>
      </c>
      <c r="C1184" s="2">
        <v>508801.61</v>
      </c>
      <c r="D1184">
        <v>0</v>
      </c>
      <c r="E1184" s="65">
        <v>64.43</v>
      </c>
      <c r="F1184" s="8">
        <v>2.716</v>
      </c>
      <c r="G1184" s="66">
        <v>215.4573607</v>
      </c>
      <c r="H1184" s="8">
        <v>6.56</v>
      </c>
      <c r="J1184" s="26"/>
      <c r="K1184"/>
    </row>
    <row r="1185" spans="1:11">
      <c r="A1185">
        <v>9</v>
      </c>
      <c r="B1185" s="64">
        <v>40487</v>
      </c>
      <c r="C1185" s="2">
        <v>517869.97</v>
      </c>
      <c r="D1185">
        <v>0</v>
      </c>
      <c r="E1185" s="65">
        <v>58.69</v>
      </c>
      <c r="F1185" s="8">
        <v>2.689</v>
      </c>
      <c r="G1185" s="66">
        <v>215.5065452</v>
      </c>
      <c r="H1185" s="8">
        <v>6.56</v>
      </c>
      <c r="J1185" s="26"/>
      <c r="K1185"/>
    </row>
    <row r="1186" spans="1:11">
      <c r="A1186">
        <v>9</v>
      </c>
      <c r="B1186" s="64">
        <v>40494</v>
      </c>
      <c r="C1186" s="2">
        <v>520846.68</v>
      </c>
      <c r="D1186">
        <v>0</v>
      </c>
      <c r="E1186" s="65">
        <v>61.59</v>
      </c>
      <c r="F1186" s="8">
        <v>2.728</v>
      </c>
      <c r="G1186" s="66">
        <v>215.5557297</v>
      </c>
      <c r="H1186" s="8">
        <v>6.56</v>
      </c>
      <c r="J1186" s="26"/>
      <c r="K1186"/>
    </row>
    <row r="1187" spans="1:11">
      <c r="A1187">
        <v>9</v>
      </c>
      <c r="B1187" s="64">
        <v>40501</v>
      </c>
      <c r="C1187" s="2">
        <v>519823.3</v>
      </c>
      <c r="D1187">
        <v>0</v>
      </c>
      <c r="E1187" s="65">
        <v>49.96</v>
      </c>
      <c r="F1187" s="8">
        <v>2.771</v>
      </c>
      <c r="G1187" s="66">
        <v>215.4372854</v>
      </c>
      <c r="H1187" s="8">
        <v>6.56</v>
      </c>
      <c r="J1187" s="26"/>
      <c r="K1187"/>
    </row>
    <row r="1188" spans="1:11">
      <c r="A1188">
        <v>9</v>
      </c>
      <c r="B1188" s="64">
        <v>40508</v>
      </c>
      <c r="C1188" s="2">
        <v>768070.53</v>
      </c>
      <c r="D1188">
        <v>1</v>
      </c>
      <c r="E1188" s="65">
        <v>60.18</v>
      </c>
      <c r="F1188" s="8">
        <v>2.735</v>
      </c>
      <c r="G1188" s="66">
        <v>215.2909028</v>
      </c>
      <c r="H1188" s="8">
        <v>6.56</v>
      </c>
      <c r="J1188" s="26"/>
      <c r="K1188"/>
    </row>
    <row r="1189" spans="1:11">
      <c r="A1189">
        <v>9</v>
      </c>
      <c r="B1189" s="64">
        <v>40515</v>
      </c>
      <c r="C1189" s="2">
        <v>578164.82</v>
      </c>
      <c r="D1189">
        <v>0</v>
      </c>
      <c r="E1189" s="65">
        <v>49.89</v>
      </c>
      <c r="F1189" s="8">
        <v>2.708</v>
      </c>
      <c r="G1189" s="66">
        <v>215.1445203</v>
      </c>
      <c r="H1189" s="8">
        <v>6.56</v>
      </c>
      <c r="J1189" s="26"/>
      <c r="K1189"/>
    </row>
    <row r="1190" spans="1:11">
      <c r="A1190">
        <v>9</v>
      </c>
      <c r="B1190" s="64">
        <v>40522</v>
      </c>
      <c r="C1190" s="2">
        <v>618121.82</v>
      </c>
      <c r="D1190">
        <v>0</v>
      </c>
      <c r="E1190" s="65">
        <v>46.1</v>
      </c>
      <c r="F1190" s="8">
        <v>2.843</v>
      </c>
      <c r="G1190" s="66">
        <v>214.9981378</v>
      </c>
      <c r="H1190" s="8">
        <v>6.56</v>
      </c>
      <c r="J1190" s="26"/>
      <c r="K1190"/>
    </row>
    <row r="1191" spans="1:11">
      <c r="A1191">
        <v>9</v>
      </c>
      <c r="B1191" s="64">
        <v>40529</v>
      </c>
      <c r="C1191" s="2">
        <v>685243.2</v>
      </c>
      <c r="D1191">
        <v>0</v>
      </c>
      <c r="E1191" s="65">
        <v>49.7</v>
      </c>
      <c r="F1191" s="8">
        <v>2.869</v>
      </c>
      <c r="G1191" s="66">
        <v>214.9334937</v>
      </c>
      <c r="H1191" s="8">
        <v>6.56</v>
      </c>
      <c r="J1191" s="26"/>
      <c r="K1191"/>
    </row>
    <row r="1192" spans="1:11">
      <c r="A1192">
        <v>9</v>
      </c>
      <c r="B1192" s="64">
        <v>40536</v>
      </c>
      <c r="C1192" s="2">
        <v>873347.55</v>
      </c>
      <c r="D1192">
        <v>0</v>
      </c>
      <c r="E1192" s="65">
        <v>50.93</v>
      </c>
      <c r="F1192" s="8">
        <v>2.886</v>
      </c>
      <c r="G1192" s="66">
        <v>214.9301534</v>
      </c>
      <c r="H1192" s="8">
        <v>6.56</v>
      </c>
      <c r="J1192" s="26"/>
      <c r="K1192"/>
    </row>
    <row r="1193" spans="1:11">
      <c r="A1193">
        <v>9</v>
      </c>
      <c r="B1193" s="64">
        <v>40543</v>
      </c>
      <c r="C1193" s="2">
        <v>459770.85</v>
      </c>
      <c r="D1193">
        <v>1</v>
      </c>
      <c r="E1193" s="65">
        <v>45.92</v>
      </c>
      <c r="F1193" s="8">
        <v>2.943</v>
      </c>
      <c r="G1193" s="66">
        <v>214.9268131</v>
      </c>
      <c r="H1193" s="8">
        <v>6.56</v>
      </c>
      <c r="J1193" s="26"/>
      <c r="K1193"/>
    </row>
    <row r="1194" spans="1:11">
      <c r="A1194">
        <v>9</v>
      </c>
      <c r="B1194" s="64">
        <v>40550</v>
      </c>
      <c r="C1194" s="2">
        <v>490981.78</v>
      </c>
      <c r="D1194">
        <v>0</v>
      </c>
      <c r="E1194" s="65">
        <v>41.82</v>
      </c>
      <c r="F1194" s="8">
        <v>2.976</v>
      </c>
      <c r="G1194" s="66">
        <v>214.9234729</v>
      </c>
      <c r="H1194" s="8">
        <v>6.416</v>
      </c>
      <c r="J1194" s="26"/>
      <c r="K1194"/>
    </row>
    <row r="1195" spans="1:11">
      <c r="A1195">
        <v>9</v>
      </c>
      <c r="B1195" s="64">
        <v>40557</v>
      </c>
      <c r="C1195" s="2">
        <v>458086.69</v>
      </c>
      <c r="D1195">
        <v>0</v>
      </c>
      <c r="E1195" s="65">
        <v>36.43</v>
      </c>
      <c r="F1195" s="8">
        <v>2.983</v>
      </c>
      <c r="G1195" s="66">
        <v>214.9749587</v>
      </c>
      <c r="H1195" s="8">
        <v>6.416</v>
      </c>
      <c r="J1195" s="26"/>
      <c r="K1195"/>
    </row>
    <row r="1196" spans="1:11">
      <c r="A1196">
        <v>9</v>
      </c>
      <c r="B1196" s="64">
        <v>40564</v>
      </c>
      <c r="C1196" s="2">
        <v>454021.69</v>
      </c>
      <c r="D1196">
        <v>0</v>
      </c>
      <c r="E1196" s="65">
        <v>44.72</v>
      </c>
      <c r="F1196" s="8">
        <v>3.016</v>
      </c>
      <c r="G1196" s="66">
        <v>215.3554013</v>
      </c>
      <c r="H1196" s="8">
        <v>6.416</v>
      </c>
      <c r="J1196" s="26"/>
      <c r="K1196"/>
    </row>
    <row r="1197" spans="1:11">
      <c r="A1197">
        <v>9</v>
      </c>
      <c r="B1197" s="64">
        <v>40571</v>
      </c>
      <c r="C1197" s="2">
        <v>463561.48</v>
      </c>
      <c r="D1197">
        <v>0</v>
      </c>
      <c r="E1197" s="65">
        <v>43.9</v>
      </c>
      <c r="F1197" s="8">
        <v>3.01</v>
      </c>
      <c r="G1197" s="66">
        <v>215.7358438</v>
      </c>
      <c r="H1197" s="8">
        <v>6.416</v>
      </c>
      <c r="J1197" s="26"/>
      <c r="K1197"/>
    </row>
    <row r="1198" spans="1:11">
      <c r="A1198">
        <v>9</v>
      </c>
      <c r="B1198" s="64">
        <v>40578</v>
      </c>
      <c r="C1198" s="2">
        <v>544612.28</v>
      </c>
      <c r="D1198">
        <v>0</v>
      </c>
      <c r="E1198" s="65">
        <v>31.82</v>
      </c>
      <c r="F1198" s="8">
        <v>2.989</v>
      </c>
      <c r="G1198" s="66">
        <v>216.1162864</v>
      </c>
      <c r="H1198" s="8">
        <v>6.416</v>
      </c>
      <c r="J1198" s="26"/>
      <c r="K1198"/>
    </row>
    <row r="1199" spans="1:11">
      <c r="A1199">
        <v>9</v>
      </c>
      <c r="B1199" s="64">
        <v>40585</v>
      </c>
      <c r="C1199" s="2">
        <v>555279.02</v>
      </c>
      <c r="D1199">
        <v>1</v>
      </c>
      <c r="E1199" s="65">
        <v>34.13</v>
      </c>
      <c r="F1199" s="8">
        <v>3.022</v>
      </c>
      <c r="G1199" s="66">
        <v>216.496729</v>
      </c>
      <c r="H1199" s="8">
        <v>6.416</v>
      </c>
      <c r="J1199" s="26"/>
      <c r="K1199"/>
    </row>
    <row r="1200" spans="1:11">
      <c r="A1200">
        <v>9</v>
      </c>
      <c r="B1200" s="64">
        <v>40592</v>
      </c>
      <c r="C1200" s="2">
        <v>610985.56</v>
      </c>
      <c r="D1200">
        <v>0</v>
      </c>
      <c r="E1200" s="65">
        <v>58.5</v>
      </c>
      <c r="F1200" s="8">
        <v>3.045</v>
      </c>
      <c r="G1200" s="66">
        <v>216.8154856</v>
      </c>
      <c r="H1200" s="8">
        <v>6.416</v>
      </c>
      <c r="J1200" s="26"/>
      <c r="K1200"/>
    </row>
    <row r="1201" spans="1:11">
      <c r="A1201">
        <v>9</v>
      </c>
      <c r="B1201" s="64">
        <v>40599</v>
      </c>
      <c r="C1201" s="2">
        <v>513107.2</v>
      </c>
      <c r="D1201">
        <v>0</v>
      </c>
      <c r="E1201" s="65">
        <v>59.01</v>
      </c>
      <c r="F1201" s="8">
        <v>3.065</v>
      </c>
      <c r="G1201" s="66">
        <v>217.1095679</v>
      </c>
      <c r="H1201" s="8">
        <v>6.416</v>
      </c>
      <c r="J1201" s="26"/>
      <c r="K1201"/>
    </row>
    <row r="1202" spans="1:11">
      <c r="A1202">
        <v>9</v>
      </c>
      <c r="B1202" s="64">
        <v>40606</v>
      </c>
      <c r="C1202" s="2">
        <v>542016.18</v>
      </c>
      <c r="D1202">
        <v>0</v>
      </c>
      <c r="E1202" s="65">
        <v>60.67</v>
      </c>
      <c r="F1202" s="8">
        <v>3.288</v>
      </c>
      <c r="G1202" s="66">
        <v>217.4036503</v>
      </c>
      <c r="H1202" s="8">
        <v>6.416</v>
      </c>
      <c r="J1202" s="26"/>
      <c r="K1202"/>
    </row>
    <row r="1203" spans="1:11">
      <c r="A1203">
        <v>9</v>
      </c>
      <c r="B1203" s="64">
        <v>40613</v>
      </c>
      <c r="C1203" s="2">
        <v>517783.5</v>
      </c>
      <c r="D1203">
        <v>0</v>
      </c>
      <c r="E1203" s="65">
        <v>54.75</v>
      </c>
      <c r="F1203" s="8">
        <v>3.459</v>
      </c>
      <c r="G1203" s="66">
        <v>217.6977326</v>
      </c>
      <c r="H1203" s="8">
        <v>6.416</v>
      </c>
      <c r="J1203" s="26"/>
      <c r="K1203"/>
    </row>
    <row r="1204" spans="1:11">
      <c r="A1204">
        <v>9</v>
      </c>
      <c r="B1204" s="64">
        <v>40620</v>
      </c>
      <c r="C1204" s="2">
        <v>515226.11</v>
      </c>
      <c r="D1204">
        <v>0</v>
      </c>
      <c r="E1204" s="65">
        <v>63.82</v>
      </c>
      <c r="F1204" s="8">
        <v>3.488</v>
      </c>
      <c r="G1204" s="66">
        <v>217.9563371</v>
      </c>
      <c r="H1204" s="8">
        <v>6.416</v>
      </c>
      <c r="J1204" s="26"/>
      <c r="K1204"/>
    </row>
    <row r="1205" spans="1:11">
      <c r="A1205">
        <v>9</v>
      </c>
      <c r="B1205" s="64">
        <v>40627</v>
      </c>
      <c r="C1205" s="2">
        <v>497488.4</v>
      </c>
      <c r="D1205">
        <v>0</v>
      </c>
      <c r="E1205" s="65">
        <v>68.79</v>
      </c>
      <c r="F1205" s="8">
        <v>3.473</v>
      </c>
      <c r="G1205" s="66">
        <v>218.2007506</v>
      </c>
      <c r="H1205" s="8">
        <v>6.416</v>
      </c>
      <c r="J1205" s="26"/>
      <c r="K1205"/>
    </row>
    <row r="1206" spans="1:11">
      <c r="A1206">
        <v>9</v>
      </c>
      <c r="B1206" s="64">
        <v>40634</v>
      </c>
      <c r="C1206" s="2">
        <v>520962.14</v>
      </c>
      <c r="D1206">
        <v>0</v>
      </c>
      <c r="E1206" s="65">
        <v>56.12</v>
      </c>
      <c r="F1206" s="8">
        <v>3.524</v>
      </c>
      <c r="G1206" s="66">
        <v>218.445164</v>
      </c>
      <c r="H1206" s="8">
        <v>6.38</v>
      </c>
      <c r="J1206" s="26"/>
      <c r="K1206"/>
    </row>
    <row r="1207" spans="1:11">
      <c r="A1207">
        <v>9</v>
      </c>
      <c r="B1207" s="64">
        <v>40641</v>
      </c>
      <c r="C1207" s="2">
        <v>561625.92</v>
      </c>
      <c r="D1207">
        <v>0</v>
      </c>
      <c r="E1207" s="65">
        <v>71.4</v>
      </c>
      <c r="F1207" s="8">
        <v>3.622</v>
      </c>
      <c r="G1207" s="66">
        <v>218.6895775</v>
      </c>
      <c r="H1207" s="8">
        <v>6.38</v>
      </c>
      <c r="J1207" s="26"/>
      <c r="K1207"/>
    </row>
    <row r="1208" spans="1:11">
      <c r="A1208">
        <v>9</v>
      </c>
      <c r="B1208" s="64">
        <v>40648</v>
      </c>
      <c r="C1208" s="2">
        <v>528420.28</v>
      </c>
      <c r="D1208">
        <v>0</v>
      </c>
      <c r="E1208" s="65">
        <v>71.9</v>
      </c>
      <c r="F1208" s="8">
        <v>3.743</v>
      </c>
      <c r="G1208" s="66">
        <v>218.9134935</v>
      </c>
      <c r="H1208" s="8">
        <v>6.38</v>
      </c>
      <c r="J1208" s="26"/>
      <c r="K1208"/>
    </row>
    <row r="1209" spans="1:11">
      <c r="A1209">
        <v>9</v>
      </c>
      <c r="B1209" s="64">
        <v>40655</v>
      </c>
      <c r="C1209" s="2">
        <v>549502.11</v>
      </c>
      <c r="D1209">
        <v>0</v>
      </c>
      <c r="E1209" s="65">
        <v>72.35</v>
      </c>
      <c r="F1209" s="8">
        <v>3.807</v>
      </c>
      <c r="G1209" s="66">
        <v>219.0861659</v>
      </c>
      <c r="H1209" s="8">
        <v>6.38</v>
      </c>
      <c r="J1209" s="26"/>
      <c r="K1209"/>
    </row>
    <row r="1210" spans="1:11">
      <c r="A1210">
        <v>9</v>
      </c>
      <c r="B1210" s="64">
        <v>40662</v>
      </c>
      <c r="C1210" s="2">
        <v>532226.2</v>
      </c>
      <c r="D1210">
        <v>0</v>
      </c>
      <c r="E1210" s="65">
        <v>70.85</v>
      </c>
      <c r="F1210" s="8">
        <v>3.81</v>
      </c>
      <c r="G1210" s="66">
        <v>219.2588382</v>
      </c>
      <c r="H1210" s="8">
        <v>6.38</v>
      </c>
      <c r="J1210" s="26"/>
      <c r="K1210"/>
    </row>
    <row r="1211" spans="1:11">
      <c r="A1211">
        <v>9</v>
      </c>
      <c r="B1211" s="64">
        <v>40669</v>
      </c>
      <c r="C1211" s="2">
        <v>545251.1</v>
      </c>
      <c r="D1211">
        <v>0</v>
      </c>
      <c r="E1211" s="65">
        <v>62.2</v>
      </c>
      <c r="F1211" s="8">
        <v>3.906</v>
      </c>
      <c r="G1211" s="66">
        <v>219.4315106</v>
      </c>
      <c r="H1211" s="8">
        <v>6.38</v>
      </c>
      <c r="J1211" s="26"/>
      <c r="K1211"/>
    </row>
    <row r="1212" spans="1:11">
      <c r="A1212">
        <v>9</v>
      </c>
      <c r="B1212" s="64">
        <v>40676</v>
      </c>
      <c r="C1212" s="2">
        <v>539126</v>
      </c>
      <c r="D1212">
        <v>0</v>
      </c>
      <c r="E1212" s="65">
        <v>77.66</v>
      </c>
      <c r="F1212" s="8">
        <v>3.899</v>
      </c>
      <c r="G1212" s="66">
        <v>219.6041829</v>
      </c>
      <c r="H1212" s="8">
        <v>6.38</v>
      </c>
      <c r="J1212" s="26"/>
      <c r="K1212"/>
    </row>
    <row r="1213" spans="1:11">
      <c r="A1213">
        <v>9</v>
      </c>
      <c r="B1213" s="64">
        <v>40683</v>
      </c>
      <c r="C1213" s="2">
        <v>518266.9</v>
      </c>
      <c r="D1213">
        <v>0</v>
      </c>
      <c r="E1213" s="65">
        <v>70.49</v>
      </c>
      <c r="F1213" s="8">
        <v>3.907</v>
      </c>
      <c r="G1213" s="66">
        <v>219.3622809</v>
      </c>
      <c r="H1213" s="8">
        <v>6.38</v>
      </c>
      <c r="J1213" s="26"/>
      <c r="K1213"/>
    </row>
    <row r="1214" spans="1:11">
      <c r="A1214">
        <v>9</v>
      </c>
      <c r="B1214" s="64">
        <v>40690</v>
      </c>
      <c r="C1214" s="2">
        <v>553834.04</v>
      </c>
      <c r="D1214">
        <v>0</v>
      </c>
      <c r="E1214" s="65">
        <v>80.42</v>
      </c>
      <c r="F1214" s="8">
        <v>3.786</v>
      </c>
      <c r="G1214" s="66">
        <v>219.1203788</v>
      </c>
      <c r="H1214" s="8">
        <v>6.38</v>
      </c>
      <c r="J1214" s="26"/>
      <c r="K1214"/>
    </row>
    <row r="1215" spans="1:11">
      <c r="A1215">
        <v>9</v>
      </c>
      <c r="B1215" s="64">
        <v>40697</v>
      </c>
      <c r="C1215" s="2">
        <v>587004.29</v>
      </c>
      <c r="D1215">
        <v>0</v>
      </c>
      <c r="E1215" s="65">
        <v>85.8</v>
      </c>
      <c r="F1215" s="8">
        <v>3.699</v>
      </c>
      <c r="G1215" s="66">
        <v>218.8784768</v>
      </c>
      <c r="H1215" s="8">
        <v>6.38</v>
      </c>
      <c r="J1215" s="26"/>
      <c r="K1215"/>
    </row>
    <row r="1216" spans="1:11">
      <c r="A1216">
        <v>9</v>
      </c>
      <c r="B1216" s="64">
        <v>40704</v>
      </c>
      <c r="C1216" s="2">
        <v>550076.32</v>
      </c>
      <c r="D1216">
        <v>0</v>
      </c>
      <c r="E1216" s="65">
        <v>85.81</v>
      </c>
      <c r="F1216" s="8">
        <v>3.648</v>
      </c>
      <c r="G1216" s="66">
        <v>218.6365747</v>
      </c>
      <c r="H1216" s="8">
        <v>6.38</v>
      </c>
      <c r="J1216" s="26"/>
      <c r="K1216"/>
    </row>
    <row r="1217" spans="1:11">
      <c r="A1217">
        <v>9</v>
      </c>
      <c r="B1217" s="64">
        <v>40711</v>
      </c>
      <c r="C1217" s="2">
        <v>558671.14</v>
      </c>
      <c r="D1217">
        <v>0</v>
      </c>
      <c r="E1217" s="65">
        <v>89.15</v>
      </c>
      <c r="F1217" s="8">
        <v>3.637</v>
      </c>
      <c r="G1217" s="66">
        <v>218.5877333</v>
      </c>
      <c r="H1217" s="8">
        <v>6.38</v>
      </c>
      <c r="J1217" s="26"/>
      <c r="K1217"/>
    </row>
    <row r="1218" spans="1:11">
      <c r="A1218">
        <v>9</v>
      </c>
      <c r="B1218" s="64">
        <v>40718</v>
      </c>
      <c r="C1218" s="2">
        <v>538745.93</v>
      </c>
      <c r="D1218">
        <v>0</v>
      </c>
      <c r="E1218" s="65">
        <v>86.74</v>
      </c>
      <c r="F1218" s="8">
        <v>3.594</v>
      </c>
      <c r="G1218" s="66">
        <v>218.6836874</v>
      </c>
      <c r="H1218" s="8">
        <v>6.38</v>
      </c>
      <c r="J1218" s="26"/>
      <c r="K1218"/>
    </row>
    <row r="1219" spans="1:11">
      <c r="A1219">
        <v>9</v>
      </c>
      <c r="B1219" s="64">
        <v>40725</v>
      </c>
      <c r="C1219" s="2">
        <v>537064.03</v>
      </c>
      <c r="D1219">
        <v>0</v>
      </c>
      <c r="E1219" s="65">
        <v>89.14</v>
      </c>
      <c r="F1219" s="8">
        <v>3.524</v>
      </c>
      <c r="G1219" s="66">
        <v>218.7796415</v>
      </c>
      <c r="H1219" s="8">
        <v>6.404</v>
      </c>
      <c r="J1219" s="26"/>
      <c r="K1219"/>
    </row>
    <row r="1220" spans="1:11">
      <c r="A1220">
        <v>9</v>
      </c>
      <c r="B1220" s="64">
        <v>40732</v>
      </c>
      <c r="C1220" s="2">
        <v>535983.13</v>
      </c>
      <c r="D1220">
        <v>0</v>
      </c>
      <c r="E1220" s="65">
        <v>89.04</v>
      </c>
      <c r="F1220" s="8">
        <v>3.48</v>
      </c>
      <c r="G1220" s="66">
        <v>218.8755955</v>
      </c>
      <c r="H1220" s="8">
        <v>6.404</v>
      </c>
      <c r="J1220" s="26"/>
      <c r="K1220"/>
    </row>
    <row r="1221" spans="1:11">
      <c r="A1221">
        <v>9</v>
      </c>
      <c r="B1221" s="64">
        <v>40739</v>
      </c>
      <c r="C1221" s="2">
        <v>512834.04</v>
      </c>
      <c r="D1221">
        <v>0</v>
      </c>
      <c r="E1221" s="65">
        <v>90.45</v>
      </c>
      <c r="F1221" s="8">
        <v>3.575</v>
      </c>
      <c r="G1221" s="66">
        <v>218.9607242</v>
      </c>
      <c r="H1221" s="8">
        <v>6.404</v>
      </c>
      <c r="J1221" s="26"/>
      <c r="K1221"/>
    </row>
    <row r="1222" spans="1:11">
      <c r="A1222">
        <v>9</v>
      </c>
      <c r="B1222" s="64">
        <v>40746</v>
      </c>
      <c r="C1222" s="2">
        <v>491449.94</v>
      </c>
      <c r="D1222">
        <v>0</v>
      </c>
      <c r="E1222" s="65">
        <v>89.08</v>
      </c>
      <c r="F1222" s="8">
        <v>3.651</v>
      </c>
      <c r="G1222" s="66">
        <v>219.0187895</v>
      </c>
      <c r="H1222" s="8">
        <v>6.404</v>
      </c>
      <c r="J1222" s="26"/>
      <c r="K1222"/>
    </row>
    <row r="1223" spans="1:11">
      <c r="A1223">
        <v>9</v>
      </c>
      <c r="B1223" s="64">
        <v>40753</v>
      </c>
      <c r="C1223" s="2">
        <v>471449.98</v>
      </c>
      <c r="D1223">
        <v>0</v>
      </c>
      <c r="E1223" s="65">
        <v>91.1</v>
      </c>
      <c r="F1223" s="8">
        <v>3.682</v>
      </c>
      <c r="G1223" s="66">
        <v>219.0768548</v>
      </c>
      <c r="H1223" s="8">
        <v>6.404</v>
      </c>
      <c r="J1223" s="26"/>
      <c r="K1223"/>
    </row>
    <row r="1224" spans="1:11">
      <c r="A1224">
        <v>9</v>
      </c>
      <c r="B1224" s="64">
        <v>40760</v>
      </c>
      <c r="C1224" s="2">
        <v>554879.67</v>
      </c>
      <c r="D1224">
        <v>0</v>
      </c>
      <c r="E1224" s="65">
        <v>91.52</v>
      </c>
      <c r="F1224" s="8">
        <v>3.684</v>
      </c>
      <c r="G1224" s="66">
        <v>219.1349201</v>
      </c>
      <c r="H1224" s="8">
        <v>6.404</v>
      </c>
      <c r="J1224" s="26"/>
      <c r="K1224"/>
    </row>
    <row r="1225" spans="1:11">
      <c r="A1225">
        <v>9</v>
      </c>
      <c r="B1225" s="64">
        <v>40767</v>
      </c>
      <c r="C1225" s="2">
        <v>520284.79</v>
      </c>
      <c r="D1225">
        <v>0</v>
      </c>
      <c r="E1225" s="65">
        <v>91.63</v>
      </c>
      <c r="F1225" s="8">
        <v>3.638</v>
      </c>
      <c r="G1225" s="66">
        <v>219.1929854</v>
      </c>
      <c r="H1225" s="8">
        <v>6.404</v>
      </c>
      <c r="J1225" s="26"/>
      <c r="K1225"/>
    </row>
    <row r="1226" spans="1:11">
      <c r="A1226">
        <v>9</v>
      </c>
      <c r="B1226" s="64">
        <v>40774</v>
      </c>
      <c r="C1226" s="2">
        <v>540819.44</v>
      </c>
      <c r="D1226">
        <v>0</v>
      </c>
      <c r="E1226" s="65">
        <v>85.8</v>
      </c>
      <c r="F1226" s="8">
        <v>3.554</v>
      </c>
      <c r="G1226" s="66">
        <v>219.2556109</v>
      </c>
      <c r="H1226" s="8">
        <v>6.404</v>
      </c>
      <c r="J1226" s="26"/>
      <c r="K1226"/>
    </row>
    <row r="1227" spans="1:11">
      <c r="A1227">
        <v>9</v>
      </c>
      <c r="B1227" s="64">
        <v>40781</v>
      </c>
      <c r="C1227" s="2">
        <v>542663.53</v>
      </c>
      <c r="D1227">
        <v>0</v>
      </c>
      <c r="E1227" s="65">
        <v>88.95</v>
      </c>
      <c r="F1227" s="8">
        <v>3.523</v>
      </c>
      <c r="G1227" s="66">
        <v>219.3189965</v>
      </c>
      <c r="H1227" s="8">
        <v>6.404</v>
      </c>
      <c r="J1227" s="26"/>
      <c r="K1227"/>
    </row>
    <row r="1228" spans="1:11">
      <c r="A1228">
        <v>9</v>
      </c>
      <c r="B1228" s="64">
        <v>40788</v>
      </c>
      <c r="C1228" s="2">
        <v>544643.33</v>
      </c>
      <c r="D1228">
        <v>0</v>
      </c>
      <c r="E1228" s="65">
        <v>89.33</v>
      </c>
      <c r="F1228" s="8">
        <v>3.533</v>
      </c>
      <c r="G1228" s="66">
        <v>219.382382</v>
      </c>
      <c r="H1228" s="8">
        <v>6.404</v>
      </c>
      <c r="J1228" s="26"/>
      <c r="K1228"/>
    </row>
    <row r="1229" spans="1:11">
      <c r="A1229">
        <v>9</v>
      </c>
      <c r="B1229" s="64">
        <v>40795</v>
      </c>
      <c r="C1229" s="2">
        <v>528784.86</v>
      </c>
      <c r="D1229">
        <v>1</v>
      </c>
      <c r="E1229" s="65">
        <v>75.65</v>
      </c>
      <c r="F1229" s="8">
        <v>3.546</v>
      </c>
      <c r="G1229" s="66">
        <v>219.4457675</v>
      </c>
      <c r="H1229" s="8">
        <v>6.404</v>
      </c>
      <c r="J1229" s="26"/>
      <c r="K1229"/>
    </row>
    <row r="1230" spans="1:11">
      <c r="A1230">
        <v>9</v>
      </c>
      <c r="B1230" s="64">
        <v>40802</v>
      </c>
      <c r="C1230" s="2">
        <v>500274.03</v>
      </c>
      <c r="D1230">
        <v>0</v>
      </c>
      <c r="E1230" s="65">
        <v>77.95</v>
      </c>
      <c r="F1230" s="8">
        <v>3.526</v>
      </c>
      <c r="G1230" s="66">
        <v>219.6297841</v>
      </c>
      <c r="H1230" s="8">
        <v>6.404</v>
      </c>
      <c r="J1230" s="26"/>
      <c r="K1230"/>
    </row>
    <row r="1231" spans="1:11">
      <c r="A1231">
        <v>9</v>
      </c>
      <c r="B1231" s="64">
        <v>40809</v>
      </c>
      <c r="C1231" s="2">
        <v>506743.78</v>
      </c>
      <c r="D1231">
        <v>0</v>
      </c>
      <c r="E1231" s="65">
        <v>74.42</v>
      </c>
      <c r="F1231" s="8">
        <v>3.467</v>
      </c>
      <c r="G1231" s="66">
        <v>219.9746423</v>
      </c>
      <c r="H1231" s="8">
        <v>6.404</v>
      </c>
      <c r="J1231" s="26"/>
      <c r="K1231"/>
    </row>
    <row r="1232" spans="1:11">
      <c r="A1232">
        <v>9</v>
      </c>
      <c r="B1232" s="64">
        <v>40816</v>
      </c>
      <c r="C1232" s="2">
        <v>508567.04</v>
      </c>
      <c r="D1232">
        <v>0</v>
      </c>
      <c r="E1232" s="65">
        <v>78.45</v>
      </c>
      <c r="F1232" s="8">
        <v>3.355</v>
      </c>
      <c r="G1232" s="66">
        <v>220.3195004</v>
      </c>
      <c r="H1232" s="8">
        <v>6.404</v>
      </c>
      <c r="J1232" s="26"/>
      <c r="K1232"/>
    </row>
    <row r="1233" spans="1:11">
      <c r="A1233">
        <v>9</v>
      </c>
      <c r="B1233" s="64">
        <v>40823</v>
      </c>
      <c r="C1233" s="2">
        <v>553836.98</v>
      </c>
      <c r="D1233">
        <v>0</v>
      </c>
      <c r="E1233" s="65">
        <v>72.62</v>
      </c>
      <c r="F1233" s="8">
        <v>3.285</v>
      </c>
      <c r="G1233" s="66">
        <v>220.6643585</v>
      </c>
      <c r="H1233" s="8">
        <v>6.054</v>
      </c>
      <c r="J1233" s="26"/>
      <c r="K1233"/>
    </row>
    <row r="1234" spans="1:11">
      <c r="A1234">
        <v>9</v>
      </c>
      <c r="B1234" s="64">
        <v>40830</v>
      </c>
      <c r="C1234" s="2">
        <v>529515.66</v>
      </c>
      <c r="D1234">
        <v>0</v>
      </c>
      <c r="E1234" s="65">
        <v>67.27</v>
      </c>
      <c r="F1234" s="8">
        <v>3.274</v>
      </c>
      <c r="G1234" s="66">
        <v>220.9836849</v>
      </c>
      <c r="H1234" s="8">
        <v>6.054</v>
      </c>
      <c r="J1234" s="26"/>
      <c r="K1234"/>
    </row>
    <row r="1235" spans="1:11">
      <c r="A1235">
        <v>9</v>
      </c>
      <c r="B1235" s="64">
        <v>40837</v>
      </c>
      <c r="C1235" s="2">
        <v>557075.21</v>
      </c>
      <c r="D1235">
        <v>0</v>
      </c>
      <c r="E1235" s="65">
        <v>65.46</v>
      </c>
      <c r="F1235" s="8">
        <v>3.353</v>
      </c>
      <c r="G1235" s="66">
        <v>221.1498206</v>
      </c>
      <c r="H1235" s="8">
        <v>6.054</v>
      </c>
      <c r="J1235" s="26"/>
      <c r="K1235"/>
    </row>
    <row r="1236" spans="1:11">
      <c r="A1236">
        <v>9</v>
      </c>
      <c r="B1236" s="64">
        <v>40844</v>
      </c>
      <c r="C1236" s="2">
        <v>548527.49</v>
      </c>
      <c r="D1236">
        <v>0</v>
      </c>
      <c r="E1236" s="65">
        <v>63.96</v>
      </c>
      <c r="F1236" s="8">
        <v>3.372</v>
      </c>
      <c r="G1236" s="66">
        <v>221.3159563</v>
      </c>
      <c r="H1236" s="8">
        <v>6.054</v>
      </c>
      <c r="J1236" s="26"/>
      <c r="K1236"/>
    </row>
    <row r="1237" spans="1:11">
      <c r="A1237">
        <v>9</v>
      </c>
      <c r="B1237" s="64">
        <v>40851</v>
      </c>
      <c r="C1237" s="2">
        <v>597855.07</v>
      </c>
      <c r="D1237">
        <v>0</v>
      </c>
      <c r="E1237" s="65">
        <v>54.46</v>
      </c>
      <c r="F1237" s="8">
        <v>3.332</v>
      </c>
      <c r="G1237" s="66">
        <v>221.4820921</v>
      </c>
      <c r="H1237" s="8">
        <v>6.054</v>
      </c>
      <c r="J1237" s="26"/>
      <c r="K1237"/>
    </row>
    <row r="1238" spans="1:11">
      <c r="A1238">
        <v>9</v>
      </c>
      <c r="B1238" s="64">
        <v>40858</v>
      </c>
      <c r="C1238" s="2">
        <v>594574.12</v>
      </c>
      <c r="D1238">
        <v>0</v>
      </c>
      <c r="E1238" s="65">
        <v>58.28</v>
      </c>
      <c r="F1238" s="8">
        <v>3.297</v>
      </c>
      <c r="G1238" s="66">
        <v>221.6482278</v>
      </c>
      <c r="H1238" s="8">
        <v>6.054</v>
      </c>
      <c r="J1238" s="26"/>
      <c r="K1238"/>
    </row>
    <row r="1239" spans="1:11">
      <c r="A1239">
        <v>9</v>
      </c>
      <c r="B1239" s="64">
        <v>40865</v>
      </c>
      <c r="C1239" s="2">
        <v>542414.27</v>
      </c>
      <c r="D1239">
        <v>0</v>
      </c>
      <c r="E1239" s="65">
        <v>58.8</v>
      </c>
      <c r="F1239" s="8">
        <v>3.308</v>
      </c>
      <c r="G1239" s="66">
        <v>221.8803923</v>
      </c>
      <c r="H1239" s="8">
        <v>6.054</v>
      </c>
      <c r="J1239" s="26"/>
      <c r="K1239"/>
    </row>
    <row r="1240" spans="1:11">
      <c r="A1240">
        <v>9</v>
      </c>
      <c r="B1240" s="64">
        <v>40872</v>
      </c>
      <c r="C1240" s="2">
        <v>814753.5</v>
      </c>
      <c r="D1240">
        <v>1</v>
      </c>
      <c r="E1240" s="65">
        <v>54.32</v>
      </c>
      <c r="F1240" s="8">
        <v>3.236</v>
      </c>
      <c r="G1240" s="66">
        <v>222.1389683</v>
      </c>
      <c r="H1240" s="8">
        <v>6.054</v>
      </c>
      <c r="J1240" s="26"/>
      <c r="K1240"/>
    </row>
    <row r="1241" spans="1:11">
      <c r="A1241">
        <v>9</v>
      </c>
      <c r="B1241" s="64">
        <v>40879</v>
      </c>
      <c r="C1241" s="2">
        <v>613115.21</v>
      </c>
      <c r="D1241">
        <v>0</v>
      </c>
      <c r="E1241" s="65">
        <v>46.84</v>
      </c>
      <c r="F1241" s="8">
        <v>3.172</v>
      </c>
      <c r="G1241" s="66">
        <v>222.3975443</v>
      </c>
      <c r="H1241" s="8">
        <v>6.054</v>
      </c>
      <c r="J1241" s="26"/>
      <c r="K1241"/>
    </row>
    <row r="1242" spans="1:11">
      <c r="A1242">
        <v>9</v>
      </c>
      <c r="B1242" s="64">
        <v>40886</v>
      </c>
      <c r="C1242" s="2">
        <v>630327.28</v>
      </c>
      <c r="D1242">
        <v>0</v>
      </c>
      <c r="E1242" s="65">
        <v>37.65</v>
      </c>
      <c r="F1242" s="8">
        <v>3.158</v>
      </c>
      <c r="G1242" s="66">
        <v>222.6561203</v>
      </c>
      <c r="H1242" s="8">
        <v>6.054</v>
      </c>
      <c r="J1242" s="26"/>
      <c r="K1242"/>
    </row>
    <row r="1243" spans="1:11">
      <c r="A1243">
        <v>9</v>
      </c>
      <c r="B1243" s="64">
        <v>40893</v>
      </c>
      <c r="C1243" s="2">
        <v>705557.97</v>
      </c>
      <c r="D1243">
        <v>0</v>
      </c>
      <c r="E1243" s="65">
        <v>47.31</v>
      </c>
      <c r="F1243" s="8">
        <v>3.159</v>
      </c>
      <c r="G1243" s="66">
        <v>222.8825484</v>
      </c>
      <c r="H1243" s="8">
        <v>6.054</v>
      </c>
      <c r="J1243" s="26"/>
      <c r="K1243"/>
    </row>
    <row r="1244" spans="1:11">
      <c r="A1244">
        <v>9</v>
      </c>
      <c r="B1244" s="64">
        <v>40900</v>
      </c>
      <c r="C1244" s="2">
        <v>905324.68</v>
      </c>
      <c r="D1244">
        <v>0</v>
      </c>
      <c r="E1244" s="65">
        <v>44.43</v>
      </c>
      <c r="F1244" s="8">
        <v>3.112</v>
      </c>
      <c r="G1244" s="66">
        <v>223.0661125</v>
      </c>
      <c r="H1244" s="8">
        <v>6.054</v>
      </c>
      <c r="J1244" s="26"/>
      <c r="K1244"/>
    </row>
    <row r="1245" spans="1:11">
      <c r="A1245">
        <v>9</v>
      </c>
      <c r="B1245" s="64">
        <v>40907</v>
      </c>
      <c r="C1245" s="2">
        <v>549788.36</v>
      </c>
      <c r="D1245">
        <v>1</v>
      </c>
      <c r="E1245" s="65">
        <v>43.41</v>
      </c>
      <c r="F1245" s="8">
        <v>3.129</v>
      </c>
      <c r="G1245" s="66">
        <v>223.2496766</v>
      </c>
      <c r="H1245" s="8">
        <v>6.054</v>
      </c>
      <c r="J1245" s="26"/>
      <c r="K1245"/>
    </row>
    <row r="1246" spans="1:11">
      <c r="A1246">
        <v>9</v>
      </c>
      <c r="B1246" s="64">
        <v>40914</v>
      </c>
      <c r="C1246" s="2">
        <v>519585.67</v>
      </c>
      <c r="D1246">
        <v>0</v>
      </c>
      <c r="E1246" s="65">
        <v>47.54</v>
      </c>
      <c r="F1246" s="8">
        <v>3.157</v>
      </c>
      <c r="G1246" s="66">
        <v>223.4332408</v>
      </c>
      <c r="H1246" s="8">
        <v>5.667</v>
      </c>
      <c r="J1246" s="26"/>
      <c r="K1246"/>
    </row>
    <row r="1247" spans="1:11">
      <c r="A1247">
        <v>9</v>
      </c>
      <c r="B1247" s="64">
        <v>40921</v>
      </c>
      <c r="C1247" s="2">
        <v>474964.6</v>
      </c>
      <c r="D1247">
        <v>0</v>
      </c>
      <c r="E1247" s="65">
        <v>42.44</v>
      </c>
      <c r="F1247" s="8">
        <v>3.261</v>
      </c>
      <c r="G1247" s="66">
        <v>223.6168049</v>
      </c>
      <c r="H1247" s="8">
        <v>5.667</v>
      </c>
      <c r="J1247" s="26"/>
      <c r="K1247"/>
    </row>
    <row r="1248" spans="1:11">
      <c r="A1248">
        <v>9</v>
      </c>
      <c r="B1248" s="64">
        <v>40928</v>
      </c>
      <c r="C1248" s="2">
        <v>480130.04</v>
      </c>
      <c r="D1248">
        <v>0</v>
      </c>
      <c r="E1248" s="65">
        <v>51.56</v>
      </c>
      <c r="F1248" s="8">
        <v>3.268</v>
      </c>
      <c r="G1248" s="66">
        <v>223.7114288</v>
      </c>
      <c r="H1248" s="8">
        <v>5.667</v>
      </c>
      <c r="J1248" s="26"/>
      <c r="K1248"/>
    </row>
    <row r="1249" spans="1:11">
      <c r="A1249">
        <v>9</v>
      </c>
      <c r="B1249" s="64">
        <v>40935</v>
      </c>
      <c r="C1249" s="2">
        <v>482451.21</v>
      </c>
      <c r="D1249">
        <v>0</v>
      </c>
      <c r="E1249" s="65">
        <v>49.38</v>
      </c>
      <c r="F1249" s="8">
        <v>3.29</v>
      </c>
      <c r="G1249" s="66">
        <v>223.8060527</v>
      </c>
      <c r="H1249" s="8">
        <v>5.667</v>
      </c>
      <c r="J1249" s="26"/>
      <c r="K1249"/>
    </row>
    <row r="1250" spans="1:11">
      <c r="A1250">
        <v>9</v>
      </c>
      <c r="B1250" s="64">
        <v>40942</v>
      </c>
      <c r="C1250" s="2">
        <v>549967.89</v>
      </c>
      <c r="D1250">
        <v>0</v>
      </c>
      <c r="E1250" s="65">
        <v>54.43</v>
      </c>
      <c r="F1250" s="8">
        <v>3.36</v>
      </c>
      <c r="G1250" s="66">
        <v>223.9006766</v>
      </c>
      <c r="H1250" s="8">
        <v>5.667</v>
      </c>
      <c r="J1250" s="26"/>
      <c r="K1250"/>
    </row>
    <row r="1251" spans="1:11">
      <c r="A1251">
        <v>9</v>
      </c>
      <c r="B1251" s="64">
        <v>40949</v>
      </c>
      <c r="C1251" s="2">
        <v>609736.12</v>
      </c>
      <c r="D1251">
        <v>1</v>
      </c>
      <c r="E1251" s="65">
        <v>44.03</v>
      </c>
      <c r="F1251" s="8">
        <v>3.409</v>
      </c>
      <c r="G1251" s="66">
        <v>223.9953006</v>
      </c>
      <c r="H1251" s="8">
        <v>5.667</v>
      </c>
      <c r="J1251" s="26"/>
      <c r="K1251"/>
    </row>
    <row r="1252" spans="1:11">
      <c r="A1252">
        <v>9</v>
      </c>
      <c r="B1252" s="64">
        <v>40956</v>
      </c>
      <c r="C1252" s="2">
        <v>658965.05</v>
      </c>
      <c r="D1252">
        <v>0</v>
      </c>
      <c r="E1252" s="65">
        <v>43.81</v>
      </c>
      <c r="F1252" s="8">
        <v>3.51</v>
      </c>
      <c r="G1252" s="66">
        <v>224.1588663</v>
      </c>
      <c r="H1252" s="8">
        <v>5.667</v>
      </c>
      <c r="J1252" s="26"/>
      <c r="K1252"/>
    </row>
    <row r="1253" spans="1:11">
      <c r="A1253">
        <v>9</v>
      </c>
      <c r="B1253" s="64">
        <v>40963</v>
      </c>
      <c r="C1253" s="2">
        <v>563578.79</v>
      </c>
      <c r="D1253">
        <v>0</v>
      </c>
      <c r="E1253" s="65">
        <v>53.67</v>
      </c>
      <c r="F1253" s="8">
        <v>3.555</v>
      </c>
      <c r="G1253" s="66">
        <v>224.3741384</v>
      </c>
      <c r="H1253" s="8">
        <v>5.667</v>
      </c>
      <c r="J1253" s="26"/>
      <c r="K1253"/>
    </row>
    <row r="1254" spans="1:11">
      <c r="A1254">
        <v>9</v>
      </c>
      <c r="B1254" s="64">
        <v>40970</v>
      </c>
      <c r="C1254" s="2">
        <v>619498.28</v>
      </c>
      <c r="D1254">
        <v>0</v>
      </c>
      <c r="E1254" s="65">
        <v>57.2</v>
      </c>
      <c r="F1254" s="8">
        <v>3.63</v>
      </c>
      <c r="G1254" s="66">
        <v>224.5894104</v>
      </c>
      <c r="H1254" s="8">
        <v>5.667</v>
      </c>
      <c r="J1254" s="26"/>
      <c r="K1254"/>
    </row>
    <row r="1255" spans="1:11">
      <c r="A1255">
        <v>9</v>
      </c>
      <c r="B1255" s="64">
        <v>40977</v>
      </c>
      <c r="C1255" s="2">
        <v>574955.95</v>
      </c>
      <c r="D1255">
        <v>0</v>
      </c>
      <c r="E1255" s="65">
        <v>54.03</v>
      </c>
      <c r="F1255" s="8">
        <v>3.669</v>
      </c>
      <c r="G1255" s="66">
        <v>224.8046825</v>
      </c>
      <c r="H1255" s="8">
        <v>5.667</v>
      </c>
      <c r="J1255" s="26"/>
      <c r="K1255"/>
    </row>
    <row r="1256" spans="1:11">
      <c r="A1256">
        <v>9</v>
      </c>
      <c r="B1256" s="64">
        <v>40984</v>
      </c>
      <c r="C1256" s="2">
        <v>550373.57</v>
      </c>
      <c r="D1256">
        <v>0</v>
      </c>
      <c r="E1256" s="65">
        <v>59.94</v>
      </c>
      <c r="F1256" s="8">
        <v>3.734</v>
      </c>
      <c r="G1256" s="66">
        <v>224.9594902</v>
      </c>
      <c r="H1256" s="8">
        <v>5.667</v>
      </c>
      <c r="J1256" s="26"/>
      <c r="K1256"/>
    </row>
    <row r="1257" spans="1:11">
      <c r="A1257">
        <v>9</v>
      </c>
      <c r="B1257" s="64">
        <v>40991</v>
      </c>
      <c r="C1257" s="2">
        <v>550791.32</v>
      </c>
      <c r="D1257">
        <v>0</v>
      </c>
      <c r="E1257" s="65">
        <v>58.79</v>
      </c>
      <c r="F1257" s="8">
        <v>3.787</v>
      </c>
      <c r="G1257" s="66">
        <v>225.0336786</v>
      </c>
      <c r="H1257" s="8">
        <v>5.667</v>
      </c>
      <c r="J1257" s="26"/>
      <c r="K1257"/>
    </row>
    <row r="1258" spans="1:11">
      <c r="A1258">
        <v>9</v>
      </c>
      <c r="B1258" s="64">
        <v>40998</v>
      </c>
      <c r="C1258" s="2">
        <v>574985.37</v>
      </c>
      <c r="D1258">
        <v>0</v>
      </c>
      <c r="E1258" s="65">
        <v>67.87</v>
      </c>
      <c r="F1258" s="8">
        <v>3.845</v>
      </c>
      <c r="G1258" s="66">
        <v>225.107867</v>
      </c>
      <c r="H1258" s="8">
        <v>5.667</v>
      </c>
      <c r="J1258" s="26"/>
      <c r="K1258"/>
    </row>
    <row r="1259" spans="1:11">
      <c r="A1259">
        <v>9</v>
      </c>
      <c r="B1259" s="64">
        <v>41005</v>
      </c>
      <c r="C1259" s="2">
        <v>677885.99</v>
      </c>
      <c r="D1259">
        <v>0</v>
      </c>
      <c r="E1259" s="65">
        <v>68.83</v>
      </c>
      <c r="F1259" s="8">
        <v>3.891</v>
      </c>
      <c r="G1259" s="66">
        <v>225.1820555</v>
      </c>
      <c r="H1259" s="8">
        <v>5.539</v>
      </c>
      <c r="J1259" s="26"/>
      <c r="K1259"/>
    </row>
    <row r="1260" spans="1:11">
      <c r="A1260">
        <v>9</v>
      </c>
      <c r="B1260" s="64">
        <v>41012</v>
      </c>
      <c r="C1260" s="2">
        <v>578539.86</v>
      </c>
      <c r="D1260">
        <v>0</v>
      </c>
      <c r="E1260" s="65">
        <v>69.19</v>
      </c>
      <c r="F1260" s="8">
        <v>3.891</v>
      </c>
      <c r="G1260" s="66">
        <v>225.2562439</v>
      </c>
      <c r="H1260" s="8">
        <v>5.539</v>
      </c>
      <c r="J1260" s="26"/>
      <c r="K1260"/>
    </row>
    <row r="1261" spans="1:11">
      <c r="A1261">
        <v>9</v>
      </c>
      <c r="B1261" s="64">
        <v>41019</v>
      </c>
      <c r="C1261" s="2">
        <v>542819.03</v>
      </c>
      <c r="D1261">
        <v>0</v>
      </c>
      <c r="E1261" s="65">
        <v>68.04</v>
      </c>
      <c r="F1261" s="8">
        <v>3.877</v>
      </c>
      <c r="G1261" s="66">
        <v>225.3117488</v>
      </c>
      <c r="H1261" s="8">
        <v>5.539</v>
      </c>
      <c r="J1261" s="26"/>
      <c r="K1261"/>
    </row>
    <row r="1262" spans="1:11">
      <c r="A1262">
        <v>9</v>
      </c>
      <c r="B1262" s="64">
        <v>41026</v>
      </c>
      <c r="C1262" s="2">
        <v>550414.99</v>
      </c>
      <c r="D1262">
        <v>0</v>
      </c>
      <c r="E1262" s="65">
        <v>73.07</v>
      </c>
      <c r="F1262" s="8">
        <v>3.814</v>
      </c>
      <c r="G1262" s="66">
        <v>225.3672537</v>
      </c>
      <c r="H1262" s="8">
        <v>5.539</v>
      </c>
      <c r="J1262" s="26"/>
      <c r="K1262"/>
    </row>
    <row r="1263" spans="1:11">
      <c r="A1263">
        <v>9</v>
      </c>
      <c r="B1263" s="64">
        <v>41033</v>
      </c>
      <c r="C1263" s="2">
        <v>586289.08</v>
      </c>
      <c r="D1263">
        <v>0</v>
      </c>
      <c r="E1263" s="65">
        <v>78.98</v>
      </c>
      <c r="F1263" s="8">
        <v>3.749</v>
      </c>
      <c r="G1263" s="66">
        <v>225.4227585</v>
      </c>
      <c r="H1263" s="8">
        <v>5.539</v>
      </c>
      <c r="J1263" s="26"/>
      <c r="K1263"/>
    </row>
    <row r="1264" spans="1:11">
      <c r="A1264">
        <v>9</v>
      </c>
      <c r="B1264" s="64">
        <v>41040</v>
      </c>
      <c r="C1264" s="2">
        <v>592572.3</v>
      </c>
      <c r="D1264">
        <v>0</v>
      </c>
      <c r="E1264" s="65">
        <v>70.94</v>
      </c>
      <c r="F1264" s="8">
        <v>3.688</v>
      </c>
      <c r="G1264" s="66">
        <v>225.4782634</v>
      </c>
      <c r="H1264" s="8">
        <v>5.539</v>
      </c>
      <c r="J1264" s="26"/>
      <c r="K1264"/>
    </row>
    <row r="1265" spans="1:11">
      <c r="A1265">
        <v>9</v>
      </c>
      <c r="B1265" s="64">
        <v>41047</v>
      </c>
      <c r="C1265" s="2">
        <v>571463.93</v>
      </c>
      <c r="D1265">
        <v>0</v>
      </c>
      <c r="E1265" s="65">
        <v>69.52</v>
      </c>
      <c r="F1265" s="8">
        <v>3.63</v>
      </c>
      <c r="G1265" s="66">
        <v>225.4942498</v>
      </c>
      <c r="H1265" s="8">
        <v>5.539</v>
      </c>
      <c r="J1265" s="26"/>
      <c r="K1265"/>
    </row>
    <row r="1266" spans="1:11">
      <c r="A1266">
        <v>9</v>
      </c>
      <c r="B1266" s="64">
        <v>41054</v>
      </c>
      <c r="C1266" s="2">
        <v>547226</v>
      </c>
      <c r="D1266">
        <v>0</v>
      </c>
      <c r="E1266" s="65">
        <v>79.69</v>
      </c>
      <c r="F1266" s="8">
        <v>3.561</v>
      </c>
      <c r="G1266" s="66">
        <v>225.4944288</v>
      </c>
      <c r="H1266" s="8">
        <v>5.539</v>
      </c>
      <c r="J1266" s="26"/>
      <c r="K1266"/>
    </row>
    <row r="1267" spans="1:11">
      <c r="A1267">
        <v>9</v>
      </c>
      <c r="B1267" s="64">
        <v>41061</v>
      </c>
      <c r="C1267" s="2">
        <v>583648.59</v>
      </c>
      <c r="D1267">
        <v>0</v>
      </c>
      <c r="E1267" s="65">
        <v>80.26</v>
      </c>
      <c r="F1267" s="8">
        <v>3.501</v>
      </c>
      <c r="G1267" s="66">
        <v>225.4946078</v>
      </c>
      <c r="H1267" s="8">
        <v>5.539</v>
      </c>
      <c r="J1267" s="26"/>
      <c r="K1267"/>
    </row>
    <row r="1268" spans="1:11">
      <c r="A1268">
        <v>9</v>
      </c>
      <c r="B1268" s="64">
        <v>41068</v>
      </c>
      <c r="C1268" s="2">
        <v>582525.42</v>
      </c>
      <c r="D1268">
        <v>0</v>
      </c>
      <c r="E1268" s="65">
        <v>78.91</v>
      </c>
      <c r="F1268" s="8">
        <v>3.452</v>
      </c>
      <c r="G1268" s="66">
        <v>225.4947868</v>
      </c>
      <c r="H1268" s="8">
        <v>5.539</v>
      </c>
      <c r="J1268" s="26"/>
      <c r="K1268"/>
    </row>
    <row r="1269" spans="1:11">
      <c r="A1269">
        <v>9</v>
      </c>
      <c r="B1269" s="64">
        <v>41075</v>
      </c>
      <c r="C1269" s="2">
        <v>564606.1</v>
      </c>
      <c r="D1269">
        <v>0</v>
      </c>
      <c r="E1269" s="65">
        <v>82.21</v>
      </c>
      <c r="F1269" s="8">
        <v>3.393</v>
      </c>
      <c r="G1269" s="66">
        <v>225.5070634</v>
      </c>
      <c r="H1269" s="8">
        <v>5.539</v>
      </c>
      <c r="J1269" s="26"/>
      <c r="K1269"/>
    </row>
    <row r="1270" spans="1:11">
      <c r="A1270">
        <v>9</v>
      </c>
      <c r="B1270" s="64">
        <v>41082</v>
      </c>
      <c r="C1270" s="2">
        <v>562173.12</v>
      </c>
      <c r="D1270">
        <v>0</v>
      </c>
      <c r="E1270" s="65">
        <v>81.05</v>
      </c>
      <c r="F1270" s="8">
        <v>3.346</v>
      </c>
      <c r="G1270" s="66">
        <v>225.5495841</v>
      </c>
      <c r="H1270" s="8">
        <v>5.539</v>
      </c>
      <c r="J1270" s="26"/>
      <c r="K1270"/>
    </row>
    <row r="1271" spans="1:11">
      <c r="A1271">
        <v>9</v>
      </c>
      <c r="B1271" s="64">
        <v>41089</v>
      </c>
      <c r="C1271" s="2">
        <v>544770.7</v>
      </c>
      <c r="D1271">
        <v>0</v>
      </c>
      <c r="E1271" s="65">
        <v>87.18</v>
      </c>
      <c r="F1271" s="8">
        <v>3.286</v>
      </c>
      <c r="G1271" s="66">
        <v>225.5921049</v>
      </c>
      <c r="H1271" s="8">
        <v>5.539</v>
      </c>
      <c r="J1271" s="26"/>
      <c r="K1271"/>
    </row>
    <row r="1272" spans="1:11">
      <c r="A1272">
        <v>9</v>
      </c>
      <c r="B1272" s="64">
        <v>41096</v>
      </c>
      <c r="C1272" s="2">
        <v>578790.36</v>
      </c>
      <c r="D1272">
        <v>0</v>
      </c>
      <c r="E1272" s="65">
        <v>84.15</v>
      </c>
      <c r="F1272" s="8">
        <v>3.227</v>
      </c>
      <c r="G1272" s="66">
        <v>225.6346256</v>
      </c>
      <c r="H1272" s="8">
        <v>5.277</v>
      </c>
      <c r="J1272" s="26"/>
      <c r="K1272"/>
    </row>
    <row r="1273" spans="1:11">
      <c r="A1273">
        <v>9</v>
      </c>
      <c r="B1273" s="64">
        <v>41103</v>
      </c>
      <c r="C1273" s="2">
        <v>536537.64</v>
      </c>
      <c r="D1273">
        <v>0</v>
      </c>
      <c r="E1273" s="65">
        <v>82.39</v>
      </c>
      <c r="F1273" s="8">
        <v>3.256</v>
      </c>
      <c r="G1273" s="66">
        <v>225.6771463</v>
      </c>
      <c r="H1273" s="8">
        <v>5.277</v>
      </c>
      <c r="J1273" s="26"/>
      <c r="K1273"/>
    </row>
    <row r="1274" spans="1:11">
      <c r="A1274">
        <v>9</v>
      </c>
      <c r="B1274" s="64">
        <v>41110</v>
      </c>
      <c r="C1274" s="2">
        <v>513991.57</v>
      </c>
      <c r="D1274">
        <v>0</v>
      </c>
      <c r="E1274" s="65">
        <v>83.39</v>
      </c>
      <c r="F1274" s="8">
        <v>3.311</v>
      </c>
      <c r="G1274" s="66">
        <v>225.6871121</v>
      </c>
      <c r="H1274" s="8">
        <v>5.277</v>
      </c>
      <c r="J1274" s="26"/>
      <c r="K1274"/>
    </row>
    <row r="1275" spans="1:11">
      <c r="A1275">
        <v>9</v>
      </c>
      <c r="B1275" s="64">
        <v>41117</v>
      </c>
      <c r="C1275" s="2">
        <v>495951</v>
      </c>
      <c r="D1275">
        <v>0</v>
      </c>
      <c r="E1275" s="65">
        <v>86.41</v>
      </c>
      <c r="F1275" s="8">
        <v>3.407</v>
      </c>
      <c r="G1275" s="66">
        <v>225.6970779</v>
      </c>
      <c r="H1275" s="8">
        <v>5.277</v>
      </c>
      <c r="J1275" s="26"/>
      <c r="K1275"/>
    </row>
    <row r="1276" spans="1:11">
      <c r="A1276">
        <v>9</v>
      </c>
      <c r="B1276" s="64">
        <v>41124</v>
      </c>
      <c r="C1276" s="2">
        <v>533887.54</v>
      </c>
      <c r="D1276">
        <v>0</v>
      </c>
      <c r="E1276" s="65">
        <v>90.23</v>
      </c>
      <c r="F1276" s="8">
        <v>3.417</v>
      </c>
      <c r="G1276" s="66">
        <v>225.7070437</v>
      </c>
      <c r="H1276" s="8">
        <v>5.277</v>
      </c>
      <c r="J1276" s="26"/>
      <c r="K1276"/>
    </row>
    <row r="1277" spans="1:11">
      <c r="A1277">
        <v>9</v>
      </c>
      <c r="B1277" s="64">
        <v>41131</v>
      </c>
      <c r="C1277" s="2">
        <v>538713.47</v>
      </c>
      <c r="D1277">
        <v>0</v>
      </c>
      <c r="E1277" s="65">
        <v>88.66</v>
      </c>
      <c r="F1277" s="8">
        <v>3.494</v>
      </c>
      <c r="G1277" s="66">
        <v>225.7170094</v>
      </c>
      <c r="H1277" s="8">
        <v>5.277</v>
      </c>
      <c r="J1277" s="26"/>
      <c r="K1277"/>
    </row>
    <row r="1278" spans="1:11">
      <c r="A1278">
        <v>9</v>
      </c>
      <c r="B1278" s="64">
        <v>41138</v>
      </c>
      <c r="C1278" s="2">
        <v>535153.47</v>
      </c>
      <c r="D1278">
        <v>0</v>
      </c>
      <c r="E1278" s="65">
        <v>86.37</v>
      </c>
      <c r="F1278" s="8">
        <v>3.571</v>
      </c>
      <c r="G1278" s="66">
        <v>225.7995323</v>
      </c>
      <c r="H1278" s="8">
        <v>5.277</v>
      </c>
      <c r="J1278" s="26"/>
      <c r="K1278"/>
    </row>
    <row r="1279" spans="1:11">
      <c r="A1279">
        <v>9</v>
      </c>
      <c r="B1279" s="64">
        <v>41145</v>
      </c>
      <c r="C1279" s="2">
        <v>572887.78</v>
      </c>
      <c r="D1279">
        <v>0</v>
      </c>
      <c r="E1279" s="65">
        <v>77.9</v>
      </c>
      <c r="F1279" s="8">
        <v>3.62</v>
      </c>
      <c r="G1279" s="66">
        <v>225.9364729</v>
      </c>
      <c r="H1279" s="8">
        <v>5.277</v>
      </c>
      <c r="J1279" s="26"/>
      <c r="K1279"/>
    </row>
    <row r="1280" spans="1:11">
      <c r="A1280">
        <v>9</v>
      </c>
      <c r="B1280" s="64">
        <v>41152</v>
      </c>
      <c r="C1280" s="2">
        <v>576879.15</v>
      </c>
      <c r="D1280">
        <v>0</v>
      </c>
      <c r="E1280" s="65">
        <v>80.71</v>
      </c>
      <c r="F1280" s="8">
        <v>3.638</v>
      </c>
      <c r="G1280" s="66">
        <v>226.0734135</v>
      </c>
      <c r="H1280" s="8">
        <v>5.277</v>
      </c>
      <c r="J1280" s="26"/>
      <c r="K1280"/>
    </row>
    <row r="1281" spans="1:11">
      <c r="A1281">
        <v>9</v>
      </c>
      <c r="B1281" s="64">
        <v>41159</v>
      </c>
      <c r="C1281" s="2">
        <v>565812.29</v>
      </c>
      <c r="D1281">
        <v>1</v>
      </c>
      <c r="E1281" s="65">
        <v>87.93</v>
      </c>
      <c r="F1281" s="8">
        <v>3.73</v>
      </c>
      <c r="G1281" s="66">
        <v>226.2103541</v>
      </c>
      <c r="H1281" s="8">
        <v>5.277</v>
      </c>
      <c r="J1281" s="26"/>
      <c r="K1281"/>
    </row>
    <row r="1282" spans="1:11">
      <c r="A1282">
        <v>9</v>
      </c>
      <c r="B1282" s="64">
        <v>41166</v>
      </c>
      <c r="C1282" s="2">
        <v>523427.35</v>
      </c>
      <c r="D1282">
        <v>0</v>
      </c>
      <c r="E1282" s="65">
        <v>73.55</v>
      </c>
      <c r="F1282" s="8">
        <v>3.717</v>
      </c>
      <c r="G1282" s="66">
        <v>226.3567545</v>
      </c>
      <c r="H1282" s="8">
        <v>5.277</v>
      </c>
      <c r="J1282" s="26"/>
      <c r="K1282"/>
    </row>
    <row r="1283" spans="1:11">
      <c r="A1283">
        <v>9</v>
      </c>
      <c r="B1283" s="64">
        <v>41173</v>
      </c>
      <c r="C1283" s="2">
        <v>533756.88</v>
      </c>
      <c r="D1283">
        <v>0</v>
      </c>
      <c r="E1283" s="65">
        <v>69.92</v>
      </c>
      <c r="F1283" s="8">
        <v>3.721</v>
      </c>
      <c r="G1283" s="66">
        <v>226.5599138</v>
      </c>
      <c r="H1283" s="8">
        <v>5.277</v>
      </c>
      <c r="J1283" s="26"/>
      <c r="K1283"/>
    </row>
    <row r="1284" spans="1:11">
      <c r="A1284">
        <v>9</v>
      </c>
      <c r="B1284" s="64">
        <v>41180</v>
      </c>
      <c r="C1284" s="2">
        <v>516361.06</v>
      </c>
      <c r="D1284">
        <v>0</v>
      </c>
      <c r="E1284" s="65">
        <v>76.8</v>
      </c>
      <c r="F1284" s="8">
        <v>3.666</v>
      </c>
      <c r="G1284" s="66">
        <v>226.7630732</v>
      </c>
      <c r="H1284" s="8">
        <v>5.277</v>
      </c>
      <c r="J1284" s="26"/>
      <c r="K1284"/>
    </row>
    <row r="1285" spans="1:11">
      <c r="A1285">
        <v>9</v>
      </c>
      <c r="B1285" s="64">
        <v>41187</v>
      </c>
      <c r="C1285" s="2">
        <v>606755.3</v>
      </c>
      <c r="D1285">
        <v>0</v>
      </c>
      <c r="E1285" s="65">
        <v>66.61</v>
      </c>
      <c r="F1285" s="8">
        <v>3.617</v>
      </c>
      <c r="G1285" s="66">
        <v>226.9662325</v>
      </c>
      <c r="H1285" s="8">
        <v>4.954</v>
      </c>
      <c r="J1285" s="26"/>
      <c r="K1285"/>
    </row>
    <row r="1286" spans="1:11">
      <c r="A1286">
        <v>9</v>
      </c>
      <c r="B1286" s="64">
        <v>41194</v>
      </c>
      <c r="C1286" s="2">
        <v>558464.8</v>
      </c>
      <c r="D1286">
        <v>0</v>
      </c>
      <c r="E1286" s="65">
        <v>60.09</v>
      </c>
      <c r="F1286" s="8">
        <v>3.601</v>
      </c>
      <c r="G1286" s="66">
        <v>227.1693919</v>
      </c>
      <c r="H1286" s="8">
        <v>4.954</v>
      </c>
      <c r="J1286" s="26"/>
      <c r="K1286"/>
    </row>
    <row r="1287" spans="1:11">
      <c r="A1287">
        <v>9</v>
      </c>
      <c r="B1287" s="64">
        <v>41201</v>
      </c>
      <c r="C1287" s="2">
        <v>542009.46</v>
      </c>
      <c r="D1287">
        <v>0</v>
      </c>
      <c r="E1287" s="65">
        <v>68.01</v>
      </c>
      <c r="F1287" s="8">
        <v>3.594</v>
      </c>
      <c r="G1287" s="66">
        <v>227.214288</v>
      </c>
      <c r="H1287" s="8">
        <v>4.954</v>
      </c>
      <c r="J1287" s="26"/>
      <c r="K1287"/>
    </row>
    <row r="1288" spans="1:11">
      <c r="A1288">
        <v>9</v>
      </c>
      <c r="B1288" s="64">
        <v>41208</v>
      </c>
      <c r="C1288" s="2">
        <v>549731.49</v>
      </c>
      <c r="D1288">
        <v>0</v>
      </c>
      <c r="E1288" s="65">
        <v>69.52</v>
      </c>
      <c r="F1288" s="8">
        <v>3.506</v>
      </c>
      <c r="G1288" s="66">
        <v>227.2328068</v>
      </c>
      <c r="H1288" s="8">
        <v>4.954</v>
      </c>
      <c r="J1288" s="26"/>
      <c r="K1288"/>
    </row>
    <row r="1289" spans="1:11">
      <c r="A1289">
        <v>10</v>
      </c>
      <c r="B1289" s="64">
        <v>40214</v>
      </c>
      <c r="C1289" s="2">
        <v>2193048.75</v>
      </c>
      <c r="D1289">
        <v>0</v>
      </c>
      <c r="E1289" s="65">
        <v>54.34</v>
      </c>
      <c r="F1289" s="8">
        <v>2.962</v>
      </c>
      <c r="G1289" s="66">
        <v>126.4420645</v>
      </c>
      <c r="H1289" s="8">
        <v>9.765</v>
      </c>
      <c r="J1289" s="26"/>
      <c r="K1289"/>
    </row>
    <row r="1290" spans="1:11">
      <c r="A1290">
        <v>10</v>
      </c>
      <c r="B1290" s="64">
        <v>40221</v>
      </c>
      <c r="C1290" s="2">
        <v>2176028.52</v>
      </c>
      <c r="D1290">
        <v>1</v>
      </c>
      <c r="E1290" s="65">
        <v>49.96</v>
      </c>
      <c r="F1290" s="8">
        <v>2.828</v>
      </c>
      <c r="G1290" s="66">
        <v>126.4962581</v>
      </c>
      <c r="H1290" s="8">
        <v>9.765</v>
      </c>
      <c r="J1290" s="26"/>
      <c r="K1290"/>
    </row>
    <row r="1291" spans="1:11">
      <c r="A1291">
        <v>10</v>
      </c>
      <c r="B1291" s="64">
        <v>40228</v>
      </c>
      <c r="C1291" s="2">
        <v>2113432.58</v>
      </c>
      <c r="D1291">
        <v>0</v>
      </c>
      <c r="E1291" s="65">
        <v>58.22</v>
      </c>
      <c r="F1291" s="8">
        <v>2.915</v>
      </c>
      <c r="G1291" s="66">
        <v>126.5262857</v>
      </c>
      <c r="H1291" s="8">
        <v>9.765</v>
      </c>
      <c r="J1291" s="26"/>
      <c r="K1291"/>
    </row>
    <row r="1292" spans="1:11">
      <c r="A1292">
        <v>10</v>
      </c>
      <c r="B1292" s="64">
        <v>40235</v>
      </c>
      <c r="C1292" s="2">
        <v>2006774.96</v>
      </c>
      <c r="D1292">
        <v>0</v>
      </c>
      <c r="E1292" s="65">
        <v>52.77</v>
      </c>
      <c r="F1292" s="8">
        <v>2.825</v>
      </c>
      <c r="G1292" s="66">
        <v>126.5522857</v>
      </c>
      <c r="H1292" s="8">
        <v>9.765</v>
      </c>
      <c r="J1292" s="26"/>
      <c r="K1292"/>
    </row>
    <row r="1293" spans="1:11">
      <c r="A1293">
        <v>10</v>
      </c>
      <c r="B1293" s="64">
        <v>40242</v>
      </c>
      <c r="C1293" s="2">
        <v>1987090.09</v>
      </c>
      <c r="D1293">
        <v>0</v>
      </c>
      <c r="E1293" s="65">
        <v>55.92</v>
      </c>
      <c r="F1293" s="8">
        <v>2.877</v>
      </c>
      <c r="G1293" s="66">
        <v>126.5782857</v>
      </c>
      <c r="H1293" s="8">
        <v>9.765</v>
      </c>
      <c r="J1293" s="26"/>
      <c r="K1293"/>
    </row>
    <row r="1294" spans="1:11">
      <c r="A1294">
        <v>10</v>
      </c>
      <c r="B1294" s="64">
        <v>40249</v>
      </c>
      <c r="C1294" s="2">
        <v>1941346.13</v>
      </c>
      <c r="D1294">
        <v>0</v>
      </c>
      <c r="E1294" s="65">
        <v>52.33</v>
      </c>
      <c r="F1294" s="8">
        <v>3.034</v>
      </c>
      <c r="G1294" s="66">
        <v>126.6042857</v>
      </c>
      <c r="H1294" s="8">
        <v>9.765</v>
      </c>
      <c r="J1294" s="26"/>
      <c r="K1294"/>
    </row>
    <row r="1295" spans="1:11">
      <c r="A1295">
        <v>10</v>
      </c>
      <c r="B1295" s="64">
        <v>40256</v>
      </c>
      <c r="C1295" s="2">
        <v>1946875.06</v>
      </c>
      <c r="D1295">
        <v>0</v>
      </c>
      <c r="E1295" s="65">
        <v>61.46</v>
      </c>
      <c r="F1295" s="8">
        <v>3.054</v>
      </c>
      <c r="G1295" s="66">
        <v>126.6066452</v>
      </c>
      <c r="H1295" s="8">
        <v>9.765</v>
      </c>
      <c r="J1295" s="26"/>
      <c r="K1295"/>
    </row>
    <row r="1296" spans="1:11">
      <c r="A1296">
        <v>10</v>
      </c>
      <c r="B1296" s="64">
        <v>40263</v>
      </c>
      <c r="C1296" s="2">
        <v>1893532.46</v>
      </c>
      <c r="D1296">
        <v>0</v>
      </c>
      <c r="E1296" s="65">
        <v>60.05</v>
      </c>
      <c r="F1296" s="8">
        <v>2.98</v>
      </c>
      <c r="G1296" s="66">
        <v>126.6050645</v>
      </c>
      <c r="H1296" s="8">
        <v>9.765</v>
      </c>
      <c r="J1296" s="26"/>
      <c r="K1296"/>
    </row>
    <row r="1297" spans="1:11">
      <c r="A1297">
        <v>10</v>
      </c>
      <c r="B1297" s="64">
        <v>40270</v>
      </c>
      <c r="C1297" s="2">
        <v>2138651.97</v>
      </c>
      <c r="D1297">
        <v>0</v>
      </c>
      <c r="E1297" s="65">
        <v>63.66</v>
      </c>
      <c r="F1297" s="8">
        <v>3.086</v>
      </c>
      <c r="G1297" s="66">
        <v>126.6034839</v>
      </c>
      <c r="H1297" s="8">
        <v>9.524</v>
      </c>
      <c r="J1297" s="26"/>
      <c r="K1297"/>
    </row>
    <row r="1298" spans="1:11">
      <c r="A1298">
        <v>10</v>
      </c>
      <c r="B1298" s="64">
        <v>40277</v>
      </c>
      <c r="C1298" s="2">
        <v>2041069.37</v>
      </c>
      <c r="D1298">
        <v>0</v>
      </c>
      <c r="E1298" s="65">
        <v>65.29</v>
      </c>
      <c r="F1298" s="8">
        <v>3.004</v>
      </c>
      <c r="G1298" s="66">
        <v>126.6019032</v>
      </c>
      <c r="H1298" s="8">
        <v>9.524</v>
      </c>
      <c r="J1298" s="26"/>
      <c r="K1298"/>
    </row>
    <row r="1299" spans="1:11">
      <c r="A1299">
        <v>10</v>
      </c>
      <c r="B1299" s="64">
        <v>40284</v>
      </c>
      <c r="C1299" s="2">
        <v>1826241.44</v>
      </c>
      <c r="D1299">
        <v>0</v>
      </c>
      <c r="E1299" s="65">
        <v>69.74</v>
      </c>
      <c r="F1299" s="8">
        <v>3.109</v>
      </c>
      <c r="G1299" s="66">
        <v>126.5621</v>
      </c>
      <c r="H1299" s="8">
        <v>9.524</v>
      </c>
      <c r="J1299" s="26"/>
      <c r="K1299"/>
    </row>
    <row r="1300" spans="1:11">
      <c r="A1300">
        <v>10</v>
      </c>
      <c r="B1300" s="64">
        <v>40291</v>
      </c>
      <c r="C1300" s="2">
        <v>1829521.83</v>
      </c>
      <c r="D1300">
        <v>0</v>
      </c>
      <c r="E1300" s="65">
        <v>66.42</v>
      </c>
      <c r="F1300" s="8">
        <v>3.05</v>
      </c>
      <c r="G1300" s="66">
        <v>126.4713333</v>
      </c>
      <c r="H1300" s="8">
        <v>9.524</v>
      </c>
      <c r="J1300" s="26"/>
      <c r="K1300"/>
    </row>
    <row r="1301" spans="1:11">
      <c r="A1301">
        <v>10</v>
      </c>
      <c r="B1301" s="64">
        <v>40298</v>
      </c>
      <c r="C1301" s="2">
        <v>1790694.59</v>
      </c>
      <c r="D1301">
        <v>0</v>
      </c>
      <c r="E1301" s="65">
        <v>69.76</v>
      </c>
      <c r="F1301" s="8">
        <v>3.105</v>
      </c>
      <c r="G1301" s="66">
        <v>126.3805667</v>
      </c>
      <c r="H1301" s="8">
        <v>9.524</v>
      </c>
      <c r="J1301" s="26"/>
      <c r="K1301"/>
    </row>
    <row r="1302" spans="1:11">
      <c r="A1302">
        <v>10</v>
      </c>
      <c r="B1302" s="64">
        <v>40305</v>
      </c>
      <c r="C1302" s="2">
        <v>1921432.16</v>
      </c>
      <c r="D1302">
        <v>0</v>
      </c>
      <c r="E1302" s="65">
        <v>71.06</v>
      </c>
      <c r="F1302" s="8">
        <v>3.127</v>
      </c>
      <c r="G1302" s="66">
        <v>126.2898</v>
      </c>
      <c r="H1302" s="8">
        <v>9.524</v>
      </c>
      <c r="J1302" s="26"/>
      <c r="K1302"/>
    </row>
    <row r="1303" spans="1:11">
      <c r="A1303">
        <v>10</v>
      </c>
      <c r="B1303" s="64">
        <v>40312</v>
      </c>
      <c r="C1303" s="2">
        <v>1808056.41</v>
      </c>
      <c r="D1303">
        <v>0</v>
      </c>
      <c r="E1303" s="65">
        <v>73.88</v>
      </c>
      <c r="F1303" s="8">
        <v>3.145</v>
      </c>
      <c r="G1303" s="66">
        <v>126.2085484</v>
      </c>
      <c r="H1303" s="8">
        <v>9.524</v>
      </c>
      <c r="J1303" s="26"/>
      <c r="K1303"/>
    </row>
    <row r="1304" spans="1:11">
      <c r="A1304">
        <v>10</v>
      </c>
      <c r="B1304" s="64">
        <v>40319</v>
      </c>
      <c r="C1304" s="2">
        <v>1847613.58</v>
      </c>
      <c r="D1304">
        <v>0</v>
      </c>
      <c r="E1304" s="65">
        <v>78.32</v>
      </c>
      <c r="F1304" s="8">
        <v>3.12</v>
      </c>
      <c r="G1304" s="66">
        <v>126.1843871</v>
      </c>
      <c r="H1304" s="8">
        <v>9.524</v>
      </c>
      <c r="J1304" s="26"/>
      <c r="K1304"/>
    </row>
    <row r="1305" spans="1:11">
      <c r="A1305">
        <v>10</v>
      </c>
      <c r="B1305" s="64">
        <v>40326</v>
      </c>
      <c r="C1305" s="2">
        <v>1904618.17</v>
      </c>
      <c r="D1305">
        <v>0</v>
      </c>
      <c r="E1305" s="65">
        <v>76.67</v>
      </c>
      <c r="F1305" s="8">
        <v>3.058</v>
      </c>
      <c r="G1305" s="66">
        <v>126.1602258</v>
      </c>
      <c r="H1305" s="8">
        <v>9.524</v>
      </c>
      <c r="J1305" s="26"/>
      <c r="K1305"/>
    </row>
    <row r="1306" spans="1:11">
      <c r="A1306">
        <v>10</v>
      </c>
      <c r="B1306" s="64">
        <v>40333</v>
      </c>
      <c r="C1306" s="2">
        <v>1931406.28</v>
      </c>
      <c r="D1306">
        <v>0</v>
      </c>
      <c r="E1306" s="65">
        <v>82.82</v>
      </c>
      <c r="F1306" s="8">
        <v>2.941</v>
      </c>
      <c r="G1306" s="66">
        <v>126.1360645</v>
      </c>
      <c r="H1306" s="8">
        <v>9.524</v>
      </c>
      <c r="J1306" s="26"/>
      <c r="K1306"/>
    </row>
    <row r="1307" spans="1:11">
      <c r="A1307">
        <v>10</v>
      </c>
      <c r="B1307" s="64">
        <v>40340</v>
      </c>
      <c r="C1307" s="2">
        <v>1827521.71</v>
      </c>
      <c r="D1307">
        <v>0</v>
      </c>
      <c r="E1307" s="65">
        <v>89.67</v>
      </c>
      <c r="F1307" s="8">
        <v>3.057</v>
      </c>
      <c r="G1307" s="66">
        <v>126.1119032</v>
      </c>
      <c r="H1307" s="8">
        <v>9.524</v>
      </c>
      <c r="J1307" s="26"/>
      <c r="K1307"/>
    </row>
    <row r="1308" spans="1:11">
      <c r="A1308">
        <v>10</v>
      </c>
      <c r="B1308" s="64">
        <v>40347</v>
      </c>
      <c r="C1308" s="2">
        <v>1837636.24</v>
      </c>
      <c r="D1308">
        <v>0</v>
      </c>
      <c r="E1308" s="65">
        <v>83.49</v>
      </c>
      <c r="F1308" s="8">
        <v>2.935</v>
      </c>
      <c r="G1308" s="66">
        <v>126.114</v>
      </c>
      <c r="H1308" s="8">
        <v>9.524</v>
      </c>
      <c r="J1308" s="26"/>
      <c r="K1308"/>
    </row>
    <row r="1309" spans="1:11">
      <c r="A1309">
        <v>10</v>
      </c>
      <c r="B1309" s="64">
        <v>40354</v>
      </c>
      <c r="C1309" s="2">
        <v>1768172.31</v>
      </c>
      <c r="D1309">
        <v>0</v>
      </c>
      <c r="E1309" s="65">
        <v>90.32</v>
      </c>
      <c r="F1309" s="8">
        <v>3.084</v>
      </c>
      <c r="G1309" s="66">
        <v>126.1266</v>
      </c>
      <c r="H1309" s="8">
        <v>9.524</v>
      </c>
      <c r="J1309" s="26"/>
      <c r="K1309"/>
    </row>
    <row r="1310" spans="1:11">
      <c r="A1310">
        <v>10</v>
      </c>
      <c r="B1310" s="64">
        <v>40361</v>
      </c>
      <c r="C1310" s="2">
        <v>1845893.87</v>
      </c>
      <c r="D1310">
        <v>0</v>
      </c>
      <c r="E1310" s="65">
        <v>92.89</v>
      </c>
      <c r="F1310" s="8">
        <v>2.978</v>
      </c>
      <c r="G1310" s="66">
        <v>126.1392</v>
      </c>
      <c r="H1310" s="8">
        <v>9.199</v>
      </c>
      <c r="J1310" s="26"/>
      <c r="K1310"/>
    </row>
    <row r="1311" spans="1:11">
      <c r="A1311">
        <v>10</v>
      </c>
      <c r="B1311" s="64">
        <v>40368</v>
      </c>
      <c r="C1311" s="2">
        <v>1769793.37</v>
      </c>
      <c r="D1311">
        <v>0</v>
      </c>
      <c r="E1311" s="65">
        <v>91.03</v>
      </c>
      <c r="F1311" s="8">
        <v>3.1</v>
      </c>
      <c r="G1311" s="66">
        <v>126.1518</v>
      </c>
      <c r="H1311" s="8">
        <v>9.199</v>
      </c>
      <c r="J1311" s="26"/>
      <c r="K1311"/>
    </row>
    <row r="1312" spans="1:11">
      <c r="A1312">
        <v>10</v>
      </c>
      <c r="B1312" s="64">
        <v>40375</v>
      </c>
      <c r="C1312" s="2">
        <v>1828052.47</v>
      </c>
      <c r="D1312">
        <v>0</v>
      </c>
      <c r="E1312" s="65">
        <v>91.8</v>
      </c>
      <c r="F1312" s="8">
        <v>2.971</v>
      </c>
      <c r="G1312" s="66">
        <v>126.1498065</v>
      </c>
      <c r="H1312" s="8">
        <v>9.199</v>
      </c>
      <c r="J1312" s="26"/>
      <c r="K1312"/>
    </row>
    <row r="1313" spans="1:11">
      <c r="A1313">
        <v>10</v>
      </c>
      <c r="B1313" s="64">
        <v>40382</v>
      </c>
      <c r="C1313" s="2">
        <v>1831676.03</v>
      </c>
      <c r="D1313">
        <v>0</v>
      </c>
      <c r="E1313" s="65">
        <v>88.44</v>
      </c>
      <c r="F1313" s="8">
        <v>3.112</v>
      </c>
      <c r="G1313" s="66">
        <v>126.1283548</v>
      </c>
      <c r="H1313" s="8">
        <v>9.199</v>
      </c>
      <c r="J1313" s="26"/>
      <c r="K1313"/>
    </row>
    <row r="1314" spans="1:11">
      <c r="A1314">
        <v>10</v>
      </c>
      <c r="B1314" s="64">
        <v>40389</v>
      </c>
      <c r="C1314" s="2">
        <v>1832664.03</v>
      </c>
      <c r="D1314">
        <v>0</v>
      </c>
      <c r="E1314" s="65">
        <v>85.03</v>
      </c>
      <c r="F1314" s="8">
        <v>3.017</v>
      </c>
      <c r="G1314" s="66">
        <v>126.1069032</v>
      </c>
      <c r="H1314" s="8">
        <v>9.199</v>
      </c>
      <c r="J1314" s="26"/>
      <c r="K1314"/>
    </row>
    <row r="1315" spans="1:11">
      <c r="A1315">
        <v>10</v>
      </c>
      <c r="B1315" s="64">
        <v>40396</v>
      </c>
      <c r="C1315" s="2">
        <v>1949236.09</v>
      </c>
      <c r="D1315">
        <v>0</v>
      </c>
      <c r="E1315" s="65">
        <v>86.13</v>
      </c>
      <c r="F1315" s="8">
        <v>3.123</v>
      </c>
      <c r="G1315" s="66">
        <v>126.0854516</v>
      </c>
      <c r="H1315" s="8">
        <v>9.199</v>
      </c>
      <c r="J1315" s="26"/>
      <c r="K1315"/>
    </row>
    <row r="1316" spans="1:11">
      <c r="A1316">
        <v>10</v>
      </c>
      <c r="B1316" s="64">
        <v>40403</v>
      </c>
      <c r="C1316" s="2">
        <v>1962996.7</v>
      </c>
      <c r="D1316">
        <v>0</v>
      </c>
      <c r="E1316" s="65">
        <v>88.37</v>
      </c>
      <c r="F1316" s="8">
        <v>3.049</v>
      </c>
      <c r="G1316" s="66">
        <v>126.064</v>
      </c>
      <c r="H1316" s="8">
        <v>9.199</v>
      </c>
      <c r="J1316" s="26"/>
      <c r="K1316"/>
    </row>
    <row r="1317" spans="1:11">
      <c r="A1317">
        <v>10</v>
      </c>
      <c r="B1317" s="64">
        <v>40410</v>
      </c>
      <c r="C1317" s="2">
        <v>1983190.56</v>
      </c>
      <c r="D1317">
        <v>0</v>
      </c>
      <c r="E1317" s="65">
        <v>89.88</v>
      </c>
      <c r="F1317" s="8">
        <v>3.041</v>
      </c>
      <c r="G1317" s="66">
        <v>126.0766452</v>
      </c>
      <c r="H1317" s="8">
        <v>9.199</v>
      </c>
      <c r="J1317" s="26"/>
      <c r="K1317"/>
    </row>
    <row r="1318" spans="1:11">
      <c r="A1318">
        <v>10</v>
      </c>
      <c r="B1318" s="64">
        <v>40417</v>
      </c>
      <c r="C1318" s="2">
        <v>1727565.42</v>
      </c>
      <c r="D1318">
        <v>0</v>
      </c>
      <c r="E1318" s="65">
        <v>84.99</v>
      </c>
      <c r="F1318" s="8">
        <v>3.022</v>
      </c>
      <c r="G1318" s="66">
        <v>126.0892903</v>
      </c>
      <c r="H1318" s="8">
        <v>9.199</v>
      </c>
      <c r="J1318" s="26"/>
      <c r="K1318"/>
    </row>
    <row r="1319" spans="1:11">
      <c r="A1319">
        <v>10</v>
      </c>
      <c r="B1319" s="64">
        <v>40424</v>
      </c>
      <c r="C1319" s="2">
        <v>1766331.45</v>
      </c>
      <c r="D1319">
        <v>0</v>
      </c>
      <c r="E1319" s="65">
        <v>83.8</v>
      </c>
      <c r="F1319" s="8">
        <v>3.087</v>
      </c>
      <c r="G1319" s="66">
        <v>126.1019355</v>
      </c>
      <c r="H1319" s="8">
        <v>9.199</v>
      </c>
      <c r="J1319" s="26"/>
      <c r="K1319"/>
    </row>
    <row r="1320" spans="1:11">
      <c r="A1320">
        <v>10</v>
      </c>
      <c r="B1320" s="64">
        <v>40431</v>
      </c>
      <c r="C1320" s="2">
        <v>1720530.23</v>
      </c>
      <c r="D1320">
        <v>1</v>
      </c>
      <c r="E1320" s="65">
        <v>84.04</v>
      </c>
      <c r="F1320" s="8">
        <v>2.961</v>
      </c>
      <c r="G1320" s="66">
        <v>126.1145806</v>
      </c>
      <c r="H1320" s="8">
        <v>9.199</v>
      </c>
      <c r="J1320" s="26"/>
      <c r="K1320"/>
    </row>
    <row r="1321" spans="1:11">
      <c r="A1321">
        <v>10</v>
      </c>
      <c r="B1321" s="64">
        <v>40438</v>
      </c>
      <c r="C1321" s="2">
        <v>1716755.78</v>
      </c>
      <c r="D1321">
        <v>0</v>
      </c>
      <c r="E1321" s="65">
        <v>85.52</v>
      </c>
      <c r="F1321" s="8">
        <v>3.028</v>
      </c>
      <c r="G1321" s="66">
        <v>126.1454667</v>
      </c>
      <c r="H1321" s="8">
        <v>9.199</v>
      </c>
      <c r="J1321" s="26"/>
      <c r="K1321"/>
    </row>
    <row r="1322" spans="1:11">
      <c r="A1322">
        <v>10</v>
      </c>
      <c r="B1322" s="64">
        <v>40445</v>
      </c>
      <c r="C1322" s="2">
        <v>1655036.75</v>
      </c>
      <c r="D1322">
        <v>0</v>
      </c>
      <c r="E1322" s="65">
        <v>85.75</v>
      </c>
      <c r="F1322" s="8">
        <v>2.939</v>
      </c>
      <c r="G1322" s="66">
        <v>126.1900333</v>
      </c>
      <c r="H1322" s="8">
        <v>9.199</v>
      </c>
      <c r="J1322" s="26"/>
      <c r="K1322"/>
    </row>
    <row r="1323" spans="1:11">
      <c r="A1323">
        <v>10</v>
      </c>
      <c r="B1323" s="64">
        <v>40452</v>
      </c>
      <c r="C1323" s="2">
        <v>1645892.97</v>
      </c>
      <c r="D1323">
        <v>0</v>
      </c>
      <c r="E1323" s="65">
        <v>86.01</v>
      </c>
      <c r="F1323" s="8">
        <v>3.001</v>
      </c>
      <c r="G1323" s="66">
        <v>126.2346</v>
      </c>
      <c r="H1323" s="8">
        <v>9.003</v>
      </c>
      <c r="J1323" s="26"/>
      <c r="K1323"/>
    </row>
    <row r="1324" spans="1:11">
      <c r="A1324">
        <v>10</v>
      </c>
      <c r="B1324" s="64">
        <v>40459</v>
      </c>
      <c r="C1324" s="2">
        <v>1772192.42</v>
      </c>
      <c r="D1324">
        <v>0</v>
      </c>
      <c r="E1324" s="65">
        <v>77.04</v>
      </c>
      <c r="F1324" s="8">
        <v>2.924</v>
      </c>
      <c r="G1324" s="66">
        <v>126.2791667</v>
      </c>
      <c r="H1324" s="8">
        <v>9.003</v>
      </c>
      <c r="J1324" s="26"/>
      <c r="K1324"/>
    </row>
    <row r="1325" spans="1:11">
      <c r="A1325">
        <v>10</v>
      </c>
      <c r="B1325" s="64">
        <v>40466</v>
      </c>
      <c r="C1325" s="2">
        <v>1703850.25</v>
      </c>
      <c r="D1325">
        <v>0</v>
      </c>
      <c r="E1325" s="65">
        <v>75.48</v>
      </c>
      <c r="F1325" s="8">
        <v>3.08</v>
      </c>
      <c r="G1325" s="66">
        <v>126.3266774</v>
      </c>
      <c r="H1325" s="8">
        <v>9.003</v>
      </c>
      <c r="J1325" s="26"/>
      <c r="K1325"/>
    </row>
    <row r="1326" spans="1:11">
      <c r="A1326">
        <v>10</v>
      </c>
      <c r="B1326" s="64">
        <v>40473</v>
      </c>
      <c r="C1326" s="2">
        <v>1740234.06</v>
      </c>
      <c r="D1326">
        <v>0</v>
      </c>
      <c r="E1326" s="65">
        <v>68.12</v>
      </c>
      <c r="F1326" s="8">
        <v>3.014</v>
      </c>
      <c r="G1326" s="66">
        <v>126.3815484</v>
      </c>
      <c r="H1326" s="8">
        <v>9.003</v>
      </c>
      <c r="J1326" s="26"/>
      <c r="K1326"/>
    </row>
    <row r="1327" spans="1:11">
      <c r="A1327">
        <v>10</v>
      </c>
      <c r="B1327" s="64">
        <v>40480</v>
      </c>
      <c r="C1327" s="2">
        <v>1741308.56</v>
      </c>
      <c r="D1327">
        <v>0</v>
      </c>
      <c r="E1327" s="65">
        <v>68.76</v>
      </c>
      <c r="F1327" s="8">
        <v>3.13</v>
      </c>
      <c r="G1327" s="66">
        <v>126.4364194</v>
      </c>
      <c r="H1327" s="8">
        <v>9.003</v>
      </c>
      <c r="J1327" s="26"/>
      <c r="K1327"/>
    </row>
    <row r="1328" spans="1:11">
      <c r="A1328">
        <v>10</v>
      </c>
      <c r="B1328" s="64">
        <v>40487</v>
      </c>
      <c r="C1328" s="2">
        <v>1832211.96</v>
      </c>
      <c r="D1328">
        <v>0</v>
      </c>
      <c r="E1328" s="65">
        <v>71.04</v>
      </c>
      <c r="F1328" s="8">
        <v>3.009</v>
      </c>
      <c r="G1328" s="66">
        <v>126.4912903</v>
      </c>
      <c r="H1328" s="8">
        <v>9.003</v>
      </c>
      <c r="J1328" s="26"/>
      <c r="K1328"/>
    </row>
    <row r="1329" spans="1:11">
      <c r="A1329">
        <v>10</v>
      </c>
      <c r="B1329" s="64">
        <v>40494</v>
      </c>
      <c r="C1329" s="2">
        <v>1895901.59</v>
      </c>
      <c r="D1329">
        <v>0</v>
      </c>
      <c r="E1329" s="65">
        <v>61.24</v>
      </c>
      <c r="F1329" s="8">
        <v>3.13</v>
      </c>
      <c r="G1329" s="66">
        <v>126.5461613</v>
      </c>
      <c r="H1329" s="8">
        <v>9.003</v>
      </c>
      <c r="J1329" s="26"/>
      <c r="K1329"/>
    </row>
    <row r="1330" spans="1:11">
      <c r="A1330">
        <v>10</v>
      </c>
      <c r="B1330" s="64">
        <v>40501</v>
      </c>
      <c r="C1330" s="2">
        <v>1949177.13</v>
      </c>
      <c r="D1330">
        <v>0</v>
      </c>
      <c r="E1330" s="65">
        <v>58.83</v>
      </c>
      <c r="F1330" s="8">
        <v>3.047</v>
      </c>
      <c r="G1330" s="66">
        <v>126.6072</v>
      </c>
      <c r="H1330" s="8">
        <v>9.003</v>
      </c>
      <c r="J1330" s="26"/>
      <c r="K1330"/>
    </row>
    <row r="1331" spans="1:11">
      <c r="A1331">
        <v>10</v>
      </c>
      <c r="B1331" s="64">
        <v>40508</v>
      </c>
      <c r="C1331" s="2">
        <v>2939946.38</v>
      </c>
      <c r="D1331">
        <v>1</v>
      </c>
      <c r="E1331" s="65">
        <v>55.33</v>
      </c>
      <c r="F1331" s="8">
        <v>3.162</v>
      </c>
      <c r="G1331" s="66">
        <v>126.6692667</v>
      </c>
      <c r="H1331" s="8">
        <v>9.003</v>
      </c>
      <c r="J1331" s="26"/>
      <c r="K1331"/>
    </row>
    <row r="1332" spans="1:11">
      <c r="A1332">
        <v>10</v>
      </c>
      <c r="B1332" s="64">
        <v>40515</v>
      </c>
      <c r="C1332" s="2">
        <v>2251206.64</v>
      </c>
      <c r="D1332">
        <v>0</v>
      </c>
      <c r="E1332" s="65">
        <v>51.17</v>
      </c>
      <c r="F1332" s="8">
        <v>3.041</v>
      </c>
      <c r="G1332" s="66">
        <v>126.7313333</v>
      </c>
      <c r="H1332" s="8">
        <v>9.003</v>
      </c>
      <c r="J1332" s="26"/>
      <c r="K1332"/>
    </row>
    <row r="1333" spans="1:11">
      <c r="A1333">
        <v>10</v>
      </c>
      <c r="B1333" s="64">
        <v>40522</v>
      </c>
      <c r="C1333" s="2">
        <v>2411790.21</v>
      </c>
      <c r="D1333">
        <v>0</v>
      </c>
      <c r="E1333" s="65">
        <v>60.51</v>
      </c>
      <c r="F1333" s="8">
        <v>3.091</v>
      </c>
      <c r="G1333" s="66">
        <v>126.7934</v>
      </c>
      <c r="H1333" s="8">
        <v>9.003</v>
      </c>
      <c r="J1333" s="26"/>
      <c r="K1333"/>
    </row>
    <row r="1334" spans="1:11">
      <c r="A1334">
        <v>10</v>
      </c>
      <c r="B1334" s="64">
        <v>40529</v>
      </c>
      <c r="C1334" s="2">
        <v>2811646.85</v>
      </c>
      <c r="D1334">
        <v>0</v>
      </c>
      <c r="E1334" s="65">
        <v>59.15</v>
      </c>
      <c r="F1334" s="8">
        <v>3.125</v>
      </c>
      <c r="G1334" s="66">
        <v>126.8794839</v>
      </c>
      <c r="H1334" s="8">
        <v>9.003</v>
      </c>
      <c r="J1334" s="26"/>
      <c r="K1334"/>
    </row>
    <row r="1335" spans="1:11">
      <c r="A1335">
        <v>10</v>
      </c>
      <c r="B1335" s="64">
        <v>40536</v>
      </c>
      <c r="C1335" s="2">
        <v>3749057.69</v>
      </c>
      <c r="D1335">
        <v>0</v>
      </c>
      <c r="E1335" s="65">
        <v>57.06</v>
      </c>
      <c r="F1335" s="8">
        <v>3.236</v>
      </c>
      <c r="G1335" s="66">
        <v>126.9835806</v>
      </c>
      <c r="H1335" s="8">
        <v>9.003</v>
      </c>
      <c r="J1335" s="26"/>
      <c r="K1335"/>
    </row>
    <row r="1336" spans="1:11">
      <c r="A1336">
        <v>10</v>
      </c>
      <c r="B1336" s="64">
        <v>40543</v>
      </c>
      <c r="C1336" s="2">
        <v>1707298.14</v>
      </c>
      <c r="D1336">
        <v>1</v>
      </c>
      <c r="E1336" s="65">
        <v>49.67</v>
      </c>
      <c r="F1336" s="8">
        <v>3.148</v>
      </c>
      <c r="G1336" s="66">
        <v>127.0876774</v>
      </c>
      <c r="H1336" s="8">
        <v>9.003</v>
      </c>
      <c r="J1336" s="26"/>
      <c r="K1336"/>
    </row>
    <row r="1337" spans="1:11">
      <c r="A1337">
        <v>10</v>
      </c>
      <c r="B1337" s="64">
        <v>40550</v>
      </c>
      <c r="C1337" s="2">
        <v>1714309.9</v>
      </c>
      <c r="D1337">
        <v>0</v>
      </c>
      <c r="E1337" s="65">
        <v>43.43</v>
      </c>
      <c r="F1337" s="8">
        <v>3.287</v>
      </c>
      <c r="G1337" s="66">
        <v>127.1917742</v>
      </c>
      <c r="H1337" s="8">
        <v>8.744</v>
      </c>
      <c r="J1337" s="26"/>
      <c r="K1337"/>
    </row>
    <row r="1338" spans="1:11">
      <c r="A1338">
        <v>10</v>
      </c>
      <c r="B1338" s="64">
        <v>40557</v>
      </c>
      <c r="C1338" s="2">
        <v>1710803.59</v>
      </c>
      <c r="D1338">
        <v>0</v>
      </c>
      <c r="E1338" s="65">
        <v>49.98</v>
      </c>
      <c r="F1338" s="8">
        <v>3.312</v>
      </c>
      <c r="G1338" s="66">
        <v>127.3009355</v>
      </c>
      <c r="H1338" s="8">
        <v>8.744</v>
      </c>
      <c r="J1338" s="26"/>
      <c r="K1338"/>
    </row>
    <row r="1339" spans="1:11">
      <c r="A1339">
        <v>10</v>
      </c>
      <c r="B1339" s="64">
        <v>40564</v>
      </c>
      <c r="C1339" s="2">
        <v>1677556.18</v>
      </c>
      <c r="D1339">
        <v>0</v>
      </c>
      <c r="E1339" s="65">
        <v>56.75</v>
      </c>
      <c r="F1339" s="8">
        <v>3.336</v>
      </c>
      <c r="G1339" s="66">
        <v>127.4404839</v>
      </c>
      <c r="H1339" s="8">
        <v>8.744</v>
      </c>
      <c r="J1339" s="26"/>
      <c r="K1339"/>
    </row>
    <row r="1340" spans="1:11">
      <c r="A1340">
        <v>10</v>
      </c>
      <c r="B1340" s="64">
        <v>40571</v>
      </c>
      <c r="C1340" s="2">
        <v>1715769.05</v>
      </c>
      <c r="D1340">
        <v>0</v>
      </c>
      <c r="E1340" s="65">
        <v>53.03</v>
      </c>
      <c r="F1340" s="8">
        <v>3.231</v>
      </c>
      <c r="G1340" s="66">
        <v>127.5800323</v>
      </c>
      <c r="H1340" s="8">
        <v>8.744</v>
      </c>
      <c r="J1340" s="26"/>
      <c r="K1340"/>
    </row>
    <row r="1341" spans="1:11">
      <c r="A1341">
        <v>10</v>
      </c>
      <c r="B1341" s="64">
        <v>40578</v>
      </c>
      <c r="C1341" s="2">
        <v>1968045.91</v>
      </c>
      <c r="D1341">
        <v>0</v>
      </c>
      <c r="E1341" s="65">
        <v>44.88</v>
      </c>
      <c r="F1341" s="8">
        <v>3.348</v>
      </c>
      <c r="G1341" s="66">
        <v>127.7195806</v>
      </c>
      <c r="H1341" s="8">
        <v>8.744</v>
      </c>
      <c r="J1341" s="26"/>
      <c r="K1341"/>
    </row>
    <row r="1342" spans="1:11">
      <c r="A1342">
        <v>10</v>
      </c>
      <c r="B1342" s="64">
        <v>40585</v>
      </c>
      <c r="C1342" s="2">
        <v>2115408.31</v>
      </c>
      <c r="D1342">
        <v>1</v>
      </c>
      <c r="E1342" s="65">
        <v>51.51</v>
      </c>
      <c r="F1342" s="8">
        <v>3.381</v>
      </c>
      <c r="G1342" s="66">
        <v>127.859129</v>
      </c>
      <c r="H1342" s="8">
        <v>8.744</v>
      </c>
      <c r="J1342" s="26"/>
      <c r="K1342"/>
    </row>
    <row r="1343" spans="1:11">
      <c r="A1343">
        <v>10</v>
      </c>
      <c r="B1343" s="64">
        <v>40592</v>
      </c>
      <c r="C1343" s="2">
        <v>2106934.55</v>
      </c>
      <c r="D1343">
        <v>0</v>
      </c>
      <c r="E1343" s="65">
        <v>61.77</v>
      </c>
      <c r="F1343" s="8">
        <v>3.43</v>
      </c>
      <c r="G1343" s="66">
        <v>127.99525</v>
      </c>
      <c r="H1343" s="8">
        <v>8.744</v>
      </c>
      <c r="J1343" s="26"/>
      <c r="K1343"/>
    </row>
    <row r="1344" spans="1:11">
      <c r="A1344">
        <v>10</v>
      </c>
      <c r="B1344" s="64">
        <v>40599</v>
      </c>
      <c r="C1344" s="2">
        <v>1967996.71</v>
      </c>
      <c r="D1344">
        <v>0</v>
      </c>
      <c r="E1344" s="65">
        <v>53.59</v>
      </c>
      <c r="F1344" s="8">
        <v>3.398</v>
      </c>
      <c r="G1344" s="66">
        <v>128.13</v>
      </c>
      <c r="H1344" s="8">
        <v>8.744</v>
      </c>
      <c r="J1344" s="26"/>
      <c r="K1344"/>
    </row>
    <row r="1345" spans="1:11">
      <c r="A1345">
        <v>10</v>
      </c>
      <c r="B1345" s="64">
        <v>40606</v>
      </c>
      <c r="C1345" s="2">
        <v>1958003.19</v>
      </c>
      <c r="D1345">
        <v>0</v>
      </c>
      <c r="E1345" s="65">
        <v>56.96</v>
      </c>
      <c r="F1345" s="8">
        <v>3.674</v>
      </c>
      <c r="G1345" s="66">
        <v>128.26475</v>
      </c>
      <c r="H1345" s="8">
        <v>8.744</v>
      </c>
      <c r="J1345" s="26"/>
      <c r="K1345"/>
    </row>
    <row r="1346" spans="1:11">
      <c r="A1346">
        <v>10</v>
      </c>
      <c r="B1346" s="64">
        <v>40613</v>
      </c>
      <c r="C1346" s="2">
        <v>1933469.15</v>
      </c>
      <c r="D1346">
        <v>0</v>
      </c>
      <c r="E1346" s="65">
        <v>64.22</v>
      </c>
      <c r="F1346" s="8">
        <v>3.63</v>
      </c>
      <c r="G1346" s="66">
        <v>128.3995</v>
      </c>
      <c r="H1346" s="8">
        <v>8.744</v>
      </c>
      <c r="J1346" s="26"/>
      <c r="K1346"/>
    </row>
    <row r="1347" spans="1:11">
      <c r="A1347">
        <v>10</v>
      </c>
      <c r="B1347" s="64">
        <v>40620</v>
      </c>
      <c r="C1347" s="2">
        <v>1884734.31</v>
      </c>
      <c r="D1347">
        <v>0</v>
      </c>
      <c r="E1347" s="65">
        <v>70.12</v>
      </c>
      <c r="F1347" s="8">
        <v>3.892</v>
      </c>
      <c r="G1347" s="66">
        <v>128.5121935</v>
      </c>
      <c r="H1347" s="8">
        <v>8.744</v>
      </c>
      <c r="J1347" s="26"/>
      <c r="K1347"/>
    </row>
    <row r="1348" spans="1:11">
      <c r="A1348">
        <v>10</v>
      </c>
      <c r="B1348" s="64">
        <v>40627</v>
      </c>
      <c r="C1348" s="2">
        <v>1815798.85</v>
      </c>
      <c r="D1348">
        <v>0</v>
      </c>
      <c r="E1348" s="65">
        <v>62.53</v>
      </c>
      <c r="F1348" s="8">
        <v>3.716</v>
      </c>
      <c r="G1348" s="66">
        <v>128.6160645</v>
      </c>
      <c r="H1348" s="8">
        <v>8.744</v>
      </c>
      <c r="J1348" s="26"/>
      <c r="K1348"/>
    </row>
    <row r="1349" spans="1:11">
      <c r="A1349">
        <v>10</v>
      </c>
      <c r="B1349" s="64">
        <v>40634</v>
      </c>
      <c r="C1349" s="2">
        <v>1827733.18</v>
      </c>
      <c r="D1349">
        <v>0</v>
      </c>
      <c r="E1349" s="65">
        <v>67.64</v>
      </c>
      <c r="F1349" s="8">
        <v>3.772</v>
      </c>
      <c r="G1349" s="66">
        <v>128.7199355</v>
      </c>
      <c r="H1349" s="8">
        <v>8.494</v>
      </c>
      <c r="J1349" s="26"/>
      <c r="K1349"/>
    </row>
    <row r="1350" spans="1:11">
      <c r="A1350">
        <v>10</v>
      </c>
      <c r="B1350" s="64">
        <v>40641</v>
      </c>
      <c r="C1350" s="2">
        <v>1870720.73</v>
      </c>
      <c r="D1350">
        <v>0</v>
      </c>
      <c r="E1350" s="65">
        <v>73.03</v>
      </c>
      <c r="F1350" s="8">
        <v>3.818</v>
      </c>
      <c r="G1350" s="66">
        <v>128.8238065</v>
      </c>
      <c r="H1350" s="8">
        <v>8.494</v>
      </c>
      <c r="J1350" s="26"/>
      <c r="K1350"/>
    </row>
    <row r="1351" spans="1:11">
      <c r="A1351">
        <v>10</v>
      </c>
      <c r="B1351" s="64">
        <v>40648</v>
      </c>
      <c r="C1351" s="2">
        <v>1781767.22</v>
      </c>
      <c r="D1351">
        <v>0</v>
      </c>
      <c r="E1351" s="65">
        <v>61.05</v>
      </c>
      <c r="F1351" s="8">
        <v>4.089</v>
      </c>
      <c r="G1351" s="66">
        <v>128.9107333</v>
      </c>
      <c r="H1351" s="8">
        <v>8.494</v>
      </c>
      <c r="J1351" s="26"/>
      <c r="K1351"/>
    </row>
    <row r="1352" spans="1:11">
      <c r="A1352">
        <v>10</v>
      </c>
      <c r="B1352" s="64">
        <v>40655</v>
      </c>
      <c r="C1352" s="2">
        <v>2004831.14</v>
      </c>
      <c r="D1352">
        <v>0</v>
      </c>
      <c r="E1352" s="65">
        <v>75.93</v>
      </c>
      <c r="F1352" s="8">
        <v>3.917</v>
      </c>
      <c r="G1352" s="66">
        <v>128.9553</v>
      </c>
      <c r="H1352" s="8">
        <v>8.494</v>
      </c>
      <c r="J1352" s="26"/>
      <c r="K1352"/>
    </row>
    <row r="1353" spans="1:11">
      <c r="A1353">
        <v>10</v>
      </c>
      <c r="B1353" s="64">
        <v>40662</v>
      </c>
      <c r="C1353" s="2">
        <v>1873646.34</v>
      </c>
      <c r="D1353">
        <v>0</v>
      </c>
      <c r="E1353" s="65">
        <v>73.38</v>
      </c>
      <c r="F1353" s="8">
        <v>4.151</v>
      </c>
      <c r="G1353" s="66">
        <v>128.9998667</v>
      </c>
      <c r="H1353" s="8">
        <v>8.494</v>
      </c>
      <c r="J1353" s="26"/>
      <c r="K1353"/>
    </row>
    <row r="1354" spans="1:11">
      <c r="A1354">
        <v>10</v>
      </c>
      <c r="B1354" s="64">
        <v>40669</v>
      </c>
      <c r="C1354" s="2">
        <v>1841369.99</v>
      </c>
      <c r="D1354">
        <v>0</v>
      </c>
      <c r="E1354" s="65">
        <v>73.56</v>
      </c>
      <c r="F1354" s="8">
        <v>4.193</v>
      </c>
      <c r="G1354" s="66">
        <v>129.0444333</v>
      </c>
      <c r="H1354" s="8">
        <v>8.494</v>
      </c>
      <c r="J1354" s="26"/>
      <c r="K1354"/>
    </row>
    <row r="1355" spans="1:11">
      <c r="A1355">
        <v>10</v>
      </c>
      <c r="B1355" s="64">
        <v>40676</v>
      </c>
      <c r="C1355" s="2">
        <v>1712995.44</v>
      </c>
      <c r="D1355">
        <v>0</v>
      </c>
      <c r="E1355" s="65">
        <v>74.04</v>
      </c>
      <c r="F1355" s="8">
        <v>4.202</v>
      </c>
      <c r="G1355" s="66">
        <v>129.089</v>
      </c>
      <c r="H1355" s="8">
        <v>8.494</v>
      </c>
      <c r="J1355" s="26"/>
      <c r="K1355"/>
    </row>
    <row r="1356" spans="1:11">
      <c r="A1356">
        <v>10</v>
      </c>
      <c r="B1356" s="64">
        <v>40683</v>
      </c>
      <c r="C1356" s="2">
        <v>1720908.01</v>
      </c>
      <c r="D1356">
        <v>0</v>
      </c>
      <c r="E1356" s="65">
        <v>72.62</v>
      </c>
      <c r="F1356" s="8">
        <v>3.99</v>
      </c>
      <c r="G1356" s="66">
        <v>129.0756774</v>
      </c>
      <c r="H1356" s="8">
        <v>8.494</v>
      </c>
      <c r="J1356" s="26"/>
      <c r="K1356"/>
    </row>
    <row r="1357" spans="1:11">
      <c r="A1357">
        <v>10</v>
      </c>
      <c r="B1357" s="64">
        <v>40690</v>
      </c>
      <c r="C1357" s="2">
        <v>1743000.38</v>
      </c>
      <c r="D1357">
        <v>0</v>
      </c>
      <c r="E1357" s="65">
        <v>78.62</v>
      </c>
      <c r="F1357" s="8">
        <v>3.933</v>
      </c>
      <c r="G1357" s="66">
        <v>129.0623548</v>
      </c>
      <c r="H1357" s="8">
        <v>8.494</v>
      </c>
      <c r="J1357" s="26"/>
      <c r="K1357"/>
    </row>
    <row r="1358" spans="1:11">
      <c r="A1358">
        <v>10</v>
      </c>
      <c r="B1358" s="64">
        <v>40697</v>
      </c>
      <c r="C1358" s="2">
        <v>1792210.89</v>
      </c>
      <c r="D1358">
        <v>0</v>
      </c>
      <c r="E1358" s="65">
        <v>81.87</v>
      </c>
      <c r="F1358" s="8">
        <v>3.893</v>
      </c>
      <c r="G1358" s="66">
        <v>129.0490323</v>
      </c>
      <c r="H1358" s="8">
        <v>8.494</v>
      </c>
      <c r="J1358" s="26"/>
      <c r="K1358"/>
    </row>
    <row r="1359" spans="1:11">
      <c r="A1359">
        <v>10</v>
      </c>
      <c r="B1359" s="64">
        <v>40704</v>
      </c>
      <c r="C1359" s="2">
        <v>1740063.1</v>
      </c>
      <c r="D1359">
        <v>0</v>
      </c>
      <c r="E1359" s="65">
        <v>84.57</v>
      </c>
      <c r="F1359" s="8">
        <v>3.981</v>
      </c>
      <c r="G1359" s="66">
        <v>129.0357097</v>
      </c>
      <c r="H1359" s="8">
        <v>8.494</v>
      </c>
      <c r="J1359" s="26"/>
      <c r="K1359"/>
    </row>
    <row r="1360" spans="1:11">
      <c r="A1360">
        <v>10</v>
      </c>
      <c r="B1360" s="64">
        <v>40711</v>
      </c>
      <c r="C1360" s="2">
        <v>1817934.76</v>
      </c>
      <c r="D1360">
        <v>0</v>
      </c>
      <c r="E1360" s="65">
        <v>87.96</v>
      </c>
      <c r="F1360" s="8">
        <v>3.935</v>
      </c>
      <c r="G1360" s="66">
        <v>129.0432</v>
      </c>
      <c r="H1360" s="8">
        <v>8.494</v>
      </c>
      <c r="J1360" s="26"/>
      <c r="K1360"/>
    </row>
    <row r="1361" spans="1:11">
      <c r="A1361">
        <v>10</v>
      </c>
      <c r="B1361" s="64">
        <v>40718</v>
      </c>
      <c r="C1361" s="2">
        <v>1711813.13</v>
      </c>
      <c r="D1361">
        <v>0</v>
      </c>
      <c r="E1361" s="65">
        <v>90.69</v>
      </c>
      <c r="F1361" s="8">
        <v>3.807</v>
      </c>
      <c r="G1361" s="66">
        <v>129.0663</v>
      </c>
      <c r="H1361" s="8">
        <v>8.494</v>
      </c>
      <c r="J1361" s="26"/>
      <c r="K1361"/>
    </row>
    <row r="1362" spans="1:11">
      <c r="A1362">
        <v>10</v>
      </c>
      <c r="B1362" s="64">
        <v>40725</v>
      </c>
      <c r="C1362" s="2">
        <v>1751369.75</v>
      </c>
      <c r="D1362">
        <v>0</v>
      </c>
      <c r="E1362" s="65">
        <v>95.36</v>
      </c>
      <c r="F1362" s="8">
        <v>3.842</v>
      </c>
      <c r="G1362" s="66">
        <v>129.0894</v>
      </c>
      <c r="H1362" s="8">
        <v>8.257</v>
      </c>
      <c r="J1362" s="26"/>
      <c r="K1362"/>
    </row>
    <row r="1363" spans="1:11">
      <c r="A1363">
        <v>10</v>
      </c>
      <c r="B1363" s="64">
        <v>40732</v>
      </c>
      <c r="C1363" s="2">
        <v>1699708.38</v>
      </c>
      <c r="D1363">
        <v>0</v>
      </c>
      <c r="E1363" s="65">
        <v>88.57</v>
      </c>
      <c r="F1363" s="8">
        <v>3.793</v>
      </c>
      <c r="G1363" s="66">
        <v>129.1125</v>
      </c>
      <c r="H1363" s="8">
        <v>8.257</v>
      </c>
      <c r="J1363" s="26"/>
      <c r="K1363"/>
    </row>
    <row r="1364" spans="1:11">
      <c r="A1364">
        <v>10</v>
      </c>
      <c r="B1364" s="64">
        <v>40739</v>
      </c>
      <c r="C1364" s="2">
        <v>1775068.4</v>
      </c>
      <c r="D1364">
        <v>0</v>
      </c>
      <c r="E1364" s="65">
        <v>86.01</v>
      </c>
      <c r="F1364" s="8">
        <v>3.779</v>
      </c>
      <c r="G1364" s="66">
        <v>129.1338387</v>
      </c>
      <c r="H1364" s="8">
        <v>8.257</v>
      </c>
      <c r="J1364" s="26"/>
      <c r="K1364"/>
    </row>
    <row r="1365" spans="1:11">
      <c r="A1365">
        <v>10</v>
      </c>
      <c r="B1365" s="64">
        <v>40746</v>
      </c>
      <c r="C1365" s="2">
        <v>1774342.61</v>
      </c>
      <c r="D1365">
        <v>0</v>
      </c>
      <c r="E1365" s="65">
        <v>88.59</v>
      </c>
      <c r="F1365" s="8">
        <v>3.697</v>
      </c>
      <c r="G1365" s="66">
        <v>129.1507742</v>
      </c>
      <c r="H1365" s="8">
        <v>8.257</v>
      </c>
      <c r="J1365" s="26"/>
      <c r="K1365"/>
    </row>
    <row r="1366" spans="1:11">
      <c r="A1366">
        <v>10</v>
      </c>
      <c r="B1366" s="64">
        <v>40753</v>
      </c>
      <c r="C1366" s="2">
        <v>1745841.33</v>
      </c>
      <c r="D1366">
        <v>0</v>
      </c>
      <c r="E1366" s="65">
        <v>86.75</v>
      </c>
      <c r="F1366" s="8">
        <v>3.694</v>
      </c>
      <c r="G1366" s="66">
        <v>129.1677097</v>
      </c>
      <c r="H1366" s="8">
        <v>8.257</v>
      </c>
      <c r="J1366" s="26"/>
      <c r="K1366"/>
    </row>
    <row r="1367" spans="1:11">
      <c r="A1367">
        <v>10</v>
      </c>
      <c r="B1367" s="64">
        <v>40760</v>
      </c>
      <c r="C1367" s="2">
        <v>1886299.98</v>
      </c>
      <c r="D1367">
        <v>0</v>
      </c>
      <c r="E1367" s="65">
        <v>89.8</v>
      </c>
      <c r="F1367" s="8">
        <v>3.803</v>
      </c>
      <c r="G1367" s="66">
        <v>129.1846452</v>
      </c>
      <c r="H1367" s="8">
        <v>8.257</v>
      </c>
      <c r="J1367" s="26"/>
      <c r="K1367"/>
    </row>
    <row r="1368" spans="1:11">
      <c r="A1368">
        <v>10</v>
      </c>
      <c r="B1368" s="64">
        <v>40767</v>
      </c>
      <c r="C1368" s="2">
        <v>1917397.63</v>
      </c>
      <c r="D1368">
        <v>0</v>
      </c>
      <c r="E1368" s="65">
        <v>85.61</v>
      </c>
      <c r="F1368" s="8">
        <v>3.794</v>
      </c>
      <c r="G1368" s="66">
        <v>129.2015806</v>
      </c>
      <c r="H1368" s="8">
        <v>8.257</v>
      </c>
      <c r="J1368" s="26"/>
      <c r="K1368"/>
    </row>
    <row r="1369" spans="1:11">
      <c r="A1369">
        <v>10</v>
      </c>
      <c r="B1369" s="64">
        <v>40774</v>
      </c>
      <c r="C1369" s="2">
        <v>1954849.68</v>
      </c>
      <c r="D1369">
        <v>0</v>
      </c>
      <c r="E1369" s="65">
        <v>87.4</v>
      </c>
      <c r="F1369" s="8">
        <v>3.743</v>
      </c>
      <c r="G1369" s="66">
        <v>129.2405806</v>
      </c>
      <c r="H1369" s="8">
        <v>8.257</v>
      </c>
      <c r="J1369" s="26"/>
      <c r="K1369"/>
    </row>
    <row r="1370" spans="1:11">
      <c r="A1370">
        <v>10</v>
      </c>
      <c r="B1370" s="64">
        <v>40781</v>
      </c>
      <c r="C1370" s="2">
        <v>1728399.07</v>
      </c>
      <c r="D1370">
        <v>0</v>
      </c>
      <c r="E1370" s="65">
        <v>91.59</v>
      </c>
      <c r="F1370" s="8">
        <v>3.663</v>
      </c>
      <c r="G1370" s="66">
        <v>129.2832581</v>
      </c>
      <c r="H1370" s="8">
        <v>8.257</v>
      </c>
      <c r="J1370" s="26"/>
      <c r="K1370"/>
    </row>
    <row r="1371" spans="1:11">
      <c r="A1371">
        <v>10</v>
      </c>
      <c r="B1371" s="64">
        <v>40788</v>
      </c>
      <c r="C1371" s="2">
        <v>1758587.35</v>
      </c>
      <c r="D1371">
        <v>0</v>
      </c>
      <c r="E1371" s="65">
        <v>91.61</v>
      </c>
      <c r="F1371" s="8">
        <v>3.798</v>
      </c>
      <c r="G1371" s="66">
        <v>129.3259355</v>
      </c>
      <c r="H1371" s="8">
        <v>8.257</v>
      </c>
      <c r="J1371" s="26"/>
      <c r="K1371"/>
    </row>
    <row r="1372" spans="1:11">
      <c r="A1372">
        <v>10</v>
      </c>
      <c r="B1372" s="64">
        <v>40795</v>
      </c>
      <c r="C1372" s="2">
        <v>1670579.82</v>
      </c>
      <c r="D1372">
        <v>1</v>
      </c>
      <c r="E1372" s="65">
        <v>89.06</v>
      </c>
      <c r="F1372" s="8">
        <v>3.771</v>
      </c>
      <c r="G1372" s="66">
        <v>129.3686129</v>
      </c>
      <c r="H1372" s="8">
        <v>8.257</v>
      </c>
      <c r="J1372" s="26"/>
      <c r="K1372"/>
    </row>
    <row r="1373" spans="1:11">
      <c r="A1373">
        <v>10</v>
      </c>
      <c r="B1373" s="64">
        <v>40802</v>
      </c>
      <c r="C1373" s="2">
        <v>1650894.3</v>
      </c>
      <c r="D1373">
        <v>0</v>
      </c>
      <c r="E1373" s="65">
        <v>77.49</v>
      </c>
      <c r="F1373" s="8">
        <v>3.784</v>
      </c>
      <c r="G1373" s="66">
        <v>129.4306</v>
      </c>
      <c r="H1373" s="8">
        <v>8.257</v>
      </c>
      <c r="J1373" s="26"/>
      <c r="K1373"/>
    </row>
    <row r="1374" spans="1:11">
      <c r="A1374">
        <v>10</v>
      </c>
      <c r="B1374" s="64">
        <v>40809</v>
      </c>
      <c r="C1374" s="2">
        <v>1685910.53</v>
      </c>
      <c r="D1374">
        <v>0</v>
      </c>
      <c r="E1374" s="65">
        <v>82.51</v>
      </c>
      <c r="F1374" s="8">
        <v>3.789</v>
      </c>
      <c r="G1374" s="66">
        <v>129.5183333</v>
      </c>
      <c r="H1374" s="8">
        <v>8.257</v>
      </c>
      <c r="J1374" s="26"/>
      <c r="K1374"/>
    </row>
    <row r="1375" spans="1:11">
      <c r="A1375">
        <v>10</v>
      </c>
      <c r="B1375" s="64">
        <v>40816</v>
      </c>
      <c r="C1375" s="2">
        <v>1627707.31</v>
      </c>
      <c r="D1375">
        <v>0</v>
      </c>
      <c r="E1375" s="65">
        <v>82.27</v>
      </c>
      <c r="F1375" s="8">
        <v>3.877</v>
      </c>
      <c r="G1375" s="66">
        <v>129.6060667</v>
      </c>
      <c r="H1375" s="8">
        <v>8.257</v>
      </c>
      <c r="J1375" s="26"/>
      <c r="K1375"/>
    </row>
    <row r="1376" spans="1:11">
      <c r="A1376">
        <v>10</v>
      </c>
      <c r="B1376" s="64">
        <v>40823</v>
      </c>
      <c r="C1376" s="2">
        <v>1788227.6</v>
      </c>
      <c r="D1376">
        <v>0</v>
      </c>
      <c r="E1376" s="65">
        <v>75.01</v>
      </c>
      <c r="F1376" s="8">
        <v>3.827</v>
      </c>
      <c r="G1376" s="66">
        <v>129.6938</v>
      </c>
      <c r="H1376" s="8">
        <v>7.874</v>
      </c>
      <c r="J1376" s="26"/>
      <c r="K1376"/>
    </row>
    <row r="1377" spans="1:11">
      <c r="A1377">
        <v>10</v>
      </c>
      <c r="B1377" s="64">
        <v>40830</v>
      </c>
      <c r="C1377" s="2">
        <v>1704753.02</v>
      </c>
      <c r="D1377">
        <v>0</v>
      </c>
      <c r="E1377" s="65">
        <v>70.27</v>
      </c>
      <c r="F1377" s="8">
        <v>3.698</v>
      </c>
      <c r="G1377" s="66">
        <v>129.7706452</v>
      </c>
      <c r="H1377" s="8">
        <v>7.874</v>
      </c>
      <c r="J1377" s="26"/>
      <c r="K1377"/>
    </row>
    <row r="1378" spans="1:11">
      <c r="A1378">
        <v>10</v>
      </c>
      <c r="B1378" s="64">
        <v>40837</v>
      </c>
      <c r="C1378" s="2">
        <v>1745928.56</v>
      </c>
      <c r="D1378">
        <v>0</v>
      </c>
      <c r="E1378" s="65">
        <v>77.91</v>
      </c>
      <c r="F1378" s="8">
        <v>3.842</v>
      </c>
      <c r="G1378" s="66">
        <v>129.7821613</v>
      </c>
      <c r="H1378" s="8">
        <v>7.874</v>
      </c>
      <c r="J1378" s="26"/>
      <c r="K1378"/>
    </row>
    <row r="1379" spans="1:11">
      <c r="A1379">
        <v>10</v>
      </c>
      <c r="B1379" s="64">
        <v>40844</v>
      </c>
      <c r="C1379" s="2">
        <v>1771792.97</v>
      </c>
      <c r="D1379">
        <v>0</v>
      </c>
      <c r="E1379" s="65">
        <v>72.79</v>
      </c>
      <c r="F1379" s="8">
        <v>3.843</v>
      </c>
      <c r="G1379" s="66">
        <v>129.7936774</v>
      </c>
      <c r="H1379" s="8">
        <v>7.874</v>
      </c>
      <c r="J1379" s="26"/>
      <c r="K1379"/>
    </row>
    <row r="1380" spans="1:11">
      <c r="A1380">
        <v>10</v>
      </c>
      <c r="B1380" s="64">
        <v>40851</v>
      </c>
      <c r="C1380" s="2">
        <v>1904438.59</v>
      </c>
      <c r="D1380">
        <v>0</v>
      </c>
      <c r="E1380" s="65">
        <v>68.57</v>
      </c>
      <c r="F1380" s="8">
        <v>3.828</v>
      </c>
      <c r="G1380" s="66">
        <v>129.8051935</v>
      </c>
      <c r="H1380" s="8">
        <v>7.874</v>
      </c>
      <c r="J1380" s="26"/>
      <c r="K1380"/>
    </row>
    <row r="1381" spans="1:11">
      <c r="A1381">
        <v>10</v>
      </c>
      <c r="B1381" s="64">
        <v>40858</v>
      </c>
      <c r="C1381" s="2">
        <v>2076570.84</v>
      </c>
      <c r="D1381">
        <v>0</v>
      </c>
      <c r="E1381" s="65">
        <v>55.28</v>
      </c>
      <c r="F1381" s="8">
        <v>3.677</v>
      </c>
      <c r="G1381" s="66">
        <v>129.8167097</v>
      </c>
      <c r="H1381" s="8">
        <v>7.874</v>
      </c>
      <c r="J1381" s="26"/>
      <c r="K1381"/>
    </row>
    <row r="1382" spans="1:11">
      <c r="A1382">
        <v>10</v>
      </c>
      <c r="B1382" s="64">
        <v>40865</v>
      </c>
      <c r="C1382" s="2">
        <v>1869087.85</v>
      </c>
      <c r="D1382">
        <v>0</v>
      </c>
      <c r="E1382" s="65">
        <v>58.97</v>
      </c>
      <c r="F1382" s="8">
        <v>3.669</v>
      </c>
      <c r="G1382" s="66">
        <v>129.8268333</v>
      </c>
      <c r="H1382" s="8">
        <v>7.874</v>
      </c>
      <c r="J1382" s="26"/>
      <c r="K1382"/>
    </row>
    <row r="1383" spans="1:11">
      <c r="A1383">
        <v>10</v>
      </c>
      <c r="B1383" s="64">
        <v>40872</v>
      </c>
      <c r="C1383" s="2">
        <v>2950198.64</v>
      </c>
      <c r="D1383">
        <v>1</v>
      </c>
      <c r="E1383" s="65">
        <v>60.68</v>
      </c>
      <c r="F1383" s="8">
        <v>3.76</v>
      </c>
      <c r="G1383" s="66">
        <v>129.8364</v>
      </c>
      <c r="H1383" s="8">
        <v>7.874</v>
      </c>
      <c r="J1383" s="26"/>
      <c r="K1383"/>
    </row>
    <row r="1384" spans="1:11">
      <c r="A1384">
        <v>10</v>
      </c>
      <c r="B1384" s="64">
        <v>40879</v>
      </c>
      <c r="C1384" s="2">
        <v>2068097.18</v>
      </c>
      <c r="D1384">
        <v>0</v>
      </c>
      <c r="E1384" s="65">
        <v>57.29</v>
      </c>
      <c r="F1384" s="8">
        <v>3.701</v>
      </c>
      <c r="G1384" s="66">
        <v>129.8459667</v>
      </c>
      <c r="H1384" s="8">
        <v>7.874</v>
      </c>
      <c r="J1384" s="26"/>
      <c r="K1384"/>
    </row>
    <row r="1385" spans="1:11">
      <c r="A1385">
        <v>10</v>
      </c>
      <c r="B1385" s="64">
        <v>40886</v>
      </c>
      <c r="C1385" s="2">
        <v>2429310.9</v>
      </c>
      <c r="D1385">
        <v>0</v>
      </c>
      <c r="E1385" s="65">
        <v>42.58</v>
      </c>
      <c r="F1385" s="8">
        <v>3.644</v>
      </c>
      <c r="G1385" s="66">
        <v>129.8555333</v>
      </c>
      <c r="H1385" s="8">
        <v>7.874</v>
      </c>
      <c r="J1385" s="26"/>
      <c r="K1385"/>
    </row>
    <row r="1386" spans="1:11">
      <c r="A1386">
        <v>10</v>
      </c>
      <c r="B1386" s="64">
        <v>40893</v>
      </c>
      <c r="C1386" s="2">
        <v>2555031.18</v>
      </c>
      <c r="D1386">
        <v>0</v>
      </c>
      <c r="E1386" s="65">
        <v>50.53</v>
      </c>
      <c r="F1386" s="8">
        <v>3.489</v>
      </c>
      <c r="G1386" s="66">
        <v>129.8980645</v>
      </c>
      <c r="H1386" s="8">
        <v>7.874</v>
      </c>
      <c r="J1386" s="26"/>
      <c r="K1386"/>
    </row>
    <row r="1387" spans="1:11">
      <c r="A1387">
        <v>10</v>
      </c>
      <c r="B1387" s="64">
        <v>40900</v>
      </c>
      <c r="C1387" s="2">
        <v>3487986.89</v>
      </c>
      <c r="D1387">
        <v>0</v>
      </c>
      <c r="E1387" s="65">
        <v>48.36</v>
      </c>
      <c r="F1387" s="8">
        <v>3.541</v>
      </c>
      <c r="G1387" s="66">
        <v>129.9845484</v>
      </c>
      <c r="H1387" s="8">
        <v>7.874</v>
      </c>
      <c r="J1387" s="26"/>
      <c r="K1387"/>
    </row>
    <row r="1388" spans="1:11">
      <c r="A1388">
        <v>10</v>
      </c>
      <c r="B1388" s="64">
        <v>40907</v>
      </c>
      <c r="C1388" s="2">
        <v>1930690.37</v>
      </c>
      <c r="D1388">
        <v>1</v>
      </c>
      <c r="E1388" s="65">
        <v>48.92</v>
      </c>
      <c r="F1388" s="8">
        <v>3.428</v>
      </c>
      <c r="G1388" s="66">
        <v>130.0710323</v>
      </c>
      <c r="H1388" s="8">
        <v>7.874</v>
      </c>
      <c r="J1388" s="26"/>
      <c r="K1388"/>
    </row>
    <row r="1389" spans="1:11">
      <c r="A1389">
        <v>10</v>
      </c>
      <c r="B1389" s="64">
        <v>40914</v>
      </c>
      <c r="C1389" s="2">
        <v>1683401.78</v>
      </c>
      <c r="D1389">
        <v>0</v>
      </c>
      <c r="E1389" s="65">
        <v>59.85</v>
      </c>
      <c r="F1389" s="8">
        <v>3.443</v>
      </c>
      <c r="G1389" s="66">
        <v>130.1575161</v>
      </c>
      <c r="H1389" s="8">
        <v>7.545</v>
      </c>
      <c r="J1389" s="26"/>
      <c r="K1389"/>
    </row>
    <row r="1390" spans="1:11">
      <c r="A1390">
        <v>10</v>
      </c>
      <c r="B1390" s="64">
        <v>40921</v>
      </c>
      <c r="C1390" s="2">
        <v>1711562.73</v>
      </c>
      <c r="D1390">
        <v>0</v>
      </c>
      <c r="E1390" s="65">
        <v>51</v>
      </c>
      <c r="F1390" s="8">
        <v>3.477</v>
      </c>
      <c r="G1390" s="66">
        <v>130.244</v>
      </c>
      <c r="H1390" s="8">
        <v>7.545</v>
      </c>
      <c r="J1390" s="26"/>
      <c r="K1390"/>
    </row>
    <row r="1391" spans="1:11">
      <c r="A1391">
        <v>10</v>
      </c>
      <c r="B1391" s="64">
        <v>40928</v>
      </c>
      <c r="C1391" s="2">
        <v>1675562.94</v>
      </c>
      <c r="D1391">
        <v>0</v>
      </c>
      <c r="E1391" s="65">
        <v>54.51</v>
      </c>
      <c r="F1391" s="8">
        <v>3.66</v>
      </c>
      <c r="G1391" s="66">
        <v>130.2792258</v>
      </c>
      <c r="H1391" s="8">
        <v>7.545</v>
      </c>
      <c r="J1391" s="26"/>
      <c r="K1391"/>
    </row>
    <row r="1392" spans="1:11">
      <c r="A1392">
        <v>10</v>
      </c>
      <c r="B1392" s="64">
        <v>40935</v>
      </c>
      <c r="C1392" s="2">
        <v>1632406</v>
      </c>
      <c r="D1392">
        <v>0</v>
      </c>
      <c r="E1392" s="65">
        <v>53.59</v>
      </c>
      <c r="F1392" s="8">
        <v>3.675</v>
      </c>
      <c r="G1392" s="66">
        <v>130.3144516</v>
      </c>
      <c r="H1392" s="8">
        <v>7.545</v>
      </c>
      <c r="J1392" s="26"/>
      <c r="K1392"/>
    </row>
    <row r="1393" spans="1:11">
      <c r="A1393">
        <v>10</v>
      </c>
      <c r="B1393" s="64">
        <v>40942</v>
      </c>
      <c r="C1393" s="2">
        <v>1867403.01</v>
      </c>
      <c r="D1393">
        <v>0</v>
      </c>
      <c r="E1393" s="65">
        <v>56.85</v>
      </c>
      <c r="F1393" s="8">
        <v>3.543</v>
      </c>
      <c r="G1393" s="66">
        <v>130.3496774</v>
      </c>
      <c r="H1393" s="8">
        <v>7.545</v>
      </c>
      <c r="J1393" s="26"/>
      <c r="K1393"/>
    </row>
    <row r="1394" spans="1:11">
      <c r="A1394">
        <v>10</v>
      </c>
      <c r="B1394" s="64">
        <v>40949</v>
      </c>
      <c r="C1394" s="2">
        <v>2218595.8</v>
      </c>
      <c r="D1394">
        <v>1</v>
      </c>
      <c r="E1394" s="65">
        <v>55.73</v>
      </c>
      <c r="F1394" s="8">
        <v>3.722</v>
      </c>
      <c r="G1394" s="66">
        <v>130.3849032</v>
      </c>
      <c r="H1394" s="8">
        <v>7.545</v>
      </c>
      <c r="J1394" s="26"/>
      <c r="K1394"/>
    </row>
    <row r="1395" spans="1:11">
      <c r="A1395">
        <v>10</v>
      </c>
      <c r="B1395" s="64">
        <v>40956</v>
      </c>
      <c r="C1395" s="2">
        <v>2168709.76</v>
      </c>
      <c r="D1395">
        <v>0</v>
      </c>
      <c r="E1395" s="65">
        <v>54.12</v>
      </c>
      <c r="F1395" s="8">
        <v>3.781</v>
      </c>
      <c r="G1395" s="66">
        <v>130.4546207</v>
      </c>
      <c r="H1395" s="8">
        <v>7.545</v>
      </c>
      <c r="J1395" s="26"/>
      <c r="K1395"/>
    </row>
    <row r="1396" spans="1:11">
      <c r="A1396">
        <v>10</v>
      </c>
      <c r="B1396" s="64">
        <v>40963</v>
      </c>
      <c r="C1396" s="2">
        <v>2039415.74</v>
      </c>
      <c r="D1396">
        <v>0</v>
      </c>
      <c r="E1396" s="65">
        <v>56.02</v>
      </c>
      <c r="F1396" s="8">
        <v>3.95</v>
      </c>
      <c r="G1396" s="66">
        <v>130.5502069</v>
      </c>
      <c r="H1396" s="8">
        <v>7.545</v>
      </c>
      <c r="J1396" s="26"/>
      <c r="K1396"/>
    </row>
    <row r="1397" spans="1:11">
      <c r="A1397">
        <v>10</v>
      </c>
      <c r="B1397" s="64">
        <v>40970</v>
      </c>
      <c r="C1397" s="2">
        <v>1990371.02</v>
      </c>
      <c r="D1397">
        <v>0</v>
      </c>
      <c r="E1397" s="65">
        <v>57.62</v>
      </c>
      <c r="F1397" s="8">
        <v>3.882</v>
      </c>
      <c r="G1397" s="66">
        <v>130.6457931</v>
      </c>
      <c r="H1397" s="8">
        <v>7.545</v>
      </c>
      <c r="J1397" s="26"/>
      <c r="K1397"/>
    </row>
    <row r="1398" spans="1:11">
      <c r="A1398">
        <v>10</v>
      </c>
      <c r="B1398" s="64">
        <v>40977</v>
      </c>
      <c r="C1398" s="2">
        <v>1917483.1</v>
      </c>
      <c r="D1398">
        <v>0</v>
      </c>
      <c r="E1398" s="65">
        <v>57.65</v>
      </c>
      <c r="F1398" s="8">
        <v>3.963</v>
      </c>
      <c r="G1398" s="66">
        <v>130.7413793</v>
      </c>
      <c r="H1398" s="8">
        <v>7.545</v>
      </c>
      <c r="J1398" s="26"/>
      <c r="K1398"/>
    </row>
    <row r="1399" spans="1:11">
      <c r="A1399">
        <v>10</v>
      </c>
      <c r="B1399" s="64">
        <v>40984</v>
      </c>
      <c r="C1399" s="2">
        <v>1930814.66</v>
      </c>
      <c r="D1399">
        <v>0</v>
      </c>
      <c r="E1399" s="65">
        <v>62.11</v>
      </c>
      <c r="F1399" s="8">
        <v>4.273</v>
      </c>
      <c r="G1399" s="66">
        <v>130.8261935</v>
      </c>
      <c r="H1399" s="8">
        <v>7.545</v>
      </c>
      <c r="J1399" s="26"/>
      <c r="K1399"/>
    </row>
    <row r="1400" spans="1:11">
      <c r="A1400">
        <v>10</v>
      </c>
      <c r="B1400" s="64">
        <v>40991</v>
      </c>
      <c r="C1400" s="2">
        <v>1837457.69</v>
      </c>
      <c r="D1400">
        <v>0</v>
      </c>
      <c r="E1400" s="65">
        <v>56.54</v>
      </c>
      <c r="F1400" s="8">
        <v>4.288</v>
      </c>
      <c r="G1400" s="66">
        <v>130.8966452</v>
      </c>
      <c r="H1400" s="8">
        <v>7.545</v>
      </c>
      <c r="J1400" s="26"/>
      <c r="K1400"/>
    </row>
    <row r="1401" spans="1:11">
      <c r="A1401">
        <v>10</v>
      </c>
      <c r="B1401" s="64">
        <v>40998</v>
      </c>
      <c r="C1401" s="2">
        <v>1815760.42</v>
      </c>
      <c r="D1401">
        <v>0</v>
      </c>
      <c r="E1401" s="65">
        <v>67.92</v>
      </c>
      <c r="F1401" s="8">
        <v>4.294</v>
      </c>
      <c r="G1401" s="66">
        <v>130.9670968</v>
      </c>
      <c r="H1401" s="8">
        <v>7.545</v>
      </c>
      <c r="J1401" s="26"/>
      <c r="K1401"/>
    </row>
    <row r="1402" spans="1:11">
      <c r="A1402">
        <v>10</v>
      </c>
      <c r="B1402" s="64">
        <v>41005</v>
      </c>
      <c r="C1402" s="2">
        <v>2163384.17</v>
      </c>
      <c r="D1402">
        <v>0</v>
      </c>
      <c r="E1402" s="65">
        <v>65.99</v>
      </c>
      <c r="F1402" s="8">
        <v>4.282</v>
      </c>
      <c r="G1402" s="66">
        <v>131.0375484</v>
      </c>
      <c r="H1402" s="8">
        <v>7.382</v>
      </c>
      <c r="J1402" s="26"/>
      <c r="K1402"/>
    </row>
    <row r="1403" spans="1:11">
      <c r="A1403">
        <v>10</v>
      </c>
      <c r="B1403" s="64">
        <v>41012</v>
      </c>
      <c r="C1403" s="2">
        <v>1974687.51</v>
      </c>
      <c r="D1403">
        <v>0</v>
      </c>
      <c r="E1403" s="65">
        <v>70.28</v>
      </c>
      <c r="F1403" s="8">
        <v>4.254</v>
      </c>
      <c r="G1403" s="66">
        <v>131.108</v>
      </c>
      <c r="H1403" s="8">
        <v>7.382</v>
      </c>
      <c r="J1403" s="26"/>
      <c r="K1403"/>
    </row>
    <row r="1404" spans="1:11">
      <c r="A1404">
        <v>10</v>
      </c>
      <c r="B1404" s="64">
        <v>41019</v>
      </c>
      <c r="C1404" s="2">
        <v>1777166.53</v>
      </c>
      <c r="D1404">
        <v>0</v>
      </c>
      <c r="E1404" s="65">
        <v>67.75</v>
      </c>
      <c r="F1404" s="8">
        <v>4.111</v>
      </c>
      <c r="G1404" s="66">
        <v>131.1173333</v>
      </c>
      <c r="H1404" s="8">
        <v>7.382</v>
      </c>
      <c r="J1404" s="26"/>
      <c r="K1404"/>
    </row>
    <row r="1405" spans="1:11">
      <c r="A1405">
        <v>10</v>
      </c>
      <c r="B1405" s="64">
        <v>41026</v>
      </c>
      <c r="C1405" s="2">
        <v>1712987.56</v>
      </c>
      <c r="D1405">
        <v>0</v>
      </c>
      <c r="E1405" s="65">
        <v>80.11</v>
      </c>
      <c r="F1405" s="8">
        <v>4.088</v>
      </c>
      <c r="G1405" s="66">
        <v>131.1266667</v>
      </c>
      <c r="H1405" s="8">
        <v>7.382</v>
      </c>
      <c r="J1405" s="26"/>
      <c r="K1405"/>
    </row>
    <row r="1406" spans="1:11">
      <c r="A1406">
        <v>10</v>
      </c>
      <c r="B1406" s="64">
        <v>41033</v>
      </c>
      <c r="C1406" s="2">
        <v>1821364.42</v>
      </c>
      <c r="D1406">
        <v>0</v>
      </c>
      <c r="E1406" s="65">
        <v>77.02</v>
      </c>
      <c r="F1406" s="8">
        <v>4.058</v>
      </c>
      <c r="G1406" s="66">
        <v>131.136</v>
      </c>
      <c r="H1406" s="8">
        <v>7.382</v>
      </c>
      <c r="J1406" s="26"/>
      <c r="K1406"/>
    </row>
    <row r="1407" spans="1:11">
      <c r="A1407">
        <v>10</v>
      </c>
      <c r="B1407" s="64">
        <v>41040</v>
      </c>
      <c r="C1407" s="2">
        <v>1792345.3</v>
      </c>
      <c r="D1407">
        <v>0</v>
      </c>
      <c r="E1407" s="65">
        <v>76.03</v>
      </c>
      <c r="F1407" s="8">
        <v>4.186</v>
      </c>
      <c r="G1407" s="66">
        <v>131.1453333</v>
      </c>
      <c r="H1407" s="8">
        <v>7.382</v>
      </c>
      <c r="J1407" s="26"/>
      <c r="K1407"/>
    </row>
    <row r="1408" spans="1:11">
      <c r="A1408">
        <v>10</v>
      </c>
      <c r="B1408" s="64">
        <v>41047</v>
      </c>
      <c r="C1408" s="2">
        <v>1795152.73</v>
      </c>
      <c r="D1408">
        <v>0</v>
      </c>
      <c r="E1408" s="65">
        <v>85.19</v>
      </c>
      <c r="F1408" s="8">
        <v>4.308</v>
      </c>
      <c r="G1408" s="66">
        <v>131.0983226</v>
      </c>
      <c r="H1408" s="8">
        <v>7.382</v>
      </c>
      <c r="J1408" s="26"/>
      <c r="K1408"/>
    </row>
    <row r="1409" spans="1:11">
      <c r="A1409">
        <v>10</v>
      </c>
      <c r="B1409" s="64">
        <v>41054</v>
      </c>
      <c r="C1409" s="2">
        <v>1830939.1</v>
      </c>
      <c r="D1409">
        <v>0</v>
      </c>
      <c r="E1409" s="65">
        <v>86.03</v>
      </c>
      <c r="F1409" s="8">
        <v>4.127</v>
      </c>
      <c r="G1409" s="66">
        <v>131.0287742</v>
      </c>
      <c r="H1409" s="8">
        <v>7.382</v>
      </c>
      <c r="J1409" s="26"/>
      <c r="K1409"/>
    </row>
    <row r="1410" spans="1:11">
      <c r="A1410">
        <v>10</v>
      </c>
      <c r="B1410" s="64">
        <v>41061</v>
      </c>
      <c r="C1410" s="2">
        <v>1767471.48</v>
      </c>
      <c r="D1410">
        <v>0</v>
      </c>
      <c r="E1410" s="65">
        <v>80.06</v>
      </c>
      <c r="F1410" s="8">
        <v>4.277</v>
      </c>
      <c r="G1410" s="66">
        <v>130.9592258</v>
      </c>
      <c r="H1410" s="8">
        <v>7.382</v>
      </c>
      <c r="J1410" s="26"/>
      <c r="K1410"/>
    </row>
    <row r="1411" spans="1:11">
      <c r="A1411">
        <v>10</v>
      </c>
      <c r="B1411" s="64">
        <v>41068</v>
      </c>
      <c r="C1411" s="2">
        <v>1840491.41</v>
      </c>
      <c r="D1411">
        <v>0</v>
      </c>
      <c r="E1411" s="65">
        <v>86.87</v>
      </c>
      <c r="F1411" s="8">
        <v>4.103</v>
      </c>
      <c r="G1411" s="66">
        <v>130.8896774</v>
      </c>
      <c r="H1411" s="8">
        <v>7.382</v>
      </c>
      <c r="J1411" s="26"/>
      <c r="K1411"/>
    </row>
    <row r="1412" spans="1:11">
      <c r="A1412">
        <v>10</v>
      </c>
      <c r="B1412" s="64">
        <v>41075</v>
      </c>
      <c r="C1412" s="2">
        <v>1811562.88</v>
      </c>
      <c r="D1412">
        <v>0</v>
      </c>
      <c r="E1412" s="65">
        <v>88.58</v>
      </c>
      <c r="F1412" s="8">
        <v>4.144</v>
      </c>
      <c r="G1412" s="66">
        <v>130.8295333</v>
      </c>
      <c r="H1412" s="8">
        <v>7.382</v>
      </c>
      <c r="J1412" s="26"/>
      <c r="K1412"/>
    </row>
    <row r="1413" spans="1:11">
      <c r="A1413">
        <v>10</v>
      </c>
      <c r="B1413" s="64">
        <v>41082</v>
      </c>
      <c r="C1413" s="2">
        <v>1755334.18</v>
      </c>
      <c r="D1413">
        <v>0</v>
      </c>
      <c r="E1413" s="65">
        <v>89.92</v>
      </c>
      <c r="F1413" s="8">
        <v>4.014</v>
      </c>
      <c r="G1413" s="66">
        <v>130.7929</v>
      </c>
      <c r="H1413" s="8">
        <v>7.382</v>
      </c>
      <c r="J1413" s="26"/>
      <c r="K1413"/>
    </row>
    <row r="1414" spans="1:11">
      <c r="A1414">
        <v>10</v>
      </c>
      <c r="B1414" s="64">
        <v>41089</v>
      </c>
      <c r="C1414" s="2">
        <v>1707481.9</v>
      </c>
      <c r="D1414">
        <v>0</v>
      </c>
      <c r="E1414" s="65">
        <v>91.36</v>
      </c>
      <c r="F1414" s="8">
        <v>3.875</v>
      </c>
      <c r="G1414" s="66">
        <v>130.7562667</v>
      </c>
      <c r="H1414" s="8">
        <v>7.382</v>
      </c>
      <c r="J1414" s="26"/>
      <c r="K1414"/>
    </row>
    <row r="1415" spans="1:11">
      <c r="A1415">
        <v>10</v>
      </c>
      <c r="B1415" s="64">
        <v>41096</v>
      </c>
      <c r="C1415" s="2">
        <v>1805999.79</v>
      </c>
      <c r="D1415">
        <v>0</v>
      </c>
      <c r="E1415" s="65">
        <v>86.87</v>
      </c>
      <c r="F1415" s="8">
        <v>3.666</v>
      </c>
      <c r="G1415" s="66">
        <v>130.7196333</v>
      </c>
      <c r="H1415" s="8">
        <v>7.17</v>
      </c>
      <c r="J1415" s="26"/>
      <c r="K1415"/>
    </row>
    <row r="1416" spans="1:11">
      <c r="A1416">
        <v>10</v>
      </c>
      <c r="B1416" s="64">
        <v>41103</v>
      </c>
      <c r="C1416" s="2">
        <v>1765571.91</v>
      </c>
      <c r="D1416">
        <v>0</v>
      </c>
      <c r="E1416" s="65">
        <v>89.8</v>
      </c>
      <c r="F1416" s="8">
        <v>3.723</v>
      </c>
      <c r="G1416" s="66">
        <v>130.683</v>
      </c>
      <c r="H1416" s="8">
        <v>7.17</v>
      </c>
      <c r="J1416" s="26"/>
      <c r="K1416"/>
    </row>
    <row r="1417" spans="1:11">
      <c r="A1417">
        <v>10</v>
      </c>
      <c r="B1417" s="64">
        <v>41110</v>
      </c>
      <c r="C1417" s="2">
        <v>1869967.03</v>
      </c>
      <c r="D1417">
        <v>0</v>
      </c>
      <c r="E1417" s="65">
        <v>84.45</v>
      </c>
      <c r="F1417" s="8">
        <v>3.589</v>
      </c>
      <c r="G1417" s="66">
        <v>130.7012903</v>
      </c>
      <c r="H1417" s="8">
        <v>7.17</v>
      </c>
      <c r="J1417" s="26"/>
      <c r="K1417"/>
    </row>
    <row r="1418" spans="1:11">
      <c r="A1418">
        <v>10</v>
      </c>
      <c r="B1418" s="64">
        <v>41117</v>
      </c>
      <c r="C1418" s="2">
        <v>1817603.66</v>
      </c>
      <c r="D1418">
        <v>0</v>
      </c>
      <c r="E1418" s="65">
        <v>83.98</v>
      </c>
      <c r="F1418" s="8">
        <v>3.769</v>
      </c>
      <c r="G1418" s="66">
        <v>130.7195806</v>
      </c>
      <c r="H1418" s="8">
        <v>7.17</v>
      </c>
      <c r="J1418" s="26"/>
      <c r="K1418"/>
    </row>
    <row r="1419" spans="1:11">
      <c r="A1419">
        <v>10</v>
      </c>
      <c r="B1419" s="64">
        <v>41124</v>
      </c>
      <c r="C1419" s="2">
        <v>1939440.09</v>
      </c>
      <c r="D1419">
        <v>0</v>
      </c>
      <c r="E1419" s="65">
        <v>84.76</v>
      </c>
      <c r="F1419" s="8">
        <v>3.595</v>
      </c>
      <c r="G1419" s="66">
        <v>130.737871</v>
      </c>
      <c r="H1419" s="8">
        <v>7.17</v>
      </c>
      <c r="J1419" s="26"/>
      <c r="K1419"/>
    </row>
    <row r="1420" spans="1:11">
      <c r="A1420">
        <v>10</v>
      </c>
      <c r="B1420" s="64">
        <v>41131</v>
      </c>
      <c r="C1420" s="2">
        <v>1880436.94</v>
      </c>
      <c r="D1420">
        <v>0</v>
      </c>
      <c r="E1420" s="65">
        <v>90.78</v>
      </c>
      <c r="F1420" s="8">
        <v>3.811</v>
      </c>
      <c r="G1420" s="66">
        <v>130.7561613</v>
      </c>
      <c r="H1420" s="8">
        <v>7.17</v>
      </c>
      <c r="J1420" s="26"/>
      <c r="K1420"/>
    </row>
    <row r="1421" spans="1:11">
      <c r="A1421">
        <v>10</v>
      </c>
      <c r="B1421" s="64">
        <v>41138</v>
      </c>
      <c r="C1421" s="2">
        <v>1827797.4</v>
      </c>
      <c r="D1421">
        <v>0</v>
      </c>
      <c r="E1421" s="65">
        <v>88.83</v>
      </c>
      <c r="F1421" s="8">
        <v>4.002</v>
      </c>
      <c r="G1421" s="66">
        <v>130.7909677</v>
      </c>
      <c r="H1421" s="8">
        <v>7.17</v>
      </c>
      <c r="J1421" s="26"/>
      <c r="K1421"/>
    </row>
    <row r="1422" spans="1:11">
      <c r="A1422">
        <v>10</v>
      </c>
      <c r="B1422" s="64">
        <v>41145</v>
      </c>
      <c r="C1422" s="2">
        <v>1764984.15</v>
      </c>
      <c r="D1422">
        <v>0</v>
      </c>
      <c r="E1422" s="65">
        <v>82.5</v>
      </c>
      <c r="F1422" s="8">
        <v>4.055</v>
      </c>
      <c r="G1422" s="66">
        <v>130.8381613</v>
      </c>
      <c r="H1422" s="8">
        <v>7.17</v>
      </c>
      <c r="J1422" s="26"/>
      <c r="K1422"/>
    </row>
    <row r="1423" spans="1:11">
      <c r="A1423">
        <v>10</v>
      </c>
      <c r="B1423" s="64">
        <v>41152</v>
      </c>
      <c r="C1423" s="2">
        <v>1650285.54</v>
      </c>
      <c r="D1423">
        <v>0</v>
      </c>
      <c r="E1423" s="65">
        <v>86.97</v>
      </c>
      <c r="F1423" s="8">
        <v>3.886</v>
      </c>
      <c r="G1423" s="66">
        <v>130.8853548</v>
      </c>
      <c r="H1423" s="8">
        <v>7.17</v>
      </c>
      <c r="J1423" s="26"/>
      <c r="K1423"/>
    </row>
    <row r="1424" spans="1:11">
      <c r="A1424">
        <v>10</v>
      </c>
      <c r="B1424" s="64">
        <v>41159</v>
      </c>
      <c r="C1424" s="2">
        <v>1708283.28</v>
      </c>
      <c r="D1424">
        <v>1</v>
      </c>
      <c r="E1424" s="65">
        <v>83.07</v>
      </c>
      <c r="F1424" s="8">
        <v>4.124</v>
      </c>
      <c r="G1424" s="66">
        <v>130.9325484</v>
      </c>
      <c r="H1424" s="8">
        <v>7.17</v>
      </c>
      <c r="J1424" s="26"/>
      <c r="K1424"/>
    </row>
    <row r="1425" spans="1:11">
      <c r="A1425">
        <v>10</v>
      </c>
      <c r="B1425" s="64">
        <v>41166</v>
      </c>
      <c r="C1425" s="2">
        <v>1640168.99</v>
      </c>
      <c r="D1425">
        <v>0</v>
      </c>
      <c r="E1425" s="65">
        <v>78.47</v>
      </c>
      <c r="F1425" s="8">
        <v>3.966</v>
      </c>
      <c r="G1425" s="66">
        <v>130.9776667</v>
      </c>
      <c r="H1425" s="8">
        <v>7.17</v>
      </c>
      <c r="J1425" s="26"/>
      <c r="K1425"/>
    </row>
    <row r="1426" spans="1:11">
      <c r="A1426">
        <v>10</v>
      </c>
      <c r="B1426" s="64">
        <v>41173</v>
      </c>
      <c r="C1426" s="2">
        <v>1671857.57</v>
      </c>
      <c r="D1426">
        <v>0</v>
      </c>
      <c r="E1426" s="65">
        <v>81.93</v>
      </c>
      <c r="F1426" s="8">
        <v>4.125</v>
      </c>
      <c r="G1426" s="66">
        <v>131.0103333</v>
      </c>
      <c r="H1426" s="8">
        <v>7.17</v>
      </c>
      <c r="J1426" s="26"/>
      <c r="K1426"/>
    </row>
    <row r="1427" spans="1:11">
      <c r="A1427">
        <v>10</v>
      </c>
      <c r="B1427" s="64">
        <v>41180</v>
      </c>
      <c r="C1427" s="2">
        <v>1694862.41</v>
      </c>
      <c r="D1427">
        <v>0</v>
      </c>
      <c r="E1427" s="65">
        <v>82.52</v>
      </c>
      <c r="F1427" s="8">
        <v>3.966</v>
      </c>
      <c r="G1427" s="66">
        <v>131.043</v>
      </c>
      <c r="H1427" s="8">
        <v>7.17</v>
      </c>
      <c r="J1427" s="26"/>
      <c r="K1427"/>
    </row>
    <row r="1428" spans="1:11">
      <c r="A1428">
        <v>10</v>
      </c>
      <c r="B1428" s="64">
        <v>41187</v>
      </c>
      <c r="C1428" s="2">
        <v>1758971.38</v>
      </c>
      <c r="D1428">
        <v>0</v>
      </c>
      <c r="E1428" s="65">
        <v>80.88</v>
      </c>
      <c r="F1428" s="8">
        <v>4.132</v>
      </c>
      <c r="G1428" s="66">
        <v>131.0756667</v>
      </c>
      <c r="H1428" s="8">
        <v>6.943</v>
      </c>
      <c r="J1428" s="26"/>
      <c r="K1428"/>
    </row>
    <row r="1429" spans="1:11">
      <c r="A1429">
        <v>10</v>
      </c>
      <c r="B1429" s="64">
        <v>41194</v>
      </c>
      <c r="C1429" s="2">
        <v>1713889.11</v>
      </c>
      <c r="D1429">
        <v>0</v>
      </c>
      <c r="E1429" s="65">
        <v>76.03</v>
      </c>
      <c r="F1429" s="8">
        <v>4.468</v>
      </c>
      <c r="G1429" s="66">
        <v>131.1083333</v>
      </c>
      <c r="H1429" s="8">
        <v>6.943</v>
      </c>
      <c r="J1429" s="26"/>
      <c r="K1429"/>
    </row>
    <row r="1430" spans="1:11">
      <c r="A1430">
        <v>10</v>
      </c>
      <c r="B1430" s="64">
        <v>41201</v>
      </c>
      <c r="C1430" s="2">
        <v>1734834.82</v>
      </c>
      <c r="D1430">
        <v>0</v>
      </c>
      <c r="E1430" s="65">
        <v>72.71</v>
      </c>
      <c r="F1430" s="8">
        <v>4.449</v>
      </c>
      <c r="G1430" s="66">
        <v>131.1499677</v>
      </c>
      <c r="H1430" s="8">
        <v>6.943</v>
      </c>
      <c r="J1430" s="26"/>
      <c r="K1430"/>
    </row>
    <row r="1431" spans="1:11">
      <c r="A1431">
        <v>10</v>
      </c>
      <c r="B1431" s="64">
        <v>41208</v>
      </c>
      <c r="C1431" s="2">
        <v>1744349.05</v>
      </c>
      <c r="D1431">
        <v>0</v>
      </c>
      <c r="E1431" s="65">
        <v>70.5</v>
      </c>
      <c r="F1431" s="8">
        <v>4.301</v>
      </c>
      <c r="G1431" s="66">
        <v>131.1930968</v>
      </c>
      <c r="H1431" s="8">
        <v>6.943</v>
      </c>
      <c r="J1431" s="26"/>
      <c r="K1431"/>
    </row>
    <row r="1432" spans="1:11">
      <c r="A1432">
        <v>11</v>
      </c>
      <c r="B1432" s="64">
        <v>40214</v>
      </c>
      <c r="C1432" s="2">
        <v>1528008.64</v>
      </c>
      <c r="D1432">
        <v>0</v>
      </c>
      <c r="E1432" s="65">
        <v>46.04</v>
      </c>
      <c r="F1432" s="8">
        <v>2.572</v>
      </c>
      <c r="G1432" s="66">
        <v>214.4248812</v>
      </c>
      <c r="H1432" s="8">
        <v>7.368</v>
      </c>
      <c r="J1432" s="26"/>
      <c r="K1432"/>
    </row>
    <row r="1433" spans="1:11">
      <c r="A1433">
        <v>11</v>
      </c>
      <c r="B1433" s="64">
        <v>40221</v>
      </c>
      <c r="C1433" s="2">
        <v>1574684.08</v>
      </c>
      <c r="D1433">
        <v>1</v>
      </c>
      <c r="E1433" s="65">
        <v>48.01</v>
      </c>
      <c r="F1433" s="8">
        <v>2.548</v>
      </c>
      <c r="G1433" s="66">
        <v>214.5747916</v>
      </c>
      <c r="H1433" s="8">
        <v>7.368</v>
      </c>
      <c r="J1433" s="26"/>
      <c r="K1433"/>
    </row>
    <row r="1434" spans="1:11">
      <c r="A1434">
        <v>11</v>
      </c>
      <c r="B1434" s="64">
        <v>40228</v>
      </c>
      <c r="C1434" s="2">
        <v>1503298.7</v>
      </c>
      <c r="D1434">
        <v>0</v>
      </c>
      <c r="E1434" s="65">
        <v>48.3</v>
      </c>
      <c r="F1434" s="8">
        <v>2.514</v>
      </c>
      <c r="G1434" s="66">
        <v>214.6198868</v>
      </c>
      <c r="H1434" s="8">
        <v>7.368</v>
      </c>
      <c r="J1434" s="26"/>
      <c r="K1434"/>
    </row>
    <row r="1435" spans="1:11">
      <c r="A1435">
        <v>11</v>
      </c>
      <c r="B1435" s="64">
        <v>40235</v>
      </c>
      <c r="C1435" s="2">
        <v>1336404.65</v>
      </c>
      <c r="D1435">
        <v>0</v>
      </c>
      <c r="E1435" s="65">
        <v>52.79</v>
      </c>
      <c r="F1435" s="8">
        <v>2.561</v>
      </c>
      <c r="G1435" s="66">
        <v>214.6475127</v>
      </c>
      <c r="H1435" s="8">
        <v>7.368</v>
      </c>
      <c r="J1435" s="26"/>
      <c r="K1435"/>
    </row>
    <row r="1436" spans="1:11">
      <c r="A1436">
        <v>11</v>
      </c>
      <c r="B1436" s="64">
        <v>40242</v>
      </c>
      <c r="C1436" s="2">
        <v>1426622.65</v>
      </c>
      <c r="D1436">
        <v>0</v>
      </c>
      <c r="E1436" s="65">
        <v>53.96</v>
      </c>
      <c r="F1436" s="8">
        <v>2.625</v>
      </c>
      <c r="G1436" s="66">
        <v>214.6751386</v>
      </c>
      <c r="H1436" s="8">
        <v>7.368</v>
      </c>
      <c r="J1436" s="26"/>
      <c r="K1436"/>
    </row>
    <row r="1437" spans="1:11">
      <c r="A1437">
        <v>11</v>
      </c>
      <c r="B1437" s="64">
        <v>40249</v>
      </c>
      <c r="C1437" s="2">
        <v>1331883.16</v>
      </c>
      <c r="D1437">
        <v>0</v>
      </c>
      <c r="E1437" s="65">
        <v>64.1</v>
      </c>
      <c r="F1437" s="8">
        <v>2.667</v>
      </c>
      <c r="G1437" s="66">
        <v>214.7027646</v>
      </c>
      <c r="H1437" s="8">
        <v>7.368</v>
      </c>
      <c r="J1437" s="26"/>
      <c r="K1437"/>
    </row>
    <row r="1438" spans="1:11">
      <c r="A1438">
        <v>11</v>
      </c>
      <c r="B1438" s="64">
        <v>40256</v>
      </c>
      <c r="C1438" s="2">
        <v>1364207</v>
      </c>
      <c r="D1438">
        <v>0</v>
      </c>
      <c r="E1438" s="65">
        <v>61.51</v>
      </c>
      <c r="F1438" s="8">
        <v>2.72</v>
      </c>
      <c r="G1438" s="66">
        <v>214.5301219</v>
      </c>
      <c r="H1438" s="8">
        <v>7.368</v>
      </c>
      <c r="J1438" s="26"/>
      <c r="K1438"/>
    </row>
    <row r="1439" spans="1:11">
      <c r="A1439">
        <v>11</v>
      </c>
      <c r="B1439" s="64">
        <v>40263</v>
      </c>
      <c r="C1439" s="2">
        <v>1245624.27</v>
      </c>
      <c r="D1439">
        <v>0</v>
      </c>
      <c r="E1439" s="65">
        <v>58.09</v>
      </c>
      <c r="F1439" s="8">
        <v>2.732</v>
      </c>
      <c r="G1439" s="66">
        <v>214.3241011</v>
      </c>
      <c r="H1439" s="8">
        <v>7.368</v>
      </c>
      <c r="J1439" s="26"/>
      <c r="K1439"/>
    </row>
    <row r="1440" spans="1:11">
      <c r="A1440">
        <v>11</v>
      </c>
      <c r="B1440" s="64">
        <v>40270</v>
      </c>
      <c r="C1440" s="2">
        <v>1446210.26</v>
      </c>
      <c r="D1440">
        <v>0</v>
      </c>
      <c r="E1440" s="65">
        <v>66.16</v>
      </c>
      <c r="F1440" s="8">
        <v>2.719</v>
      </c>
      <c r="G1440" s="66">
        <v>214.1180803</v>
      </c>
      <c r="H1440" s="8">
        <v>7.343</v>
      </c>
      <c r="J1440" s="26"/>
      <c r="K1440"/>
    </row>
    <row r="1441" spans="1:11">
      <c r="A1441">
        <v>11</v>
      </c>
      <c r="B1441" s="64">
        <v>40277</v>
      </c>
      <c r="C1441" s="2">
        <v>1470308.32</v>
      </c>
      <c r="D1441">
        <v>0</v>
      </c>
      <c r="E1441" s="65">
        <v>69.57</v>
      </c>
      <c r="F1441" s="8">
        <v>2.77</v>
      </c>
      <c r="G1441" s="66">
        <v>213.9120595</v>
      </c>
      <c r="H1441" s="8">
        <v>7.343</v>
      </c>
      <c r="J1441" s="26"/>
      <c r="K1441"/>
    </row>
    <row r="1442" spans="1:11">
      <c r="A1442">
        <v>11</v>
      </c>
      <c r="B1442" s="64">
        <v>40284</v>
      </c>
      <c r="C1442" s="2">
        <v>1323243.35</v>
      </c>
      <c r="D1442">
        <v>0</v>
      </c>
      <c r="E1442" s="65">
        <v>67.81</v>
      </c>
      <c r="F1442" s="8">
        <v>2.808</v>
      </c>
      <c r="G1442" s="66">
        <v>213.7726889</v>
      </c>
      <c r="H1442" s="8">
        <v>7.343</v>
      </c>
      <c r="J1442" s="26"/>
      <c r="K1442"/>
    </row>
    <row r="1443" spans="1:11">
      <c r="A1443">
        <v>11</v>
      </c>
      <c r="B1443" s="64">
        <v>40291</v>
      </c>
      <c r="C1443" s="2">
        <v>1283766.55</v>
      </c>
      <c r="D1443">
        <v>0</v>
      </c>
      <c r="E1443" s="65">
        <v>68.37</v>
      </c>
      <c r="F1443" s="8">
        <v>2.795</v>
      </c>
      <c r="G1443" s="66">
        <v>213.7221852</v>
      </c>
      <c r="H1443" s="8">
        <v>7.343</v>
      </c>
      <c r="J1443" s="26"/>
      <c r="K1443"/>
    </row>
    <row r="1444" spans="1:11">
      <c r="A1444">
        <v>11</v>
      </c>
      <c r="B1444" s="64">
        <v>40298</v>
      </c>
      <c r="C1444" s="2">
        <v>1239766.89</v>
      </c>
      <c r="D1444">
        <v>0</v>
      </c>
      <c r="E1444" s="65">
        <v>71.13</v>
      </c>
      <c r="F1444" s="8">
        <v>2.78</v>
      </c>
      <c r="G1444" s="66">
        <v>213.6716815</v>
      </c>
      <c r="H1444" s="8">
        <v>7.343</v>
      </c>
      <c r="J1444" s="26"/>
      <c r="K1444"/>
    </row>
    <row r="1445" spans="1:11">
      <c r="A1445">
        <v>11</v>
      </c>
      <c r="B1445" s="64">
        <v>40305</v>
      </c>
      <c r="C1445" s="2">
        <v>1312329.78</v>
      </c>
      <c r="D1445">
        <v>0</v>
      </c>
      <c r="E1445" s="65">
        <v>75.57</v>
      </c>
      <c r="F1445" s="8">
        <v>2.835</v>
      </c>
      <c r="G1445" s="66">
        <v>213.6211778</v>
      </c>
      <c r="H1445" s="8">
        <v>7.343</v>
      </c>
      <c r="J1445" s="26"/>
      <c r="K1445"/>
    </row>
    <row r="1446" spans="1:11">
      <c r="A1446">
        <v>11</v>
      </c>
      <c r="B1446" s="64">
        <v>40312</v>
      </c>
      <c r="C1446" s="2">
        <v>1266796.13</v>
      </c>
      <c r="D1446">
        <v>0</v>
      </c>
      <c r="E1446" s="65">
        <v>77.64</v>
      </c>
      <c r="F1446" s="8">
        <v>2.854</v>
      </c>
      <c r="G1446" s="66">
        <v>213.6196139</v>
      </c>
      <c r="H1446" s="8">
        <v>7.343</v>
      </c>
      <c r="J1446" s="26"/>
      <c r="K1446"/>
    </row>
    <row r="1447" spans="1:11">
      <c r="A1447">
        <v>11</v>
      </c>
      <c r="B1447" s="64">
        <v>40319</v>
      </c>
      <c r="C1447" s="2">
        <v>1271646.62</v>
      </c>
      <c r="D1447">
        <v>0</v>
      </c>
      <c r="E1447" s="65">
        <v>76.97</v>
      </c>
      <c r="F1447" s="8">
        <v>2.826</v>
      </c>
      <c r="G1447" s="66">
        <v>213.9116886</v>
      </c>
      <c r="H1447" s="8">
        <v>7.343</v>
      </c>
      <c r="J1447" s="26"/>
      <c r="K1447"/>
    </row>
    <row r="1448" spans="1:11">
      <c r="A1448">
        <v>11</v>
      </c>
      <c r="B1448" s="64">
        <v>40326</v>
      </c>
      <c r="C1448" s="2">
        <v>1264272.52</v>
      </c>
      <c r="D1448">
        <v>0</v>
      </c>
      <c r="E1448" s="65">
        <v>79.69</v>
      </c>
      <c r="F1448" s="8">
        <v>2.759</v>
      </c>
      <c r="G1448" s="66">
        <v>214.2037634</v>
      </c>
      <c r="H1448" s="8">
        <v>7.343</v>
      </c>
      <c r="J1448" s="26"/>
      <c r="K1448"/>
    </row>
    <row r="1449" spans="1:11">
      <c r="A1449">
        <v>11</v>
      </c>
      <c r="B1449" s="64">
        <v>40333</v>
      </c>
      <c r="C1449" s="2">
        <v>1396322.19</v>
      </c>
      <c r="D1449">
        <v>0</v>
      </c>
      <c r="E1449" s="65">
        <v>79.66</v>
      </c>
      <c r="F1449" s="8">
        <v>2.705</v>
      </c>
      <c r="G1449" s="66">
        <v>214.4958382</v>
      </c>
      <c r="H1449" s="8">
        <v>7.343</v>
      </c>
      <c r="J1449" s="26"/>
      <c r="K1449"/>
    </row>
    <row r="1450" spans="1:11">
      <c r="A1450">
        <v>11</v>
      </c>
      <c r="B1450" s="64">
        <v>40340</v>
      </c>
      <c r="C1450" s="2">
        <v>1339570.85</v>
      </c>
      <c r="D1450">
        <v>0</v>
      </c>
      <c r="E1450" s="65">
        <v>82.81</v>
      </c>
      <c r="F1450" s="8">
        <v>2.668</v>
      </c>
      <c r="G1450" s="66">
        <v>214.787913</v>
      </c>
      <c r="H1450" s="8">
        <v>7.343</v>
      </c>
      <c r="J1450" s="26"/>
      <c r="K1450"/>
    </row>
    <row r="1451" spans="1:11">
      <c r="A1451">
        <v>11</v>
      </c>
      <c r="B1451" s="64">
        <v>40347</v>
      </c>
      <c r="C1451" s="2">
        <v>1336522.92</v>
      </c>
      <c r="D1451">
        <v>0</v>
      </c>
      <c r="E1451" s="65">
        <v>84.13</v>
      </c>
      <c r="F1451" s="8">
        <v>2.637</v>
      </c>
      <c r="G1451" s="66">
        <v>214.7858259</v>
      </c>
      <c r="H1451" s="8">
        <v>7.343</v>
      </c>
      <c r="J1451" s="26"/>
      <c r="K1451"/>
    </row>
    <row r="1452" spans="1:11">
      <c r="A1452">
        <v>11</v>
      </c>
      <c r="B1452" s="64">
        <v>40354</v>
      </c>
      <c r="C1452" s="2">
        <v>1262025.08</v>
      </c>
      <c r="D1452">
        <v>0</v>
      </c>
      <c r="E1452" s="65">
        <v>84.5</v>
      </c>
      <c r="F1452" s="8">
        <v>2.653</v>
      </c>
      <c r="G1452" s="66">
        <v>214.6660741</v>
      </c>
      <c r="H1452" s="8">
        <v>7.343</v>
      </c>
      <c r="J1452" s="26"/>
      <c r="K1452"/>
    </row>
    <row r="1453" spans="1:11">
      <c r="A1453">
        <v>11</v>
      </c>
      <c r="B1453" s="64">
        <v>40361</v>
      </c>
      <c r="C1453" s="2">
        <v>1302600.14</v>
      </c>
      <c r="D1453">
        <v>0</v>
      </c>
      <c r="E1453" s="65">
        <v>83.09</v>
      </c>
      <c r="F1453" s="8">
        <v>2.669</v>
      </c>
      <c r="G1453" s="66">
        <v>214.5463222</v>
      </c>
      <c r="H1453" s="8">
        <v>7.346</v>
      </c>
      <c r="J1453" s="26"/>
      <c r="K1453"/>
    </row>
    <row r="1454" spans="1:11">
      <c r="A1454">
        <v>11</v>
      </c>
      <c r="B1454" s="64">
        <v>40368</v>
      </c>
      <c r="C1454" s="2">
        <v>1280156.47</v>
      </c>
      <c r="D1454">
        <v>0</v>
      </c>
      <c r="E1454" s="65">
        <v>83.01</v>
      </c>
      <c r="F1454" s="8">
        <v>2.642</v>
      </c>
      <c r="G1454" s="66">
        <v>214.4265704</v>
      </c>
      <c r="H1454" s="8">
        <v>7.346</v>
      </c>
      <c r="J1454" s="26"/>
      <c r="K1454"/>
    </row>
    <row r="1455" spans="1:11">
      <c r="A1455">
        <v>11</v>
      </c>
      <c r="B1455" s="64">
        <v>40375</v>
      </c>
      <c r="C1455" s="2">
        <v>1290609.54</v>
      </c>
      <c r="D1455">
        <v>0</v>
      </c>
      <c r="E1455" s="65">
        <v>84.9</v>
      </c>
      <c r="F1455" s="8">
        <v>2.623</v>
      </c>
      <c r="G1455" s="66">
        <v>214.4176476</v>
      </c>
      <c r="H1455" s="8">
        <v>7.346</v>
      </c>
      <c r="J1455" s="26"/>
      <c r="K1455"/>
    </row>
    <row r="1456" spans="1:11">
      <c r="A1456">
        <v>11</v>
      </c>
      <c r="B1456" s="64">
        <v>40382</v>
      </c>
      <c r="C1456" s="2">
        <v>1244390.03</v>
      </c>
      <c r="D1456">
        <v>0</v>
      </c>
      <c r="E1456" s="65">
        <v>84.57</v>
      </c>
      <c r="F1456" s="8">
        <v>2.608</v>
      </c>
      <c r="G1456" s="66">
        <v>214.5564968</v>
      </c>
      <c r="H1456" s="8">
        <v>7.346</v>
      </c>
      <c r="J1456" s="26"/>
      <c r="K1456"/>
    </row>
    <row r="1457" spans="1:11">
      <c r="A1457">
        <v>11</v>
      </c>
      <c r="B1457" s="64">
        <v>40389</v>
      </c>
      <c r="C1457" s="2">
        <v>1250178.89</v>
      </c>
      <c r="D1457">
        <v>0</v>
      </c>
      <c r="E1457" s="65">
        <v>83.26</v>
      </c>
      <c r="F1457" s="8">
        <v>2.64</v>
      </c>
      <c r="G1457" s="66">
        <v>214.695346</v>
      </c>
      <c r="H1457" s="8">
        <v>7.346</v>
      </c>
      <c r="J1457" s="26"/>
      <c r="K1457"/>
    </row>
    <row r="1458" spans="1:11">
      <c r="A1458">
        <v>11</v>
      </c>
      <c r="B1458" s="64">
        <v>40396</v>
      </c>
      <c r="C1458" s="2">
        <v>1369634.92</v>
      </c>
      <c r="D1458">
        <v>0</v>
      </c>
      <c r="E1458" s="65">
        <v>86.54</v>
      </c>
      <c r="F1458" s="8">
        <v>2.627</v>
      </c>
      <c r="G1458" s="66">
        <v>214.8341952</v>
      </c>
      <c r="H1458" s="8">
        <v>7.346</v>
      </c>
      <c r="J1458" s="26"/>
      <c r="K1458"/>
    </row>
    <row r="1459" spans="1:11">
      <c r="A1459">
        <v>11</v>
      </c>
      <c r="B1459" s="64">
        <v>40403</v>
      </c>
      <c r="C1459" s="2">
        <v>1384339.1</v>
      </c>
      <c r="D1459">
        <v>0</v>
      </c>
      <c r="E1459" s="65">
        <v>87.73</v>
      </c>
      <c r="F1459" s="8">
        <v>2.692</v>
      </c>
      <c r="G1459" s="66">
        <v>214.9730444</v>
      </c>
      <c r="H1459" s="8">
        <v>7.346</v>
      </c>
      <c r="J1459" s="26"/>
      <c r="K1459"/>
    </row>
    <row r="1460" spans="1:11">
      <c r="A1460">
        <v>11</v>
      </c>
      <c r="B1460" s="64">
        <v>40410</v>
      </c>
      <c r="C1460" s="2">
        <v>1430192.37</v>
      </c>
      <c r="D1460">
        <v>0</v>
      </c>
      <c r="E1460" s="65">
        <v>88.93</v>
      </c>
      <c r="F1460" s="8">
        <v>2.664</v>
      </c>
      <c r="G1460" s="66">
        <v>214.9314191</v>
      </c>
      <c r="H1460" s="8">
        <v>7.346</v>
      </c>
      <c r="J1460" s="26"/>
      <c r="K1460"/>
    </row>
    <row r="1461" spans="1:11">
      <c r="A1461">
        <v>11</v>
      </c>
      <c r="B1461" s="64">
        <v>40417</v>
      </c>
      <c r="C1461" s="2">
        <v>1311263.07</v>
      </c>
      <c r="D1461">
        <v>0</v>
      </c>
      <c r="E1461" s="65">
        <v>87.7</v>
      </c>
      <c r="F1461" s="8">
        <v>2.619</v>
      </c>
      <c r="G1461" s="66">
        <v>214.8897938</v>
      </c>
      <c r="H1461" s="8">
        <v>7.346</v>
      </c>
      <c r="J1461" s="26"/>
      <c r="K1461"/>
    </row>
    <row r="1462" spans="1:11">
      <c r="A1462">
        <v>11</v>
      </c>
      <c r="B1462" s="64">
        <v>40424</v>
      </c>
      <c r="C1462" s="2">
        <v>1303914.27</v>
      </c>
      <c r="D1462">
        <v>0</v>
      </c>
      <c r="E1462" s="65">
        <v>84.94</v>
      </c>
      <c r="F1462" s="8">
        <v>2.577</v>
      </c>
      <c r="G1462" s="66">
        <v>214.8481685</v>
      </c>
      <c r="H1462" s="8">
        <v>7.346</v>
      </c>
      <c r="J1462" s="26"/>
      <c r="K1462"/>
    </row>
    <row r="1463" spans="1:11">
      <c r="A1463">
        <v>11</v>
      </c>
      <c r="B1463" s="64">
        <v>40431</v>
      </c>
      <c r="C1463" s="2">
        <v>1231428.46</v>
      </c>
      <c r="D1463">
        <v>1</v>
      </c>
      <c r="E1463" s="65">
        <v>81.93</v>
      </c>
      <c r="F1463" s="8">
        <v>2.565</v>
      </c>
      <c r="G1463" s="66">
        <v>214.8065431</v>
      </c>
      <c r="H1463" s="8">
        <v>7.346</v>
      </c>
      <c r="J1463" s="26"/>
      <c r="K1463"/>
    </row>
    <row r="1464" spans="1:11">
      <c r="A1464">
        <v>11</v>
      </c>
      <c r="B1464" s="64">
        <v>40438</v>
      </c>
      <c r="C1464" s="2">
        <v>1215676.31</v>
      </c>
      <c r="D1464">
        <v>0</v>
      </c>
      <c r="E1464" s="65">
        <v>83.04</v>
      </c>
      <c r="F1464" s="8">
        <v>2.582</v>
      </c>
      <c r="G1464" s="66">
        <v>214.8322484</v>
      </c>
      <c r="H1464" s="8">
        <v>7.346</v>
      </c>
      <c r="J1464" s="26"/>
      <c r="K1464"/>
    </row>
    <row r="1465" spans="1:11">
      <c r="A1465">
        <v>11</v>
      </c>
      <c r="B1465" s="64">
        <v>40445</v>
      </c>
      <c r="C1465" s="2">
        <v>1170103.25</v>
      </c>
      <c r="D1465">
        <v>0</v>
      </c>
      <c r="E1465" s="65">
        <v>77.36</v>
      </c>
      <c r="F1465" s="8">
        <v>2.624</v>
      </c>
      <c r="G1465" s="66">
        <v>214.9084516</v>
      </c>
      <c r="H1465" s="8">
        <v>7.346</v>
      </c>
      <c r="J1465" s="26"/>
      <c r="K1465"/>
    </row>
    <row r="1466" spans="1:11">
      <c r="A1466">
        <v>11</v>
      </c>
      <c r="B1466" s="64">
        <v>40452</v>
      </c>
      <c r="C1466" s="2">
        <v>1182490.46</v>
      </c>
      <c r="D1466">
        <v>0</v>
      </c>
      <c r="E1466" s="65">
        <v>75.11</v>
      </c>
      <c r="F1466" s="8">
        <v>2.603</v>
      </c>
      <c r="G1466" s="66">
        <v>214.9846548</v>
      </c>
      <c r="H1466" s="8">
        <v>7.564</v>
      </c>
      <c r="J1466" s="26"/>
      <c r="K1466"/>
    </row>
    <row r="1467" spans="1:11">
      <c r="A1467">
        <v>11</v>
      </c>
      <c r="B1467" s="64">
        <v>40459</v>
      </c>
      <c r="C1467" s="2">
        <v>1293472.8</v>
      </c>
      <c r="D1467">
        <v>0</v>
      </c>
      <c r="E1467" s="65">
        <v>68.71</v>
      </c>
      <c r="F1467" s="8">
        <v>2.633</v>
      </c>
      <c r="G1467" s="66">
        <v>215.060858</v>
      </c>
      <c r="H1467" s="8">
        <v>7.564</v>
      </c>
      <c r="J1467" s="26"/>
      <c r="K1467"/>
    </row>
    <row r="1468" spans="1:11">
      <c r="A1468">
        <v>11</v>
      </c>
      <c r="B1468" s="64">
        <v>40466</v>
      </c>
      <c r="C1468" s="2">
        <v>1175003.67</v>
      </c>
      <c r="D1468">
        <v>0</v>
      </c>
      <c r="E1468" s="65">
        <v>71.46</v>
      </c>
      <c r="F1468" s="8">
        <v>2.72</v>
      </c>
      <c r="G1468" s="66">
        <v>215.1293114</v>
      </c>
      <c r="H1468" s="8">
        <v>7.564</v>
      </c>
      <c r="J1468" s="26"/>
      <c r="K1468"/>
    </row>
    <row r="1469" spans="1:11">
      <c r="A1469">
        <v>11</v>
      </c>
      <c r="B1469" s="64">
        <v>40473</v>
      </c>
      <c r="C1469" s="2">
        <v>1169831.38</v>
      </c>
      <c r="D1469">
        <v>0</v>
      </c>
      <c r="E1469" s="65">
        <v>72.6</v>
      </c>
      <c r="F1469" s="8">
        <v>2.725</v>
      </c>
      <c r="G1469" s="66">
        <v>215.17839</v>
      </c>
      <c r="H1469" s="8">
        <v>7.564</v>
      </c>
      <c r="J1469" s="26"/>
      <c r="K1469"/>
    </row>
    <row r="1470" spans="1:11">
      <c r="A1470">
        <v>11</v>
      </c>
      <c r="B1470" s="64">
        <v>40480</v>
      </c>
      <c r="C1470" s="2">
        <v>1195036</v>
      </c>
      <c r="D1470">
        <v>0</v>
      </c>
      <c r="E1470" s="65">
        <v>74.21</v>
      </c>
      <c r="F1470" s="8">
        <v>2.716</v>
      </c>
      <c r="G1470" s="66">
        <v>215.2274686</v>
      </c>
      <c r="H1470" s="8">
        <v>7.564</v>
      </c>
      <c r="J1470" s="26"/>
      <c r="K1470"/>
    </row>
    <row r="1471" spans="1:11">
      <c r="A1471">
        <v>11</v>
      </c>
      <c r="B1471" s="64">
        <v>40487</v>
      </c>
      <c r="C1471" s="2">
        <v>1332759.13</v>
      </c>
      <c r="D1471">
        <v>0</v>
      </c>
      <c r="E1471" s="65">
        <v>64.41</v>
      </c>
      <c r="F1471" s="8">
        <v>2.689</v>
      </c>
      <c r="G1471" s="66">
        <v>215.2765472</v>
      </c>
      <c r="H1471" s="8">
        <v>7.564</v>
      </c>
      <c r="J1471" s="26"/>
      <c r="K1471"/>
    </row>
    <row r="1472" spans="1:11">
      <c r="A1472">
        <v>11</v>
      </c>
      <c r="B1472" s="64">
        <v>40494</v>
      </c>
      <c r="C1472" s="2">
        <v>1281675.6</v>
      </c>
      <c r="D1472">
        <v>0</v>
      </c>
      <c r="E1472" s="65">
        <v>63.74</v>
      </c>
      <c r="F1472" s="8">
        <v>2.728</v>
      </c>
      <c r="G1472" s="66">
        <v>215.3256258</v>
      </c>
      <c r="H1472" s="8">
        <v>7.564</v>
      </c>
      <c r="J1472" s="26"/>
      <c r="K1472"/>
    </row>
    <row r="1473" spans="1:11">
      <c r="A1473">
        <v>11</v>
      </c>
      <c r="B1473" s="64">
        <v>40501</v>
      </c>
      <c r="C1473" s="2">
        <v>1292346.57</v>
      </c>
      <c r="D1473">
        <v>0</v>
      </c>
      <c r="E1473" s="65">
        <v>58.63</v>
      </c>
      <c r="F1473" s="8">
        <v>2.771</v>
      </c>
      <c r="G1473" s="66">
        <v>215.2074519</v>
      </c>
      <c r="H1473" s="8">
        <v>7.564</v>
      </c>
      <c r="J1473" s="26"/>
      <c r="K1473"/>
    </row>
    <row r="1474" spans="1:11">
      <c r="A1474">
        <v>11</v>
      </c>
      <c r="B1474" s="64">
        <v>40508</v>
      </c>
      <c r="C1474" s="2">
        <v>1757242.51</v>
      </c>
      <c r="D1474">
        <v>1</v>
      </c>
      <c r="E1474" s="65">
        <v>69.9</v>
      </c>
      <c r="F1474" s="8">
        <v>2.735</v>
      </c>
      <c r="G1474" s="66">
        <v>215.0614025</v>
      </c>
      <c r="H1474" s="8">
        <v>7.564</v>
      </c>
      <c r="J1474" s="26"/>
      <c r="K1474"/>
    </row>
    <row r="1475" spans="1:11">
      <c r="A1475">
        <v>11</v>
      </c>
      <c r="B1475" s="64">
        <v>40515</v>
      </c>
      <c r="C1475" s="2">
        <v>1380522.64</v>
      </c>
      <c r="D1475">
        <v>0</v>
      </c>
      <c r="E1475" s="65">
        <v>55.9</v>
      </c>
      <c r="F1475" s="8">
        <v>2.708</v>
      </c>
      <c r="G1475" s="66">
        <v>214.9153531</v>
      </c>
      <c r="H1475" s="8">
        <v>7.564</v>
      </c>
      <c r="J1475" s="26"/>
      <c r="K1475"/>
    </row>
    <row r="1476" spans="1:11">
      <c r="A1476">
        <v>11</v>
      </c>
      <c r="B1476" s="64">
        <v>40522</v>
      </c>
      <c r="C1476" s="2">
        <v>1564516.43</v>
      </c>
      <c r="D1476">
        <v>0</v>
      </c>
      <c r="E1476" s="65">
        <v>53.33</v>
      </c>
      <c r="F1476" s="8">
        <v>2.843</v>
      </c>
      <c r="G1476" s="66">
        <v>214.7693037</v>
      </c>
      <c r="H1476" s="8">
        <v>7.564</v>
      </c>
      <c r="J1476" s="26"/>
      <c r="K1476"/>
    </row>
    <row r="1477" spans="1:11">
      <c r="A1477">
        <v>11</v>
      </c>
      <c r="B1477" s="64">
        <v>40529</v>
      </c>
      <c r="C1477" s="2">
        <v>1843971.15</v>
      </c>
      <c r="D1477">
        <v>0</v>
      </c>
      <c r="E1477" s="65">
        <v>54.63</v>
      </c>
      <c r="F1477" s="8">
        <v>2.869</v>
      </c>
      <c r="G1477" s="66">
        <v>214.704919</v>
      </c>
      <c r="H1477" s="8">
        <v>7.564</v>
      </c>
      <c r="J1477" s="26"/>
      <c r="K1477"/>
    </row>
    <row r="1478" spans="1:11">
      <c r="A1478">
        <v>11</v>
      </c>
      <c r="B1478" s="64">
        <v>40536</v>
      </c>
      <c r="C1478" s="2">
        <v>2306265.36</v>
      </c>
      <c r="D1478">
        <v>0</v>
      </c>
      <c r="E1478" s="65">
        <v>59.33</v>
      </c>
      <c r="F1478" s="8">
        <v>2.886</v>
      </c>
      <c r="G1478" s="66">
        <v>214.7017828</v>
      </c>
      <c r="H1478" s="8">
        <v>7.564</v>
      </c>
      <c r="J1478" s="26"/>
      <c r="K1478"/>
    </row>
    <row r="1479" spans="1:11">
      <c r="A1479">
        <v>11</v>
      </c>
      <c r="B1479" s="64">
        <v>40543</v>
      </c>
      <c r="C1479" s="2">
        <v>1172003.1</v>
      </c>
      <c r="D1479">
        <v>1</v>
      </c>
      <c r="E1479" s="65">
        <v>55.03</v>
      </c>
      <c r="F1479" s="8">
        <v>2.943</v>
      </c>
      <c r="G1479" s="66">
        <v>214.6986466</v>
      </c>
      <c r="H1479" s="8">
        <v>7.564</v>
      </c>
      <c r="J1479" s="26"/>
      <c r="K1479"/>
    </row>
    <row r="1480" spans="1:11">
      <c r="A1480">
        <v>11</v>
      </c>
      <c r="B1480" s="64">
        <v>40550</v>
      </c>
      <c r="C1480" s="2">
        <v>1178905.44</v>
      </c>
      <c r="D1480">
        <v>0</v>
      </c>
      <c r="E1480" s="65">
        <v>54.43</v>
      </c>
      <c r="F1480" s="8">
        <v>2.976</v>
      </c>
      <c r="G1480" s="66">
        <v>214.6955104</v>
      </c>
      <c r="H1480" s="8">
        <v>7.551</v>
      </c>
      <c r="J1480" s="26"/>
      <c r="K1480"/>
    </row>
    <row r="1481" spans="1:11">
      <c r="A1481">
        <v>11</v>
      </c>
      <c r="B1481" s="64">
        <v>40557</v>
      </c>
      <c r="C1481" s="2">
        <v>1194449.78</v>
      </c>
      <c r="D1481">
        <v>0</v>
      </c>
      <c r="E1481" s="65">
        <v>45.34</v>
      </c>
      <c r="F1481" s="8">
        <v>2.983</v>
      </c>
      <c r="G1481" s="66">
        <v>214.7470729</v>
      </c>
      <c r="H1481" s="8">
        <v>7.551</v>
      </c>
      <c r="J1481" s="26"/>
      <c r="K1481"/>
    </row>
    <row r="1482" spans="1:11">
      <c r="A1482">
        <v>11</v>
      </c>
      <c r="B1482" s="64">
        <v>40564</v>
      </c>
      <c r="C1482" s="2">
        <v>1187776.19</v>
      </c>
      <c r="D1482">
        <v>0</v>
      </c>
      <c r="E1482" s="65">
        <v>51.51</v>
      </c>
      <c r="F1482" s="8">
        <v>3.016</v>
      </c>
      <c r="G1482" s="66">
        <v>215.1268275</v>
      </c>
      <c r="H1482" s="8">
        <v>7.551</v>
      </c>
      <c r="J1482" s="26"/>
      <c r="K1482"/>
    </row>
    <row r="1483" spans="1:11">
      <c r="A1483">
        <v>11</v>
      </c>
      <c r="B1483" s="64">
        <v>40571</v>
      </c>
      <c r="C1483" s="2">
        <v>1100418.69</v>
      </c>
      <c r="D1483">
        <v>0</v>
      </c>
      <c r="E1483" s="65">
        <v>51.04</v>
      </c>
      <c r="F1483" s="8">
        <v>3.01</v>
      </c>
      <c r="G1483" s="66">
        <v>215.5065821</v>
      </c>
      <c r="H1483" s="8">
        <v>7.551</v>
      </c>
      <c r="J1483" s="26"/>
      <c r="K1483"/>
    </row>
    <row r="1484" spans="1:11">
      <c r="A1484">
        <v>11</v>
      </c>
      <c r="B1484" s="64">
        <v>40578</v>
      </c>
      <c r="C1484" s="2">
        <v>1422546.05</v>
      </c>
      <c r="D1484">
        <v>0</v>
      </c>
      <c r="E1484" s="65">
        <v>47.17</v>
      </c>
      <c r="F1484" s="8">
        <v>2.989</v>
      </c>
      <c r="G1484" s="66">
        <v>215.8863367</v>
      </c>
      <c r="H1484" s="8">
        <v>7.551</v>
      </c>
      <c r="J1484" s="26"/>
      <c r="K1484"/>
    </row>
    <row r="1485" spans="1:11">
      <c r="A1485">
        <v>11</v>
      </c>
      <c r="B1485" s="64">
        <v>40585</v>
      </c>
      <c r="C1485" s="2">
        <v>1419236.9</v>
      </c>
      <c r="D1485">
        <v>1</v>
      </c>
      <c r="E1485" s="65">
        <v>44.61</v>
      </c>
      <c r="F1485" s="8">
        <v>3.022</v>
      </c>
      <c r="G1485" s="66">
        <v>216.2660913</v>
      </c>
      <c r="H1485" s="8">
        <v>7.551</v>
      </c>
      <c r="J1485" s="26"/>
      <c r="K1485"/>
    </row>
    <row r="1486" spans="1:11">
      <c r="A1486">
        <v>11</v>
      </c>
      <c r="B1486" s="64">
        <v>40592</v>
      </c>
      <c r="C1486" s="2">
        <v>1554747.15</v>
      </c>
      <c r="D1486">
        <v>0</v>
      </c>
      <c r="E1486" s="65">
        <v>61.5</v>
      </c>
      <c r="F1486" s="8">
        <v>3.045</v>
      </c>
      <c r="G1486" s="66">
        <v>216.5843571</v>
      </c>
      <c r="H1486" s="8">
        <v>7.551</v>
      </c>
      <c r="J1486" s="26"/>
      <c r="K1486"/>
    </row>
    <row r="1487" spans="1:11">
      <c r="A1487">
        <v>11</v>
      </c>
      <c r="B1487" s="64">
        <v>40599</v>
      </c>
      <c r="C1487" s="2">
        <v>1323999.36</v>
      </c>
      <c r="D1487">
        <v>0</v>
      </c>
      <c r="E1487" s="65">
        <v>68.74</v>
      </c>
      <c r="F1487" s="8">
        <v>3.065</v>
      </c>
      <c r="G1487" s="66">
        <v>216.8780275</v>
      </c>
      <c r="H1487" s="8">
        <v>7.551</v>
      </c>
      <c r="J1487" s="26"/>
      <c r="K1487"/>
    </row>
    <row r="1488" spans="1:11">
      <c r="A1488">
        <v>11</v>
      </c>
      <c r="B1488" s="64">
        <v>40606</v>
      </c>
      <c r="C1488" s="2">
        <v>1399456.99</v>
      </c>
      <c r="D1488">
        <v>0</v>
      </c>
      <c r="E1488" s="65">
        <v>66.5</v>
      </c>
      <c r="F1488" s="8">
        <v>3.288</v>
      </c>
      <c r="G1488" s="66">
        <v>217.1716979</v>
      </c>
      <c r="H1488" s="8">
        <v>7.551</v>
      </c>
      <c r="J1488" s="26"/>
      <c r="K1488"/>
    </row>
    <row r="1489" spans="1:11">
      <c r="A1489">
        <v>11</v>
      </c>
      <c r="B1489" s="64">
        <v>40613</v>
      </c>
      <c r="C1489" s="2">
        <v>1314557.31</v>
      </c>
      <c r="D1489">
        <v>0</v>
      </c>
      <c r="E1489" s="65">
        <v>63.29</v>
      </c>
      <c r="F1489" s="8">
        <v>3.459</v>
      </c>
      <c r="G1489" s="66">
        <v>217.4653683</v>
      </c>
      <c r="H1489" s="8">
        <v>7.551</v>
      </c>
      <c r="J1489" s="26"/>
      <c r="K1489"/>
    </row>
    <row r="1490" spans="1:11">
      <c r="A1490">
        <v>11</v>
      </c>
      <c r="B1490" s="64">
        <v>40620</v>
      </c>
      <c r="C1490" s="2">
        <v>1391813.69</v>
      </c>
      <c r="D1490">
        <v>0</v>
      </c>
      <c r="E1490" s="65">
        <v>70.17</v>
      </c>
      <c r="F1490" s="8">
        <v>3.488</v>
      </c>
      <c r="G1490" s="66">
        <v>217.7235226</v>
      </c>
      <c r="H1490" s="8">
        <v>7.551</v>
      </c>
      <c r="J1490" s="26"/>
      <c r="K1490"/>
    </row>
    <row r="1491" spans="1:11">
      <c r="A1491">
        <v>11</v>
      </c>
      <c r="B1491" s="64">
        <v>40627</v>
      </c>
      <c r="C1491" s="2">
        <v>1229777.24</v>
      </c>
      <c r="D1491">
        <v>0</v>
      </c>
      <c r="E1491" s="65">
        <v>73.74</v>
      </c>
      <c r="F1491" s="8">
        <v>3.473</v>
      </c>
      <c r="G1491" s="66">
        <v>217.9674705</v>
      </c>
      <c r="H1491" s="8">
        <v>7.551</v>
      </c>
      <c r="J1491" s="26"/>
      <c r="K1491"/>
    </row>
    <row r="1492" spans="1:11">
      <c r="A1492">
        <v>11</v>
      </c>
      <c r="B1492" s="64">
        <v>40634</v>
      </c>
      <c r="C1492" s="2">
        <v>1258674.12</v>
      </c>
      <c r="D1492">
        <v>0</v>
      </c>
      <c r="E1492" s="65">
        <v>69.1</v>
      </c>
      <c r="F1492" s="8">
        <v>3.524</v>
      </c>
      <c r="G1492" s="66">
        <v>218.2114184</v>
      </c>
      <c r="H1492" s="8">
        <v>7.574</v>
      </c>
      <c r="J1492" s="26"/>
      <c r="K1492"/>
    </row>
    <row r="1493" spans="1:11">
      <c r="A1493">
        <v>11</v>
      </c>
      <c r="B1493" s="64">
        <v>40641</v>
      </c>
      <c r="C1493" s="2">
        <v>1327401.06</v>
      </c>
      <c r="D1493">
        <v>0</v>
      </c>
      <c r="E1493" s="65">
        <v>73.57</v>
      </c>
      <c r="F1493" s="8">
        <v>3.622</v>
      </c>
      <c r="G1493" s="66">
        <v>218.4553663</v>
      </c>
      <c r="H1493" s="8">
        <v>7.574</v>
      </c>
      <c r="J1493" s="26"/>
      <c r="K1493"/>
    </row>
    <row r="1494" spans="1:11">
      <c r="A1494">
        <v>11</v>
      </c>
      <c r="B1494" s="64">
        <v>40648</v>
      </c>
      <c r="C1494" s="2">
        <v>1312905.8</v>
      </c>
      <c r="D1494">
        <v>0</v>
      </c>
      <c r="E1494" s="65">
        <v>76.64</v>
      </c>
      <c r="F1494" s="8">
        <v>3.743</v>
      </c>
      <c r="G1494" s="66">
        <v>218.6788642</v>
      </c>
      <c r="H1494" s="8">
        <v>7.574</v>
      </c>
      <c r="J1494" s="26"/>
      <c r="K1494"/>
    </row>
    <row r="1495" spans="1:11">
      <c r="A1495">
        <v>11</v>
      </c>
      <c r="B1495" s="64">
        <v>40655</v>
      </c>
      <c r="C1495" s="2">
        <v>1388118.53</v>
      </c>
      <c r="D1495">
        <v>0</v>
      </c>
      <c r="E1495" s="65">
        <v>78.31</v>
      </c>
      <c r="F1495" s="8">
        <v>3.807</v>
      </c>
      <c r="G1495" s="66">
        <v>218.851237</v>
      </c>
      <c r="H1495" s="8">
        <v>7.574</v>
      </c>
      <c r="J1495" s="26"/>
      <c r="K1495"/>
    </row>
    <row r="1496" spans="1:11">
      <c r="A1496">
        <v>11</v>
      </c>
      <c r="B1496" s="64">
        <v>40662</v>
      </c>
      <c r="C1496" s="2">
        <v>1357589.89</v>
      </c>
      <c r="D1496">
        <v>0</v>
      </c>
      <c r="E1496" s="65">
        <v>79.97</v>
      </c>
      <c r="F1496" s="8">
        <v>3.81</v>
      </c>
      <c r="G1496" s="66">
        <v>219.0236099</v>
      </c>
      <c r="H1496" s="8">
        <v>7.574</v>
      </c>
      <c r="J1496" s="26"/>
      <c r="K1496"/>
    </row>
    <row r="1497" spans="1:11">
      <c r="A1497">
        <v>11</v>
      </c>
      <c r="B1497" s="64">
        <v>40669</v>
      </c>
      <c r="C1497" s="2">
        <v>1331453.41</v>
      </c>
      <c r="D1497">
        <v>0</v>
      </c>
      <c r="E1497" s="65">
        <v>71.39</v>
      </c>
      <c r="F1497" s="8">
        <v>3.906</v>
      </c>
      <c r="G1497" s="66">
        <v>219.1959827</v>
      </c>
      <c r="H1497" s="8">
        <v>7.574</v>
      </c>
      <c r="J1497" s="26"/>
      <c r="K1497"/>
    </row>
    <row r="1498" spans="1:11">
      <c r="A1498">
        <v>11</v>
      </c>
      <c r="B1498" s="64">
        <v>40676</v>
      </c>
      <c r="C1498" s="2">
        <v>1277959.42</v>
      </c>
      <c r="D1498">
        <v>0</v>
      </c>
      <c r="E1498" s="65">
        <v>80.93</v>
      </c>
      <c r="F1498" s="8">
        <v>3.899</v>
      </c>
      <c r="G1498" s="66">
        <v>219.3683556</v>
      </c>
      <c r="H1498" s="8">
        <v>7.574</v>
      </c>
      <c r="J1498" s="26"/>
      <c r="K1498"/>
    </row>
    <row r="1499" spans="1:11">
      <c r="A1499">
        <v>11</v>
      </c>
      <c r="B1499" s="64">
        <v>40683</v>
      </c>
      <c r="C1499" s="2">
        <v>1239466.97</v>
      </c>
      <c r="D1499">
        <v>0</v>
      </c>
      <c r="E1499" s="65">
        <v>76.97</v>
      </c>
      <c r="F1499" s="8">
        <v>3.907</v>
      </c>
      <c r="G1499" s="66">
        <v>219.127216</v>
      </c>
      <c r="H1499" s="8">
        <v>7.574</v>
      </c>
      <c r="J1499" s="26"/>
      <c r="K1499"/>
    </row>
    <row r="1500" spans="1:11">
      <c r="A1500">
        <v>11</v>
      </c>
      <c r="B1500" s="64">
        <v>40690</v>
      </c>
      <c r="C1500" s="2">
        <v>1216876.52</v>
      </c>
      <c r="D1500">
        <v>0</v>
      </c>
      <c r="E1500" s="65">
        <v>85.61</v>
      </c>
      <c r="F1500" s="8">
        <v>3.786</v>
      </c>
      <c r="G1500" s="66">
        <v>218.8860765</v>
      </c>
      <c r="H1500" s="8">
        <v>7.574</v>
      </c>
      <c r="J1500" s="26"/>
      <c r="K1500"/>
    </row>
    <row r="1501" spans="1:11">
      <c r="A1501">
        <v>11</v>
      </c>
      <c r="B1501" s="64">
        <v>40697</v>
      </c>
      <c r="C1501" s="2">
        <v>1343637</v>
      </c>
      <c r="D1501">
        <v>0</v>
      </c>
      <c r="E1501" s="65">
        <v>86.14</v>
      </c>
      <c r="F1501" s="8">
        <v>3.699</v>
      </c>
      <c r="G1501" s="66">
        <v>218.6449369</v>
      </c>
      <c r="H1501" s="8">
        <v>7.574</v>
      </c>
      <c r="J1501" s="26"/>
      <c r="K1501"/>
    </row>
    <row r="1502" spans="1:11">
      <c r="A1502">
        <v>11</v>
      </c>
      <c r="B1502" s="64">
        <v>40704</v>
      </c>
      <c r="C1502" s="2">
        <v>1314626.75</v>
      </c>
      <c r="D1502">
        <v>0</v>
      </c>
      <c r="E1502" s="65">
        <v>85.79</v>
      </c>
      <c r="F1502" s="8">
        <v>3.648</v>
      </c>
      <c r="G1502" s="66">
        <v>218.4037974</v>
      </c>
      <c r="H1502" s="8">
        <v>7.574</v>
      </c>
      <c r="J1502" s="26"/>
      <c r="K1502"/>
    </row>
    <row r="1503" spans="1:11">
      <c r="A1503">
        <v>11</v>
      </c>
      <c r="B1503" s="64">
        <v>40711</v>
      </c>
      <c r="C1503" s="2">
        <v>1337506.74</v>
      </c>
      <c r="D1503">
        <v>0</v>
      </c>
      <c r="E1503" s="65">
        <v>87.9</v>
      </c>
      <c r="F1503" s="8">
        <v>3.637</v>
      </c>
      <c r="G1503" s="66">
        <v>218.3551748</v>
      </c>
      <c r="H1503" s="8">
        <v>7.574</v>
      </c>
      <c r="J1503" s="26"/>
      <c r="K1503"/>
    </row>
    <row r="1504" spans="1:11">
      <c r="A1504">
        <v>11</v>
      </c>
      <c r="B1504" s="64">
        <v>40718</v>
      </c>
      <c r="C1504" s="2">
        <v>1254587.84</v>
      </c>
      <c r="D1504">
        <v>0</v>
      </c>
      <c r="E1504" s="65">
        <v>86.13</v>
      </c>
      <c r="F1504" s="8">
        <v>3.594</v>
      </c>
      <c r="G1504" s="66">
        <v>218.45094</v>
      </c>
      <c r="H1504" s="8">
        <v>7.574</v>
      </c>
      <c r="J1504" s="26"/>
      <c r="K1504"/>
    </row>
    <row r="1505" spans="1:11">
      <c r="A1505">
        <v>11</v>
      </c>
      <c r="B1505" s="64">
        <v>40725</v>
      </c>
      <c r="C1505" s="2">
        <v>1297472.06</v>
      </c>
      <c r="D1505">
        <v>0</v>
      </c>
      <c r="E1505" s="65">
        <v>86.43</v>
      </c>
      <c r="F1505" s="8">
        <v>3.524</v>
      </c>
      <c r="G1505" s="66">
        <v>218.5467052</v>
      </c>
      <c r="H1505" s="8">
        <v>7.567</v>
      </c>
      <c r="J1505" s="26"/>
      <c r="K1505"/>
    </row>
    <row r="1506" spans="1:11">
      <c r="A1506">
        <v>11</v>
      </c>
      <c r="B1506" s="64">
        <v>40732</v>
      </c>
      <c r="C1506" s="2">
        <v>1334627.96</v>
      </c>
      <c r="D1506">
        <v>0</v>
      </c>
      <c r="E1506" s="65">
        <v>87.17</v>
      </c>
      <c r="F1506" s="8">
        <v>3.48</v>
      </c>
      <c r="G1506" s="66">
        <v>218.6424704</v>
      </c>
      <c r="H1506" s="8">
        <v>7.567</v>
      </c>
      <c r="J1506" s="26"/>
      <c r="K1506"/>
    </row>
    <row r="1507" spans="1:11">
      <c r="A1507">
        <v>11</v>
      </c>
      <c r="B1507" s="64">
        <v>40739</v>
      </c>
      <c r="C1507" s="2">
        <v>1266546.73</v>
      </c>
      <c r="D1507">
        <v>0</v>
      </c>
      <c r="E1507" s="65">
        <v>88.3</v>
      </c>
      <c r="F1507" s="8">
        <v>3.575</v>
      </c>
      <c r="G1507" s="66">
        <v>218.7275216</v>
      </c>
      <c r="H1507" s="8">
        <v>7.567</v>
      </c>
      <c r="J1507" s="26"/>
      <c r="K1507"/>
    </row>
    <row r="1508" spans="1:11">
      <c r="A1508">
        <v>11</v>
      </c>
      <c r="B1508" s="64">
        <v>40746</v>
      </c>
      <c r="C1508" s="2">
        <v>1290576.44</v>
      </c>
      <c r="D1508">
        <v>0</v>
      </c>
      <c r="E1508" s="65">
        <v>87.8</v>
      </c>
      <c r="F1508" s="8">
        <v>3.651</v>
      </c>
      <c r="G1508" s="66">
        <v>218.7857881</v>
      </c>
      <c r="H1508" s="8">
        <v>7.567</v>
      </c>
      <c r="J1508" s="26"/>
      <c r="K1508"/>
    </row>
    <row r="1509" spans="1:11">
      <c r="A1509">
        <v>11</v>
      </c>
      <c r="B1509" s="64">
        <v>40753</v>
      </c>
      <c r="C1509" s="2">
        <v>1212938.67</v>
      </c>
      <c r="D1509">
        <v>0</v>
      </c>
      <c r="E1509" s="65">
        <v>89.46</v>
      </c>
      <c r="F1509" s="8">
        <v>3.682</v>
      </c>
      <c r="G1509" s="66">
        <v>218.8440545</v>
      </c>
      <c r="H1509" s="8">
        <v>7.567</v>
      </c>
      <c r="J1509" s="26"/>
      <c r="K1509"/>
    </row>
    <row r="1510" spans="1:11">
      <c r="A1510">
        <v>11</v>
      </c>
      <c r="B1510" s="64">
        <v>40760</v>
      </c>
      <c r="C1510" s="2">
        <v>1403198.94</v>
      </c>
      <c r="D1510">
        <v>0</v>
      </c>
      <c r="E1510" s="65">
        <v>90.04</v>
      </c>
      <c r="F1510" s="8">
        <v>3.684</v>
      </c>
      <c r="G1510" s="66">
        <v>218.9023209</v>
      </c>
      <c r="H1510" s="8">
        <v>7.567</v>
      </c>
      <c r="J1510" s="26"/>
      <c r="K1510"/>
    </row>
    <row r="1511" spans="1:11">
      <c r="A1511">
        <v>11</v>
      </c>
      <c r="B1511" s="64">
        <v>40767</v>
      </c>
      <c r="C1511" s="2">
        <v>1354188.43</v>
      </c>
      <c r="D1511">
        <v>0</v>
      </c>
      <c r="E1511" s="65">
        <v>90.3</v>
      </c>
      <c r="F1511" s="8">
        <v>3.638</v>
      </c>
      <c r="G1511" s="66">
        <v>218.9605873</v>
      </c>
      <c r="H1511" s="8">
        <v>7.567</v>
      </c>
      <c r="J1511" s="26"/>
      <c r="K1511"/>
    </row>
    <row r="1512" spans="1:11">
      <c r="A1512">
        <v>11</v>
      </c>
      <c r="B1512" s="64">
        <v>40774</v>
      </c>
      <c r="C1512" s="2">
        <v>1484169.74</v>
      </c>
      <c r="D1512">
        <v>0</v>
      </c>
      <c r="E1512" s="65">
        <v>89.51</v>
      </c>
      <c r="F1512" s="8">
        <v>3.554</v>
      </c>
      <c r="G1512" s="66">
        <v>219.023271</v>
      </c>
      <c r="H1512" s="8">
        <v>7.567</v>
      </c>
      <c r="J1512" s="26"/>
      <c r="K1512"/>
    </row>
    <row r="1513" spans="1:11">
      <c r="A1513">
        <v>11</v>
      </c>
      <c r="B1513" s="64">
        <v>40781</v>
      </c>
      <c r="C1513" s="2">
        <v>1304706.75</v>
      </c>
      <c r="D1513">
        <v>0</v>
      </c>
      <c r="E1513" s="65">
        <v>89.09</v>
      </c>
      <c r="F1513" s="8">
        <v>3.523</v>
      </c>
      <c r="G1513" s="66">
        <v>219.0866908</v>
      </c>
      <c r="H1513" s="8">
        <v>7.567</v>
      </c>
      <c r="J1513" s="26"/>
      <c r="K1513"/>
    </row>
    <row r="1514" spans="1:11">
      <c r="A1514">
        <v>11</v>
      </c>
      <c r="B1514" s="64">
        <v>40788</v>
      </c>
      <c r="C1514" s="2">
        <v>1297792.41</v>
      </c>
      <c r="D1514">
        <v>0</v>
      </c>
      <c r="E1514" s="65">
        <v>91.44</v>
      </c>
      <c r="F1514" s="8">
        <v>3.533</v>
      </c>
      <c r="G1514" s="66">
        <v>219.1501106</v>
      </c>
      <c r="H1514" s="8">
        <v>7.567</v>
      </c>
      <c r="J1514" s="26"/>
      <c r="K1514"/>
    </row>
    <row r="1515" spans="1:11">
      <c r="A1515">
        <v>11</v>
      </c>
      <c r="B1515" s="64">
        <v>40795</v>
      </c>
      <c r="C1515" s="2">
        <v>1249439.95</v>
      </c>
      <c r="D1515">
        <v>1</v>
      </c>
      <c r="E1515" s="65">
        <v>84.91</v>
      </c>
      <c r="F1515" s="8">
        <v>3.546</v>
      </c>
      <c r="G1515" s="66">
        <v>219.2135305</v>
      </c>
      <c r="H1515" s="8">
        <v>7.567</v>
      </c>
      <c r="J1515" s="26"/>
      <c r="K1515"/>
    </row>
    <row r="1516" spans="1:11">
      <c r="A1516">
        <v>11</v>
      </c>
      <c r="B1516" s="64">
        <v>40802</v>
      </c>
      <c r="C1516" s="2">
        <v>1270816.01</v>
      </c>
      <c r="D1516">
        <v>0</v>
      </c>
      <c r="E1516" s="65">
        <v>85.11</v>
      </c>
      <c r="F1516" s="8">
        <v>3.526</v>
      </c>
      <c r="G1516" s="66">
        <v>219.3972867</v>
      </c>
      <c r="H1516" s="8">
        <v>7.567</v>
      </c>
      <c r="J1516" s="26"/>
      <c r="K1516"/>
    </row>
    <row r="1517" spans="1:11">
      <c r="A1517">
        <v>11</v>
      </c>
      <c r="B1517" s="64">
        <v>40809</v>
      </c>
      <c r="C1517" s="2">
        <v>1235775.15</v>
      </c>
      <c r="D1517">
        <v>0</v>
      </c>
      <c r="E1517" s="65">
        <v>82.14</v>
      </c>
      <c r="F1517" s="8">
        <v>3.467</v>
      </c>
      <c r="G1517" s="66">
        <v>219.7414914</v>
      </c>
      <c r="H1517" s="8">
        <v>7.567</v>
      </c>
      <c r="J1517" s="26"/>
      <c r="K1517"/>
    </row>
    <row r="1518" spans="1:11">
      <c r="A1518">
        <v>11</v>
      </c>
      <c r="B1518" s="64">
        <v>40816</v>
      </c>
      <c r="C1518" s="2">
        <v>1190515.83</v>
      </c>
      <c r="D1518">
        <v>0</v>
      </c>
      <c r="E1518" s="65">
        <v>84.4</v>
      </c>
      <c r="F1518" s="8">
        <v>3.355</v>
      </c>
      <c r="G1518" s="66">
        <v>220.085696</v>
      </c>
      <c r="H1518" s="8">
        <v>7.567</v>
      </c>
      <c r="J1518" s="26"/>
      <c r="K1518"/>
    </row>
    <row r="1519" spans="1:11">
      <c r="A1519">
        <v>11</v>
      </c>
      <c r="B1519" s="64">
        <v>40823</v>
      </c>
      <c r="C1519" s="2">
        <v>1346271.06</v>
      </c>
      <c r="D1519">
        <v>0</v>
      </c>
      <c r="E1519" s="65">
        <v>76.97</v>
      </c>
      <c r="F1519" s="8">
        <v>3.285</v>
      </c>
      <c r="G1519" s="66">
        <v>220.4299007</v>
      </c>
      <c r="H1519" s="8">
        <v>7.197</v>
      </c>
      <c r="J1519" s="26"/>
      <c r="K1519"/>
    </row>
    <row r="1520" spans="1:11">
      <c r="A1520">
        <v>11</v>
      </c>
      <c r="B1520" s="64">
        <v>40830</v>
      </c>
      <c r="C1520" s="2">
        <v>1286388.96</v>
      </c>
      <c r="D1520">
        <v>0</v>
      </c>
      <c r="E1520" s="65">
        <v>75.56</v>
      </c>
      <c r="F1520" s="8">
        <v>3.274</v>
      </c>
      <c r="G1520" s="66">
        <v>220.7486167</v>
      </c>
      <c r="H1520" s="8">
        <v>7.197</v>
      </c>
      <c r="J1520" s="26"/>
      <c r="K1520"/>
    </row>
    <row r="1521" spans="1:11">
      <c r="A1521">
        <v>11</v>
      </c>
      <c r="B1521" s="64">
        <v>40837</v>
      </c>
      <c r="C1521" s="2">
        <v>1325107.53</v>
      </c>
      <c r="D1521">
        <v>0</v>
      </c>
      <c r="E1521" s="65">
        <v>70.91</v>
      </c>
      <c r="F1521" s="8">
        <v>3.353</v>
      </c>
      <c r="G1521" s="66">
        <v>220.9144005</v>
      </c>
      <c r="H1521" s="8">
        <v>7.197</v>
      </c>
      <c r="J1521" s="26"/>
      <c r="K1521"/>
    </row>
    <row r="1522" spans="1:11">
      <c r="A1522">
        <v>11</v>
      </c>
      <c r="B1522" s="64">
        <v>40844</v>
      </c>
      <c r="C1522" s="2">
        <v>1310684.1</v>
      </c>
      <c r="D1522">
        <v>0</v>
      </c>
      <c r="E1522" s="65">
        <v>72.66</v>
      </c>
      <c r="F1522" s="8">
        <v>3.372</v>
      </c>
      <c r="G1522" s="66">
        <v>221.0801842</v>
      </c>
      <c r="H1522" s="8">
        <v>7.197</v>
      </c>
      <c r="J1522" s="26"/>
      <c r="K1522"/>
    </row>
    <row r="1523" spans="1:11">
      <c r="A1523">
        <v>11</v>
      </c>
      <c r="B1523" s="64">
        <v>40851</v>
      </c>
      <c r="C1523" s="2">
        <v>1458287.38</v>
      </c>
      <c r="D1523">
        <v>0</v>
      </c>
      <c r="E1523" s="65">
        <v>61.13</v>
      </c>
      <c r="F1523" s="8">
        <v>3.332</v>
      </c>
      <c r="G1523" s="66">
        <v>221.245968</v>
      </c>
      <c r="H1523" s="8">
        <v>7.197</v>
      </c>
      <c r="J1523" s="26"/>
      <c r="K1523"/>
    </row>
    <row r="1524" spans="1:11">
      <c r="A1524">
        <v>11</v>
      </c>
      <c r="B1524" s="64">
        <v>40858</v>
      </c>
      <c r="C1524" s="2">
        <v>1366053.69</v>
      </c>
      <c r="D1524">
        <v>0</v>
      </c>
      <c r="E1524" s="65">
        <v>64.2</v>
      </c>
      <c r="F1524" s="8">
        <v>3.297</v>
      </c>
      <c r="G1524" s="66">
        <v>221.4117517</v>
      </c>
      <c r="H1524" s="8">
        <v>7.197</v>
      </c>
      <c r="J1524" s="26"/>
      <c r="K1524"/>
    </row>
    <row r="1525" spans="1:11">
      <c r="A1525">
        <v>11</v>
      </c>
      <c r="B1525" s="64">
        <v>40865</v>
      </c>
      <c r="C1525" s="2">
        <v>1315091.63</v>
      </c>
      <c r="D1525">
        <v>0</v>
      </c>
      <c r="E1525" s="65">
        <v>66.17</v>
      </c>
      <c r="F1525" s="8">
        <v>3.308</v>
      </c>
      <c r="G1525" s="66">
        <v>221.6432852</v>
      </c>
      <c r="H1525" s="8">
        <v>7.197</v>
      </c>
      <c r="J1525" s="26"/>
      <c r="K1525"/>
    </row>
    <row r="1526" spans="1:11">
      <c r="A1526">
        <v>11</v>
      </c>
      <c r="B1526" s="64">
        <v>40872</v>
      </c>
      <c r="C1526" s="2">
        <v>1848953.48</v>
      </c>
      <c r="D1526">
        <v>1</v>
      </c>
      <c r="E1526" s="65">
        <v>70.03</v>
      </c>
      <c r="F1526" s="8">
        <v>3.236</v>
      </c>
      <c r="G1526" s="66">
        <v>221.9011185</v>
      </c>
      <c r="H1526" s="8">
        <v>7.197</v>
      </c>
      <c r="J1526" s="26"/>
      <c r="K1526"/>
    </row>
    <row r="1527" spans="1:11">
      <c r="A1527">
        <v>11</v>
      </c>
      <c r="B1527" s="64">
        <v>40879</v>
      </c>
      <c r="C1527" s="2">
        <v>1399322.44</v>
      </c>
      <c r="D1527">
        <v>0</v>
      </c>
      <c r="E1527" s="65">
        <v>56.89</v>
      </c>
      <c r="F1527" s="8">
        <v>3.172</v>
      </c>
      <c r="G1527" s="66">
        <v>222.1589519</v>
      </c>
      <c r="H1527" s="8">
        <v>7.197</v>
      </c>
      <c r="J1527" s="26"/>
      <c r="K1527"/>
    </row>
    <row r="1528" spans="1:11">
      <c r="A1528">
        <v>11</v>
      </c>
      <c r="B1528" s="64">
        <v>40886</v>
      </c>
      <c r="C1528" s="2">
        <v>1646655.94</v>
      </c>
      <c r="D1528">
        <v>0</v>
      </c>
      <c r="E1528" s="65">
        <v>50.63</v>
      </c>
      <c r="F1528" s="8">
        <v>3.158</v>
      </c>
      <c r="G1528" s="66">
        <v>222.4167852</v>
      </c>
      <c r="H1528" s="8">
        <v>7.197</v>
      </c>
      <c r="J1528" s="26"/>
      <c r="K1528"/>
    </row>
    <row r="1529" spans="1:11">
      <c r="A1529">
        <v>11</v>
      </c>
      <c r="B1529" s="64">
        <v>40893</v>
      </c>
      <c r="C1529" s="2">
        <v>1783910.06</v>
      </c>
      <c r="D1529">
        <v>0</v>
      </c>
      <c r="E1529" s="65">
        <v>59.69</v>
      </c>
      <c r="F1529" s="8">
        <v>3.159</v>
      </c>
      <c r="G1529" s="66">
        <v>222.6426418</v>
      </c>
      <c r="H1529" s="8">
        <v>7.197</v>
      </c>
      <c r="J1529" s="26"/>
      <c r="K1529"/>
    </row>
    <row r="1530" spans="1:11">
      <c r="A1530">
        <v>11</v>
      </c>
      <c r="B1530" s="64">
        <v>40900</v>
      </c>
      <c r="C1530" s="2">
        <v>2213518.5</v>
      </c>
      <c r="D1530">
        <v>0</v>
      </c>
      <c r="E1530" s="65">
        <v>54.29</v>
      </c>
      <c r="F1530" s="8">
        <v>3.112</v>
      </c>
      <c r="G1530" s="66">
        <v>222.8258628</v>
      </c>
      <c r="H1530" s="8">
        <v>7.197</v>
      </c>
      <c r="J1530" s="26"/>
      <c r="K1530"/>
    </row>
    <row r="1531" spans="1:11">
      <c r="A1531">
        <v>11</v>
      </c>
      <c r="B1531" s="64">
        <v>40907</v>
      </c>
      <c r="C1531" s="2">
        <v>1352084.21</v>
      </c>
      <c r="D1531">
        <v>1</v>
      </c>
      <c r="E1531" s="65">
        <v>48.86</v>
      </c>
      <c r="F1531" s="8">
        <v>3.129</v>
      </c>
      <c r="G1531" s="66">
        <v>223.0090839</v>
      </c>
      <c r="H1531" s="8">
        <v>7.197</v>
      </c>
      <c r="J1531" s="26"/>
      <c r="K1531"/>
    </row>
    <row r="1532" spans="1:11">
      <c r="A1532">
        <v>11</v>
      </c>
      <c r="B1532" s="64">
        <v>40914</v>
      </c>
      <c r="C1532" s="2">
        <v>1283885.55</v>
      </c>
      <c r="D1532">
        <v>0</v>
      </c>
      <c r="E1532" s="65">
        <v>54.44</v>
      </c>
      <c r="F1532" s="8">
        <v>3.157</v>
      </c>
      <c r="G1532" s="66">
        <v>223.1923049</v>
      </c>
      <c r="H1532" s="8">
        <v>6.833</v>
      </c>
      <c r="J1532" s="26"/>
      <c r="K1532"/>
    </row>
    <row r="1533" spans="1:11">
      <c r="A1533">
        <v>11</v>
      </c>
      <c r="B1533" s="64">
        <v>40921</v>
      </c>
      <c r="C1533" s="2">
        <v>1264736.59</v>
      </c>
      <c r="D1533">
        <v>0</v>
      </c>
      <c r="E1533" s="65">
        <v>53.1</v>
      </c>
      <c r="F1533" s="8">
        <v>3.261</v>
      </c>
      <c r="G1533" s="66">
        <v>223.3755259</v>
      </c>
      <c r="H1533" s="8">
        <v>6.833</v>
      </c>
      <c r="J1533" s="26"/>
      <c r="K1533"/>
    </row>
    <row r="1534" spans="1:11">
      <c r="A1534">
        <v>11</v>
      </c>
      <c r="B1534" s="64">
        <v>40928</v>
      </c>
      <c r="C1534" s="2">
        <v>1207303.29</v>
      </c>
      <c r="D1534">
        <v>0</v>
      </c>
      <c r="E1534" s="65">
        <v>56.43</v>
      </c>
      <c r="F1534" s="8">
        <v>3.268</v>
      </c>
      <c r="G1534" s="66">
        <v>223.4700552</v>
      </c>
      <c r="H1534" s="8">
        <v>6.833</v>
      </c>
      <c r="J1534" s="26"/>
      <c r="K1534"/>
    </row>
    <row r="1535" spans="1:11">
      <c r="A1535">
        <v>11</v>
      </c>
      <c r="B1535" s="64">
        <v>40935</v>
      </c>
      <c r="C1535" s="2">
        <v>1162675.85</v>
      </c>
      <c r="D1535">
        <v>0</v>
      </c>
      <c r="E1535" s="65">
        <v>58.36</v>
      </c>
      <c r="F1535" s="8">
        <v>3.29</v>
      </c>
      <c r="G1535" s="66">
        <v>223.5645845</v>
      </c>
      <c r="H1535" s="8">
        <v>6.833</v>
      </c>
      <c r="J1535" s="26"/>
      <c r="K1535"/>
    </row>
    <row r="1536" spans="1:11">
      <c r="A1536">
        <v>11</v>
      </c>
      <c r="B1536" s="64">
        <v>40942</v>
      </c>
      <c r="C1536" s="2">
        <v>1376732.18</v>
      </c>
      <c r="D1536">
        <v>0</v>
      </c>
      <c r="E1536" s="65">
        <v>60.24</v>
      </c>
      <c r="F1536" s="8">
        <v>3.36</v>
      </c>
      <c r="G1536" s="66">
        <v>223.6591137</v>
      </c>
      <c r="H1536" s="8">
        <v>6.833</v>
      </c>
      <c r="J1536" s="26"/>
      <c r="K1536"/>
    </row>
    <row r="1537" spans="1:11">
      <c r="A1537">
        <v>11</v>
      </c>
      <c r="B1537" s="64">
        <v>40949</v>
      </c>
      <c r="C1537" s="2">
        <v>1574287.76</v>
      </c>
      <c r="D1537">
        <v>1</v>
      </c>
      <c r="E1537" s="65">
        <v>52.23</v>
      </c>
      <c r="F1537" s="8">
        <v>3.409</v>
      </c>
      <c r="G1537" s="66">
        <v>223.753643</v>
      </c>
      <c r="H1537" s="8">
        <v>6.833</v>
      </c>
      <c r="J1537" s="26"/>
      <c r="K1537"/>
    </row>
    <row r="1538" spans="1:11">
      <c r="A1538">
        <v>11</v>
      </c>
      <c r="B1538" s="64">
        <v>40956</v>
      </c>
      <c r="C1538" s="2">
        <v>1569607.94</v>
      </c>
      <c r="D1538">
        <v>0</v>
      </c>
      <c r="E1538" s="65">
        <v>52.77</v>
      </c>
      <c r="F1538" s="8">
        <v>3.51</v>
      </c>
      <c r="G1538" s="66">
        <v>223.9170153</v>
      </c>
      <c r="H1538" s="8">
        <v>6.833</v>
      </c>
      <c r="J1538" s="26"/>
      <c r="K1538"/>
    </row>
    <row r="1539" spans="1:11">
      <c r="A1539">
        <v>11</v>
      </c>
      <c r="B1539" s="64">
        <v>40963</v>
      </c>
      <c r="C1539" s="2">
        <v>1379473.03</v>
      </c>
      <c r="D1539">
        <v>0</v>
      </c>
      <c r="E1539" s="65">
        <v>61.11</v>
      </c>
      <c r="F1539" s="8">
        <v>3.555</v>
      </c>
      <c r="G1539" s="66">
        <v>224.1320199</v>
      </c>
      <c r="H1539" s="8">
        <v>6.833</v>
      </c>
      <c r="J1539" s="26"/>
      <c r="K1539"/>
    </row>
    <row r="1540" spans="1:11">
      <c r="A1540">
        <v>11</v>
      </c>
      <c r="B1540" s="64">
        <v>40970</v>
      </c>
      <c r="C1540" s="2">
        <v>1438383.44</v>
      </c>
      <c r="D1540">
        <v>0</v>
      </c>
      <c r="E1540" s="65">
        <v>62.61</v>
      </c>
      <c r="F1540" s="8">
        <v>3.63</v>
      </c>
      <c r="G1540" s="66">
        <v>224.3470245</v>
      </c>
      <c r="H1540" s="8">
        <v>6.833</v>
      </c>
      <c r="J1540" s="26"/>
      <c r="K1540"/>
    </row>
    <row r="1541" spans="1:11">
      <c r="A1541">
        <v>11</v>
      </c>
      <c r="B1541" s="64">
        <v>40977</v>
      </c>
      <c r="C1541" s="2">
        <v>1413382.76</v>
      </c>
      <c r="D1541">
        <v>0</v>
      </c>
      <c r="E1541" s="65">
        <v>61.44</v>
      </c>
      <c r="F1541" s="8">
        <v>3.669</v>
      </c>
      <c r="G1541" s="66">
        <v>224.5620291</v>
      </c>
      <c r="H1541" s="8">
        <v>6.833</v>
      </c>
      <c r="J1541" s="26"/>
      <c r="K1541"/>
    </row>
    <row r="1542" spans="1:11">
      <c r="A1542">
        <v>11</v>
      </c>
      <c r="B1542" s="64">
        <v>40984</v>
      </c>
      <c r="C1542" s="2">
        <v>1441884.28</v>
      </c>
      <c r="D1542">
        <v>0</v>
      </c>
      <c r="E1542" s="65">
        <v>64.21</v>
      </c>
      <c r="F1542" s="8">
        <v>3.734</v>
      </c>
      <c r="G1542" s="66">
        <v>224.7166953</v>
      </c>
      <c r="H1542" s="8">
        <v>6.833</v>
      </c>
      <c r="J1542" s="26"/>
      <c r="K1542"/>
    </row>
    <row r="1543" spans="1:11">
      <c r="A1543">
        <v>11</v>
      </c>
      <c r="B1543" s="64">
        <v>40991</v>
      </c>
      <c r="C1543" s="2">
        <v>1300593.61</v>
      </c>
      <c r="D1543">
        <v>0</v>
      </c>
      <c r="E1543" s="65">
        <v>67.16</v>
      </c>
      <c r="F1543" s="8">
        <v>3.787</v>
      </c>
      <c r="G1543" s="66">
        <v>224.7909104</v>
      </c>
      <c r="H1543" s="8">
        <v>6.833</v>
      </c>
      <c r="J1543" s="26"/>
      <c r="K1543"/>
    </row>
    <row r="1544" spans="1:11">
      <c r="A1544">
        <v>11</v>
      </c>
      <c r="B1544" s="64">
        <v>40998</v>
      </c>
      <c r="C1544" s="2">
        <v>1300104.03</v>
      </c>
      <c r="D1544">
        <v>0</v>
      </c>
      <c r="E1544" s="65">
        <v>70.23</v>
      </c>
      <c r="F1544" s="8">
        <v>3.845</v>
      </c>
      <c r="G1544" s="66">
        <v>224.8651254</v>
      </c>
      <c r="H1544" s="8">
        <v>6.833</v>
      </c>
      <c r="J1544" s="26"/>
      <c r="K1544"/>
    </row>
    <row r="1545" spans="1:11">
      <c r="A1545">
        <v>11</v>
      </c>
      <c r="B1545" s="64">
        <v>41005</v>
      </c>
      <c r="C1545" s="2">
        <v>1596325.01</v>
      </c>
      <c r="D1545">
        <v>0</v>
      </c>
      <c r="E1545" s="65">
        <v>74.19</v>
      </c>
      <c r="F1545" s="8">
        <v>3.891</v>
      </c>
      <c r="G1545" s="66">
        <v>224.9393405</v>
      </c>
      <c r="H1545" s="8">
        <v>6.664</v>
      </c>
      <c r="J1545" s="26"/>
      <c r="K1545"/>
    </row>
    <row r="1546" spans="1:11">
      <c r="A1546">
        <v>11</v>
      </c>
      <c r="B1546" s="64">
        <v>41012</v>
      </c>
      <c r="C1546" s="2">
        <v>1472752.01</v>
      </c>
      <c r="D1546">
        <v>0</v>
      </c>
      <c r="E1546" s="65">
        <v>72.74</v>
      </c>
      <c r="F1546" s="8">
        <v>3.891</v>
      </c>
      <c r="G1546" s="66">
        <v>225.0135556</v>
      </c>
      <c r="H1546" s="8">
        <v>6.664</v>
      </c>
      <c r="J1546" s="26"/>
      <c r="K1546"/>
    </row>
    <row r="1547" spans="1:11">
      <c r="A1547">
        <v>11</v>
      </c>
      <c r="B1547" s="64">
        <v>41019</v>
      </c>
      <c r="C1547" s="2">
        <v>1315356.99</v>
      </c>
      <c r="D1547">
        <v>0</v>
      </c>
      <c r="E1547" s="65">
        <v>71.97</v>
      </c>
      <c r="F1547" s="8">
        <v>3.877</v>
      </c>
      <c r="G1547" s="66">
        <v>225.0689541</v>
      </c>
      <c r="H1547" s="8">
        <v>6.664</v>
      </c>
      <c r="J1547" s="26"/>
      <c r="K1547"/>
    </row>
    <row r="1548" spans="1:11">
      <c r="A1548">
        <v>11</v>
      </c>
      <c r="B1548" s="64">
        <v>41026</v>
      </c>
      <c r="C1548" s="2">
        <v>1236238.29</v>
      </c>
      <c r="D1548">
        <v>0</v>
      </c>
      <c r="E1548" s="65">
        <v>73.4</v>
      </c>
      <c r="F1548" s="8">
        <v>3.814</v>
      </c>
      <c r="G1548" s="66">
        <v>225.1243526</v>
      </c>
      <c r="H1548" s="8">
        <v>6.664</v>
      </c>
      <c r="J1548" s="26"/>
      <c r="K1548"/>
    </row>
    <row r="1549" spans="1:11">
      <c r="A1549">
        <v>11</v>
      </c>
      <c r="B1549" s="64">
        <v>41033</v>
      </c>
      <c r="C1549" s="2">
        <v>1370251.22</v>
      </c>
      <c r="D1549">
        <v>0</v>
      </c>
      <c r="E1549" s="65">
        <v>79.07</v>
      </c>
      <c r="F1549" s="8">
        <v>3.749</v>
      </c>
      <c r="G1549" s="66">
        <v>225.1797511</v>
      </c>
      <c r="H1549" s="8">
        <v>6.664</v>
      </c>
      <c r="J1549" s="26"/>
      <c r="K1549"/>
    </row>
    <row r="1550" spans="1:11">
      <c r="A1550">
        <v>11</v>
      </c>
      <c r="B1550" s="64">
        <v>41040</v>
      </c>
      <c r="C1550" s="2">
        <v>1300147.07</v>
      </c>
      <c r="D1550">
        <v>0</v>
      </c>
      <c r="E1550" s="65">
        <v>75.13</v>
      </c>
      <c r="F1550" s="8">
        <v>3.688</v>
      </c>
      <c r="G1550" s="66">
        <v>225.2351496</v>
      </c>
      <c r="H1550" s="8">
        <v>6.664</v>
      </c>
      <c r="J1550" s="26"/>
      <c r="K1550"/>
    </row>
    <row r="1551" spans="1:11">
      <c r="A1551">
        <v>11</v>
      </c>
      <c r="B1551" s="64">
        <v>41047</v>
      </c>
      <c r="C1551" s="2">
        <v>1352442.31</v>
      </c>
      <c r="D1551">
        <v>0</v>
      </c>
      <c r="E1551" s="65">
        <v>72.53</v>
      </c>
      <c r="F1551" s="8">
        <v>3.63</v>
      </c>
      <c r="G1551" s="66">
        <v>225.2512024</v>
      </c>
      <c r="H1551" s="8">
        <v>6.664</v>
      </c>
      <c r="J1551" s="26"/>
      <c r="K1551"/>
    </row>
    <row r="1552" spans="1:11">
      <c r="A1552">
        <v>11</v>
      </c>
      <c r="B1552" s="64">
        <v>41054</v>
      </c>
      <c r="C1552" s="2">
        <v>1297335.87</v>
      </c>
      <c r="D1552">
        <v>0</v>
      </c>
      <c r="E1552" s="65">
        <v>78.44</v>
      </c>
      <c r="F1552" s="8">
        <v>3.561</v>
      </c>
      <c r="G1552" s="66">
        <v>225.2515168</v>
      </c>
      <c r="H1552" s="8">
        <v>6.664</v>
      </c>
      <c r="J1552" s="26"/>
      <c r="K1552"/>
    </row>
    <row r="1553" spans="1:11">
      <c r="A1553">
        <v>11</v>
      </c>
      <c r="B1553" s="64">
        <v>41061</v>
      </c>
      <c r="C1553" s="2">
        <v>1361595.33</v>
      </c>
      <c r="D1553">
        <v>0</v>
      </c>
      <c r="E1553" s="65">
        <v>81.67</v>
      </c>
      <c r="F1553" s="8">
        <v>3.501</v>
      </c>
      <c r="G1553" s="66">
        <v>225.2518313</v>
      </c>
      <c r="H1553" s="8">
        <v>6.664</v>
      </c>
      <c r="J1553" s="26"/>
      <c r="K1553"/>
    </row>
    <row r="1554" spans="1:11">
      <c r="A1554">
        <v>11</v>
      </c>
      <c r="B1554" s="64">
        <v>41068</v>
      </c>
      <c r="C1554" s="2">
        <v>1414343.53</v>
      </c>
      <c r="D1554">
        <v>0</v>
      </c>
      <c r="E1554" s="65">
        <v>82.1</v>
      </c>
      <c r="F1554" s="8">
        <v>3.452</v>
      </c>
      <c r="G1554" s="66">
        <v>225.2521458</v>
      </c>
      <c r="H1554" s="8">
        <v>6.664</v>
      </c>
      <c r="J1554" s="26"/>
      <c r="K1554"/>
    </row>
    <row r="1555" spans="1:11">
      <c r="A1555">
        <v>11</v>
      </c>
      <c r="B1555" s="64">
        <v>41075</v>
      </c>
      <c r="C1555" s="2">
        <v>1417875.42</v>
      </c>
      <c r="D1555">
        <v>0</v>
      </c>
      <c r="E1555" s="65">
        <v>84.97</v>
      </c>
      <c r="F1555" s="8">
        <v>3.393</v>
      </c>
      <c r="G1555" s="66">
        <v>225.2644795</v>
      </c>
      <c r="H1555" s="8">
        <v>6.664</v>
      </c>
      <c r="J1555" s="26"/>
      <c r="K1555"/>
    </row>
    <row r="1556" spans="1:11">
      <c r="A1556">
        <v>11</v>
      </c>
      <c r="B1556" s="64">
        <v>41082</v>
      </c>
      <c r="C1556" s="2">
        <v>1355680.3</v>
      </c>
      <c r="D1556">
        <v>0</v>
      </c>
      <c r="E1556" s="65">
        <v>83.26</v>
      </c>
      <c r="F1556" s="8">
        <v>3.346</v>
      </c>
      <c r="G1556" s="66">
        <v>225.3068615</v>
      </c>
      <c r="H1556" s="8">
        <v>6.664</v>
      </c>
      <c r="J1556" s="26"/>
      <c r="K1556"/>
    </row>
    <row r="1557" spans="1:11">
      <c r="A1557">
        <v>11</v>
      </c>
      <c r="B1557" s="64">
        <v>41089</v>
      </c>
      <c r="C1557" s="2">
        <v>1297028.6</v>
      </c>
      <c r="D1557">
        <v>0</v>
      </c>
      <c r="E1557" s="65">
        <v>87.86</v>
      </c>
      <c r="F1557" s="8">
        <v>3.286</v>
      </c>
      <c r="G1557" s="66">
        <v>225.3492435</v>
      </c>
      <c r="H1557" s="8">
        <v>6.664</v>
      </c>
      <c r="J1557" s="26"/>
      <c r="K1557"/>
    </row>
    <row r="1558" spans="1:11">
      <c r="A1558">
        <v>11</v>
      </c>
      <c r="B1558" s="64">
        <v>41096</v>
      </c>
      <c r="C1558" s="2">
        <v>1461129.94</v>
      </c>
      <c r="D1558">
        <v>0</v>
      </c>
      <c r="E1558" s="65">
        <v>83.44</v>
      </c>
      <c r="F1558" s="8">
        <v>3.227</v>
      </c>
      <c r="G1558" s="66">
        <v>225.3916254</v>
      </c>
      <c r="H1558" s="8">
        <v>6.334</v>
      </c>
      <c r="J1558" s="26"/>
      <c r="K1558"/>
    </row>
    <row r="1559" spans="1:11">
      <c r="A1559">
        <v>11</v>
      </c>
      <c r="B1559" s="64">
        <v>41103</v>
      </c>
      <c r="C1559" s="2">
        <v>1320239.51</v>
      </c>
      <c r="D1559">
        <v>0</v>
      </c>
      <c r="E1559" s="65">
        <v>82.46</v>
      </c>
      <c r="F1559" s="8">
        <v>3.256</v>
      </c>
      <c r="G1559" s="66">
        <v>225.4340074</v>
      </c>
      <c r="H1559" s="8">
        <v>6.334</v>
      </c>
      <c r="J1559" s="26"/>
      <c r="K1559"/>
    </row>
    <row r="1560" spans="1:11">
      <c r="A1560">
        <v>11</v>
      </c>
      <c r="B1560" s="64">
        <v>41110</v>
      </c>
      <c r="C1560" s="2">
        <v>1344483.81</v>
      </c>
      <c r="D1560">
        <v>0</v>
      </c>
      <c r="E1560" s="65">
        <v>82.41</v>
      </c>
      <c r="F1560" s="8">
        <v>3.311</v>
      </c>
      <c r="G1560" s="66">
        <v>225.4438827</v>
      </c>
      <c r="H1560" s="8">
        <v>6.334</v>
      </c>
      <c r="J1560" s="26"/>
      <c r="K1560"/>
    </row>
    <row r="1561" spans="1:11">
      <c r="A1561">
        <v>11</v>
      </c>
      <c r="B1561" s="64">
        <v>41117</v>
      </c>
      <c r="C1561" s="2">
        <v>1272395.02</v>
      </c>
      <c r="D1561">
        <v>0</v>
      </c>
      <c r="E1561" s="65">
        <v>85.43</v>
      </c>
      <c r="F1561" s="8">
        <v>3.407</v>
      </c>
      <c r="G1561" s="66">
        <v>225.4537579</v>
      </c>
      <c r="H1561" s="8">
        <v>6.334</v>
      </c>
      <c r="J1561" s="26"/>
      <c r="K1561"/>
    </row>
    <row r="1562" spans="1:11">
      <c r="A1562">
        <v>11</v>
      </c>
      <c r="B1562" s="64">
        <v>41124</v>
      </c>
      <c r="C1562" s="2">
        <v>1399341.07</v>
      </c>
      <c r="D1562">
        <v>0</v>
      </c>
      <c r="E1562" s="65">
        <v>86.94</v>
      </c>
      <c r="F1562" s="8">
        <v>3.417</v>
      </c>
      <c r="G1562" s="66">
        <v>225.4636332</v>
      </c>
      <c r="H1562" s="8">
        <v>6.334</v>
      </c>
      <c r="J1562" s="26"/>
      <c r="K1562"/>
    </row>
    <row r="1563" spans="1:11">
      <c r="A1563">
        <v>11</v>
      </c>
      <c r="B1563" s="64">
        <v>41131</v>
      </c>
      <c r="C1563" s="2">
        <v>1388973.65</v>
      </c>
      <c r="D1563">
        <v>0</v>
      </c>
      <c r="E1563" s="65">
        <v>86.21</v>
      </c>
      <c r="F1563" s="8">
        <v>3.494</v>
      </c>
      <c r="G1563" s="66">
        <v>225.4735085</v>
      </c>
      <c r="H1563" s="8">
        <v>6.334</v>
      </c>
      <c r="J1563" s="26"/>
      <c r="K1563"/>
    </row>
    <row r="1564" spans="1:11">
      <c r="A1564">
        <v>11</v>
      </c>
      <c r="B1564" s="64">
        <v>41138</v>
      </c>
      <c r="C1564" s="2">
        <v>1421307.2</v>
      </c>
      <c r="D1564">
        <v>0</v>
      </c>
      <c r="E1564" s="65">
        <v>87.73</v>
      </c>
      <c r="F1564" s="8">
        <v>3.571</v>
      </c>
      <c r="G1564" s="66">
        <v>225.5558664</v>
      </c>
      <c r="H1564" s="8">
        <v>6.334</v>
      </c>
      <c r="J1564" s="26"/>
      <c r="K1564"/>
    </row>
    <row r="1565" spans="1:11">
      <c r="A1565">
        <v>11</v>
      </c>
      <c r="B1565" s="64">
        <v>41145</v>
      </c>
      <c r="C1565" s="2">
        <v>1409515.73</v>
      </c>
      <c r="D1565">
        <v>0</v>
      </c>
      <c r="E1565" s="65">
        <v>83.17</v>
      </c>
      <c r="F1565" s="8">
        <v>3.62</v>
      </c>
      <c r="G1565" s="66">
        <v>225.6925864</v>
      </c>
      <c r="H1565" s="8">
        <v>6.334</v>
      </c>
      <c r="J1565" s="26"/>
      <c r="K1565"/>
    </row>
    <row r="1566" spans="1:11">
      <c r="A1566">
        <v>11</v>
      </c>
      <c r="B1566" s="64">
        <v>41152</v>
      </c>
      <c r="C1566" s="2">
        <v>1372872.35</v>
      </c>
      <c r="D1566">
        <v>0</v>
      </c>
      <c r="E1566" s="65">
        <v>86.49</v>
      </c>
      <c r="F1566" s="8">
        <v>3.638</v>
      </c>
      <c r="G1566" s="66">
        <v>225.8293063</v>
      </c>
      <c r="H1566" s="8">
        <v>6.334</v>
      </c>
      <c r="J1566" s="26"/>
      <c r="K1566"/>
    </row>
    <row r="1567" spans="1:11">
      <c r="A1567">
        <v>11</v>
      </c>
      <c r="B1567" s="64">
        <v>41159</v>
      </c>
      <c r="C1567" s="2">
        <v>1304584.4</v>
      </c>
      <c r="D1567">
        <v>1</v>
      </c>
      <c r="E1567" s="65">
        <v>85.17</v>
      </c>
      <c r="F1567" s="8">
        <v>3.73</v>
      </c>
      <c r="G1567" s="66">
        <v>225.9660263</v>
      </c>
      <c r="H1567" s="8">
        <v>6.334</v>
      </c>
      <c r="J1567" s="26"/>
      <c r="K1567"/>
    </row>
    <row r="1568" spans="1:11">
      <c r="A1568">
        <v>11</v>
      </c>
      <c r="B1568" s="64">
        <v>41166</v>
      </c>
      <c r="C1568" s="2">
        <v>1267675.05</v>
      </c>
      <c r="D1568">
        <v>0</v>
      </c>
      <c r="E1568" s="65">
        <v>79.61</v>
      </c>
      <c r="F1568" s="8">
        <v>3.717</v>
      </c>
      <c r="G1568" s="66">
        <v>226.1122067</v>
      </c>
      <c r="H1568" s="8">
        <v>6.334</v>
      </c>
      <c r="J1568" s="26"/>
      <c r="K1568"/>
    </row>
    <row r="1569" spans="1:11">
      <c r="A1569">
        <v>11</v>
      </c>
      <c r="B1569" s="64">
        <v>41173</v>
      </c>
      <c r="C1569" s="2">
        <v>1326132.98</v>
      </c>
      <c r="D1569">
        <v>0</v>
      </c>
      <c r="E1569" s="65">
        <v>73.64</v>
      </c>
      <c r="F1569" s="8">
        <v>3.721</v>
      </c>
      <c r="G1569" s="66">
        <v>226.3151496</v>
      </c>
      <c r="H1569" s="8">
        <v>6.334</v>
      </c>
      <c r="J1569" s="26"/>
      <c r="K1569"/>
    </row>
    <row r="1570" spans="1:11">
      <c r="A1570">
        <v>11</v>
      </c>
      <c r="B1570" s="64">
        <v>41180</v>
      </c>
      <c r="C1570" s="2">
        <v>1227430.73</v>
      </c>
      <c r="D1570">
        <v>0</v>
      </c>
      <c r="E1570" s="65">
        <v>77.67</v>
      </c>
      <c r="F1570" s="8">
        <v>3.666</v>
      </c>
      <c r="G1570" s="66">
        <v>226.5180926</v>
      </c>
      <c r="H1570" s="8">
        <v>6.334</v>
      </c>
      <c r="J1570" s="26"/>
      <c r="K1570"/>
    </row>
    <row r="1571" spans="1:11">
      <c r="A1571">
        <v>11</v>
      </c>
      <c r="B1571" s="64">
        <v>41187</v>
      </c>
      <c r="C1571" s="2">
        <v>1422794.26</v>
      </c>
      <c r="D1571">
        <v>0</v>
      </c>
      <c r="E1571" s="65">
        <v>73.37</v>
      </c>
      <c r="F1571" s="8">
        <v>3.617</v>
      </c>
      <c r="G1571" s="66">
        <v>226.7210356</v>
      </c>
      <c r="H1571" s="8">
        <v>6.034</v>
      </c>
      <c r="J1571" s="26"/>
      <c r="K1571"/>
    </row>
    <row r="1572" spans="1:11">
      <c r="A1572">
        <v>11</v>
      </c>
      <c r="B1572" s="64">
        <v>41194</v>
      </c>
      <c r="C1572" s="2">
        <v>1311965.09</v>
      </c>
      <c r="D1572">
        <v>0</v>
      </c>
      <c r="E1572" s="65">
        <v>69.94</v>
      </c>
      <c r="F1572" s="8">
        <v>3.601</v>
      </c>
      <c r="G1572" s="66">
        <v>226.9239785</v>
      </c>
      <c r="H1572" s="8">
        <v>6.034</v>
      </c>
      <c r="J1572" s="26"/>
      <c r="K1572"/>
    </row>
    <row r="1573" spans="1:11">
      <c r="A1573">
        <v>11</v>
      </c>
      <c r="B1573" s="64">
        <v>41201</v>
      </c>
      <c r="C1573" s="2">
        <v>1232073.18</v>
      </c>
      <c r="D1573">
        <v>0</v>
      </c>
      <c r="E1573" s="65">
        <v>73.77</v>
      </c>
      <c r="F1573" s="8">
        <v>3.594</v>
      </c>
      <c r="G1573" s="66">
        <v>226.9688442</v>
      </c>
      <c r="H1573" s="8">
        <v>6.034</v>
      </c>
      <c r="J1573" s="26"/>
      <c r="K1573"/>
    </row>
    <row r="1574" spans="1:11">
      <c r="A1574">
        <v>11</v>
      </c>
      <c r="B1574" s="64">
        <v>41208</v>
      </c>
      <c r="C1574" s="2">
        <v>1200729.45</v>
      </c>
      <c r="D1574">
        <v>0</v>
      </c>
      <c r="E1574" s="65">
        <v>74.26</v>
      </c>
      <c r="F1574" s="8">
        <v>3.506</v>
      </c>
      <c r="G1574" s="66">
        <v>226.9873637</v>
      </c>
      <c r="H1574" s="8">
        <v>6.034</v>
      </c>
      <c r="J1574" s="26"/>
      <c r="K1574"/>
    </row>
    <row r="1575" spans="1:11">
      <c r="A1575">
        <v>12</v>
      </c>
      <c r="B1575" s="64">
        <v>40214</v>
      </c>
      <c r="C1575" s="2">
        <v>1100046.37</v>
      </c>
      <c r="D1575">
        <v>0</v>
      </c>
      <c r="E1575" s="65">
        <v>49.47</v>
      </c>
      <c r="F1575" s="8">
        <v>2.962</v>
      </c>
      <c r="G1575" s="66">
        <v>126.4420645</v>
      </c>
      <c r="H1575" s="8">
        <v>13.975</v>
      </c>
      <c r="J1575" s="26"/>
      <c r="K1575"/>
    </row>
    <row r="1576" spans="1:11">
      <c r="A1576">
        <v>12</v>
      </c>
      <c r="B1576" s="64">
        <v>40221</v>
      </c>
      <c r="C1576" s="2">
        <v>1117863.33</v>
      </c>
      <c r="D1576">
        <v>1</v>
      </c>
      <c r="E1576" s="65">
        <v>47.87</v>
      </c>
      <c r="F1576" s="8">
        <v>2.946</v>
      </c>
      <c r="G1576" s="66">
        <v>126.4962581</v>
      </c>
      <c r="H1576" s="8">
        <v>13.975</v>
      </c>
      <c r="J1576" s="26"/>
      <c r="K1576"/>
    </row>
    <row r="1577" spans="1:11">
      <c r="A1577">
        <v>12</v>
      </c>
      <c r="B1577" s="64">
        <v>40228</v>
      </c>
      <c r="C1577" s="2">
        <v>1095421.65</v>
      </c>
      <c r="D1577">
        <v>0</v>
      </c>
      <c r="E1577" s="65">
        <v>54.83</v>
      </c>
      <c r="F1577" s="8">
        <v>2.915</v>
      </c>
      <c r="G1577" s="66">
        <v>126.5262857</v>
      </c>
      <c r="H1577" s="8">
        <v>13.975</v>
      </c>
      <c r="J1577" s="26"/>
      <c r="K1577"/>
    </row>
    <row r="1578" spans="1:11">
      <c r="A1578">
        <v>12</v>
      </c>
      <c r="B1578" s="64">
        <v>40235</v>
      </c>
      <c r="C1578" s="2">
        <v>1048617.17</v>
      </c>
      <c r="D1578">
        <v>0</v>
      </c>
      <c r="E1578" s="65">
        <v>50.23</v>
      </c>
      <c r="F1578" s="8">
        <v>2.825</v>
      </c>
      <c r="G1578" s="66">
        <v>126.5522857</v>
      </c>
      <c r="H1578" s="8">
        <v>13.975</v>
      </c>
      <c r="J1578" s="26"/>
      <c r="K1578"/>
    </row>
    <row r="1579" spans="1:11">
      <c r="A1579">
        <v>12</v>
      </c>
      <c r="B1579" s="64">
        <v>40242</v>
      </c>
      <c r="C1579" s="2">
        <v>1077018.27</v>
      </c>
      <c r="D1579">
        <v>0</v>
      </c>
      <c r="E1579" s="65">
        <v>53.77</v>
      </c>
      <c r="F1579" s="8">
        <v>2.987</v>
      </c>
      <c r="G1579" s="66">
        <v>126.5782857</v>
      </c>
      <c r="H1579" s="8">
        <v>13.975</v>
      </c>
      <c r="J1579" s="26"/>
      <c r="K1579"/>
    </row>
    <row r="1580" spans="1:11">
      <c r="A1580">
        <v>12</v>
      </c>
      <c r="B1580" s="64">
        <v>40249</v>
      </c>
      <c r="C1580" s="2">
        <v>985594.23</v>
      </c>
      <c r="D1580">
        <v>0</v>
      </c>
      <c r="E1580" s="65">
        <v>50.11</v>
      </c>
      <c r="F1580" s="8">
        <v>2.925</v>
      </c>
      <c r="G1580" s="66">
        <v>126.6042857</v>
      </c>
      <c r="H1580" s="8">
        <v>13.975</v>
      </c>
      <c r="J1580" s="26"/>
      <c r="K1580"/>
    </row>
    <row r="1581" spans="1:11">
      <c r="A1581">
        <v>12</v>
      </c>
      <c r="B1581" s="64">
        <v>40256</v>
      </c>
      <c r="C1581" s="2">
        <v>972088.34</v>
      </c>
      <c r="D1581">
        <v>0</v>
      </c>
      <c r="E1581" s="65">
        <v>59.57</v>
      </c>
      <c r="F1581" s="8">
        <v>3.054</v>
      </c>
      <c r="G1581" s="66">
        <v>126.6066452</v>
      </c>
      <c r="H1581" s="8">
        <v>13.975</v>
      </c>
      <c r="J1581" s="26"/>
      <c r="K1581"/>
    </row>
    <row r="1582" spans="1:11">
      <c r="A1582">
        <v>12</v>
      </c>
      <c r="B1582" s="64">
        <v>40263</v>
      </c>
      <c r="C1582" s="2">
        <v>981615.81</v>
      </c>
      <c r="D1582">
        <v>0</v>
      </c>
      <c r="E1582" s="65">
        <v>60.06</v>
      </c>
      <c r="F1582" s="8">
        <v>3.083</v>
      </c>
      <c r="G1582" s="66">
        <v>126.6050645</v>
      </c>
      <c r="H1582" s="8">
        <v>13.975</v>
      </c>
      <c r="J1582" s="26"/>
      <c r="K1582"/>
    </row>
    <row r="1583" spans="1:11">
      <c r="A1583">
        <v>12</v>
      </c>
      <c r="B1583" s="64">
        <v>40270</v>
      </c>
      <c r="C1583" s="2">
        <v>1011822.3</v>
      </c>
      <c r="D1583">
        <v>0</v>
      </c>
      <c r="E1583" s="65">
        <v>59.84</v>
      </c>
      <c r="F1583" s="8">
        <v>3.086</v>
      </c>
      <c r="G1583" s="66">
        <v>126.6034839</v>
      </c>
      <c r="H1583" s="8">
        <v>14.099</v>
      </c>
      <c r="J1583" s="26"/>
      <c r="K1583"/>
    </row>
    <row r="1584" spans="1:11">
      <c r="A1584">
        <v>12</v>
      </c>
      <c r="B1584" s="64">
        <v>40277</v>
      </c>
      <c r="C1584" s="2">
        <v>1041238.87</v>
      </c>
      <c r="D1584">
        <v>0</v>
      </c>
      <c r="E1584" s="65">
        <v>59.25</v>
      </c>
      <c r="F1584" s="8">
        <v>3.09</v>
      </c>
      <c r="G1584" s="66">
        <v>126.6019032</v>
      </c>
      <c r="H1584" s="8">
        <v>14.099</v>
      </c>
      <c r="J1584" s="26"/>
      <c r="K1584"/>
    </row>
    <row r="1585" spans="1:11">
      <c r="A1585">
        <v>12</v>
      </c>
      <c r="B1585" s="64">
        <v>40284</v>
      </c>
      <c r="C1585" s="2">
        <v>957997.52</v>
      </c>
      <c r="D1585">
        <v>0</v>
      </c>
      <c r="E1585" s="65">
        <v>64.95</v>
      </c>
      <c r="F1585" s="8">
        <v>3.109</v>
      </c>
      <c r="G1585" s="66">
        <v>126.5621</v>
      </c>
      <c r="H1585" s="8">
        <v>14.099</v>
      </c>
      <c r="J1585" s="26"/>
      <c r="K1585"/>
    </row>
    <row r="1586" spans="1:11">
      <c r="A1586">
        <v>12</v>
      </c>
      <c r="B1586" s="64">
        <v>40291</v>
      </c>
      <c r="C1586" s="2">
        <v>993833.44</v>
      </c>
      <c r="D1586">
        <v>0</v>
      </c>
      <c r="E1586" s="65">
        <v>64.55</v>
      </c>
      <c r="F1586" s="8">
        <v>3.05</v>
      </c>
      <c r="G1586" s="66">
        <v>126.4713333</v>
      </c>
      <c r="H1586" s="8">
        <v>14.099</v>
      </c>
      <c r="J1586" s="26"/>
      <c r="K1586"/>
    </row>
    <row r="1587" spans="1:11">
      <c r="A1587">
        <v>12</v>
      </c>
      <c r="B1587" s="64">
        <v>40298</v>
      </c>
      <c r="C1587" s="2">
        <v>954220.22</v>
      </c>
      <c r="D1587">
        <v>0</v>
      </c>
      <c r="E1587" s="65">
        <v>67.38</v>
      </c>
      <c r="F1587" s="8">
        <v>3.105</v>
      </c>
      <c r="G1587" s="66">
        <v>126.3805667</v>
      </c>
      <c r="H1587" s="8">
        <v>14.099</v>
      </c>
      <c r="J1587" s="26"/>
      <c r="K1587"/>
    </row>
    <row r="1588" spans="1:11">
      <c r="A1588">
        <v>12</v>
      </c>
      <c r="B1588" s="64">
        <v>40305</v>
      </c>
      <c r="C1588" s="2">
        <v>1043240.27</v>
      </c>
      <c r="D1588">
        <v>0</v>
      </c>
      <c r="E1588" s="65">
        <v>70.15</v>
      </c>
      <c r="F1588" s="8">
        <v>3.127</v>
      </c>
      <c r="G1588" s="66">
        <v>126.2898</v>
      </c>
      <c r="H1588" s="8">
        <v>14.099</v>
      </c>
      <c r="J1588" s="26"/>
      <c r="K1588"/>
    </row>
    <row r="1589" spans="1:11">
      <c r="A1589">
        <v>12</v>
      </c>
      <c r="B1589" s="64">
        <v>40312</v>
      </c>
      <c r="C1589" s="2">
        <v>966054.97</v>
      </c>
      <c r="D1589">
        <v>0</v>
      </c>
      <c r="E1589" s="65">
        <v>68.44</v>
      </c>
      <c r="F1589" s="8">
        <v>3.145</v>
      </c>
      <c r="G1589" s="66">
        <v>126.2085484</v>
      </c>
      <c r="H1589" s="8">
        <v>14.099</v>
      </c>
      <c r="J1589" s="26"/>
      <c r="K1589"/>
    </row>
    <row r="1590" spans="1:11">
      <c r="A1590">
        <v>12</v>
      </c>
      <c r="B1590" s="64">
        <v>40319</v>
      </c>
      <c r="C1590" s="2">
        <v>958374.56</v>
      </c>
      <c r="D1590">
        <v>0</v>
      </c>
      <c r="E1590" s="65">
        <v>76.2</v>
      </c>
      <c r="F1590" s="8">
        <v>3.12</v>
      </c>
      <c r="G1590" s="66">
        <v>126.1843871</v>
      </c>
      <c r="H1590" s="8">
        <v>14.099</v>
      </c>
      <c r="J1590" s="26"/>
      <c r="K1590"/>
    </row>
    <row r="1591" spans="1:11">
      <c r="A1591">
        <v>12</v>
      </c>
      <c r="B1591" s="64">
        <v>40326</v>
      </c>
      <c r="C1591" s="2">
        <v>955451.16</v>
      </c>
      <c r="D1591">
        <v>0</v>
      </c>
      <c r="E1591" s="65">
        <v>67.84</v>
      </c>
      <c r="F1591" s="8">
        <v>3.058</v>
      </c>
      <c r="G1591" s="66">
        <v>126.1602258</v>
      </c>
      <c r="H1591" s="8">
        <v>14.099</v>
      </c>
      <c r="J1591" s="26"/>
      <c r="K1591"/>
    </row>
    <row r="1592" spans="1:11">
      <c r="A1592">
        <v>12</v>
      </c>
      <c r="B1592" s="64">
        <v>40333</v>
      </c>
      <c r="C1592" s="2">
        <v>1049357.36</v>
      </c>
      <c r="D1592">
        <v>0</v>
      </c>
      <c r="E1592" s="65">
        <v>81.39</v>
      </c>
      <c r="F1592" s="8">
        <v>2.941</v>
      </c>
      <c r="G1592" s="66">
        <v>126.1360645</v>
      </c>
      <c r="H1592" s="8">
        <v>14.099</v>
      </c>
      <c r="J1592" s="26"/>
      <c r="K1592"/>
    </row>
    <row r="1593" spans="1:11">
      <c r="A1593">
        <v>12</v>
      </c>
      <c r="B1593" s="64">
        <v>40340</v>
      </c>
      <c r="C1593" s="2">
        <v>1016039.71</v>
      </c>
      <c r="D1593">
        <v>0</v>
      </c>
      <c r="E1593" s="65">
        <v>90.84</v>
      </c>
      <c r="F1593" s="8">
        <v>2.949</v>
      </c>
      <c r="G1593" s="66">
        <v>126.1119032</v>
      </c>
      <c r="H1593" s="8">
        <v>14.099</v>
      </c>
      <c r="J1593" s="26"/>
      <c r="K1593"/>
    </row>
    <row r="1594" spans="1:11">
      <c r="A1594">
        <v>12</v>
      </c>
      <c r="B1594" s="64">
        <v>40347</v>
      </c>
      <c r="C1594" s="2">
        <v>956211.2</v>
      </c>
      <c r="D1594">
        <v>0</v>
      </c>
      <c r="E1594" s="65">
        <v>81.06</v>
      </c>
      <c r="F1594" s="8">
        <v>3.043</v>
      </c>
      <c r="G1594" s="66">
        <v>126.114</v>
      </c>
      <c r="H1594" s="8">
        <v>14.099</v>
      </c>
      <c r="J1594" s="26"/>
      <c r="K1594"/>
    </row>
    <row r="1595" spans="1:11">
      <c r="A1595">
        <v>12</v>
      </c>
      <c r="B1595" s="64">
        <v>40354</v>
      </c>
      <c r="C1595" s="2">
        <v>958007.69</v>
      </c>
      <c r="D1595">
        <v>0</v>
      </c>
      <c r="E1595" s="65">
        <v>87.27</v>
      </c>
      <c r="F1595" s="8">
        <v>3.084</v>
      </c>
      <c r="G1595" s="66">
        <v>126.1266</v>
      </c>
      <c r="H1595" s="8">
        <v>14.099</v>
      </c>
      <c r="J1595" s="26"/>
      <c r="K1595"/>
    </row>
    <row r="1596" spans="1:11">
      <c r="A1596">
        <v>12</v>
      </c>
      <c r="B1596" s="64">
        <v>40361</v>
      </c>
      <c r="C1596" s="2">
        <v>951957.31</v>
      </c>
      <c r="D1596">
        <v>0</v>
      </c>
      <c r="E1596" s="65">
        <v>91.98</v>
      </c>
      <c r="F1596" s="8">
        <v>3.105</v>
      </c>
      <c r="G1596" s="66">
        <v>126.1392</v>
      </c>
      <c r="H1596" s="8">
        <v>14.18</v>
      </c>
      <c r="J1596" s="26"/>
      <c r="K1596"/>
    </row>
    <row r="1597" spans="1:11">
      <c r="A1597">
        <v>12</v>
      </c>
      <c r="B1597" s="64">
        <v>40368</v>
      </c>
      <c r="C1597" s="2">
        <v>943506.28</v>
      </c>
      <c r="D1597">
        <v>0</v>
      </c>
      <c r="E1597" s="65">
        <v>90.37</v>
      </c>
      <c r="F1597" s="8">
        <v>3.1</v>
      </c>
      <c r="G1597" s="66">
        <v>126.1518</v>
      </c>
      <c r="H1597" s="8">
        <v>14.18</v>
      </c>
      <c r="J1597" s="26"/>
      <c r="K1597"/>
    </row>
    <row r="1598" spans="1:11">
      <c r="A1598">
        <v>12</v>
      </c>
      <c r="B1598" s="64">
        <v>40375</v>
      </c>
      <c r="C1598" s="2">
        <v>916402.76</v>
      </c>
      <c r="D1598">
        <v>0</v>
      </c>
      <c r="E1598" s="65">
        <v>97.18</v>
      </c>
      <c r="F1598" s="8">
        <v>3.094</v>
      </c>
      <c r="G1598" s="66">
        <v>126.1498065</v>
      </c>
      <c r="H1598" s="8">
        <v>14.18</v>
      </c>
      <c r="J1598" s="26"/>
      <c r="K1598"/>
    </row>
    <row r="1599" spans="1:11">
      <c r="A1599">
        <v>12</v>
      </c>
      <c r="B1599" s="64">
        <v>40382</v>
      </c>
      <c r="C1599" s="2">
        <v>912403.67</v>
      </c>
      <c r="D1599">
        <v>0</v>
      </c>
      <c r="E1599" s="65">
        <v>99.22</v>
      </c>
      <c r="F1599" s="8">
        <v>3.112</v>
      </c>
      <c r="G1599" s="66">
        <v>126.1283548</v>
      </c>
      <c r="H1599" s="8">
        <v>14.18</v>
      </c>
      <c r="J1599" s="26"/>
      <c r="K1599"/>
    </row>
    <row r="1600" spans="1:11">
      <c r="A1600">
        <v>12</v>
      </c>
      <c r="B1600" s="64">
        <v>40389</v>
      </c>
      <c r="C1600" s="2">
        <v>913548.25</v>
      </c>
      <c r="D1600">
        <v>0</v>
      </c>
      <c r="E1600" s="65">
        <v>96.31</v>
      </c>
      <c r="F1600" s="8">
        <v>3.017</v>
      </c>
      <c r="G1600" s="66">
        <v>126.1069032</v>
      </c>
      <c r="H1600" s="8">
        <v>14.18</v>
      </c>
      <c r="J1600" s="26"/>
      <c r="K1600"/>
    </row>
    <row r="1601" spans="1:11">
      <c r="A1601">
        <v>12</v>
      </c>
      <c r="B1601" s="64">
        <v>40396</v>
      </c>
      <c r="C1601" s="2">
        <v>967576.95</v>
      </c>
      <c r="D1601">
        <v>0</v>
      </c>
      <c r="E1601" s="65">
        <v>92.95</v>
      </c>
      <c r="F1601" s="8">
        <v>3.123</v>
      </c>
      <c r="G1601" s="66">
        <v>126.0854516</v>
      </c>
      <c r="H1601" s="8">
        <v>14.18</v>
      </c>
      <c r="J1601" s="26"/>
      <c r="K1601"/>
    </row>
    <row r="1602" spans="1:11">
      <c r="A1602">
        <v>12</v>
      </c>
      <c r="B1602" s="64">
        <v>40403</v>
      </c>
      <c r="C1602" s="2">
        <v>928264.4</v>
      </c>
      <c r="D1602">
        <v>0</v>
      </c>
      <c r="E1602" s="65">
        <v>87.01</v>
      </c>
      <c r="F1602" s="8">
        <v>3.159</v>
      </c>
      <c r="G1602" s="66">
        <v>126.064</v>
      </c>
      <c r="H1602" s="8">
        <v>14.18</v>
      </c>
      <c r="J1602" s="26"/>
      <c r="K1602"/>
    </row>
    <row r="1603" spans="1:11">
      <c r="A1603">
        <v>12</v>
      </c>
      <c r="B1603" s="64">
        <v>40410</v>
      </c>
      <c r="C1603" s="2">
        <v>948447.34</v>
      </c>
      <c r="D1603">
        <v>0</v>
      </c>
      <c r="E1603" s="65">
        <v>92.81</v>
      </c>
      <c r="F1603" s="8">
        <v>3.041</v>
      </c>
      <c r="G1603" s="66">
        <v>126.0766452</v>
      </c>
      <c r="H1603" s="8">
        <v>14.18</v>
      </c>
      <c r="J1603" s="26"/>
      <c r="K1603"/>
    </row>
    <row r="1604" spans="1:11">
      <c r="A1604">
        <v>12</v>
      </c>
      <c r="B1604" s="64">
        <v>40417</v>
      </c>
      <c r="C1604" s="2">
        <v>1004516.46</v>
      </c>
      <c r="D1604">
        <v>0</v>
      </c>
      <c r="E1604" s="65">
        <v>93.19</v>
      </c>
      <c r="F1604" s="8">
        <v>3.129</v>
      </c>
      <c r="G1604" s="66">
        <v>126.0892903</v>
      </c>
      <c r="H1604" s="8">
        <v>14.18</v>
      </c>
      <c r="J1604" s="26"/>
      <c r="K1604"/>
    </row>
    <row r="1605" spans="1:11">
      <c r="A1605">
        <v>12</v>
      </c>
      <c r="B1605" s="64">
        <v>40424</v>
      </c>
      <c r="C1605" s="2">
        <v>1075758.55</v>
      </c>
      <c r="D1605">
        <v>0</v>
      </c>
      <c r="E1605" s="65">
        <v>83.12</v>
      </c>
      <c r="F1605" s="8">
        <v>3.087</v>
      </c>
      <c r="G1605" s="66">
        <v>126.1019355</v>
      </c>
      <c r="H1605" s="8">
        <v>14.18</v>
      </c>
      <c r="J1605" s="26"/>
      <c r="K1605"/>
    </row>
    <row r="1606" spans="1:11">
      <c r="A1606">
        <v>12</v>
      </c>
      <c r="B1606" s="64">
        <v>40431</v>
      </c>
      <c r="C1606" s="2">
        <v>903119.03</v>
      </c>
      <c r="D1606">
        <v>1</v>
      </c>
      <c r="E1606" s="65">
        <v>83.63</v>
      </c>
      <c r="F1606" s="8">
        <v>3.044</v>
      </c>
      <c r="G1606" s="66">
        <v>126.1145806</v>
      </c>
      <c r="H1606" s="8">
        <v>14.18</v>
      </c>
      <c r="J1606" s="26"/>
      <c r="K1606"/>
    </row>
    <row r="1607" spans="1:11">
      <c r="A1607">
        <v>12</v>
      </c>
      <c r="B1607" s="64">
        <v>40438</v>
      </c>
      <c r="C1607" s="2">
        <v>852882.61</v>
      </c>
      <c r="D1607">
        <v>0</v>
      </c>
      <c r="E1607" s="65">
        <v>82.45</v>
      </c>
      <c r="F1607" s="8">
        <v>3.028</v>
      </c>
      <c r="G1607" s="66">
        <v>126.1454667</v>
      </c>
      <c r="H1607" s="8">
        <v>14.18</v>
      </c>
      <c r="J1607" s="26"/>
      <c r="K1607"/>
    </row>
    <row r="1608" spans="1:11">
      <c r="A1608">
        <v>12</v>
      </c>
      <c r="B1608" s="64">
        <v>40445</v>
      </c>
      <c r="C1608" s="2">
        <v>851919.34</v>
      </c>
      <c r="D1608">
        <v>0</v>
      </c>
      <c r="E1608" s="65">
        <v>81.77</v>
      </c>
      <c r="F1608" s="8">
        <v>2.939</v>
      </c>
      <c r="G1608" s="66">
        <v>126.1900333</v>
      </c>
      <c r="H1608" s="8">
        <v>14.18</v>
      </c>
      <c r="J1608" s="26"/>
      <c r="K1608"/>
    </row>
    <row r="1609" spans="1:11">
      <c r="A1609">
        <v>12</v>
      </c>
      <c r="B1609" s="64">
        <v>40452</v>
      </c>
      <c r="C1609" s="2">
        <v>850936.26</v>
      </c>
      <c r="D1609">
        <v>0</v>
      </c>
      <c r="E1609" s="65">
        <v>85.2</v>
      </c>
      <c r="F1609" s="8">
        <v>3.001</v>
      </c>
      <c r="G1609" s="66">
        <v>126.2346</v>
      </c>
      <c r="H1609" s="8">
        <v>14.313</v>
      </c>
      <c r="J1609" s="26"/>
      <c r="K1609"/>
    </row>
    <row r="1610" spans="1:11">
      <c r="A1610">
        <v>12</v>
      </c>
      <c r="B1610" s="64">
        <v>40459</v>
      </c>
      <c r="C1610" s="2">
        <v>918335.68</v>
      </c>
      <c r="D1610">
        <v>0</v>
      </c>
      <c r="E1610" s="65">
        <v>71.82</v>
      </c>
      <c r="F1610" s="8">
        <v>3.013</v>
      </c>
      <c r="G1610" s="66">
        <v>126.2791667</v>
      </c>
      <c r="H1610" s="8">
        <v>14.313</v>
      </c>
      <c r="J1610" s="26"/>
      <c r="K1610"/>
    </row>
    <row r="1611" spans="1:11">
      <c r="A1611">
        <v>12</v>
      </c>
      <c r="B1611" s="64">
        <v>40466</v>
      </c>
      <c r="C1611" s="2">
        <v>862419.84</v>
      </c>
      <c r="D1611">
        <v>0</v>
      </c>
      <c r="E1611" s="65">
        <v>75</v>
      </c>
      <c r="F1611" s="8">
        <v>2.976</v>
      </c>
      <c r="G1611" s="66">
        <v>126.3266774</v>
      </c>
      <c r="H1611" s="8">
        <v>14.313</v>
      </c>
      <c r="J1611" s="26"/>
      <c r="K1611"/>
    </row>
    <row r="1612" spans="1:11">
      <c r="A1612">
        <v>12</v>
      </c>
      <c r="B1612" s="64">
        <v>40473</v>
      </c>
      <c r="C1612" s="2">
        <v>857883.46</v>
      </c>
      <c r="D1612">
        <v>0</v>
      </c>
      <c r="E1612" s="65">
        <v>68.85</v>
      </c>
      <c r="F1612" s="8">
        <v>3.014</v>
      </c>
      <c r="G1612" s="66">
        <v>126.3815484</v>
      </c>
      <c r="H1612" s="8">
        <v>14.313</v>
      </c>
      <c r="J1612" s="26"/>
      <c r="K1612"/>
    </row>
    <row r="1613" spans="1:11">
      <c r="A1613">
        <v>12</v>
      </c>
      <c r="B1613" s="64">
        <v>40480</v>
      </c>
      <c r="C1613" s="2">
        <v>955294.7</v>
      </c>
      <c r="D1613">
        <v>0</v>
      </c>
      <c r="E1613" s="65">
        <v>61.09</v>
      </c>
      <c r="F1613" s="8">
        <v>3.016</v>
      </c>
      <c r="G1613" s="66">
        <v>126.4364194</v>
      </c>
      <c r="H1613" s="8">
        <v>14.313</v>
      </c>
      <c r="J1613" s="26"/>
      <c r="K1613"/>
    </row>
    <row r="1614" spans="1:11">
      <c r="A1614">
        <v>12</v>
      </c>
      <c r="B1614" s="64">
        <v>40487</v>
      </c>
      <c r="C1614" s="2">
        <v>929690.71</v>
      </c>
      <c r="D1614">
        <v>0</v>
      </c>
      <c r="E1614" s="65">
        <v>65.49</v>
      </c>
      <c r="F1614" s="8">
        <v>3.129</v>
      </c>
      <c r="G1614" s="66">
        <v>126.4912903</v>
      </c>
      <c r="H1614" s="8">
        <v>14.313</v>
      </c>
      <c r="J1614" s="26"/>
      <c r="K1614"/>
    </row>
    <row r="1615" spans="1:11">
      <c r="A1615">
        <v>12</v>
      </c>
      <c r="B1615" s="64">
        <v>40494</v>
      </c>
      <c r="C1615" s="2">
        <v>942475.24</v>
      </c>
      <c r="D1615">
        <v>0</v>
      </c>
      <c r="E1615" s="65">
        <v>57.79</v>
      </c>
      <c r="F1615" s="8">
        <v>3.13</v>
      </c>
      <c r="G1615" s="66">
        <v>126.5461613</v>
      </c>
      <c r="H1615" s="8">
        <v>14.313</v>
      </c>
      <c r="J1615" s="26"/>
      <c r="K1615"/>
    </row>
    <row r="1616" spans="1:11">
      <c r="A1616">
        <v>12</v>
      </c>
      <c r="B1616" s="64">
        <v>40501</v>
      </c>
      <c r="C1616" s="2">
        <v>894493.7</v>
      </c>
      <c r="D1616">
        <v>0</v>
      </c>
      <c r="E1616" s="65">
        <v>58.18</v>
      </c>
      <c r="F1616" s="8">
        <v>3.161</v>
      </c>
      <c r="G1616" s="66">
        <v>126.6072</v>
      </c>
      <c r="H1616" s="8">
        <v>14.313</v>
      </c>
      <c r="J1616" s="26"/>
      <c r="K1616"/>
    </row>
    <row r="1617" spans="1:11">
      <c r="A1617">
        <v>12</v>
      </c>
      <c r="B1617" s="64">
        <v>40508</v>
      </c>
      <c r="C1617" s="2">
        <v>1601377.41</v>
      </c>
      <c r="D1617">
        <v>1</v>
      </c>
      <c r="E1617" s="65">
        <v>47.66</v>
      </c>
      <c r="F1617" s="8">
        <v>3.162</v>
      </c>
      <c r="G1617" s="66">
        <v>126.6692667</v>
      </c>
      <c r="H1617" s="8">
        <v>14.313</v>
      </c>
      <c r="J1617" s="26"/>
      <c r="K1617"/>
    </row>
    <row r="1618" spans="1:11">
      <c r="A1618">
        <v>12</v>
      </c>
      <c r="B1618" s="64">
        <v>40515</v>
      </c>
      <c r="C1618" s="2">
        <v>1069533.17</v>
      </c>
      <c r="D1618">
        <v>0</v>
      </c>
      <c r="E1618" s="65">
        <v>43.33</v>
      </c>
      <c r="F1618" s="8">
        <v>3.041</v>
      </c>
      <c r="G1618" s="66">
        <v>126.7313333</v>
      </c>
      <c r="H1618" s="8">
        <v>14.313</v>
      </c>
      <c r="J1618" s="26"/>
      <c r="K1618"/>
    </row>
    <row r="1619" spans="1:11">
      <c r="A1619">
        <v>12</v>
      </c>
      <c r="B1619" s="64">
        <v>40522</v>
      </c>
      <c r="C1619" s="2">
        <v>1121934.15</v>
      </c>
      <c r="D1619">
        <v>0</v>
      </c>
      <c r="E1619" s="65">
        <v>50.01</v>
      </c>
      <c r="F1619" s="8">
        <v>3.203</v>
      </c>
      <c r="G1619" s="66">
        <v>126.7934</v>
      </c>
      <c r="H1619" s="8">
        <v>14.313</v>
      </c>
      <c r="J1619" s="26"/>
      <c r="K1619"/>
    </row>
    <row r="1620" spans="1:11">
      <c r="A1620">
        <v>12</v>
      </c>
      <c r="B1620" s="64">
        <v>40529</v>
      </c>
      <c r="C1620" s="2">
        <v>1295605.35</v>
      </c>
      <c r="D1620">
        <v>0</v>
      </c>
      <c r="E1620" s="65">
        <v>52.77</v>
      </c>
      <c r="F1620" s="8">
        <v>3.236</v>
      </c>
      <c r="G1620" s="66">
        <v>126.8794839</v>
      </c>
      <c r="H1620" s="8">
        <v>14.313</v>
      </c>
      <c r="J1620" s="26"/>
      <c r="K1620"/>
    </row>
    <row r="1621" spans="1:11">
      <c r="A1621">
        <v>12</v>
      </c>
      <c r="B1621" s="64">
        <v>40536</v>
      </c>
      <c r="C1621" s="2">
        <v>1768249.89</v>
      </c>
      <c r="D1621">
        <v>0</v>
      </c>
      <c r="E1621" s="65">
        <v>52.02</v>
      </c>
      <c r="F1621" s="8">
        <v>3.236</v>
      </c>
      <c r="G1621" s="66">
        <v>126.9835806</v>
      </c>
      <c r="H1621" s="8">
        <v>14.313</v>
      </c>
      <c r="J1621" s="26"/>
      <c r="K1621"/>
    </row>
    <row r="1622" spans="1:11">
      <c r="A1622">
        <v>12</v>
      </c>
      <c r="B1622" s="64">
        <v>40543</v>
      </c>
      <c r="C1622" s="2">
        <v>891736.91</v>
      </c>
      <c r="D1622">
        <v>1</v>
      </c>
      <c r="E1622" s="65">
        <v>45.64</v>
      </c>
      <c r="F1622" s="8">
        <v>3.148</v>
      </c>
      <c r="G1622" s="66">
        <v>127.0876774</v>
      </c>
      <c r="H1622" s="8">
        <v>14.313</v>
      </c>
      <c r="J1622" s="26"/>
      <c r="K1622"/>
    </row>
    <row r="1623" spans="1:11">
      <c r="A1623">
        <v>12</v>
      </c>
      <c r="B1623" s="64">
        <v>40550</v>
      </c>
      <c r="C1623" s="2">
        <v>910110.24</v>
      </c>
      <c r="D1623">
        <v>0</v>
      </c>
      <c r="E1623" s="65">
        <v>37.64</v>
      </c>
      <c r="F1623" s="8">
        <v>3.287</v>
      </c>
      <c r="G1623" s="66">
        <v>127.1917742</v>
      </c>
      <c r="H1623" s="8">
        <v>14.021</v>
      </c>
      <c r="J1623" s="26"/>
      <c r="K1623"/>
    </row>
    <row r="1624" spans="1:11">
      <c r="A1624">
        <v>12</v>
      </c>
      <c r="B1624" s="64">
        <v>40557</v>
      </c>
      <c r="C1624" s="2">
        <v>812011.8</v>
      </c>
      <c r="D1624">
        <v>0</v>
      </c>
      <c r="E1624" s="65">
        <v>43.15</v>
      </c>
      <c r="F1624" s="8">
        <v>3.312</v>
      </c>
      <c r="G1624" s="66">
        <v>127.3009355</v>
      </c>
      <c r="H1624" s="8">
        <v>14.021</v>
      </c>
      <c r="J1624" s="26"/>
      <c r="K1624"/>
    </row>
    <row r="1625" spans="1:11">
      <c r="A1625">
        <v>12</v>
      </c>
      <c r="B1625" s="64">
        <v>40564</v>
      </c>
      <c r="C1625" s="2">
        <v>802105.5</v>
      </c>
      <c r="D1625">
        <v>0</v>
      </c>
      <c r="E1625" s="65">
        <v>53.53</v>
      </c>
      <c r="F1625" s="8">
        <v>3.223</v>
      </c>
      <c r="G1625" s="66">
        <v>127.4404839</v>
      </c>
      <c r="H1625" s="8">
        <v>14.021</v>
      </c>
      <c r="J1625" s="26"/>
      <c r="K1625"/>
    </row>
    <row r="1626" spans="1:11">
      <c r="A1626">
        <v>12</v>
      </c>
      <c r="B1626" s="64">
        <v>40571</v>
      </c>
      <c r="C1626" s="2">
        <v>873119.06</v>
      </c>
      <c r="D1626">
        <v>0</v>
      </c>
      <c r="E1626" s="65">
        <v>50.74</v>
      </c>
      <c r="F1626" s="8">
        <v>3.342</v>
      </c>
      <c r="G1626" s="66">
        <v>127.5800323</v>
      </c>
      <c r="H1626" s="8">
        <v>14.021</v>
      </c>
      <c r="J1626" s="26"/>
      <c r="K1626"/>
    </row>
    <row r="1627" spans="1:11">
      <c r="A1627">
        <v>12</v>
      </c>
      <c r="B1627" s="64">
        <v>40578</v>
      </c>
      <c r="C1627" s="2">
        <v>1046068.17</v>
      </c>
      <c r="D1627">
        <v>0</v>
      </c>
      <c r="E1627" s="65">
        <v>45.14</v>
      </c>
      <c r="F1627" s="8">
        <v>3.348</v>
      </c>
      <c r="G1627" s="66">
        <v>127.7195806</v>
      </c>
      <c r="H1627" s="8">
        <v>14.021</v>
      </c>
      <c r="J1627" s="26"/>
      <c r="K1627"/>
    </row>
    <row r="1628" spans="1:11">
      <c r="A1628">
        <v>12</v>
      </c>
      <c r="B1628" s="64">
        <v>40585</v>
      </c>
      <c r="C1628" s="2">
        <v>1086421.57</v>
      </c>
      <c r="D1628">
        <v>1</v>
      </c>
      <c r="E1628" s="65">
        <v>51.3</v>
      </c>
      <c r="F1628" s="8">
        <v>3.381</v>
      </c>
      <c r="G1628" s="66">
        <v>127.859129</v>
      </c>
      <c r="H1628" s="8">
        <v>14.021</v>
      </c>
      <c r="J1628" s="26"/>
      <c r="K1628"/>
    </row>
    <row r="1629" spans="1:11">
      <c r="A1629">
        <v>12</v>
      </c>
      <c r="B1629" s="64">
        <v>40592</v>
      </c>
      <c r="C1629" s="2">
        <v>1128485.1</v>
      </c>
      <c r="D1629">
        <v>0</v>
      </c>
      <c r="E1629" s="65">
        <v>53.35</v>
      </c>
      <c r="F1629" s="8">
        <v>3.43</v>
      </c>
      <c r="G1629" s="66">
        <v>127.99525</v>
      </c>
      <c r="H1629" s="8">
        <v>14.021</v>
      </c>
      <c r="J1629" s="26"/>
      <c r="K1629"/>
    </row>
    <row r="1630" spans="1:11">
      <c r="A1630">
        <v>12</v>
      </c>
      <c r="B1630" s="64">
        <v>40599</v>
      </c>
      <c r="C1630" s="2">
        <v>1046203.72</v>
      </c>
      <c r="D1630">
        <v>0</v>
      </c>
      <c r="E1630" s="65">
        <v>48.45</v>
      </c>
      <c r="F1630" s="8">
        <v>3.53</v>
      </c>
      <c r="G1630" s="66">
        <v>128.13</v>
      </c>
      <c r="H1630" s="8">
        <v>14.021</v>
      </c>
      <c r="J1630" s="26"/>
      <c r="K1630"/>
    </row>
    <row r="1631" spans="1:11">
      <c r="A1631">
        <v>12</v>
      </c>
      <c r="B1631" s="64">
        <v>40606</v>
      </c>
      <c r="C1631" s="2">
        <v>1085248.21</v>
      </c>
      <c r="D1631">
        <v>0</v>
      </c>
      <c r="E1631" s="65">
        <v>51.72</v>
      </c>
      <c r="F1631" s="8">
        <v>3.674</v>
      </c>
      <c r="G1631" s="66">
        <v>128.26475</v>
      </c>
      <c r="H1631" s="8">
        <v>14.021</v>
      </c>
      <c r="J1631" s="26"/>
      <c r="K1631"/>
    </row>
    <row r="1632" spans="1:11">
      <c r="A1632">
        <v>12</v>
      </c>
      <c r="B1632" s="64">
        <v>40613</v>
      </c>
      <c r="C1632" s="2">
        <v>997672.62</v>
      </c>
      <c r="D1632">
        <v>0</v>
      </c>
      <c r="E1632" s="65">
        <v>57.75</v>
      </c>
      <c r="F1632" s="8">
        <v>3.818</v>
      </c>
      <c r="G1632" s="66">
        <v>128.3995</v>
      </c>
      <c r="H1632" s="8">
        <v>14.021</v>
      </c>
      <c r="J1632" s="26"/>
      <c r="K1632"/>
    </row>
    <row r="1633" spans="1:11">
      <c r="A1633">
        <v>12</v>
      </c>
      <c r="B1633" s="64">
        <v>40620</v>
      </c>
      <c r="C1633" s="2">
        <v>1009502.01</v>
      </c>
      <c r="D1633">
        <v>0</v>
      </c>
      <c r="E1633" s="65">
        <v>64.21</v>
      </c>
      <c r="F1633" s="8">
        <v>3.692</v>
      </c>
      <c r="G1633" s="66">
        <v>128.5121935</v>
      </c>
      <c r="H1633" s="8">
        <v>14.021</v>
      </c>
      <c r="J1633" s="26"/>
      <c r="K1633"/>
    </row>
    <row r="1634" spans="1:11">
      <c r="A1634">
        <v>12</v>
      </c>
      <c r="B1634" s="64">
        <v>40627</v>
      </c>
      <c r="C1634" s="2">
        <v>954107.32</v>
      </c>
      <c r="D1634">
        <v>0</v>
      </c>
      <c r="E1634" s="65">
        <v>54.4</v>
      </c>
      <c r="F1634" s="8">
        <v>3.909</v>
      </c>
      <c r="G1634" s="66">
        <v>128.6160645</v>
      </c>
      <c r="H1634" s="8">
        <v>14.021</v>
      </c>
      <c r="J1634" s="26"/>
      <c r="K1634"/>
    </row>
    <row r="1635" spans="1:11">
      <c r="A1635">
        <v>12</v>
      </c>
      <c r="B1635" s="64">
        <v>40634</v>
      </c>
      <c r="C1635" s="2">
        <v>1005463.49</v>
      </c>
      <c r="D1635">
        <v>0</v>
      </c>
      <c r="E1635" s="65">
        <v>63.63</v>
      </c>
      <c r="F1635" s="8">
        <v>3.772</v>
      </c>
      <c r="G1635" s="66">
        <v>128.7199355</v>
      </c>
      <c r="H1635" s="8">
        <v>13.736</v>
      </c>
      <c r="J1635" s="26"/>
      <c r="K1635"/>
    </row>
    <row r="1636" spans="1:11">
      <c r="A1636">
        <v>12</v>
      </c>
      <c r="B1636" s="64">
        <v>40641</v>
      </c>
      <c r="C1636" s="2">
        <v>998362.05</v>
      </c>
      <c r="D1636">
        <v>0</v>
      </c>
      <c r="E1636" s="65">
        <v>64.47</v>
      </c>
      <c r="F1636" s="8">
        <v>4.003</v>
      </c>
      <c r="G1636" s="66">
        <v>128.8238065</v>
      </c>
      <c r="H1636" s="8">
        <v>13.736</v>
      </c>
      <c r="J1636" s="26"/>
      <c r="K1636"/>
    </row>
    <row r="1637" spans="1:11">
      <c r="A1637">
        <v>12</v>
      </c>
      <c r="B1637" s="64">
        <v>40648</v>
      </c>
      <c r="C1637" s="2">
        <v>990951.77</v>
      </c>
      <c r="D1637">
        <v>0</v>
      </c>
      <c r="E1637" s="65">
        <v>57.63</v>
      </c>
      <c r="F1637" s="8">
        <v>3.868</v>
      </c>
      <c r="G1637" s="66">
        <v>128.9107333</v>
      </c>
      <c r="H1637" s="8">
        <v>13.736</v>
      </c>
      <c r="J1637" s="26"/>
      <c r="K1637"/>
    </row>
    <row r="1638" spans="1:11">
      <c r="A1638">
        <v>12</v>
      </c>
      <c r="B1638" s="64">
        <v>40655</v>
      </c>
      <c r="C1638" s="2">
        <v>1016019.47</v>
      </c>
      <c r="D1638">
        <v>0</v>
      </c>
      <c r="E1638" s="65">
        <v>72.12</v>
      </c>
      <c r="F1638" s="8">
        <v>4.134</v>
      </c>
      <c r="G1638" s="66">
        <v>128.9553</v>
      </c>
      <c r="H1638" s="8">
        <v>13.736</v>
      </c>
      <c r="J1638" s="26"/>
      <c r="K1638"/>
    </row>
    <row r="1639" spans="1:11">
      <c r="A1639">
        <v>12</v>
      </c>
      <c r="B1639" s="64">
        <v>40662</v>
      </c>
      <c r="C1639" s="2">
        <v>994966.1</v>
      </c>
      <c r="D1639">
        <v>0</v>
      </c>
      <c r="E1639" s="65">
        <v>68.27</v>
      </c>
      <c r="F1639" s="8">
        <v>4.151</v>
      </c>
      <c r="G1639" s="66">
        <v>128.9998667</v>
      </c>
      <c r="H1639" s="8">
        <v>13.736</v>
      </c>
      <c r="J1639" s="26"/>
      <c r="K1639"/>
    </row>
    <row r="1640" spans="1:11">
      <c r="A1640">
        <v>12</v>
      </c>
      <c r="B1640" s="64">
        <v>40669</v>
      </c>
      <c r="C1640" s="2">
        <v>1021154.48</v>
      </c>
      <c r="D1640">
        <v>0</v>
      </c>
      <c r="E1640" s="65">
        <v>68.4</v>
      </c>
      <c r="F1640" s="8">
        <v>4.193</v>
      </c>
      <c r="G1640" s="66">
        <v>129.0444333</v>
      </c>
      <c r="H1640" s="8">
        <v>13.736</v>
      </c>
      <c r="J1640" s="26"/>
      <c r="K1640"/>
    </row>
    <row r="1641" spans="1:11">
      <c r="A1641">
        <v>12</v>
      </c>
      <c r="B1641" s="64">
        <v>40676</v>
      </c>
      <c r="C1641" s="2">
        <v>977033.5</v>
      </c>
      <c r="D1641">
        <v>0</v>
      </c>
      <c r="E1641" s="65">
        <v>70.93</v>
      </c>
      <c r="F1641" s="8">
        <v>4.202</v>
      </c>
      <c r="G1641" s="66">
        <v>129.089</v>
      </c>
      <c r="H1641" s="8">
        <v>13.736</v>
      </c>
      <c r="J1641" s="26"/>
      <c r="K1641"/>
    </row>
    <row r="1642" spans="1:11">
      <c r="A1642">
        <v>12</v>
      </c>
      <c r="B1642" s="64">
        <v>40683</v>
      </c>
      <c r="C1642" s="2">
        <v>924134.99</v>
      </c>
      <c r="D1642">
        <v>0</v>
      </c>
      <c r="E1642" s="65">
        <v>66.59</v>
      </c>
      <c r="F1642" s="8">
        <v>4.169</v>
      </c>
      <c r="G1642" s="66">
        <v>129.0756774</v>
      </c>
      <c r="H1642" s="8">
        <v>13.736</v>
      </c>
      <c r="J1642" s="26"/>
      <c r="K1642"/>
    </row>
    <row r="1643" spans="1:11">
      <c r="A1643">
        <v>12</v>
      </c>
      <c r="B1643" s="64">
        <v>40690</v>
      </c>
      <c r="C1643" s="2">
        <v>964332.51</v>
      </c>
      <c r="D1643">
        <v>0</v>
      </c>
      <c r="E1643" s="65">
        <v>76.67</v>
      </c>
      <c r="F1643" s="8">
        <v>4.087</v>
      </c>
      <c r="G1643" s="66">
        <v>129.0623548</v>
      </c>
      <c r="H1643" s="8">
        <v>13.736</v>
      </c>
      <c r="J1643" s="26"/>
      <c r="K1643"/>
    </row>
    <row r="1644" spans="1:11">
      <c r="A1644">
        <v>12</v>
      </c>
      <c r="B1644" s="64">
        <v>40697</v>
      </c>
      <c r="C1644" s="2">
        <v>970328.68</v>
      </c>
      <c r="D1644">
        <v>0</v>
      </c>
      <c r="E1644" s="65">
        <v>71.81</v>
      </c>
      <c r="F1644" s="8">
        <v>4.031</v>
      </c>
      <c r="G1644" s="66">
        <v>129.0490323</v>
      </c>
      <c r="H1644" s="8">
        <v>13.736</v>
      </c>
      <c r="J1644" s="26"/>
      <c r="K1644"/>
    </row>
    <row r="1645" spans="1:11">
      <c r="A1645">
        <v>12</v>
      </c>
      <c r="B1645" s="64">
        <v>40704</v>
      </c>
      <c r="C1645" s="2">
        <v>996937.95</v>
      </c>
      <c r="D1645">
        <v>0</v>
      </c>
      <c r="E1645" s="65">
        <v>78.72</v>
      </c>
      <c r="F1645" s="8">
        <v>3.981</v>
      </c>
      <c r="G1645" s="66">
        <v>129.0357097</v>
      </c>
      <c r="H1645" s="8">
        <v>13.736</v>
      </c>
      <c r="J1645" s="26"/>
      <c r="K1645"/>
    </row>
    <row r="1646" spans="1:11">
      <c r="A1646">
        <v>12</v>
      </c>
      <c r="B1646" s="64">
        <v>40711</v>
      </c>
      <c r="C1646" s="2">
        <v>986504.93</v>
      </c>
      <c r="D1646">
        <v>0</v>
      </c>
      <c r="E1646" s="65">
        <v>86.84</v>
      </c>
      <c r="F1646" s="8">
        <v>3.935</v>
      </c>
      <c r="G1646" s="66">
        <v>129.0432</v>
      </c>
      <c r="H1646" s="8">
        <v>13.736</v>
      </c>
      <c r="J1646" s="26"/>
      <c r="K1646"/>
    </row>
    <row r="1647" spans="1:11">
      <c r="A1647">
        <v>12</v>
      </c>
      <c r="B1647" s="64">
        <v>40718</v>
      </c>
      <c r="C1647" s="2">
        <v>997282.75</v>
      </c>
      <c r="D1647">
        <v>0</v>
      </c>
      <c r="E1647" s="65">
        <v>88.95</v>
      </c>
      <c r="F1647" s="8">
        <v>3.898</v>
      </c>
      <c r="G1647" s="66">
        <v>129.0663</v>
      </c>
      <c r="H1647" s="8">
        <v>13.736</v>
      </c>
      <c r="J1647" s="26"/>
      <c r="K1647"/>
    </row>
    <row r="1648" spans="1:11">
      <c r="A1648">
        <v>12</v>
      </c>
      <c r="B1648" s="64">
        <v>40725</v>
      </c>
      <c r="C1648" s="2">
        <v>961993.34</v>
      </c>
      <c r="D1648">
        <v>0</v>
      </c>
      <c r="E1648" s="65">
        <v>89.85</v>
      </c>
      <c r="F1648" s="8">
        <v>3.842</v>
      </c>
      <c r="G1648" s="66">
        <v>129.0894</v>
      </c>
      <c r="H1648" s="8">
        <v>13.503</v>
      </c>
      <c r="J1648" s="26"/>
      <c r="K1648"/>
    </row>
    <row r="1649" spans="1:11">
      <c r="A1649">
        <v>12</v>
      </c>
      <c r="B1649" s="64">
        <v>40732</v>
      </c>
      <c r="C1649" s="2">
        <v>943717.38</v>
      </c>
      <c r="D1649">
        <v>0</v>
      </c>
      <c r="E1649" s="65">
        <v>89.9</v>
      </c>
      <c r="F1649" s="8">
        <v>3.705</v>
      </c>
      <c r="G1649" s="66">
        <v>129.1125</v>
      </c>
      <c r="H1649" s="8">
        <v>13.503</v>
      </c>
      <c r="J1649" s="26"/>
      <c r="K1649"/>
    </row>
    <row r="1650" spans="1:11">
      <c r="A1650">
        <v>12</v>
      </c>
      <c r="B1650" s="64">
        <v>40739</v>
      </c>
      <c r="C1650" s="2">
        <v>936001.98</v>
      </c>
      <c r="D1650">
        <v>0</v>
      </c>
      <c r="E1650" s="65">
        <v>88.1</v>
      </c>
      <c r="F1650" s="8">
        <v>3.692</v>
      </c>
      <c r="G1650" s="66">
        <v>129.1338387</v>
      </c>
      <c r="H1650" s="8">
        <v>13.503</v>
      </c>
      <c r="J1650" s="26"/>
      <c r="K1650"/>
    </row>
    <row r="1651" spans="1:11">
      <c r="A1651">
        <v>12</v>
      </c>
      <c r="B1651" s="64">
        <v>40746</v>
      </c>
      <c r="C1651" s="2">
        <v>922231.92</v>
      </c>
      <c r="D1651">
        <v>0</v>
      </c>
      <c r="E1651" s="65">
        <v>91.17</v>
      </c>
      <c r="F1651" s="8">
        <v>3.794</v>
      </c>
      <c r="G1651" s="66">
        <v>129.1507742</v>
      </c>
      <c r="H1651" s="8">
        <v>13.503</v>
      </c>
      <c r="J1651" s="26"/>
      <c r="K1651"/>
    </row>
    <row r="1652" spans="1:11">
      <c r="A1652">
        <v>12</v>
      </c>
      <c r="B1652" s="64">
        <v>40753</v>
      </c>
      <c r="C1652" s="2">
        <v>890547.07</v>
      </c>
      <c r="D1652">
        <v>0</v>
      </c>
      <c r="E1652" s="65">
        <v>93.29</v>
      </c>
      <c r="F1652" s="8">
        <v>3.805</v>
      </c>
      <c r="G1652" s="66">
        <v>129.1677097</v>
      </c>
      <c r="H1652" s="8">
        <v>13.503</v>
      </c>
      <c r="J1652" s="26"/>
      <c r="K1652"/>
    </row>
    <row r="1653" spans="1:11">
      <c r="A1653">
        <v>12</v>
      </c>
      <c r="B1653" s="64">
        <v>40760</v>
      </c>
      <c r="C1653" s="2">
        <v>988712.52</v>
      </c>
      <c r="D1653">
        <v>0</v>
      </c>
      <c r="E1653" s="65">
        <v>90.61</v>
      </c>
      <c r="F1653" s="8">
        <v>3.803</v>
      </c>
      <c r="G1653" s="66">
        <v>129.1846452</v>
      </c>
      <c r="H1653" s="8">
        <v>13.503</v>
      </c>
      <c r="J1653" s="26"/>
      <c r="K1653"/>
    </row>
    <row r="1654" spans="1:11">
      <c r="A1654">
        <v>12</v>
      </c>
      <c r="B1654" s="64">
        <v>40767</v>
      </c>
      <c r="C1654" s="2">
        <v>955913.68</v>
      </c>
      <c r="D1654">
        <v>0</v>
      </c>
      <c r="E1654" s="65">
        <v>91.04</v>
      </c>
      <c r="F1654" s="8">
        <v>3.701</v>
      </c>
      <c r="G1654" s="66">
        <v>129.2015806</v>
      </c>
      <c r="H1654" s="8">
        <v>13.503</v>
      </c>
      <c r="J1654" s="26"/>
      <c r="K1654"/>
    </row>
    <row r="1655" spans="1:11">
      <c r="A1655">
        <v>12</v>
      </c>
      <c r="B1655" s="64">
        <v>40774</v>
      </c>
      <c r="C1655" s="2">
        <v>966817.24</v>
      </c>
      <c r="D1655">
        <v>0</v>
      </c>
      <c r="E1655" s="65">
        <v>91.74</v>
      </c>
      <c r="F1655" s="8">
        <v>3.743</v>
      </c>
      <c r="G1655" s="66">
        <v>129.2405806</v>
      </c>
      <c r="H1655" s="8">
        <v>13.503</v>
      </c>
      <c r="J1655" s="26"/>
      <c r="K1655"/>
    </row>
    <row r="1656" spans="1:11">
      <c r="A1656">
        <v>12</v>
      </c>
      <c r="B1656" s="64">
        <v>40781</v>
      </c>
      <c r="C1656" s="2">
        <v>1017593.47</v>
      </c>
      <c r="D1656">
        <v>0</v>
      </c>
      <c r="E1656" s="65">
        <v>94.61</v>
      </c>
      <c r="F1656" s="8">
        <v>3.74</v>
      </c>
      <c r="G1656" s="66">
        <v>129.2832581</v>
      </c>
      <c r="H1656" s="8">
        <v>13.503</v>
      </c>
      <c r="J1656" s="26"/>
      <c r="K1656"/>
    </row>
    <row r="1657" spans="1:11">
      <c r="A1657">
        <v>12</v>
      </c>
      <c r="B1657" s="64">
        <v>40788</v>
      </c>
      <c r="C1657" s="2">
        <v>1052051.45</v>
      </c>
      <c r="D1657">
        <v>0</v>
      </c>
      <c r="E1657" s="65">
        <v>93.66</v>
      </c>
      <c r="F1657" s="8">
        <v>3.798</v>
      </c>
      <c r="G1657" s="66">
        <v>129.3259355</v>
      </c>
      <c r="H1657" s="8">
        <v>13.503</v>
      </c>
      <c r="J1657" s="26"/>
      <c r="K1657"/>
    </row>
    <row r="1658" spans="1:11">
      <c r="A1658">
        <v>12</v>
      </c>
      <c r="B1658" s="64">
        <v>40795</v>
      </c>
      <c r="C1658" s="2">
        <v>922850.57</v>
      </c>
      <c r="D1658">
        <v>1</v>
      </c>
      <c r="E1658" s="65">
        <v>88</v>
      </c>
      <c r="F1658" s="8">
        <v>3.913</v>
      </c>
      <c r="G1658" s="66">
        <v>129.3686129</v>
      </c>
      <c r="H1658" s="8">
        <v>13.503</v>
      </c>
      <c r="J1658" s="26"/>
      <c r="K1658"/>
    </row>
    <row r="1659" spans="1:11">
      <c r="A1659">
        <v>12</v>
      </c>
      <c r="B1659" s="64">
        <v>40802</v>
      </c>
      <c r="C1659" s="2">
        <v>889290.23</v>
      </c>
      <c r="D1659">
        <v>0</v>
      </c>
      <c r="E1659" s="65">
        <v>76.36</v>
      </c>
      <c r="F1659" s="8">
        <v>3.918</v>
      </c>
      <c r="G1659" s="66">
        <v>129.4306</v>
      </c>
      <c r="H1659" s="8">
        <v>13.503</v>
      </c>
      <c r="J1659" s="26"/>
      <c r="K1659"/>
    </row>
    <row r="1660" spans="1:11">
      <c r="A1660">
        <v>12</v>
      </c>
      <c r="B1660" s="64">
        <v>40809</v>
      </c>
      <c r="C1660" s="2">
        <v>871692.74</v>
      </c>
      <c r="D1660">
        <v>0</v>
      </c>
      <c r="E1660" s="65">
        <v>82.95</v>
      </c>
      <c r="F1660" s="8">
        <v>3.789</v>
      </c>
      <c r="G1660" s="66">
        <v>129.5183333</v>
      </c>
      <c r="H1660" s="8">
        <v>13.503</v>
      </c>
      <c r="J1660" s="26"/>
      <c r="K1660"/>
    </row>
    <row r="1661" spans="1:11">
      <c r="A1661">
        <v>12</v>
      </c>
      <c r="B1661" s="64">
        <v>40816</v>
      </c>
      <c r="C1661" s="2">
        <v>866401.45</v>
      </c>
      <c r="D1661">
        <v>0</v>
      </c>
      <c r="E1661" s="65">
        <v>83.26</v>
      </c>
      <c r="F1661" s="8">
        <v>3.877</v>
      </c>
      <c r="G1661" s="66">
        <v>129.6060667</v>
      </c>
      <c r="H1661" s="8">
        <v>13.503</v>
      </c>
      <c r="J1661" s="26"/>
      <c r="K1661"/>
    </row>
    <row r="1662" spans="1:11">
      <c r="A1662">
        <v>12</v>
      </c>
      <c r="B1662" s="64">
        <v>40823</v>
      </c>
      <c r="C1662" s="2">
        <v>951244.66</v>
      </c>
      <c r="D1662">
        <v>0</v>
      </c>
      <c r="E1662" s="65">
        <v>70.44</v>
      </c>
      <c r="F1662" s="8">
        <v>3.827</v>
      </c>
      <c r="G1662" s="66">
        <v>129.6938</v>
      </c>
      <c r="H1662" s="8">
        <v>12.89</v>
      </c>
      <c r="J1662" s="26"/>
      <c r="K1662"/>
    </row>
    <row r="1663" spans="1:11">
      <c r="A1663">
        <v>12</v>
      </c>
      <c r="B1663" s="64">
        <v>40830</v>
      </c>
      <c r="C1663" s="2">
        <v>927600.01</v>
      </c>
      <c r="D1663">
        <v>0</v>
      </c>
      <c r="E1663" s="65">
        <v>67.31</v>
      </c>
      <c r="F1663" s="8">
        <v>3.805</v>
      </c>
      <c r="G1663" s="66">
        <v>129.7706452</v>
      </c>
      <c r="H1663" s="8">
        <v>12.89</v>
      </c>
      <c r="J1663" s="26"/>
      <c r="K1663"/>
    </row>
    <row r="1664" spans="1:11">
      <c r="A1664">
        <v>12</v>
      </c>
      <c r="B1664" s="64">
        <v>40837</v>
      </c>
      <c r="C1664" s="2">
        <v>938604.58</v>
      </c>
      <c r="D1664">
        <v>0</v>
      </c>
      <c r="E1664" s="65">
        <v>73.05</v>
      </c>
      <c r="F1664" s="8">
        <v>3.842</v>
      </c>
      <c r="G1664" s="66">
        <v>129.7821613</v>
      </c>
      <c r="H1664" s="8">
        <v>12.89</v>
      </c>
      <c r="J1664" s="26"/>
      <c r="K1664"/>
    </row>
    <row r="1665" spans="1:11">
      <c r="A1665">
        <v>12</v>
      </c>
      <c r="B1665" s="64">
        <v>40844</v>
      </c>
      <c r="C1665" s="2">
        <v>990926.38</v>
      </c>
      <c r="D1665">
        <v>0</v>
      </c>
      <c r="E1665" s="65">
        <v>67.41</v>
      </c>
      <c r="F1665" s="8">
        <v>3.727</v>
      </c>
      <c r="G1665" s="66">
        <v>129.7936774</v>
      </c>
      <c r="H1665" s="8">
        <v>12.89</v>
      </c>
      <c r="J1665" s="26"/>
      <c r="K1665"/>
    </row>
    <row r="1666" spans="1:11">
      <c r="A1666">
        <v>12</v>
      </c>
      <c r="B1666" s="64">
        <v>40851</v>
      </c>
      <c r="C1666" s="2">
        <v>1051944.79</v>
      </c>
      <c r="D1666">
        <v>0</v>
      </c>
      <c r="E1666" s="65">
        <v>59.77</v>
      </c>
      <c r="F1666" s="8">
        <v>3.828</v>
      </c>
      <c r="G1666" s="66">
        <v>129.8051935</v>
      </c>
      <c r="H1666" s="8">
        <v>12.89</v>
      </c>
      <c r="J1666" s="26"/>
      <c r="K1666"/>
    </row>
    <row r="1667" spans="1:11">
      <c r="A1667">
        <v>12</v>
      </c>
      <c r="B1667" s="64">
        <v>40858</v>
      </c>
      <c r="C1667" s="2">
        <v>1095091.53</v>
      </c>
      <c r="D1667">
        <v>0</v>
      </c>
      <c r="E1667" s="65">
        <v>48.76</v>
      </c>
      <c r="F1667" s="8">
        <v>3.824</v>
      </c>
      <c r="G1667" s="66">
        <v>129.8167097</v>
      </c>
      <c r="H1667" s="8">
        <v>12.89</v>
      </c>
      <c r="J1667" s="26"/>
      <c r="K1667"/>
    </row>
    <row r="1668" spans="1:11">
      <c r="A1668">
        <v>12</v>
      </c>
      <c r="B1668" s="64">
        <v>40865</v>
      </c>
      <c r="C1668" s="2">
        <v>970641.34</v>
      </c>
      <c r="D1668">
        <v>0</v>
      </c>
      <c r="E1668" s="65">
        <v>54.2</v>
      </c>
      <c r="F1668" s="8">
        <v>3.813</v>
      </c>
      <c r="G1668" s="66">
        <v>129.8268333</v>
      </c>
      <c r="H1668" s="8">
        <v>12.89</v>
      </c>
      <c r="J1668" s="26"/>
      <c r="K1668"/>
    </row>
    <row r="1669" spans="1:11">
      <c r="A1669">
        <v>12</v>
      </c>
      <c r="B1669" s="64">
        <v>40872</v>
      </c>
      <c r="C1669" s="2">
        <v>1591920.42</v>
      </c>
      <c r="D1669">
        <v>1</v>
      </c>
      <c r="E1669" s="65">
        <v>53.25</v>
      </c>
      <c r="F1669" s="8">
        <v>3.622</v>
      </c>
      <c r="G1669" s="66">
        <v>129.8364</v>
      </c>
      <c r="H1669" s="8">
        <v>12.89</v>
      </c>
      <c r="J1669" s="26"/>
      <c r="K1669"/>
    </row>
    <row r="1670" spans="1:11">
      <c r="A1670">
        <v>12</v>
      </c>
      <c r="B1670" s="64">
        <v>40879</v>
      </c>
      <c r="C1670" s="2">
        <v>1071383.1</v>
      </c>
      <c r="D1670">
        <v>0</v>
      </c>
      <c r="E1670" s="65">
        <v>52.5</v>
      </c>
      <c r="F1670" s="8">
        <v>3.701</v>
      </c>
      <c r="G1670" s="66">
        <v>129.8459667</v>
      </c>
      <c r="H1670" s="8">
        <v>12.89</v>
      </c>
      <c r="J1670" s="26"/>
      <c r="K1670"/>
    </row>
    <row r="1671" spans="1:11">
      <c r="A1671">
        <v>12</v>
      </c>
      <c r="B1671" s="64">
        <v>40886</v>
      </c>
      <c r="C1671" s="2">
        <v>1189646.45</v>
      </c>
      <c r="D1671">
        <v>0</v>
      </c>
      <c r="E1671" s="65">
        <v>42.17</v>
      </c>
      <c r="F1671" s="8">
        <v>3.644</v>
      </c>
      <c r="G1671" s="66">
        <v>129.8555333</v>
      </c>
      <c r="H1671" s="8">
        <v>12.89</v>
      </c>
      <c r="J1671" s="26"/>
      <c r="K1671"/>
    </row>
    <row r="1672" spans="1:11">
      <c r="A1672">
        <v>12</v>
      </c>
      <c r="B1672" s="64">
        <v>40893</v>
      </c>
      <c r="C1672" s="2">
        <v>1293404.18</v>
      </c>
      <c r="D1672">
        <v>0</v>
      </c>
      <c r="E1672" s="65">
        <v>43.29</v>
      </c>
      <c r="F1672" s="8">
        <v>3.6</v>
      </c>
      <c r="G1672" s="66">
        <v>129.8980645</v>
      </c>
      <c r="H1672" s="8">
        <v>12.89</v>
      </c>
      <c r="J1672" s="26"/>
      <c r="K1672"/>
    </row>
    <row r="1673" spans="1:11">
      <c r="A1673">
        <v>12</v>
      </c>
      <c r="B1673" s="64">
        <v>40900</v>
      </c>
      <c r="C1673" s="2">
        <v>1617612.03</v>
      </c>
      <c r="D1673">
        <v>0</v>
      </c>
      <c r="E1673" s="65">
        <v>45.4</v>
      </c>
      <c r="F1673" s="8">
        <v>3.541</v>
      </c>
      <c r="G1673" s="66">
        <v>129.9845484</v>
      </c>
      <c r="H1673" s="8">
        <v>12.89</v>
      </c>
      <c r="J1673" s="26"/>
      <c r="K1673"/>
    </row>
    <row r="1674" spans="1:11">
      <c r="A1674">
        <v>12</v>
      </c>
      <c r="B1674" s="64">
        <v>40907</v>
      </c>
      <c r="C1674" s="2">
        <v>1111638.07</v>
      </c>
      <c r="D1674">
        <v>1</v>
      </c>
      <c r="E1674" s="65">
        <v>44.64</v>
      </c>
      <c r="F1674" s="8">
        <v>3.428</v>
      </c>
      <c r="G1674" s="66">
        <v>130.0710323</v>
      </c>
      <c r="H1674" s="8">
        <v>12.89</v>
      </c>
      <c r="J1674" s="26"/>
      <c r="K1674"/>
    </row>
    <row r="1675" spans="1:11">
      <c r="A1675">
        <v>12</v>
      </c>
      <c r="B1675" s="64">
        <v>40914</v>
      </c>
      <c r="C1675" s="2">
        <v>945823.65</v>
      </c>
      <c r="D1675">
        <v>0</v>
      </c>
      <c r="E1675" s="65">
        <v>50.43</v>
      </c>
      <c r="F1675" s="8">
        <v>3.599</v>
      </c>
      <c r="G1675" s="66">
        <v>130.1575161</v>
      </c>
      <c r="H1675" s="8">
        <v>12.187</v>
      </c>
      <c r="J1675" s="26"/>
      <c r="K1675"/>
    </row>
    <row r="1676" spans="1:11">
      <c r="A1676">
        <v>12</v>
      </c>
      <c r="B1676" s="64">
        <v>40921</v>
      </c>
      <c r="C1676" s="2">
        <v>865467.86</v>
      </c>
      <c r="D1676">
        <v>0</v>
      </c>
      <c r="E1676" s="65">
        <v>48.07</v>
      </c>
      <c r="F1676" s="8">
        <v>3.657</v>
      </c>
      <c r="G1676" s="66">
        <v>130.244</v>
      </c>
      <c r="H1676" s="8">
        <v>12.187</v>
      </c>
      <c r="J1676" s="26"/>
      <c r="K1676"/>
    </row>
    <row r="1677" spans="1:11">
      <c r="A1677">
        <v>12</v>
      </c>
      <c r="B1677" s="64">
        <v>40928</v>
      </c>
      <c r="C1677" s="2">
        <v>855922.64</v>
      </c>
      <c r="D1677">
        <v>0</v>
      </c>
      <c r="E1677" s="65">
        <v>46.2</v>
      </c>
      <c r="F1677" s="8">
        <v>3.66</v>
      </c>
      <c r="G1677" s="66">
        <v>130.2792258</v>
      </c>
      <c r="H1677" s="8">
        <v>12.187</v>
      </c>
      <c r="J1677" s="26"/>
      <c r="K1677"/>
    </row>
    <row r="1678" spans="1:11">
      <c r="A1678">
        <v>12</v>
      </c>
      <c r="B1678" s="64">
        <v>40935</v>
      </c>
      <c r="C1678" s="2">
        <v>888203.69</v>
      </c>
      <c r="D1678">
        <v>0</v>
      </c>
      <c r="E1678" s="65">
        <v>50.43</v>
      </c>
      <c r="F1678" s="8">
        <v>3.675</v>
      </c>
      <c r="G1678" s="66">
        <v>130.3144516</v>
      </c>
      <c r="H1678" s="8">
        <v>12.187</v>
      </c>
      <c r="J1678" s="26"/>
      <c r="K1678"/>
    </row>
    <row r="1679" spans="1:11">
      <c r="A1679">
        <v>12</v>
      </c>
      <c r="B1679" s="64">
        <v>40942</v>
      </c>
      <c r="C1679" s="2">
        <v>1058767.95</v>
      </c>
      <c r="D1679">
        <v>0</v>
      </c>
      <c r="E1679" s="65">
        <v>50.58</v>
      </c>
      <c r="F1679" s="8">
        <v>3.702</v>
      </c>
      <c r="G1679" s="66">
        <v>130.3496774</v>
      </c>
      <c r="H1679" s="8">
        <v>12.187</v>
      </c>
      <c r="J1679" s="26"/>
      <c r="K1679"/>
    </row>
    <row r="1680" spans="1:11">
      <c r="A1680">
        <v>12</v>
      </c>
      <c r="B1680" s="64">
        <v>40949</v>
      </c>
      <c r="C1680" s="2">
        <v>1199330.85</v>
      </c>
      <c r="D1680">
        <v>1</v>
      </c>
      <c r="E1680" s="65">
        <v>52.27</v>
      </c>
      <c r="F1680" s="8">
        <v>3.722</v>
      </c>
      <c r="G1680" s="66">
        <v>130.3849032</v>
      </c>
      <c r="H1680" s="8">
        <v>12.187</v>
      </c>
      <c r="J1680" s="26"/>
      <c r="K1680"/>
    </row>
    <row r="1681" spans="1:11">
      <c r="A1681">
        <v>12</v>
      </c>
      <c r="B1681" s="64">
        <v>40956</v>
      </c>
      <c r="C1681" s="2">
        <v>1240048.85</v>
      </c>
      <c r="D1681">
        <v>0</v>
      </c>
      <c r="E1681" s="65">
        <v>51.8</v>
      </c>
      <c r="F1681" s="8">
        <v>3.781</v>
      </c>
      <c r="G1681" s="66">
        <v>130.4546207</v>
      </c>
      <c r="H1681" s="8">
        <v>12.187</v>
      </c>
      <c r="J1681" s="26"/>
      <c r="K1681"/>
    </row>
    <row r="1682" spans="1:11">
      <c r="A1682">
        <v>12</v>
      </c>
      <c r="B1682" s="64">
        <v>40963</v>
      </c>
      <c r="C1682" s="2">
        <v>1112034.72</v>
      </c>
      <c r="D1682">
        <v>0</v>
      </c>
      <c r="E1682" s="65">
        <v>53.13</v>
      </c>
      <c r="F1682" s="8">
        <v>3.95</v>
      </c>
      <c r="G1682" s="66">
        <v>130.5502069</v>
      </c>
      <c r="H1682" s="8">
        <v>12.187</v>
      </c>
      <c r="J1682" s="26"/>
      <c r="K1682"/>
    </row>
    <row r="1683" spans="1:11">
      <c r="A1683">
        <v>12</v>
      </c>
      <c r="B1683" s="64">
        <v>40970</v>
      </c>
      <c r="C1683" s="2">
        <v>1147636.96</v>
      </c>
      <c r="D1683">
        <v>0</v>
      </c>
      <c r="E1683" s="65">
        <v>52.27</v>
      </c>
      <c r="F1683" s="8">
        <v>4.178</v>
      </c>
      <c r="G1683" s="66">
        <v>130.6457931</v>
      </c>
      <c r="H1683" s="8">
        <v>12.187</v>
      </c>
      <c r="J1683" s="26"/>
      <c r="K1683"/>
    </row>
    <row r="1684" spans="1:11">
      <c r="A1684">
        <v>12</v>
      </c>
      <c r="B1684" s="64">
        <v>40977</v>
      </c>
      <c r="C1684" s="2">
        <v>1113208.57</v>
      </c>
      <c r="D1684">
        <v>0</v>
      </c>
      <c r="E1684" s="65">
        <v>54.54</v>
      </c>
      <c r="F1684" s="8">
        <v>4.25</v>
      </c>
      <c r="G1684" s="66">
        <v>130.7413793</v>
      </c>
      <c r="H1684" s="8">
        <v>12.187</v>
      </c>
      <c r="J1684" s="26"/>
      <c r="K1684"/>
    </row>
    <row r="1685" spans="1:11">
      <c r="A1685">
        <v>12</v>
      </c>
      <c r="B1685" s="64">
        <v>40984</v>
      </c>
      <c r="C1685" s="2">
        <v>1088498.52</v>
      </c>
      <c r="D1685">
        <v>0</v>
      </c>
      <c r="E1685" s="65">
        <v>64.44</v>
      </c>
      <c r="F1685" s="8">
        <v>4.273</v>
      </c>
      <c r="G1685" s="66">
        <v>130.8261935</v>
      </c>
      <c r="H1685" s="8">
        <v>12.187</v>
      </c>
      <c r="J1685" s="26"/>
      <c r="K1685"/>
    </row>
    <row r="1686" spans="1:11">
      <c r="A1686">
        <v>12</v>
      </c>
      <c r="B1686" s="64">
        <v>40991</v>
      </c>
      <c r="C1686" s="2">
        <v>1045419.87</v>
      </c>
      <c r="D1686">
        <v>0</v>
      </c>
      <c r="E1686" s="65">
        <v>56.26</v>
      </c>
      <c r="F1686" s="8">
        <v>4.038</v>
      </c>
      <c r="G1686" s="66">
        <v>130.8966452</v>
      </c>
      <c r="H1686" s="8">
        <v>12.187</v>
      </c>
      <c r="J1686" s="26"/>
      <c r="K1686"/>
    </row>
    <row r="1687" spans="1:11">
      <c r="A1687">
        <v>12</v>
      </c>
      <c r="B1687" s="64">
        <v>40998</v>
      </c>
      <c r="C1687" s="2">
        <v>1025382.22</v>
      </c>
      <c r="D1687">
        <v>0</v>
      </c>
      <c r="E1687" s="65">
        <v>64.36</v>
      </c>
      <c r="F1687" s="8">
        <v>4.294</v>
      </c>
      <c r="G1687" s="66">
        <v>130.9670968</v>
      </c>
      <c r="H1687" s="8">
        <v>12.187</v>
      </c>
      <c r="J1687" s="26"/>
      <c r="K1687"/>
    </row>
    <row r="1688" spans="1:11">
      <c r="A1688">
        <v>12</v>
      </c>
      <c r="B1688" s="64">
        <v>41005</v>
      </c>
      <c r="C1688" s="2">
        <v>1128765.71</v>
      </c>
      <c r="D1688">
        <v>0</v>
      </c>
      <c r="E1688" s="65">
        <v>64.05</v>
      </c>
      <c r="F1688" s="8">
        <v>4.121</v>
      </c>
      <c r="G1688" s="66">
        <v>131.0375484</v>
      </c>
      <c r="H1688" s="8">
        <v>11.627</v>
      </c>
      <c r="J1688" s="26"/>
      <c r="K1688"/>
    </row>
    <row r="1689" spans="1:11">
      <c r="A1689">
        <v>12</v>
      </c>
      <c r="B1689" s="64">
        <v>41012</v>
      </c>
      <c r="C1689" s="2">
        <v>1083811.19</v>
      </c>
      <c r="D1689">
        <v>0</v>
      </c>
      <c r="E1689" s="65">
        <v>64.28</v>
      </c>
      <c r="F1689" s="8">
        <v>4.254</v>
      </c>
      <c r="G1689" s="66">
        <v>131.108</v>
      </c>
      <c r="H1689" s="8">
        <v>11.627</v>
      </c>
      <c r="J1689" s="26"/>
      <c r="K1689"/>
    </row>
    <row r="1690" spans="1:11">
      <c r="A1690">
        <v>12</v>
      </c>
      <c r="B1690" s="64">
        <v>41019</v>
      </c>
      <c r="C1690" s="2">
        <v>1006486.96</v>
      </c>
      <c r="D1690">
        <v>0</v>
      </c>
      <c r="E1690" s="65">
        <v>66.73</v>
      </c>
      <c r="F1690" s="8">
        <v>4.222</v>
      </c>
      <c r="G1690" s="66">
        <v>131.1173333</v>
      </c>
      <c r="H1690" s="8">
        <v>11.627</v>
      </c>
      <c r="J1690" s="26"/>
      <c r="K1690"/>
    </row>
    <row r="1691" spans="1:11">
      <c r="A1691">
        <v>12</v>
      </c>
      <c r="B1691" s="64">
        <v>41026</v>
      </c>
      <c r="C1691" s="2">
        <v>1004252.38</v>
      </c>
      <c r="D1691">
        <v>0</v>
      </c>
      <c r="E1691" s="65">
        <v>77.99</v>
      </c>
      <c r="F1691" s="8">
        <v>4.193</v>
      </c>
      <c r="G1691" s="66">
        <v>131.1266667</v>
      </c>
      <c r="H1691" s="8">
        <v>11.627</v>
      </c>
      <c r="J1691" s="26"/>
      <c r="K1691"/>
    </row>
    <row r="1692" spans="1:11">
      <c r="A1692">
        <v>12</v>
      </c>
      <c r="B1692" s="64">
        <v>41033</v>
      </c>
      <c r="C1692" s="2">
        <v>1073433.69</v>
      </c>
      <c r="D1692">
        <v>0</v>
      </c>
      <c r="E1692" s="65">
        <v>76.03</v>
      </c>
      <c r="F1692" s="8">
        <v>4.171</v>
      </c>
      <c r="G1692" s="66">
        <v>131.136</v>
      </c>
      <c r="H1692" s="8">
        <v>11.627</v>
      </c>
      <c r="J1692" s="26"/>
      <c r="K1692"/>
    </row>
    <row r="1693" spans="1:11">
      <c r="A1693">
        <v>12</v>
      </c>
      <c r="B1693" s="64">
        <v>41040</v>
      </c>
      <c r="C1693" s="2">
        <v>1041995.22</v>
      </c>
      <c r="D1693">
        <v>0</v>
      </c>
      <c r="E1693" s="65">
        <v>77.27</v>
      </c>
      <c r="F1693" s="8">
        <v>4.186</v>
      </c>
      <c r="G1693" s="66">
        <v>131.1453333</v>
      </c>
      <c r="H1693" s="8">
        <v>11.627</v>
      </c>
      <c r="J1693" s="26"/>
      <c r="K1693"/>
    </row>
    <row r="1694" spans="1:11">
      <c r="A1694">
        <v>12</v>
      </c>
      <c r="B1694" s="64">
        <v>41047</v>
      </c>
      <c r="C1694" s="2">
        <v>1020486.05</v>
      </c>
      <c r="D1694">
        <v>0</v>
      </c>
      <c r="E1694" s="65">
        <v>84.51</v>
      </c>
      <c r="F1694" s="8">
        <v>4.11</v>
      </c>
      <c r="G1694" s="66">
        <v>131.0983226</v>
      </c>
      <c r="H1694" s="8">
        <v>11.627</v>
      </c>
      <c r="J1694" s="26"/>
      <c r="K1694"/>
    </row>
    <row r="1695" spans="1:11">
      <c r="A1695">
        <v>12</v>
      </c>
      <c r="B1695" s="64">
        <v>41054</v>
      </c>
      <c r="C1695" s="2">
        <v>991514.21</v>
      </c>
      <c r="D1695">
        <v>0</v>
      </c>
      <c r="E1695" s="65">
        <v>83.84</v>
      </c>
      <c r="F1695" s="8">
        <v>4.293</v>
      </c>
      <c r="G1695" s="66">
        <v>131.0287742</v>
      </c>
      <c r="H1695" s="8">
        <v>11.627</v>
      </c>
      <c r="J1695" s="26"/>
      <c r="K1695"/>
    </row>
    <row r="1696" spans="1:11">
      <c r="A1696">
        <v>12</v>
      </c>
      <c r="B1696" s="64">
        <v>41061</v>
      </c>
      <c r="C1696" s="2">
        <v>981345.2</v>
      </c>
      <c r="D1696">
        <v>0</v>
      </c>
      <c r="E1696" s="65">
        <v>78.11</v>
      </c>
      <c r="F1696" s="8">
        <v>4.277</v>
      </c>
      <c r="G1696" s="66">
        <v>130.9592258</v>
      </c>
      <c r="H1696" s="8">
        <v>11.627</v>
      </c>
      <c r="J1696" s="26"/>
      <c r="K1696"/>
    </row>
    <row r="1697" spans="1:11">
      <c r="A1697">
        <v>12</v>
      </c>
      <c r="B1697" s="64">
        <v>41068</v>
      </c>
      <c r="C1697" s="2">
        <v>1086231.47</v>
      </c>
      <c r="D1697">
        <v>0</v>
      </c>
      <c r="E1697" s="65">
        <v>84.83</v>
      </c>
      <c r="F1697" s="8">
        <v>4.103</v>
      </c>
      <c r="G1697" s="66">
        <v>130.8896774</v>
      </c>
      <c r="H1697" s="8">
        <v>11.627</v>
      </c>
      <c r="J1697" s="26"/>
      <c r="K1697"/>
    </row>
    <row r="1698" spans="1:11">
      <c r="A1698">
        <v>12</v>
      </c>
      <c r="B1698" s="64">
        <v>41075</v>
      </c>
      <c r="C1698" s="2">
        <v>1019555.51</v>
      </c>
      <c r="D1698">
        <v>0</v>
      </c>
      <c r="E1698" s="65">
        <v>85.94</v>
      </c>
      <c r="F1698" s="8">
        <v>4.144</v>
      </c>
      <c r="G1698" s="66">
        <v>130.8295333</v>
      </c>
      <c r="H1698" s="8">
        <v>11.627</v>
      </c>
      <c r="J1698" s="26"/>
      <c r="K1698"/>
    </row>
    <row r="1699" spans="1:11">
      <c r="A1699">
        <v>12</v>
      </c>
      <c r="B1699" s="64">
        <v>41082</v>
      </c>
      <c r="C1699" s="2">
        <v>981386.25</v>
      </c>
      <c r="D1699">
        <v>0</v>
      </c>
      <c r="E1699" s="65">
        <v>91.61</v>
      </c>
      <c r="F1699" s="8">
        <v>4.014</v>
      </c>
      <c r="G1699" s="66">
        <v>130.7929</v>
      </c>
      <c r="H1699" s="8">
        <v>11.627</v>
      </c>
      <c r="J1699" s="26"/>
      <c r="K1699"/>
    </row>
    <row r="1700" spans="1:11">
      <c r="A1700">
        <v>12</v>
      </c>
      <c r="B1700" s="64">
        <v>41089</v>
      </c>
      <c r="C1700" s="2">
        <v>943124.74</v>
      </c>
      <c r="D1700">
        <v>0</v>
      </c>
      <c r="E1700" s="65">
        <v>90.47</v>
      </c>
      <c r="F1700" s="8">
        <v>3.875</v>
      </c>
      <c r="G1700" s="66">
        <v>130.7562667</v>
      </c>
      <c r="H1700" s="8">
        <v>11.627</v>
      </c>
      <c r="J1700" s="26"/>
      <c r="K1700"/>
    </row>
    <row r="1701" spans="1:11">
      <c r="A1701">
        <v>12</v>
      </c>
      <c r="B1701" s="64">
        <v>41096</v>
      </c>
      <c r="C1701" s="2">
        <v>1014898.78</v>
      </c>
      <c r="D1701">
        <v>0</v>
      </c>
      <c r="E1701" s="65">
        <v>89.13</v>
      </c>
      <c r="F1701" s="8">
        <v>3.765</v>
      </c>
      <c r="G1701" s="66">
        <v>130.7196333</v>
      </c>
      <c r="H1701" s="8">
        <v>10.926</v>
      </c>
      <c r="J1701" s="26"/>
      <c r="K1701"/>
    </row>
    <row r="1702" spans="1:11">
      <c r="A1702">
        <v>12</v>
      </c>
      <c r="B1702" s="64">
        <v>41103</v>
      </c>
      <c r="C1702" s="2">
        <v>960312.75</v>
      </c>
      <c r="D1702">
        <v>0</v>
      </c>
      <c r="E1702" s="65">
        <v>95.61</v>
      </c>
      <c r="F1702" s="8">
        <v>3.723</v>
      </c>
      <c r="G1702" s="66">
        <v>130.683</v>
      </c>
      <c r="H1702" s="8">
        <v>10.926</v>
      </c>
      <c r="J1702" s="26"/>
      <c r="K1702"/>
    </row>
    <row r="1703" spans="1:11">
      <c r="A1703">
        <v>12</v>
      </c>
      <c r="B1703" s="64">
        <v>41110</v>
      </c>
      <c r="C1703" s="2">
        <v>941550.34</v>
      </c>
      <c r="D1703">
        <v>0</v>
      </c>
      <c r="E1703" s="65">
        <v>85.53</v>
      </c>
      <c r="F1703" s="8">
        <v>3.726</v>
      </c>
      <c r="G1703" s="66">
        <v>130.7012903</v>
      </c>
      <c r="H1703" s="8">
        <v>10.926</v>
      </c>
      <c r="J1703" s="26"/>
      <c r="K1703"/>
    </row>
    <row r="1704" spans="1:11">
      <c r="A1704">
        <v>12</v>
      </c>
      <c r="B1704" s="64">
        <v>41117</v>
      </c>
      <c r="C1704" s="2">
        <v>916967.92</v>
      </c>
      <c r="D1704">
        <v>0</v>
      </c>
      <c r="E1704" s="65">
        <v>93.47</v>
      </c>
      <c r="F1704" s="8">
        <v>3.769</v>
      </c>
      <c r="G1704" s="66">
        <v>130.7195806</v>
      </c>
      <c r="H1704" s="8">
        <v>10.926</v>
      </c>
      <c r="J1704" s="26"/>
      <c r="K1704"/>
    </row>
    <row r="1705" spans="1:11">
      <c r="A1705">
        <v>12</v>
      </c>
      <c r="B1705" s="64">
        <v>41124</v>
      </c>
      <c r="C1705" s="2">
        <v>958667.23</v>
      </c>
      <c r="D1705">
        <v>0</v>
      </c>
      <c r="E1705" s="65">
        <v>88.16</v>
      </c>
      <c r="F1705" s="8">
        <v>3.76</v>
      </c>
      <c r="G1705" s="66">
        <v>130.737871</v>
      </c>
      <c r="H1705" s="8">
        <v>10.926</v>
      </c>
      <c r="J1705" s="26"/>
      <c r="K1705"/>
    </row>
    <row r="1706" spans="1:11">
      <c r="A1706">
        <v>12</v>
      </c>
      <c r="B1706" s="64">
        <v>41131</v>
      </c>
      <c r="C1706" s="2">
        <v>984689.9</v>
      </c>
      <c r="D1706">
        <v>0</v>
      </c>
      <c r="E1706" s="65">
        <v>95.91</v>
      </c>
      <c r="F1706" s="8">
        <v>3.811</v>
      </c>
      <c r="G1706" s="66">
        <v>130.7561613</v>
      </c>
      <c r="H1706" s="8">
        <v>10.926</v>
      </c>
      <c r="J1706" s="26"/>
      <c r="K1706"/>
    </row>
    <row r="1707" spans="1:11">
      <c r="A1707">
        <v>12</v>
      </c>
      <c r="B1707" s="64">
        <v>41138</v>
      </c>
      <c r="C1707" s="2">
        <v>1005003.12</v>
      </c>
      <c r="D1707">
        <v>0</v>
      </c>
      <c r="E1707" s="65">
        <v>94.87</v>
      </c>
      <c r="F1707" s="8">
        <v>4.002</v>
      </c>
      <c r="G1707" s="66">
        <v>130.7909677</v>
      </c>
      <c r="H1707" s="8">
        <v>10.926</v>
      </c>
      <c r="J1707" s="26"/>
      <c r="K1707"/>
    </row>
    <row r="1708" spans="1:11">
      <c r="A1708">
        <v>12</v>
      </c>
      <c r="B1708" s="64">
        <v>41145</v>
      </c>
      <c r="C1708" s="2">
        <v>1048101.39</v>
      </c>
      <c r="D1708">
        <v>0</v>
      </c>
      <c r="E1708" s="65">
        <v>85.32</v>
      </c>
      <c r="F1708" s="8">
        <v>4.055</v>
      </c>
      <c r="G1708" s="66">
        <v>130.8381613</v>
      </c>
      <c r="H1708" s="8">
        <v>10.926</v>
      </c>
      <c r="J1708" s="26"/>
      <c r="K1708"/>
    </row>
    <row r="1709" spans="1:11">
      <c r="A1709">
        <v>12</v>
      </c>
      <c r="B1709" s="64">
        <v>41152</v>
      </c>
      <c r="C1709" s="2">
        <v>1061943.49</v>
      </c>
      <c r="D1709">
        <v>0</v>
      </c>
      <c r="E1709" s="65">
        <v>89.78</v>
      </c>
      <c r="F1709" s="8">
        <v>4.093</v>
      </c>
      <c r="G1709" s="66">
        <v>130.8853548</v>
      </c>
      <c r="H1709" s="8">
        <v>10.926</v>
      </c>
      <c r="J1709" s="26"/>
      <c r="K1709"/>
    </row>
    <row r="1710" spans="1:11">
      <c r="A1710">
        <v>12</v>
      </c>
      <c r="B1710" s="64">
        <v>41159</v>
      </c>
      <c r="C1710" s="2">
        <v>955146.04</v>
      </c>
      <c r="D1710">
        <v>1</v>
      </c>
      <c r="E1710" s="65">
        <v>88.52</v>
      </c>
      <c r="F1710" s="8">
        <v>4.124</v>
      </c>
      <c r="G1710" s="66">
        <v>130.9325484</v>
      </c>
      <c r="H1710" s="8">
        <v>10.926</v>
      </c>
      <c r="J1710" s="26"/>
      <c r="K1710"/>
    </row>
    <row r="1711" spans="1:11">
      <c r="A1711">
        <v>12</v>
      </c>
      <c r="B1711" s="64">
        <v>41166</v>
      </c>
      <c r="C1711" s="2">
        <v>885892.37</v>
      </c>
      <c r="D1711">
        <v>0</v>
      </c>
      <c r="E1711" s="65">
        <v>83.64</v>
      </c>
      <c r="F1711" s="8">
        <v>4.133</v>
      </c>
      <c r="G1711" s="66">
        <v>130.9776667</v>
      </c>
      <c r="H1711" s="8">
        <v>10.926</v>
      </c>
      <c r="J1711" s="26"/>
      <c r="K1711"/>
    </row>
    <row r="1712" spans="1:11">
      <c r="A1712">
        <v>12</v>
      </c>
      <c r="B1712" s="64">
        <v>41173</v>
      </c>
      <c r="C1712" s="2">
        <v>922735.37</v>
      </c>
      <c r="D1712">
        <v>0</v>
      </c>
      <c r="E1712" s="65">
        <v>82.97</v>
      </c>
      <c r="F1712" s="8">
        <v>4.125</v>
      </c>
      <c r="G1712" s="66">
        <v>131.0103333</v>
      </c>
      <c r="H1712" s="8">
        <v>10.926</v>
      </c>
      <c r="J1712" s="26"/>
      <c r="K1712"/>
    </row>
    <row r="1713" spans="1:11">
      <c r="A1713">
        <v>12</v>
      </c>
      <c r="B1713" s="64">
        <v>41180</v>
      </c>
      <c r="C1713" s="2">
        <v>880415.67</v>
      </c>
      <c r="D1713">
        <v>0</v>
      </c>
      <c r="E1713" s="65">
        <v>81.22</v>
      </c>
      <c r="F1713" s="8">
        <v>3.966</v>
      </c>
      <c r="G1713" s="66">
        <v>131.043</v>
      </c>
      <c r="H1713" s="8">
        <v>10.926</v>
      </c>
      <c r="J1713" s="26"/>
      <c r="K1713"/>
    </row>
    <row r="1714" spans="1:11">
      <c r="A1714">
        <v>12</v>
      </c>
      <c r="B1714" s="64">
        <v>41187</v>
      </c>
      <c r="C1714" s="2">
        <v>979825.92</v>
      </c>
      <c r="D1714">
        <v>0</v>
      </c>
      <c r="E1714" s="65">
        <v>81.61</v>
      </c>
      <c r="F1714" s="8">
        <v>3.966</v>
      </c>
      <c r="G1714" s="66">
        <v>131.0756667</v>
      </c>
      <c r="H1714" s="8">
        <v>10.199</v>
      </c>
      <c r="J1714" s="26"/>
      <c r="K1714"/>
    </row>
    <row r="1715" spans="1:11">
      <c r="A1715">
        <v>12</v>
      </c>
      <c r="B1715" s="64">
        <v>41194</v>
      </c>
      <c r="C1715" s="2">
        <v>934917.47</v>
      </c>
      <c r="D1715">
        <v>0</v>
      </c>
      <c r="E1715" s="65">
        <v>71.74</v>
      </c>
      <c r="F1715" s="8">
        <v>4.468</v>
      </c>
      <c r="G1715" s="66">
        <v>131.1083333</v>
      </c>
      <c r="H1715" s="8">
        <v>10.199</v>
      </c>
      <c r="J1715" s="26"/>
      <c r="K1715"/>
    </row>
    <row r="1716" spans="1:11">
      <c r="A1716">
        <v>12</v>
      </c>
      <c r="B1716" s="64">
        <v>41201</v>
      </c>
      <c r="C1716" s="2">
        <v>960945.43</v>
      </c>
      <c r="D1716">
        <v>0</v>
      </c>
      <c r="E1716" s="65">
        <v>68.66</v>
      </c>
      <c r="F1716" s="8">
        <v>4.449</v>
      </c>
      <c r="G1716" s="66">
        <v>131.1499677</v>
      </c>
      <c r="H1716" s="8">
        <v>10.199</v>
      </c>
      <c r="J1716" s="26"/>
      <c r="K1716"/>
    </row>
    <row r="1717" spans="1:11">
      <c r="A1717">
        <v>12</v>
      </c>
      <c r="B1717" s="64">
        <v>41208</v>
      </c>
      <c r="C1717" s="2">
        <v>974697.6</v>
      </c>
      <c r="D1717">
        <v>0</v>
      </c>
      <c r="E1717" s="65">
        <v>65.95</v>
      </c>
      <c r="F1717" s="8">
        <v>4.301</v>
      </c>
      <c r="G1717" s="66">
        <v>131.1930968</v>
      </c>
      <c r="H1717" s="8">
        <v>10.199</v>
      </c>
      <c r="J1717" s="26"/>
      <c r="K1717"/>
    </row>
    <row r="1718" spans="1:11">
      <c r="A1718">
        <v>13</v>
      </c>
      <c r="B1718" s="64">
        <v>40214</v>
      </c>
      <c r="C1718" s="2">
        <v>1967220.53</v>
      </c>
      <c r="D1718">
        <v>0</v>
      </c>
      <c r="E1718" s="65">
        <v>31.53</v>
      </c>
      <c r="F1718" s="8">
        <v>2.666</v>
      </c>
      <c r="G1718" s="66">
        <v>126.4420645</v>
      </c>
      <c r="H1718" s="8">
        <v>8.316</v>
      </c>
      <c r="J1718" s="26"/>
      <c r="K1718"/>
    </row>
    <row r="1719" spans="1:11">
      <c r="A1719">
        <v>13</v>
      </c>
      <c r="B1719" s="64">
        <v>40221</v>
      </c>
      <c r="C1719" s="2">
        <v>2030933.46</v>
      </c>
      <c r="D1719">
        <v>1</v>
      </c>
      <c r="E1719" s="65">
        <v>33.16</v>
      </c>
      <c r="F1719" s="8">
        <v>2.671</v>
      </c>
      <c r="G1719" s="66">
        <v>126.4962581</v>
      </c>
      <c r="H1719" s="8">
        <v>8.316</v>
      </c>
      <c r="J1719" s="26"/>
      <c r="K1719"/>
    </row>
    <row r="1720" spans="1:11">
      <c r="A1720">
        <v>13</v>
      </c>
      <c r="B1720" s="64">
        <v>40228</v>
      </c>
      <c r="C1720" s="2">
        <v>1970274.64</v>
      </c>
      <c r="D1720">
        <v>0</v>
      </c>
      <c r="E1720" s="65">
        <v>35.7</v>
      </c>
      <c r="F1720" s="8">
        <v>2.654</v>
      </c>
      <c r="G1720" s="66">
        <v>126.5262857</v>
      </c>
      <c r="H1720" s="8">
        <v>8.316</v>
      </c>
      <c r="J1720" s="26"/>
      <c r="K1720"/>
    </row>
    <row r="1721" spans="1:11">
      <c r="A1721">
        <v>13</v>
      </c>
      <c r="B1721" s="64">
        <v>40235</v>
      </c>
      <c r="C1721" s="2">
        <v>1817850.32</v>
      </c>
      <c r="D1721">
        <v>0</v>
      </c>
      <c r="E1721" s="65">
        <v>29.98</v>
      </c>
      <c r="F1721" s="8">
        <v>2.667</v>
      </c>
      <c r="G1721" s="66">
        <v>126.5522857</v>
      </c>
      <c r="H1721" s="8">
        <v>8.316</v>
      </c>
      <c r="J1721" s="26"/>
      <c r="K1721"/>
    </row>
    <row r="1722" spans="1:11">
      <c r="A1722">
        <v>13</v>
      </c>
      <c r="B1722" s="64">
        <v>40242</v>
      </c>
      <c r="C1722" s="2">
        <v>1939980.43</v>
      </c>
      <c r="D1722">
        <v>0</v>
      </c>
      <c r="E1722" s="65">
        <v>40.65</v>
      </c>
      <c r="F1722" s="8">
        <v>2.681</v>
      </c>
      <c r="G1722" s="66">
        <v>126.5782857</v>
      </c>
      <c r="H1722" s="8">
        <v>8.316</v>
      </c>
      <c r="J1722" s="26"/>
      <c r="K1722"/>
    </row>
    <row r="1723" spans="1:11">
      <c r="A1723">
        <v>13</v>
      </c>
      <c r="B1723" s="64">
        <v>40249</v>
      </c>
      <c r="C1723" s="2">
        <v>1840686.94</v>
      </c>
      <c r="D1723">
        <v>0</v>
      </c>
      <c r="E1723" s="65">
        <v>37.62</v>
      </c>
      <c r="F1723" s="8">
        <v>2.733</v>
      </c>
      <c r="G1723" s="66">
        <v>126.6042857</v>
      </c>
      <c r="H1723" s="8">
        <v>8.316</v>
      </c>
      <c r="J1723" s="26"/>
      <c r="K1723"/>
    </row>
    <row r="1724" spans="1:11">
      <c r="A1724">
        <v>13</v>
      </c>
      <c r="B1724" s="64">
        <v>40256</v>
      </c>
      <c r="C1724" s="2">
        <v>1879794.89</v>
      </c>
      <c r="D1724">
        <v>0</v>
      </c>
      <c r="E1724" s="65">
        <v>42.49</v>
      </c>
      <c r="F1724" s="8">
        <v>2.782</v>
      </c>
      <c r="G1724" s="66">
        <v>126.6066452</v>
      </c>
      <c r="H1724" s="8">
        <v>8.316</v>
      </c>
      <c r="J1724" s="26"/>
      <c r="K1724"/>
    </row>
    <row r="1725" spans="1:11">
      <c r="A1725">
        <v>13</v>
      </c>
      <c r="B1725" s="64">
        <v>40263</v>
      </c>
      <c r="C1725" s="2">
        <v>1882095.98</v>
      </c>
      <c r="D1725">
        <v>0</v>
      </c>
      <c r="E1725" s="65">
        <v>41.48</v>
      </c>
      <c r="F1725" s="8">
        <v>2.819</v>
      </c>
      <c r="G1725" s="66">
        <v>126.6050645</v>
      </c>
      <c r="H1725" s="8">
        <v>8.316</v>
      </c>
      <c r="J1725" s="26"/>
      <c r="K1725"/>
    </row>
    <row r="1726" spans="1:11">
      <c r="A1726">
        <v>13</v>
      </c>
      <c r="B1726" s="64">
        <v>40270</v>
      </c>
      <c r="C1726" s="2">
        <v>2142482.14</v>
      </c>
      <c r="D1726">
        <v>0</v>
      </c>
      <c r="E1726" s="65">
        <v>42.15</v>
      </c>
      <c r="F1726" s="8">
        <v>2.842</v>
      </c>
      <c r="G1726" s="66">
        <v>126.6034839</v>
      </c>
      <c r="H1726" s="8">
        <v>8.107</v>
      </c>
      <c r="J1726" s="26"/>
      <c r="K1726"/>
    </row>
    <row r="1727" spans="1:11">
      <c r="A1727">
        <v>13</v>
      </c>
      <c r="B1727" s="64">
        <v>40277</v>
      </c>
      <c r="C1727" s="2">
        <v>1898321.33</v>
      </c>
      <c r="D1727">
        <v>0</v>
      </c>
      <c r="E1727" s="65">
        <v>38.97</v>
      </c>
      <c r="F1727" s="8">
        <v>2.877</v>
      </c>
      <c r="G1727" s="66">
        <v>126.6019032</v>
      </c>
      <c r="H1727" s="8">
        <v>8.107</v>
      </c>
      <c r="J1727" s="26"/>
      <c r="K1727"/>
    </row>
    <row r="1728" spans="1:11">
      <c r="A1728">
        <v>13</v>
      </c>
      <c r="B1728" s="64">
        <v>40284</v>
      </c>
      <c r="C1728" s="2">
        <v>1819660.44</v>
      </c>
      <c r="D1728">
        <v>0</v>
      </c>
      <c r="E1728" s="65">
        <v>50.39</v>
      </c>
      <c r="F1728" s="8">
        <v>2.915</v>
      </c>
      <c r="G1728" s="66">
        <v>126.5621</v>
      </c>
      <c r="H1728" s="8">
        <v>8.107</v>
      </c>
      <c r="J1728" s="26"/>
      <c r="K1728"/>
    </row>
    <row r="1729" spans="1:11">
      <c r="A1729">
        <v>13</v>
      </c>
      <c r="B1729" s="64">
        <v>40291</v>
      </c>
      <c r="C1729" s="2">
        <v>1909330.77</v>
      </c>
      <c r="D1729">
        <v>0</v>
      </c>
      <c r="E1729" s="65">
        <v>55.66</v>
      </c>
      <c r="F1729" s="8">
        <v>2.936</v>
      </c>
      <c r="G1729" s="66">
        <v>126.4713333</v>
      </c>
      <c r="H1729" s="8">
        <v>8.107</v>
      </c>
      <c r="J1729" s="26"/>
      <c r="K1729"/>
    </row>
    <row r="1730" spans="1:11">
      <c r="A1730">
        <v>13</v>
      </c>
      <c r="B1730" s="64">
        <v>40298</v>
      </c>
      <c r="C1730" s="2">
        <v>1785823.37</v>
      </c>
      <c r="D1730">
        <v>0</v>
      </c>
      <c r="E1730" s="65">
        <v>48.33</v>
      </c>
      <c r="F1730" s="8">
        <v>2.941</v>
      </c>
      <c r="G1730" s="66">
        <v>126.3805667</v>
      </c>
      <c r="H1730" s="8">
        <v>8.107</v>
      </c>
      <c r="J1730" s="26"/>
      <c r="K1730"/>
    </row>
    <row r="1731" spans="1:11">
      <c r="A1731">
        <v>13</v>
      </c>
      <c r="B1731" s="64">
        <v>40305</v>
      </c>
      <c r="C1731" s="2">
        <v>2005478.46</v>
      </c>
      <c r="D1731">
        <v>0</v>
      </c>
      <c r="E1731" s="65">
        <v>44.42</v>
      </c>
      <c r="F1731" s="8">
        <v>2.948</v>
      </c>
      <c r="G1731" s="66">
        <v>126.2898</v>
      </c>
      <c r="H1731" s="8">
        <v>8.107</v>
      </c>
      <c r="J1731" s="26"/>
      <c r="K1731"/>
    </row>
    <row r="1732" spans="1:11">
      <c r="A1732">
        <v>13</v>
      </c>
      <c r="B1732" s="64">
        <v>40312</v>
      </c>
      <c r="C1732" s="2">
        <v>1890273.44</v>
      </c>
      <c r="D1732">
        <v>0</v>
      </c>
      <c r="E1732" s="65">
        <v>50.15</v>
      </c>
      <c r="F1732" s="8">
        <v>2.962</v>
      </c>
      <c r="G1732" s="66">
        <v>126.2085484</v>
      </c>
      <c r="H1732" s="8">
        <v>8.107</v>
      </c>
      <c r="J1732" s="26"/>
      <c r="K1732"/>
    </row>
    <row r="1733" spans="1:11">
      <c r="A1733">
        <v>13</v>
      </c>
      <c r="B1733" s="64">
        <v>40319</v>
      </c>
      <c r="C1733" s="2">
        <v>1853657.6</v>
      </c>
      <c r="D1733">
        <v>0</v>
      </c>
      <c r="E1733" s="65">
        <v>57.71</v>
      </c>
      <c r="F1733" s="8">
        <v>2.95</v>
      </c>
      <c r="G1733" s="66">
        <v>126.1843871</v>
      </c>
      <c r="H1733" s="8">
        <v>8.107</v>
      </c>
      <c r="J1733" s="26"/>
      <c r="K1733"/>
    </row>
    <row r="1734" spans="1:11">
      <c r="A1734">
        <v>13</v>
      </c>
      <c r="B1734" s="64">
        <v>40326</v>
      </c>
      <c r="C1734" s="2">
        <v>1877358.86</v>
      </c>
      <c r="D1734">
        <v>0</v>
      </c>
      <c r="E1734" s="65">
        <v>53.11</v>
      </c>
      <c r="F1734" s="8">
        <v>2.908</v>
      </c>
      <c r="G1734" s="66">
        <v>126.1602258</v>
      </c>
      <c r="H1734" s="8">
        <v>8.107</v>
      </c>
      <c r="J1734" s="26"/>
      <c r="K1734"/>
    </row>
    <row r="1735" spans="1:11">
      <c r="A1735">
        <v>13</v>
      </c>
      <c r="B1735" s="64">
        <v>40333</v>
      </c>
      <c r="C1735" s="2">
        <v>2022705.22</v>
      </c>
      <c r="D1735">
        <v>0</v>
      </c>
      <c r="E1735" s="65">
        <v>59.85</v>
      </c>
      <c r="F1735" s="8">
        <v>2.871</v>
      </c>
      <c r="G1735" s="66">
        <v>126.1360645</v>
      </c>
      <c r="H1735" s="8">
        <v>8.107</v>
      </c>
      <c r="J1735" s="26"/>
      <c r="K1735"/>
    </row>
    <row r="1736" spans="1:11">
      <c r="A1736">
        <v>13</v>
      </c>
      <c r="B1736" s="64">
        <v>40340</v>
      </c>
      <c r="C1736" s="2">
        <v>2037880.96</v>
      </c>
      <c r="D1736">
        <v>0</v>
      </c>
      <c r="E1736" s="65">
        <v>65.24</v>
      </c>
      <c r="F1736" s="8">
        <v>2.841</v>
      </c>
      <c r="G1736" s="66">
        <v>126.1119032</v>
      </c>
      <c r="H1736" s="8">
        <v>8.107</v>
      </c>
      <c r="J1736" s="26"/>
      <c r="K1736"/>
    </row>
    <row r="1737" spans="1:11">
      <c r="A1737">
        <v>13</v>
      </c>
      <c r="B1737" s="64">
        <v>40347</v>
      </c>
      <c r="C1737" s="2">
        <v>2003435.31</v>
      </c>
      <c r="D1737">
        <v>0</v>
      </c>
      <c r="E1737" s="65">
        <v>58.41</v>
      </c>
      <c r="F1737" s="8">
        <v>2.819</v>
      </c>
      <c r="G1737" s="66">
        <v>126.114</v>
      </c>
      <c r="H1737" s="8">
        <v>8.107</v>
      </c>
      <c r="J1737" s="26"/>
      <c r="K1737"/>
    </row>
    <row r="1738" spans="1:11">
      <c r="A1738">
        <v>13</v>
      </c>
      <c r="B1738" s="64">
        <v>40354</v>
      </c>
      <c r="C1738" s="2">
        <v>1970340.25</v>
      </c>
      <c r="D1738">
        <v>0</v>
      </c>
      <c r="E1738" s="65">
        <v>71.83</v>
      </c>
      <c r="F1738" s="8">
        <v>2.82</v>
      </c>
      <c r="G1738" s="66">
        <v>126.1266</v>
      </c>
      <c r="H1738" s="8">
        <v>8.107</v>
      </c>
      <c r="J1738" s="26"/>
      <c r="K1738"/>
    </row>
    <row r="1739" spans="1:11">
      <c r="A1739">
        <v>13</v>
      </c>
      <c r="B1739" s="64">
        <v>40361</v>
      </c>
      <c r="C1739" s="2">
        <v>2018314.71</v>
      </c>
      <c r="D1739">
        <v>0</v>
      </c>
      <c r="E1739" s="65">
        <v>78.82</v>
      </c>
      <c r="F1739" s="8">
        <v>2.814</v>
      </c>
      <c r="G1739" s="66">
        <v>126.1392</v>
      </c>
      <c r="H1739" s="8">
        <v>7.951</v>
      </c>
      <c r="J1739" s="26"/>
      <c r="K1739"/>
    </row>
    <row r="1740" spans="1:11">
      <c r="A1740">
        <v>13</v>
      </c>
      <c r="B1740" s="64">
        <v>40368</v>
      </c>
      <c r="C1740" s="2">
        <v>1870843.9</v>
      </c>
      <c r="D1740">
        <v>0</v>
      </c>
      <c r="E1740" s="65">
        <v>71.33</v>
      </c>
      <c r="F1740" s="8">
        <v>2.802</v>
      </c>
      <c r="G1740" s="66">
        <v>126.1518</v>
      </c>
      <c r="H1740" s="8">
        <v>7.951</v>
      </c>
      <c r="J1740" s="26"/>
      <c r="K1740"/>
    </row>
    <row r="1741" spans="1:11">
      <c r="A1741">
        <v>13</v>
      </c>
      <c r="B1741" s="64">
        <v>40375</v>
      </c>
      <c r="C1741" s="2">
        <v>1932231.05</v>
      </c>
      <c r="D1741">
        <v>0</v>
      </c>
      <c r="E1741" s="65">
        <v>77.79</v>
      </c>
      <c r="F1741" s="8">
        <v>2.791</v>
      </c>
      <c r="G1741" s="66">
        <v>126.1498065</v>
      </c>
      <c r="H1741" s="8">
        <v>7.951</v>
      </c>
      <c r="J1741" s="26"/>
      <c r="K1741"/>
    </row>
    <row r="1742" spans="1:11">
      <c r="A1742">
        <v>13</v>
      </c>
      <c r="B1742" s="64">
        <v>40382</v>
      </c>
      <c r="C1742" s="2">
        <v>1907351.2</v>
      </c>
      <c r="D1742">
        <v>0</v>
      </c>
      <c r="E1742" s="65">
        <v>82.27</v>
      </c>
      <c r="F1742" s="8">
        <v>2.797</v>
      </c>
      <c r="G1742" s="66">
        <v>126.1283548</v>
      </c>
      <c r="H1742" s="8">
        <v>7.951</v>
      </c>
      <c r="J1742" s="26"/>
      <c r="K1742"/>
    </row>
    <row r="1743" spans="1:11">
      <c r="A1743">
        <v>13</v>
      </c>
      <c r="B1743" s="64">
        <v>40389</v>
      </c>
      <c r="C1743" s="2">
        <v>1817887.23</v>
      </c>
      <c r="D1743">
        <v>0</v>
      </c>
      <c r="E1743" s="65">
        <v>78.94</v>
      </c>
      <c r="F1743" s="8">
        <v>2.797</v>
      </c>
      <c r="G1743" s="66">
        <v>126.1069032</v>
      </c>
      <c r="H1743" s="8">
        <v>7.951</v>
      </c>
      <c r="J1743" s="26"/>
      <c r="K1743"/>
    </row>
    <row r="1744" spans="1:11">
      <c r="A1744">
        <v>13</v>
      </c>
      <c r="B1744" s="64">
        <v>40396</v>
      </c>
      <c r="C1744" s="2">
        <v>1969121.45</v>
      </c>
      <c r="D1744">
        <v>0</v>
      </c>
      <c r="E1744" s="65">
        <v>81.24</v>
      </c>
      <c r="F1744" s="8">
        <v>2.802</v>
      </c>
      <c r="G1744" s="66">
        <v>126.0854516</v>
      </c>
      <c r="H1744" s="8">
        <v>7.951</v>
      </c>
      <c r="J1744" s="26"/>
      <c r="K1744"/>
    </row>
    <row r="1745" spans="1:11">
      <c r="A1745">
        <v>13</v>
      </c>
      <c r="B1745" s="64">
        <v>40403</v>
      </c>
      <c r="C1745" s="2">
        <v>1877592.55</v>
      </c>
      <c r="D1745">
        <v>0</v>
      </c>
      <c r="E1745" s="65">
        <v>74.93</v>
      </c>
      <c r="F1745" s="8">
        <v>2.837</v>
      </c>
      <c r="G1745" s="66">
        <v>126.064</v>
      </c>
      <c r="H1745" s="8">
        <v>7.951</v>
      </c>
      <c r="J1745" s="26"/>
      <c r="K1745"/>
    </row>
    <row r="1746" spans="1:11">
      <c r="A1746">
        <v>13</v>
      </c>
      <c r="B1746" s="64">
        <v>40410</v>
      </c>
      <c r="C1746" s="2">
        <v>1997397.63</v>
      </c>
      <c r="D1746">
        <v>0</v>
      </c>
      <c r="E1746" s="65">
        <v>76.34</v>
      </c>
      <c r="F1746" s="8">
        <v>2.85</v>
      </c>
      <c r="G1746" s="66">
        <v>126.0766452</v>
      </c>
      <c r="H1746" s="8">
        <v>7.951</v>
      </c>
      <c r="J1746" s="26"/>
      <c r="K1746"/>
    </row>
    <row r="1747" spans="1:11">
      <c r="A1747">
        <v>13</v>
      </c>
      <c r="B1747" s="64">
        <v>40417</v>
      </c>
      <c r="C1747" s="2">
        <v>1908278.27</v>
      </c>
      <c r="D1747">
        <v>0</v>
      </c>
      <c r="E1747" s="65">
        <v>75.31</v>
      </c>
      <c r="F1747" s="8">
        <v>2.854</v>
      </c>
      <c r="G1747" s="66">
        <v>126.0892903</v>
      </c>
      <c r="H1747" s="8">
        <v>7.951</v>
      </c>
      <c r="J1747" s="26"/>
      <c r="K1747"/>
    </row>
    <row r="1748" spans="1:11">
      <c r="A1748">
        <v>13</v>
      </c>
      <c r="B1748" s="64">
        <v>40424</v>
      </c>
      <c r="C1748" s="2">
        <v>1911852.58</v>
      </c>
      <c r="D1748">
        <v>0</v>
      </c>
      <c r="E1748" s="65">
        <v>65.71</v>
      </c>
      <c r="F1748" s="8">
        <v>2.868</v>
      </c>
      <c r="G1748" s="66">
        <v>126.1019355</v>
      </c>
      <c r="H1748" s="8">
        <v>7.951</v>
      </c>
      <c r="J1748" s="26"/>
      <c r="K1748"/>
    </row>
    <row r="1749" spans="1:11">
      <c r="A1749">
        <v>13</v>
      </c>
      <c r="B1749" s="64">
        <v>40431</v>
      </c>
      <c r="C1749" s="2">
        <v>1772143.94</v>
      </c>
      <c r="D1749">
        <v>1</v>
      </c>
      <c r="E1749" s="65">
        <v>65.74</v>
      </c>
      <c r="F1749" s="8">
        <v>2.87</v>
      </c>
      <c r="G1749" s="66">
        <v>126.1145806</v>
      </c>
      <c r="H1749" s="8">
        <v>7.951</v>
      </c>
      <c r="J1749" s="26"/>
      <c r="K1749"/>
    </row>
    <row r="1750" spans="1:11">
      <c r="A1750">
        <v>13</v>
      </c>
      <c r="B1750" s="64">
        <v>40438</v>
      </c>
      <c r="C1750" s="2">
        <v>1790279.74</v>
      </c>
      <c r="D1750">
        <v>0</v>
      </c>
      <c r="E1750" s="65">
        <v>66.84</v>
      </c>
      <c r="F1750" s="8">
        <v>2.875</v>
      </c>
      <c r="G1750" s="66">
        <v>126.1454667</v>
      </c>
      <c r="H1750" s="8">
        <v>7.951</v>
      </c>
      <c r="J1750" s="26"/>
      <c r="K1750"/>
    </row>
    <row r="1751" spans="1:11">
      <c r="A1751">
        <v>13</v>
      </c>
      <c r="B1751" s="64">
        <v>40445</v>
      </c>
      <c r="C1751" s="2">
        <v>1705655.09</v>
      </c>
      <c r="D1751">
        <v>0</v>
      </c>
      <c r="E1751" s="65">
        <v>68.22</v>
      </c>
      <c r="F1751" s="8">
        <v>2.872</v>
      </c>
      <c r="G1751" s="66">
        <v>126.1900333</v>
      </c>
      <c r="H1751" s="8">
        <v>7.951</v>
      </c>
      <c r="J1751" s="26"/>
      <c r="K1751"/>
    </row>
    <row r="1752" spans="1:11">
      <c r="A1752">
        <v>13</v>
      </c>
      <c r="B1752" s="64">
        <v>40452</v>
      </c>
      <c r="C1752" s="2">
        <v>1765584.48</v>
      </c>
      <c r="D1752">
        <v>0</v>
      </c>
      <c r="E1752" s="65">
        <v>68.74</v>
      </c>
      <c r="F1752" s="8">
        <v>2.853</v>
      </c>
      <c r="G1752" s="66">
        <v>126.2346</v>
      </c>
      <c r="H1752" s="8">
        <v>7.795</v>
      </c>
      <c r="J1752" s="26"/>
      <c r="K1752"/>
    </row>
    <row r="1753" spans="1:11">
      <c r="A1753">
        <v>13</v>
      </c>
      <c r="B1753" s="64">
        <v>40459</v>
      </c>
      <c r="C1753" s="2">
        <v>1871924.07</v>
      </c>
      <c r="D1753">
        <v>0</v>
      </c>
      <c r="E1753" s="65">
        <v>63.03</v>
      </c>
      <c r="F1753" s="8">
        <v>2.841</v>
      </c>
      <c r="G1753" s="66">
        <v>126.2791667</v>
      </c>
      <c r="H1753" s="8">
        <v>7.795</v>
      </c>
      <c r="J1753" s="26"/>
      <c r="K1753"/>
    </row>
    <row r="1754" spans="1:11">
      <c r="A1754">
        <v>13</v>
      </c>
      <c r="B1754" s="64">
        <v>40466</v>
      </c>
      <c r="C1754" s="2">
        <v>1851431.06</v>
      </c>
      <c r="D1754">
        <v>0</v>
      </c>
      <c r="E1754" s="65">
        <v>54.12</v>
      </c>
      <c r="F1754" s="8">
        <v>2.845</v>
      </c>
      <c r="G1754" s="66">
        <v>126.3266774</v>
      </c>
      <c r="H1754" s="8">
        <v>7.795</v>
      </c>
      <c r="J1754" s="26"/>
      <c r="K1754"/>
    </row>
    <row r="1755" spans="1:11">
      <c r="A1755">
        <v>13</v>
      </c>
      <c r="B1755" s="64">
        <v>40473</v>
      </c>
      <c r="C1755" s="2">
        <v>1796949.59</v>
      </c>
      <c r="D1755">
        <v>0</v>
      </c>
      <c r="E1755" s="65">
        <v>56.89</v>
      </c>
      <c r="F1755" s="8">
        <v>2.849</v>
      </c>
      <c r="G1755" s="66">
        <v>126.3815484</v>
      </c>
      <c r="H1755" s="8">
        <v>7.795</v>
      </c>
      <c r="J1755" s="26"/>
      <c r="K1755"/>
    </row>
    <row r="1756" spans="1:11">
      <c r="A1756">
        <v>13</v>
      </c>
      <c r="B1756" s="64">
        <v>40480</v>
      </c>
      <c r="C1756" s="2">
        <v>1887895.07</v>
      </c>
      <c r="D1756">
        <v>0</v>
      </c>
      <c r="E1756" s="65">
        <v>45.12</v>
      </c>
      <c r="F1756" s="8">
        <v>2.841</v>
      </c>
      <c r="G1756" s="66">
        <v>126.4364194</v>
      </c>
      <c r="H1756" s="8">
        <v>7.795</v>
      </c>
      <c r="J1756" s="26"/>
      <c r="K1756"/>
    </row>
    <row r="1757" spans="1:11">
      <c r="A1757">
        <v>13</v>
      </c>
      <c r="B1757" s="64">
        <v>40487</v>
      </c>
      <c r="C1757" s="2">
        <v>1854967.66</v>
      </c>
      <c r="D1757">
        <v>0</v>
      </c>
      <c r="E1757" s="65">
        <v>49.96</v>
      </c>
      <c r="F1757" s="8">
        <v>2.831</v>
      </c>
      <c r="G1757" s="66">
        <v>126.4912903</v>
      </c>
      <c r="H1757" s="8">
        <v>7.795</v>
      </c>
      <c r="J1757" s="26"/>
      <c r="K1757"/>
    </row>
    <row r="1758" spans="1:11">
      <c r="A1758">
        <v>13</v>
      </c>
      <c r="B1758" s="64">
        <v>40494</v>
      </c>
      <c r="C1758" s="2">
        <v>1939964.63</v>
      </c>
      <c r="D1758">
        <v>0</v>
      </c>
      <c r="E1758" s="65">
        <v>42.55</v>
      </c>
      <c r="F1758" s="8">
        <v>2.831</v>
      </c>
      <c r="G1758" s="66">
        <v>126.5461613</v>
      </c>
      <c r="H1758" s="8">
        <v>7.795</v>
      </c>
      <c r="J1758" s="26"/>
      <c r="K1758"/>
    </row>
    <row r="1759" spans="1:11">
      <c r="A1759">
        <v>13</v>
      </c>
      <c r="B1759" s="64">
        <v>40501</v>
      </c>
      <c r="C1759" s="2">
        <v>1925393.91</v>
      </c>
      <c r="D1759">
        <v>0</v>
      </c>
      <c r="E1759" s="65">
        <v>42</v>
      </c>
      <c r="F1759" s="8">
        <v>2.842</v>
      </c>
      <c r="G1759" s="66">
        <v>126.6072</v>
      </c>
      <c r="H1759" s="8">
        <v>7.795</v>
      </c>
      <c r="J1759" s="26"/>
      <c r="K1759"/>
    </row>
    <row r="1760" spans="1:11">
      <c r="A1760">
        <v>13</v>
      </c>
      <c r="B1760" s="64">
        <v>40508</v>
      </c>
      <c r="C1760" s="2">
        <v>2766400.05</v>
      </c>
      <c r="D1760">
        <v>1</v>
      </c>
      <c r="E1760" s="65">
        <v>28.22</v>
      </c>
      <c r="F1760" s="8">
        <v>2.83</v>
      </c>
      <c r="G1760" s="66">
        <v>126.6692667</v>
      </c>
      <c r="H1760" s="8">
        <v>7.795</v>
      </c>
      <c r="J1760" s="26"/>
      <c r="K1760"/>
    </row>
    <row r="1761" spans="1:11">
      <c r="A1761">
        <v>13</v>
      </c>
      <c r="B1761" s="64">
        <v>40515</v>
      </c>
      <c r="C1761" s="2">
        <v>2083379.89</v>
      </c>
      <c r="D1761">
        <v>0</v>
      </c>
      <c r="E1761" s="65">
        <v>25.8</v>
      </c>
      <c r="F1761" s="8">
        <v>2.812</v>
      </c>
      <c r="G1761" s="66">
        <v>126.7313333</v>
      </c>
      <c r="H1761" s="8">
        <v>7.795</v>
      </c>
      <c r="J1761" s="26"/>
      <c r="K1761"/>
    </row>
    <row r="1762" spans="1:11">
      <c r="A1762">
        <v>13</v>
      </c>
      <c r="B1762" s="64">
        <v>40522</v>
      </c>
      <c r="C1762" s="2">
        <v>2461468.35</v>
      </c>
      <c r="D1762">
        <v>0</v>
      </c>
      <c r="E1762" s="65">
        <v>36.78</v>
      </c>
      <c r="F1762" s="8">
        <v>2.817</v>
      </c>
      <c r="G1762" s="66">
        <v>126.7934</v>
      </c>
      <c r="H1762" s="8">
        <v>7.795</v>
      </c>
      <c r="J1762" s="26"/>
      <c r="K1762"/>
    </row>
    <row r="1763" spans="1:11">
      <c r="A1763">
        <v>13</v>
      </c>
      <c r="B1763" s="64">
        <v>40529</v>
      </c>
      <c r="C1763" s="2">
        <v>2771646.81</v>
      </c>
      <c r="D1763">
        <v>0</v>
      </c>
      <c r="E1763" s="65">
        <v>35.21</v>
      </c>
      <c r="F1763" s="8">
        <v>2.842</v>
      </c>
      <c r="G1763" s="66">
        <v>126.8794839</v>
      </c>
      <c r="H1763" s="8">
        <v>7.795</v>
      </c>
      <c r="J1763" s="26"/>
      <c r="K1763"/>
    </row>
    <row r="1764" spans="1:11">
      <c r="A1764">
        <v>13</v>
      </c>
      <c r="B1764" s="64">
        <v>40536</v>
      </c>
      <c r="C1764" s="2">
        <v>3595903.2</v>
      </c>
      <c r="D1764">
        <v>0</v>
      </c>
      <c r="E1764" s="65">
        <v>34.9</v>
      </c>
      <c r="F1764" s="8">
        <v>2.846</v>
      </c>
      <c r="G1764" s="66">
        <v>126.9835806</v>
      </c>
      <c r="H1764" s="8">
        <v>7.795</v>
      </c>
      <c r="J1764" s="26"/>
      <c r="K1764"/>
    </row>
    <row r="1765" spans="1:11">
      <c r="A1765">
        <v>13</v>
      </c>
      <c r="B1765" s="64">
        <v>40543</v>
      </c>
      <c r="C1765" s="2">
        <v>1675292</v>
      </c>
      <c r="D1765">
        <v>1</v>
      </c>
      <c r="E1765" s="65">
        <v>26.79</v>
      </c>
      <c r="F1765" s="8">
        <v>2.868</v>
      </c>
      <c r="G1765" s="66">
        <v>127.0876774</v>
      </c>
      <c r="H1765" s="8">
        <v>7.795</v>
      </c>
      <c r="J1765" s="26"/>
      <c r="K1765"/>
    </row>
    <row r="1766" spans="1:11">
      <c r="A1766">
        <v>13</v>
      </c>
      <c r="B1766" s="64">
        <v>40550</v>
      </c>
      <c r="C1766" s="2">
        <v>1744544.39</v>
      </c>
      <c r="D1766">
        <v>0</v>
      </c>
      <c r="E1766" s="65">
        <v>16.94</v>
      </c>
      <c r="F1766" s="8">
        <v>2.891</v>
      </c>
      <c r="G1766" s="66">
        <v>127.1917742</v>
      </c>
      <c r="H1766" s="8">
        <v>7.47</v>
      </c>
      <c r="J1766" s="26"/>
      <c r="K1766"/>
    </row>
    <row r="1767" spans="1:11">
      <c r="A1767">
        <v>13</v>
      </c>
      <c r="B1767" s="64">
        <v>40557</v>
      </c>
      <c r="C1767" s="2">
        <v>1682316.31</v>
      </c>
      <c r="D1767">
        <v>0</v>
      </c>
      <c r="E1767" s="65">
        <v>20.6</v>
      </c>
      <c r="F1767" s="8">
        <v>2.903</v>
      </c>
      <c r="G1767" s="66">
        <v>127.3009355</v>
      </c>
      <c r="H1767" s="8">
        <v>7.47</v>
      </c>
      <c r="J1767" s="26"/>
      <c r="K1767"/>
    </row>
    <row r="1768" spans="1:11">
      <c r="A1768">
        <v>13</v>
      </c>
      <c r="B1768" s="64">
        <v>40564</v>
      </c>
      <c r="C1768" s="2">
        <v>1770177.37</v>
      </c>
      <c r="D1768">
        <v>0</v>
      </c>
      <c r="E1768" s="65">
        <v>34.8</v>
      </c>
      <c r="F1768" s="8">
        <v>2.934</v>
      </c>
      <c r="G1768" s="66">
        <v>127.4404839</v>
      </c>
      <c r="H1768" s="8">
        <v>7.47</v>
      </c>
      <c r="J1768" s="26"/>
      <c r="K1768"/>
    </row>
    <row r="1769" spans="1:11">
      <c r="A1769">
        <v>13</v>
      </c>
      <c r="B1769" s="64">
        <v>40571</v>
      </c>
      <c r="C1769" s="2">
        <v>1633663.12</v>
      </c>
      <c r="D1769">
        <v>0</v>
      </c>
      <c r="E1769" s="65">
        <v>31.64</v>
      </c>
      <c r="F1769" s="8">
        <v>2.96</v>
      </c>
      <c r="G1769" s="66">
        <v>127.5800323</v>
      </c>
      <c r="H1769" s="8">
        <v>7.47</v>
      </c>
      <c r="J1769" s="26"/>
      <c r="K1769"/>
    </row>
    <row r="1770" spans="1:11">
      <c r="A1770">
        <v>13</v>
      </c>
      <c r="B1770" s="64">
        <v>40578</v>
      </c>
      <c r="C1770" s="2">
        <v>1848186.58</v>
      </c>
      <c r="D1770">
        <v>0</v>
      </c>
      <c r="E1770" s="65">
        <v>23.35</v>
      </c>
      <c r="F1770" s="8">
        <v>2.974</v>
      </c>
      <c r="G1770" s="66">
        <v>127.7195806</v>
      </c>
      <c r="H1770" s="8">
        <v>7.47</v>
      </c>
      <c r="J1770" s="26"/>
      <c r="K1770"/>
    </row>
    <row r="1771" spans="1:11">
      <c r="A1771">
        <v>13</v>
      </c>
      <c r="B1771" s="64">
        <v>40585</v>
      </c>
      <c r="C1771" s="2">
        <v>1944438.9</v>
      </c>
      <c r="D1771">
        <v>1</v>
      </c>
      <c r="E1771" s="65">
        <v>30.83</v>
      </c>
      <c r="F1771" s="8">
        <v>3.034</v>
      </c>
      <c r="G1771" s="66">
        <v>127.859129</v>
      </c>
      <c r="H1771" s="8">
        <v>7.47</v>
      </c>
      <c r="J1771" s="26"/>
      <c r="K1771"/>
    </row>
    <row r="1772" spans="1:11">
      <c r="A1772">
        <v>13</v>
      </c>
      <c r="B1772" s="64">
        <v>40592</v>
      </c>
      <c r="C1772" s="2">
        <v>2003480.59</v>
      </c>
      <c r="D1772">
        <v>0</v>
      </c>
      <c r="E1772" s="65">
        <v>40.85</v>
      </c>
      <c r="F1772" s="8">
        <v>3.062</v>
      </c>
      <c r="G1772" s="66">
        <v>127.99525</v>
      </c>
      <c r="H1772" s="8">
        <v>7.47</v>
      </c>
      <c r="J1772" s="26"/>
      <c r="K1772"/>
    </row>
    <row r="1773" spans="1:11">
      <c r="A1773">
        <v>13</v>
      </c>
      <c r="B1773" s="64">
        <v>40599</v>
      </c>
      <c r="C1773" s="2">
        <v>1831933.95</v>
      </c>
      <c r="D1773">
        <v>0</v>
      </c>
      <c r="E1773" s="65">
        <v>33.17</v>
      </c>
      <c r="F1773" s="8">
        <v>3.12</v>
      </c>
      <c r="G1773" s="66">
        <v>128.13</v>
      </c>
      <c r="H1773" s="8">
        <v>7.47</v>
      </c>
      <c r="J1773" s="26"/>
      <c r="K1773"/>
    </row>
    <row r="1774" spans="1:11">
      <c r="A1774">
        <v>13</v>
      </c>
      <c r="B1774" s="64">
        <v>40606</v>
      </c>
      <c r="C1774" s="2">
        <v>1894960.68</v>
      </c>
      <c r="D1774">
        <v>0</v>
      </c>
      <c r="E1774" s="65">
        <v>34.23</v>
      </c>
      <c r="F1774" s="8">
        <v>3.23</v>
      </c>
      <c r="G1774" s="66">
        <v>128.26475</v>
      </c>
      <c r="H1774" s="8">
        <v>7.47</v>
      </c>
      <c r="J1774" s="26"/>
      <c r="K1774"/>
    </row>
    <row r="1775" spans="1:11">
      <c r="A1775">
        <v>13</v>
      </c>
      <c r="B1775" s="64">
        <v>40613</v>
      </c>
      <c r="C1775" s="2">
        <v>1852432.58</v>
      </c>
      <c r="D1775">
        <v>0</v>
      </c>
      <c r="E1775" s="65">
        <v>41.28</v>
      </c>
      <c r="F1775" s="8">
        <v>3.346</v>
      </c>
      <c r="G1775" s="66">
        <v>128.3995</v>
      </c>
      <c r="H1775" s="8">
        <v>7.47</v>
      </c>
      <c r="J1775" s="26"/>
      <c r="K1775"/>
    </row>
    <row r="1776" spans="1:11">
      <c r="A1776">
        <v>13</v>
      </c>
      <c r="B1776" s="64">
        <v>40620</v>
      </c>
      <c r="C1776" s="2">
        <v>1852443.78</v>
      </c>
      <c r="D1776">
        <v>0</v>
      </c>
      <c r="E1776" s="65">
        <v>44.69</v>
      </c>
      <c r="F1776" s="8">
        <v>3.407</v>
      </c>
      <c r="G1776" s="66">
        <v>128.5121935</v>
      </c>
      <c r="H1776" s="8">
        <v>7.47</v>
      </c>
      <c r="J1776" s="26"/>
      <c r="K1776"/>
    </row>
    <row r="1777" spans="1:11">
      <c r="A1777">
        <v>13</v>
      </c>
      <c r="B1777" s="64">
        <v>40627</v>
      </c>
      <c r="C1777" s="2">
        <v>1807545.43</v>
      </c>
      <c r="D1777">
        <v>0</v>
      </c>
      <c r="E1777" s="65">
        <v>42.38</v>
      </c>
      <c r="F1777" s="8">
        <v>3.435</v>
      </c>
      <c r="G1777" s="66">
        <v>128.6160645</v>
      </c>
      <c r="H1777" s="8">
        <v>7.47</v>
      </c>
      <c r="J1777" s="26"/>
      <c r="K1777"/>
    </row>
    <row r="1778" spans="1:11">
      <c r="A1778">
        <v>13</v>
      </c>
      <c r="B1778" s="64">
        <v>40634</v>
      </c>
      <c r="C1778" s="2">
        <v>1864238.64</v>
      </c>
      <c r="D1778">
        <v>0</v>
      </c>
      <c r="E1778" s="65">
        <v>42.49</v>
      </c>
      <c r="F1778" s="8">
        <v>3.487</v>
      </c>
      <c r="G1778" s="66">
        <v>128.7199355</v>
      </c>
      <c r="H1778" s="8">
        <v>7.193</v>
      </c>
      <c r="J1778" s="26"/>
      <c r="K1778"/>
    </row>
    <row r="1779" spans="1:11">
      <c r="A1779">
        <v>13</v>
      </c>
      <c r="B1779" s="64">
        <v>40641</v>
      </c>
      <c r="C1779" s="2">
        <v>1887465.04</v>
      </c>
      <c r="D1779">
        <v>0</v>
      </c>
      <c r="E1779" s="65">
        <v>42.75</v>
      </c>
      <c r="F1779" s="8">
        <v>3.547</v>
      </c>
      <c r="G1779" s="66">
        <v>128.8238065</v>
      </c>
      <c r="H1779" s="8">
        <v>7.193</v>
      </c>
      <c r="J1779" s="26"/>
      <c r="K1779"/>
    </row>
    <row r="1780" spans="1:11">
      <c r="A1780">
        <v>13</v>
      </c>
      <c r="B1780" s="64">
        <v>40648</v>
      </c>
      <c r="C1780" s="2">
        <v>1950994.04</v>
      </c>
      <c r="D1780">
        <v>0</v>
      </c>
      <c r="E1780" s="65">
        <v>41.72</v>
      </c>
      <c r="F1780" s="8">
        <v>3.616</v>
      </c>
      <c r="G1780" s="66">
        <v>128.9107333</v>
      </c>
      <c r="H1780" s="8">
        <v>7.193</v>
      </c>
      <c r="J1780" s="26"/>
      <c r="K1780"/>
    </row>
    <row r="1781" spans="1:11">
      <c r="A1781">
        <v>13</v>
      </c>
      <c r="B1781" s="64">
        <v>40655</v>
      </c>
      <c r="C1781" s="2">
        <v>2124316.34</v>
      </c>
      <c r="D1781">
        <v>0</v>
      </c>
      <c r="E1781" s="65">
        <v>47.55</v>
      </c>
      <c r="F1781" s="8">
        <v>3.655</v>
      </c>
      <c r="G1781" s="66">
        <v>128.9553</v>
      </c>
      <c r="H1781" s="8">
        <v>7.193</v>
      </c>
      <c r="J1781" s="26"/>
      <c r="K1781"/>
    </row>
    <row r="1782" spans="1:11">
      <c r="A1782">
        <v>13</v>
      </c>
      <c r="B1782" s="64">
        <v>40662</v>
      </c>
      <c r="C1782" s="2">
        <v>1895583.12</v>
      </c>
      <c r="D1782">
        <v>0</v>
      </c>
      <c r="E1782" s="65">
        <v>43.85</v>
      </c>
      <c r="F1782" s="8">
        <v>3.683</v>
      </c>
      <c r="G1782" s="66">
        <v>128.9998667</v>
      </c>
      <c r="H1782" s="8">
        <v>7.193</v>
      </c>
      <c r="J1782" s="26"/>
      <c r="K1782"/>
    </row>
    <row r="1783" spans="1:11">
      <c r="A1783">
        <v>13</v>
      </c>
      <c r="B1783" s="64">
        <v>40669</v>
      </c>
      <c r="C1783" s="2">
        <v>1986380.4</v>
      </c>
      <c r="D1783">
        <v>0</v>
      </c>
      <c r="E1783" s="65">
        <v>47.75</v>
      </c>
      <c r="F1783" s="8">
        <v>3.744</v>
      </c>
      <c r="G1783" s="66">
        <v>129.0444333</v>
      </c>
      <c r="H1783" s="8">
        <v>7.193</v>
      </c>
      <c r="J1783" s="26"/>
      <c r="K1783"/>
    </row>
    <row r="1784" spans="1:11">
      <c r="A1784">
        <v>13</v>
      </c>
      <c r="B1784" s="64">
        <v>40676</v>
      </c>
      <c r="C1784" s="2">
        <v>1958823.56</v>
      </c>
      <c r="D1784">
        <v>0</v>
      </c>
      <c r="E1784" s="65">
        <v>52.4</v>
      </c>
      <c r="F1784" s="8">
        <v>3.77</v>
      </c>
      <c r="G1784" s="66">
        <v>129.089</v>
      </c>
      <c r="H1784" s="8">
        <v>7.193</v>
      </c>
      <c r="J1784" s="26"/>
      <c r="K1784"/>
    </row>
    <row r="1785" spans="1:11">
      <c r="A1785">
        <v>13</v>
      </c>
      <c r="B1785" s="64">
        <v>40683</v>
      </c>
      <c r="C1785" s="2">
        <v>1860923.55</v>
      </c>
      <c r="D1785">
        <v>0</v>
      </c>
      <c r="E1785" s="65">
        <v>52.12</v>
      </c>
      <c r="F1785" s="8">
        <v>3.802</v>
      </c>
      <c r="G1785" s="66">
        <v>129.0756774</v>
      </c>
      <c r="H1785" s="8">
        <v>7.193</v>
      </c>
      <c r="J1785" s="26"/>
      <c r="K1785"/>
    </row>
    <row r="1786" spans="1:11">
      <c r="A1786">
        <v>13</v>
      </c>
      <c r="B1786" s="64">
        <v>40690</v>
      </c>
      <c r="C1786" s="2">
        <v>1866369.93</v>
      </c>
      <c r="D1786">
        <v>0</v>
      </c>
      <c r="E1786" s="65">
        <v>54.62</v>
      </c>
      <c r="F1786" s="8">
        <v>3.778</v>
      </c>
      <c r="G1786" s="66">
        <v>129.0623548</v>
      </c>
      <c r="H1786" s="8">
        <v>7.193</v>
      </c>
      <c r="J1786" s="26"/>
      <c r="K1786"/>
    </row>
    <row r="1787" spans="1:11">
      <c r="A1787">
        <v>13</v>
      </c>
      <c r="B1787" s="64">
        <v>40697</v>
      </c>
      <c r="C1787" s="2">
        <v>1935593.87</v>
      </c>
      <c r="D1787">
        <v>0</v>
      </c>
      <c r="E1787" s="65">
        <v>52.76</v>
      </c>
      <c r="F1787" s="8">
        <v>3.752</v>
      </c>
      <c r="G1787" s="66">
        <v>129.0490323</v>
      </c>
      <c r="H1787" s="8">
        <v>7.193</v>
      </c>
      <c r="J1787" s="26"/>
      <c r="K1787"/>
    </row>
    <row r="1788" spans="1:11">
      <c r="A1788">
        <v>13</v>
      </c>
      <c r="B1788" s="64">
        <v>40704</v>
      </c>
      <c r="C1788" s="2">
        <v>1997816.98</v>
      </c>
      <c r="D1788">
        <v>0</v>
      </c>
      <c r="E1788" s="65">
        <v>61.39</v>
      </c>
      <c r="F1788" s="8">
        <v>3.732</v>
      </c>
      <c r="G1788" s="66">
        <v>129.0357097</v>
      </c>
      <c r="H1788" s="8">
        <v>7.193</v>
      </c>
      <c r="J1788" s="26"/>
      <c r="K1788"/>
    </row>
    <row r="1789" spans="1:11">
      <c r="A1789">
        <v>13</v>
      </c>
      <c r="B1789" s="64">
        <v>40711</v>
      </c>
      <c r="C1789" s="2">
        <v>2086433.49</v>
      </c>
      <c r="D1789">
        <v>0</v>
      </c>
      <c r="E1789" s="65">
        <v>63.35</v>
      </c>
      <c r="F1789" s="8">
        <v>3.704</v>
      </c>
      <c r="G1789" s="66">
        <v>129.0432</v>
      </c>
      <c r="H1789" s="8">
        <v>7.193</v>
      </c>
      <c r="J1789" s="26"/>
      <c r="K1789"/>
    </row>
    <row r="1790" spans="1:11">
      <c r="A1790">
        <v>13</v>
      </c>
      <c r="B1790" s="64">
        <v>40718</v>
      </c>
      <c r="C1790" s="2">
        <v>2009163.08</v>
      </c>
      <c r="D1790">
        <v>0</v>
      </c>
      <c r="E1790" s="65">
        <v>66.38</v>
      </c>
      <c r="F1790" s="8">
        <v>3.668</v>
      </c>
      <c r="G1790" s="66">
        <v>129.0663</v>
      </c>
      <c r="H1790" s="8">
        <v>7.193</v>
      </c>
      <c r="J1790" s="26"/>
      <c r="K1790"/>
    </row>
    <row r="1791" spans="1:11">
      <c r="A1791">
        <v>13</v>
      </c>
      <c r="B1791" s="64">
        <v>40725</v>
      </c>
      <c r="C1791" s="2">
        <v>2048035.74</v>
      </c>
      <c r="D1791">
        <v>0</v>
      </c>
      <c r="E1791" s="65">
        <v>74.29</v>
      </c>
      <c r="F1791" s="8">
        <v>3.613</v>
      </c>
      <c r="G1791" s="66">
        <v>129.0894</v>
      </c>
      <c r="H1791" s="8">
        <v>6.877</v>
      </c>
      <c r="J1791" s="26"/>
      <c r="K1791"/>
    </row>
    <row r="1792" spans="1:11">
      <c r="A1792">
        <v>13</v>
      </c>
      <c r="B1792" s="64">
        <v>40732</v>
      </c>
      <c r="C1792" s="2">
        <v>2021699.38</v>
      </c>
      <c r="D1792">
        <v>0</v>
      </c>
      <c r="E1792" s="65">
        <v>77.3</v>
      </c>
      <c r="F1792" s="8">
        <v>3.563</v>
      </c>
      <c r="G1792" s="66">
        <v>129.1125</v>
      </c>
      <c r="H1792" s="8">
        <v>6.877</v>
      </c>
      <c r="J1792" s="26"/>
      <c r="K1792"/>
    </row>
    <row r="1793" spans="1:11">
      <c r="A1793">
        <v>13</v>
      </c>
      <c r="B1793" s="64">
        <v>40739</v>
      </c>
      <c r="C1793" s="2">
        <v>1956813.31</v>
      </c>
      <c r="D1793">
        <v>0</v>
      </c>
      <c r="E1793" s="65">
        <v>75.59</v>
      </c>
      <c r="F1793" s="8">
        <v>3.553</v>
      </c>
      <c r="G1793" s="66">
        <v>129.1338387</v>
      </c>
      <c r="H1793" s="8">
        <v>6.877</v>
      </c>
      <c r="J1793" s="26"/>
      <c r="K1793"/>
    </row>
    <row r="1794" spans="1:11">
      <c r="A1794">
        <v>13</v>
      </c>
      <c r="B1794" s="64">
        <v>40746</v>
      </c>
      <c r="C1794" s="2">
        <v>1987089.36</v>
      </c>
      <c r="D1794">
        <v>0</v>
      </c>
      <c r="E1794" s="65">
        <v>78.5</v>
      </c>
      <c r="F1794" s="8">
        <v>3.563</v>
      </c>
      <c r="G1794" s="66">
        <v>129.1507742</v>
      </c>
      <c r="H1794" s="8">
        <v>6.877</v>
      </c>
      <c r="J1794" s="26"/>
      <c r="K1794"/>
    </row>
    <row r="1795" spans="1:11">
      <c r="A1795">
        <v>13</v>
      </c>
      <c r="B1795" s="64">
        <v>40753</v>
      </c>
      <c r="C1795" s="2">
        <v>1880785.69</v>
      </c>
      <c r="D1795">
        <v>0</v>
      </c>
      <c r="E1795" s="65">
        <v>77.62</v>
      </c>
      <c r="F1795" s="8">
        <v>3.574</v>
      </c>
      <c r="G1795" s="66">
        <v>129.1677097</v>
      </c>
      <c r="H1795" s="8">
        <v>6.877</v>
      </c>
      <c r="J1795" s="26"/>
      <c r="K1795"/>
    </row>
    <row r="1796" spans="1:11">
      <c r="A1796">
        <v>13</v>
      </c>
      <c r="B1796" s="64">
        <v>40760</v>
      </c>
      <c r="C1796" s="2">
        <v>2076231.8</v>
      </c>
      <c r="D1796">
        <v>0</v>
      </c>
      <c r="E1796" s="65">
        <v>75.56</v>
      </c>
      <c r="F1796" s="8">
        <v>3.595</v>
      </c>
      <c r="G1796" s="66">
        <v>129.1846452</v>
      </c>
      <c r="H1796" s="8">
        <v>6.877</v>
      </c>
      <c r="J1796" s="26"/>
      <c r="K1796"/>
    </row>
    <row r="1797" spans="1:11">
      <c r="A1797">
        <v>13</v>
      </c>
      <c r="B1797" s="64">
        <v>40767</v>
      </c>
      <c r="C1797" s="2">
        <v>1970341.38</v>
      </c>
      <c r="D1797">
        <v>0</v>
      </c>
      <c r="E1797" s="65">
        <v>75.95</v>
      </c>
      <c r="F1797" s="8">
        <v>3.606</v>
      </c>
      <c r="G1797" s="66">
        <v>129.2015806</v>
      </c>
      <c r="H1797" s="8">
        <v>6.877</v>
      </c>
      <c r="J1797" s="26"/>
      <c r="K1797"/>
    </row>
    <row r="1798" spans="1:11">
      <c r="A1798">
        <v>13</v>
      </c>
      <c r="B1798" s="64">
        <v>40774</v>
      </c>
      <c r="C1798" s="2">
        <v>2090340.98</v>
      </c>
      <c r="D1798">
        <v>0</v>
      </c>
      <c r="E1798" s="65">
        <v>76.68</v>
      </c>
      <c r="F1798" s="8">
        <v>3.578</v>
      </c>
      <c r="G1798" s="66">
        <v>129.2405806</v>
      </c>
      <c r="H1798" s="8">
        <v>6.877</v>
      </c>
      <c r="J1798" s="26"/>
      <c r="K1798"/>
    </row>
    <row r="1799" spans="1:11">
      <c r="A1799">
        <v>13</v>
      </c>
      <c r="B1799" s="64">
        <v>40781</v>
      </c>
      <c r="C1799" s="2">
        <v>2035244.54</v>
      </c>
      <c r="D1799">
        <v>0</v>
      </c>
      <c r="E1799" s="65">
        <v>81.53</v>
      </c>
      <c r="F1799" s="8">
        <v>3.57</v>
      </c>
      <c r="G1799" s="66">
        <v>129.2832581</v>
      </c>
      <c r="H1799" s="8">
        <v>6.877</v>
      </c>
      <c r="J1799" s="26"/>
      <c r="K1799"/>
    </row>
    <row r="1800" spans="1:11">
      <c r="A1800">
        <v>13</v>
      </c>
      <c r="B1800" s="64">
        <v>40788</v>
      </c>
      <c r="C1800" s="2">
        <v>1953628.82</v>
      </c>
      <c r="D1800">
        <v>0</v>
      </c>
      <c r="E1800" s="65">
        <v>77</v>
      </c>
      <c r="F1800" s="8">
        <v>3.58</v>
      </c>
      <c r="G1800" s="66">
        <v>129.3259355</v>
      </c>
      <c r="H1800" s="8">
        <v>6.877</v>
      </c>
      <c r="J1800" s="26"/>
      <c r="K1800"/>
    </row>
    <row r="1801" spans="1:11">
      <c r="A1801">
        <v>13</v>
      </c>
      <c r="B1801" s="64">
        <v>40795</v>
      </c>
      <c r="C1801" s="2">
        <v>1872921.31</v>
      </c>
      <c r="D1801">
        <v>1</v>
      </c>
      <c r="E1801" s="65">
        <v>70.19</v>
      </c>
      <c r="F1801" s="8">
        <v>3.619</v>
      </c>
      <c r="G1801" s="66">
        <v>129.3686129</v>
      </c>
      <c r="H1801" s="8">
        <v>6.877</v>
      </c>
      <c r="J1801" s="26"/>
      <c r="K1801"/>
    </row>
    <row r="1802" spans="1:11">
      <c r="A1802">
        <v>13</v>
      </c>
      <c r="B1802" s="64">
        <v>40802</v>
      </c>
      <c r="C1802" s="2">
        <v>1923223.82</v>
      </c>
      <c r="D1802">
        <v>0</v>
      </c>
      <c r="E1802" s="65">
        <v>67.54</v>
      </c>
      <c r="F1802" s="8">
        <v>3.641</v>
      </c>
      <c r="G1802" s="66">
        <v>129.4306</v>
      </c>
      <c r="H1802" s="8">
        <v>6.877</v>
      </c>
      <c r="J1802" s="26"/>
      <c r="K1802"/>
    </row>
    <row r="1803" spans="1:11">
      <c r="A1803">
        <v>13</v>
      </c>
      <c r="B1803" s="64">
        <v>40809</v>
      </c>
      <c r="C1803" s="2">
        <v>1847430.96</v>
      </c>
      <c r="D1803">
        <v>0</v>
      </c>
      <c r="E1803" s="65">
        <v>63.6</v>
      </c>
      <c r="F1803" s="8">
        <v>3.648</v>
      </c>
      <c r="G1803" s="66">
        <v>129.5183333</v>
      </c>
      <c r="H1803" s="8">
        <v>6.877</v>
      </c>
      <c r="J1803" s="26"/>
      <c r="K1803"/>
    </row>
    <row r="1804" spans="1:11">
      <c r="A1804">
        <v>13</v>
      </c>
      <c r="B1804" s="64">
        <v>40816</v>
      </c>
      <c r="C1804" s="2">
        <v>1835662.69</v>
      </c>
      <c r="D1804">
        <v>0</v>
      </c>
      <c r="E1804" s="65">
        <v>68.28</v>
      </c>
      <c r="F1804" s="8">
        <v>3.623</v>
      </c>
      <c r="G1804" s="66">
        <v>129.6060667</v>
      </c>
      <c r="H1804" s="8">
        <v>6.877</v>
      </c>
      <c r="J1804" s="26"/>
      <c r="K1804"/>
    </row>
    <row r="1805" spans="1:11">
      <c r="A1805">
        <v>13</v>
      </c>
      <c r="B1805" s="64">
        <v>40823</v>
      </c>
      <c r="C1805" s="2">
        <v>2067232.56</v>
      </c>
      <c r="D1805">
        <v>0</v>
      </c>
      <c r="E1805" s="65">
        <v>60.62</v>
      </c>
      <c r="F1805" s="8">
        <v>3.592</v>
      </c>
      <c r="G1805" s="66">
        <v>129.6938</v>
      </c>
      <c r="H1805" s="8">
        <v>6.392</v>
      </c>
      <c r="J1805" s="26"/>
      <c r="K1805"/>
    </row>
    <row r="1806" spans="1:11">
      <c r="A1806">
        <v>13</v>
      </c>
      <c r="B1806" s="64">
        <v>40830</v>
      </c>
      <c r="C1806" s="2">
        <v>1929659.07</v>
      </c>
      <c r="D1806">
        <v>0</v>
      </c>
      <c r="E1806" s="65">
        <v>51.74</v>
      </c>
      <c r="F1806" s="8">
        <v>3.567</v>
      </c>
      <c r="G1806" s="66">
        <v>129.7706452</v>
      </c>
      <c r="H1806" s="8">
        <v>6.392</v>
      </c>
      <c r="J1806" s="26"/>
      <c r="K1806"/>
    </row>
    <row r="1807" spans="1:11">
      <c r="A1807">
        <v>13</v>
      </c>
      <c r="B1807" s="64">
        <v>40837</v>
      </c>
      <c r="C1807" s="2">
        <v>1973544.27</v>
      </c>
      <c r="D1807">
        <v>0</v>
      </c>
      <c r="E1807" s="65">
        <v>54.66</v>
      </c>
      <c r="F1807" s="8">
        <v>3.579</v>
      </c>
      <c r="G1807" s="66">
        <v>129.7821613</v>
      </c>
      <c r="H1807" s="8">
        <v>6.392</v>
      </c>
      <c r="J1807" s="26"/>
      <c r="K1807"/>
    </row>
    <row r="1808" spans="1:11">
      <c r="A1808">
        <v>13</v>
      </c>
      <c r="B1808" s="64">
        <v>40844</v>
      </c>
      <c r="C1808" s="2">
        <v>1948733.81</v>
      </c>
      <c r="D1808">
        <v>0</v>
      </c>
      <c r="E1808" s="65">
        <v>47.41</v>
      </c>
      <c r="F1808" s="8">
        <v>3.567</v>
      </c>
      <c r="G1808" s="66">
        <v>129.7936774</v>
      </c>
      <c r="H1808" s="8">
        <v>6.392</v>
      </c>
      <c r="J1808" s="26"/>
      <c r="K1808"/>
    </row>
    <row r="1809" spans="1:11">
      <c r="A1809">
        <v>13</v>
      </c>
      <c r="B1809" s="64">
        <v>40851</v>
      </c>
      <c r="C1809" s="2">
        <v>2036317.54</v>
      </c>
      <c r="D1809">
        <v>0</v>
      </c>
      <c r="E1809" s="65">
        <v>43.51</v>
      </c>
      <c r="F1809" s="8">
        <v>3.538</v>
      </c>
      <c r="G1809" s="66">
        <v>129.8051935</v>
      </c>
      <c r="H1809" s="8">
        <v>6.392</v>
      </c>
      <c r="J1809" s="26"/>
      <c r="K1809"/>
    </row>
    <row r="1810" spans="1:11">
      <c r="A1810">
        <v>13</v>
      </c>
      <c r="B1810" s="64">
        <v>40858</v>
      </c>
      <c r="C1810" s="2">
        <v>2111592.09</v>
      </c>
      <c r="D1810">
        <v>0</v>
      </c>
      <c r="E1810" s="65">
        <v>33.8</v>
      </c>
      <c r="F1810" s="8">
        <v>3.513</v>
      </c>
      <c r="G1810" s="66">
        <v>129.8167097</v>
      </c>
      <c r="H1810" s="8">
        <v>6.392</v>
      </c>
      <c r="J1810" s="26"/>
      <c r="K1810"/>
    </row>
    <row r="1811" spans="1:11">
      <c r="A1811">
        <v>13</v>
      </c>
      <c r="B1811" s="64">
        <v>40865</v>
      </c>
      <c r="C1811" s="2">
        <v>2016323.51</v>
      </c>
      <c r="D1811">
        <v>0</v>
      </c>
      <c r="E1811" s="65">
        <v>40.65</v>
      </c>
      <c r="F1811" s="8">
        <v>3.489</v>
      </c>
      <c r="G1811" s="66">
        <v>129.8268333</v>
      </c>
      <c r="H1811" s="8">
        <v>6.392</v>
      </c>
      <c r="J1811" s="26"/>
      <c r="K1811"/>
    </row>
    <row r="1812" spans="1:11">
      <c r="A1812">
        <v>13</v>
      </c>
      <c r="B1812" s="64">
        <v>40872</v>
      </c>
      <c r="C1812" s="2">
        <v>2864170.61</v>
      </c>
      <c r="D1812">
        <v>1</v>
      </c>
      <c r="E1812" s="65">
        <v>38.89</v>
      </c>
      <c r="F1812" s="8">
        <v>3.445</v>
      </c>
      <c r="G1812" s="66">
        <v>129.8364</v>
      </c>
      <c r="H1812" s="8">
        <v>6.392</v>
      </c>
      <c r="J1812" s="26"/>
      <c r="K1812"/>
    </row>
    <row r="1813" spans="1:11">
      <c r="A1813">
        <v>13</v>
      </c>
      <c r="B1813" s="64">
        <v>40879</v>
      </c>
      <c r="C1813" s="2">
        <v>2051315.66</v>
      </c>
      <c r="D1813">
        <v>0</v>
      </c>
      <c r="E1813" s="65">
        <v>33.94</v>
      </c>
      <c r="F1813" s="8">
        <v>3.389</v>
      </c>
      <c r="G1813" s="66">
        <v>129.8459667</v>
      </c>
      <c r="H1813" s="8">
        <v>6.392</v>
      </c>
      <c r="J1813" s="26"/>
      <c r="K1813"/>
    </row>
    <row r="1814" spans="1:11">
      <c r="A1814">
        <v>13</v>
      </c>
      <c r="B1814" s="64">
        <v>40886</v>
      </c>
      <c r="C1814" s="2">
        <v>2462779.06</v>
      </c>
      <c r="D1814">
        <v>0</v>
      </c>
      <c r="E1814" s="65">
        <v>24.82</v>
      </c>
      <c r="F1814" s="8">
        <v>3.341</v>
      </c>
      <c r="G1814" s="66">
        <v>129.8555333</v>
      </c>
      <c r="H1814" s="8">
        <v>6.392</v>
      </c>
      <c r="J1814" s="26"/>
      <c r="K1814"/>
    </row>
    <row r="1815" spans="1:11">
      <c r="A1815">
        <v>13</v>
      </c>
      <c r="B1815" s="64">
        <v>40893</v>
      </c>
      <c r="C1815" s="2">
        <v>2760346.71</v>
      </c>
      <c r="D1815">
        <v>0</v>
      </c>
      <c r="E1815" s="65">
        <v>27.85</v>
      </c>
      <c r="F1815" s="8">
        <v>3.282</v>
      </c>
      <c r="G1815" s="66">
        <v>129.8980645</v>
      </c>
      <c r="H1815" s="8">
        <v>6.392</v>
      </c>
      <c r="J1815" s="26"/>
      <c r="K1815"/>
    </row>
    <row r="1816" spans="1:11">
      <c r="A1816">
        <v>13</v>
      </c>
      <c r="B1816" s="64">
        <v>40900</v>
      </c>
      <c r="C1816" s="2">
        <v>3556766.03</v>
      </c>
      <c r="D1816">
        <v>0</v>
      </c>
      <c r="E1816" s="65">
        <v>24.76</v>
      </c>
      <c r="F1816" s="8">
        <v>3.186</v>
      </c>
      <c r="G1816" s="66">
        <v>129.9845484</v>
      </c>
      <c r="H1816" s="8">
        <v>6.392</v>
      </c>
      <c r="J1816" s="26"/>
      <c r="K1816"/>
    </row>
    <row r="1817" spans="1:11">
      <c r="A1817">
        <v>13</v>
      </c>
      <c r="B1817" s="64">
        <v>40907</v>
      </c>
      <c r="C1817" s="2">
        <v>1969056.91</v>
      </c>
      <c r="D1817">
        <v>1</v>
      </c>
      <c r="E1817" s="65">
        <v>31.53</v>
      </c>
      <c r="F1817" s="8">
        <v>3.119</v>
      </c>
      <c r="G1817" s="66">
        <v>130.0710323</v>
      </c>
      <c r="H1817" s="8">
        <v>6.392</v>
      </c>
      <c r="J1817" s="26"/>
      <c r="K1817"/>
    </row>
    <row r="1818" spans="1:11">
      <c r="A1818">
        <v>13</v>
      </c>
      <c r="B1818" s="64">
        <v>40914</v>
      </c>
      <c r="C1818" s="2">
        <v>1865752.78</v>
      </c>
      <c r="D1818">
        <v>0</v>
      </c>
      <c r="E1818" s="65">
        <v>33.8</v>
      </c>
      <c r="F1818" s="8">
        <v>3.08</v>
      </c>
      <c r="G1818" s="66">
        <v>130.1575161</v>
      </c>
      <c r="H1818" s="8">
        <v>6.104</v>
      </c>
      <c r="J1818" s="26"/>
      <c r="K1818"/>
    </row>
    <row r="1819" spans="1:11">
      <c r="A1819">
        <v>13</v>
      </c>
      <c r="B1819" s="64">
        <v>40921</v>
      </c>
      <c r="C1819" s="2">
        <v>1794962.64</v>
      </c>
      <c r="D1819">
        <v>0</v>
      </c>
      <c r="E1819" s="65">
        <v>25.61</v>
      </c>
      <c r="F1819" s="8">
        <v>3.056</v>
      </c>
      <c r="G1819" s="66">
        <v>130.244</v>
      </c>
      <c r="H1819" s="8">
        <v>6.104</v>
      </c>
      <c r="J1819" s="26"/>
      <c r="K1819"/>
    </row>
    <row r="1820" spans="1:11">
      <c r="A1820">
        <v>13</v>
      </c>
      <c r="B1820" s="64">
        <v>40928</v>
      </c>
      <c r="C1820" s="2">
        <v>1811606.21</v>
      </c>
      <c r="D1820">
        <v>0</v>
      </c>
      <c r="E1820" s="65">
        <v>32.71</v>
      </c>
      <c r="F1820" s="8">
        <v>3.047</v>
      </c>
      <c r="G1820" s="66">
        <v>130.2792258</v>
      </c>
      <c r="H1820" s="8">
        <v>6.104</v>
      </c>
      <c r="J1820" s="26"/>
      <c r="K1820"/>
    </row>
    <row r="1821" spans="1:11">
      <c r="A1821">
        <v>13</v>
      </c>
      <c r="B1821" s="64">
        <v>40935</v>
      </c>
      <c r="C1821" s="2">
        <v>1733983.09</v>
      </c>
      <c r="D1821">
        <v>0</v>
      </c>
      <c r="E1821" s="65">
        <v>34.32</v>
      </c>
      <c r="F1821" s="8">
        <v>3.058</v>
      </c>
      <c r="G1821" s="66">
        <v>130.3144516</v>
      </c>
      <c r="H1821" s="8">
        <v>6.104</v>
      </c>
      <c r="J1821" s="26"/>
      <c r="K1821"/>
    </row>
    <row r="1822" spans="1:11">
      <c r="A1822">
        <v>13</v>
      </c>
      <c r="B1822" s="64">
        <v>40942</v>
      </c>
      <c r="C1822" s="2">
        <v>1927780.74</v>
      </c>
      <c r="D1822">
        <v>0</v>
      </c>
      <c r="E1822" s="65">
        <v>31.39</v>
      </c>
      <c r="F1822" s="8">
        <v>3.077</v>
      </c>
      <c r="G1822" s="66">
        <v>130.3496774</v>
      </c>
      <c r="H1822" s="8">
        <v>6.104</v>
      </c>
      <c r="J1822" s="26"/>
      <c r="K1822"/>
    </row>
    <row r="1823" spans="1:11">
      <c r="A1823">
        <v>13</v>
      </c>
      <c r="B1823" s="64">
        <v>40949</v>
      </c>
      <c r="C1823" s="2">
        <v>2069284.57</v>
      </c>
      <c r="D1823">
        <v>1</v>
      </c>
      <c r="E1823" s="65">
        <v>33.73</v>
      </c>
      <c r="F1823" s="8">
        <v>3.116</v>
      </c>
      <c r="G1823" s="66">
        <v>130.3849032</v>
      </c>
      <c r="H1823" s="8">
        <v>6.104</v>
      </c>
      <c r="J1823" s="26"/>
      <c r="K1823"/>
    </row>
    <row r="1824" spans="1:11">
      <c r="A1824">
        <v>13</v>
      </c>
      <c r="B1824" s="64">
        <v>40956</v>
      </c>
      <c r="C1824" s="2">
        <v>2214477.06</v>
      </c>
      <c r="D1824">
        <v>0</v>
      </c>
      <c r="E1824" s="65">
        <v>36.57</v>
      </c>
      <c r="F1824" s="8">
        <v>3.119</v>
      </c>
      <c r="G1824" s="66">
        <v>130.4546207</v>
      </c>
      <c r="H1824" s="8">
        <v>6.104</v>
      </c>
      <c r="J1824" s="26"/>
      <c r="K1824"/>
    </row>
    <row r="1825" spans="1:11">
      <c r="A1825">
        <v>13</v>
      </c>
      <c r="B1825" s="64">
        <v>40963</v>
      </c>
      <c r="C1825" s="2">
        <v>1929768.03</v>
      </c>
      <c r="D1825">
        <v>0</v>
      </c>
      <c r="E1825" s="65">
        <v>35.38</v>
      </c>
      <c r="F1825" s="8">
        <v>3.145</v>
      </c>
      <c r="G1825" s="66">
        <v>130.5502069</v>
      </c>
      <c r="H1825" s="8">
        <v>6.104</v>
      </c>
      <c r="J1825" s="26"/>
      <c r="K1825"/>
    </row>
    <row r="1826" spans="1:11">
      <c r="A1826">
        <v>13</v>
      </c>
      <c r="B1826" s="64">
        <v>40970</v>
      </c>
      <c r="C1826" s="2">
        <v>1969742.76</v>
      </c>
      <c r="D1826">
        <v>0</v>
      </c>
      <c r="E1826" s="65">
        <v>32.36</v>
      </c>
      <c r="F1826" s="8">
        <v>3.242</v>
      </c>
      <c r="G1826" s="66">
        <v>130.6457931</v>
      </c>
      <c r="H1826" s="8">
        <v>6.104</v>
      </c>
      <c r="J1826" s="26"/>
      <c r="K1826"/>
    </row>
    <row r="1827" spans="1:11">
      <c r="A1827">
        <v>13</v>
      </c>
      <c r="B1827" s="64">
        <v>40977</v>
      </c>
      <c r="C1827" s="2">
        <v>1986445.65</v>
      </c>
      <c r="D1827">
        <v>0</v>
      </c>
      <c r="E1827" s="65">
        <v>38.24</v>
      </c>
      <c r="F1827" s="8">
        <v>3.38</v>
      </c>
      <c r="G1827" s="66">
        <v>130.7413793</v>
      </c>
      <c r="H1827" s="8">
        <v>6.104</v>
      </c>
      <c r="J1827" s="26"/>
      <c r="K1827"/>
    </row>
    <row r="1828" spans="1:11">
      <c r="A1828">
        <v>13</v>
      </c>
      <c r="B1828" s="64">
        <v>40984</v>
      </c>
      <c r="C1828" s="2">
        <v>2025582.62</v>
      </c>
      <c r="D1828">
        <v>0</v>
      </c>
      <c r="E1828" s="65">
        <v>52.5</v>
      </c>
      <c r="F1828" s="8">
        <v>3.529</v>
      </c>
      <c r="G1828" s="66">
        <v>130.8261935</v>
      </c>
      <c r="H1828" s="8">
        <v>6.104</v>
      </c>
      <c r="J1828" s="26"/>
      <c r="K1828"/>
    </row>
    <row r="1829" spans="1:11">
      <c r="A1829">
        <v>13</v>
      </c>
      <c r="B1829" s="64">
        <v>40991</v>
      </c>
      <c r="C1829" s="2">
        <v>1904421.74</v>
      </c>
      <c r="D1829">
        <v>0</v>
      </c>
      <c r="E1829" s="65">
        <v>47.83</v>
      </c>
      <c r="F1829" s="8">
        <v>3.671</v>
      </c>
      <c r="G1829" s="66">
        <v>130.8966452</v>
      </c>
      <c r="H1829" s="8">
        <v>6.104</v>
      </c>
      <c r="J1829" s="26"/>
      <c r="K1829"/>
    </row>
    <row r="1830" spans="1:11">
      <c r="A1830">
        <v>13</v>
      </c>
      <c r="B1830" s="64">
        <v>40998</v>
      </c>
      <c r="C1830" s="2">
        <v>1948982.7</v>
      </c>
      <c r="D1830">
        <v>0</v>
      </c>
      <c r="E1830" s="65">
        <v>53.2</v>
      </c>
      <c r="F1830" s="8">
        <v>3.734</v>
      </c>
      <c r="G1830" s="66">
        <v>130.9670968</v>
      </c>
      <c r="H1830" s="8">
        <v>6.104</v>
      </c>
      <c r="J1830" s="26"/>
      <c r="K1830"/>
    </row>
    <row r="1831" spans="1:11">
      <c r="A1831">
        <v>13</v>
      </c>
      <c r="B1831" s="64">
        <v>41005</v>
      </c>
      <c r="C1831" s="2">
        <v>2271614.76</v>
      </c>
      <c r="D1831">
        <v>0</v>
      </c>
      <c r="E1831" s="65">
        <v>48.85</v>
      </c>
      <c r="F1831" s="8">
        <v>3.793</v>
      </c>
      <c r="G1831" s="66">
        <v>131.0375484</v>
      </c>
      <c r="H1831" s="8">
        <v>5.965</v>
      </c>
      <c r="J1831" s="26"/>
      <c r="K1831"/>
    </row>
    <row r="1832" spans="1:11">
      <c r="A1832">
        <v>13</v>
      </c>
      <c r="B1832" s="64">
        <v>41012</v>
      </c>
      <c r="C1832" s="2">
        <v>2057637.86</v>
      </c>
      <c r="D1832">
        <v>0</v>
      </c>
      <c r="E1832" s="65">
        <v>51.7</v>
      </c>
      <c r="F1832" s="8">
        <v>3.833</v>
      </c>
      <c r="G1832" s="66">
        <v>131.108</v>
      </c>
      <c r="H1832" s="8">
        <v>5.965</v>
      </c>
      <c r="J1832" s="26"/>
      <c r="K1832"/>
    </row>
    <row r="1833" spans="1:11">
      <c r="A1833">
        <v>13</v>
      </c>
      <c r="B1833" s="64">
        <v>41019</v>
      </c>
      <c r="C1833" s="2">
        <v>1955689.12</v>
      </c>
      <c r="D1833">
        <v>0</v>
      </c>
      <c r="E1833" s="65">
        <v>50.24</v>
      </c>
      <c r="F1833" s="8">
        <v>3.845</v>
      </c>
      <c r="G1833" s="66">
        <v>131.1173333</v>
      </c>
      <c r="H1833" s="8">
        <v>5.965</v>
      </c>
      <c r="J1833" s="26"/>
      <c r="K1833"/>
    </row>
    <row r="1834" spans="1:11">
      <c r="A1834">
        <v>13</v>
      </c>
      <c r="B1834" s="64">
        <v>41026</v>
      </c>
      <c r="C1834" s="2">
        <v>1970121.65</v>
      </c>
      <c r="D1834">
        <v>0</v>
      </c>
      <c r="E1834" s="65">
        <v>64.8</v>
      </c>
      <c r="F1834" s="8">
        <v>3.842</v>
      </c>
      <c r="G1834" s="66">
        <v>131.1266667</v>
      </c>
      <c r="H1834" s="8">
        <v>5.965</v>
      </c>
      <c r="J1834" s="26"/>
      <c r="K1834"/>
    </row>
    <row r="1835" spans="1:11">
      <c r="A1835">
        <v>13</v>
      </c>
      <c r="B1835" s="64">
        <v>41033</v>
      </c>
      <c r="C1835" s="2">
        <v>1995994.51</v>
      </c>
      <c r="D1835">
        <v>0</v>
      </c>
      <c r="E1835" s="65">
        <v>54.41</v>
      </c>
      <c r="F1835" s="8">
        <v>3.831</v>
      </c>
      <c r="G1835" s="66">
        <v>131.136</v>
      </c>
      <c r="H1835" s="8">
        <v>5.965</v>
      </c>
      <c r="J1835" s="26"/>
      <c r="K1835"/>
    </row>
    <row r="1836" spans="1:11">
      <c r="A1836">
        <v>13</v>
      </c>
      <c r="B1836" s="64">
        <v>41040</v>
      </c>
      <c r="C1836" s="2">
        <v>2080764.17</v>
      </c>
      <c r="D1836">
        <v>0</v>
      </c>
      <c r="E1836" s="65">
        <v>56.47</v>
      </c>
      <c r="F1836" s="8">
        <v>3.809</v>
      </c>
      <c r="G1836" s="66">
        <v>131.1453333</v>
      </c>
      <c r="H1836" s="8">
        <v>5.965</v>
      </c>
      <c r="J1836" s="26"/>
      <c r="K1836"/>
    </row>
    <row r="1837" spans="1:11">
      <c r="A1837">
        <v>13</v>
      </c>
      <c r="B1837" s="64">
        <v>41047</v>
      </c>
      <c r="C1837" s="2">
        <v>2131900.55</v>
      </c>
      <c r="D1837">
        <v>0</v>
      </c>
      <c r="E1837" s="65">
        <v>65.17</v>
      </c>
      <c r="F1837" s="8">
        <v>3.808</v>
      </c>
      <c r="G1837" s="66">
        <v>131.0983226</v>
      </c>
      <c r="H1837" s="8">
        <v>5.965</v>
      </c>
      <c r="J1837" s="26"/>
      <c r="K1837"/>
    </row>
    <row r="1838" spans="1:11">
      <c r="A1838">
        <v>13</v>
      </c>
      <c r="B1838" s="64">
        <v>41054</v>
      </c>
      <c r="C1838" s="2">
        <v>2043349.41</v>
      </c>
      <c r="D1838">
        <v>0</v>
      </c>
      <c r="E1838" s="65">
        <v>62.39</v>
      </c>
      <c r="F1838" s="8">
        <v>3.801</v>
      </c>
      <c r="G1838" s="66">
        <v>131.0287742</v>
      </c>
      <c r="H1838" s="8">
        <v>5.965</v>
      </c>
      <c r="J1838" s="26"/>
      <c r="K1838"/>
    </row>
    <row r="1839" spans="1:11">
      <c r="A1839">
        <v>13</v>
      </c>
      <c r="B1839" s="64">
        <v>41061</v>
      </c>
      <c r="C1839" s="2">
        <v>2035431.39</v>
      </c>
      <c r="D1839">
        <v>0</v>
      </c>
      <c r="E1839" s="65">
        <v>61.11</v>
      </c>
      <c r="F1839" s="8">
        <v>3.788</v>
      </c>
      <c r="G1839" s="66">
        <v>130.9592258</v>
      </c>
      <c r="H1839" s="8">
        <v>5.965</v>
      </c>
      <c r="J1839" s="26"/>
      <c r="K1839"/>
    </row>
    <row r="1840" spans="1:11">
      <c r="A1840">
        <v>13</v>
      </c>
      <c r="B1840" s="64">
        <v>41068</v>
      </c>
      <c r="C1840" s="2">
        <v>2182437.9</v>
      </c>
      <c r="D1840">
        <v>0</v>
      </c>
      <c r="E1840" s="65">
        <v>68.4</v>
      </c>
      <c r="F1840" s="8">
        <v>3.776</v>
      </c>
      <c r="G1840" s="66">
        <v>130.8896774</v>
      </c>
      <c r="H1840" s="8">
        <v>5.965</v>
      </c>
      <c r="J1840" s="26"/>
      <c r="K1840"/>
    </row>
    <row r="1841" spans="1:11">
      <c r="A1841">
        <v>13</v>
      </c>
      <c r="B1841" s="64">
        <v>41075</v>
      </c>
      <c r="C1841" s="2">
        <v>2152229.11</v>
      </c>
      <c r="D1841">
        <v>0</v>
      </c>
      <c r="E1841" s="65">
        <v>65.97</v>
      </c>
      <c r="F1841" s="8">
        <v>3.756</v>
      </c>
      <c r="G1841" s="66">
        <v>130.8295333</v>
      </c>
      <c r="H1841" s="8">
        <v>5.965</v>
      </c>
      <c r="J1841" s="26"/>
      <c r="K1841"/>
    </row>
    <row r="1842" spans="1:11">
      <c r="A1842">
        <v>13</v>
      </c>
      <c r="B1842" s="64">
        <v>41082</v>
      </c>
      <c r="C1842" s="2">
        <v>2094373</v>
      </c>
      <c r="D1842">
        <v>0</v>
      </c>
      <c r="E1842" s="65">
        <v>72.89</v>
      </c>
      <c r="F1842" s="8">
        <v>3.737</v>
      </c>
      <c r="G1842" s="66">
        <v>130.7929</v>
      </c>
      <c r="H1842" s="8">
        <v>5.965</v>
      </c>
      <c r="J1842" s="26"/>
      <c r="K1842"/>
    </row>
    <row r="1843" spans="1:11">
      <c r="A1843">
        <v>13</v>
      </c>
      <c r="B1843" s="64">
        <v>41089</v>
      </c>
      <c r="C1843" s="2">
        <v>2037663.71</v>
      </c>
      <c r="D1843">
        <v>0</v>
      </c>
      <c r="E1843" s="65">
        <v>82</v>
      </c>
      <c r="F1843" s="8">
        <v>3.681</v>
      </c>
      <c r="G1843" s="66">
        <v>130.7562667</v>
      </c>
      <c r="H1843" s="8">
        <v>5.965</v>
      </c>
      <c r="J1843" s="26"/>
      <c r="K1843"/>
    </row>
    <row r="1844" spans="1:11">
      <c r="A1844">
        <v>13</v>
      </c>
      <c r="B1844" s="64">
        <v>41096</v>
      </c>
      <c r="C1844" s="2">
        <v>2184980.35</v>
      </c>
      <c r="D1844">
        <v>0</v>
      </c>
      <c r="E1844" s="65">
        <v>79.23</v>
      </c>
      <c r="F1844" s="8">
        <v>3.63</v>
      </c>
      <c r="G1844" s="66">
        <v>130.7196333</v>
      </c>
      <c r="H1844" s="8">
        <v>5.765</v>
      </c>
      <c r="J1844" s="26"/>
      <c r="K1844"/>
    </row>
    <row r="1845" spans="1:11">
      <c r="A1845">
        <v>13</v>
      </c>
      <c r="B1845" s="64">
        <v>41103</v>
      </c>
      <c r="C1845" s="2">
        <v>2002750.99</v>
      </c>
      <c r="D1845">
        <v>0</v>
      </c>
      <c r="E1845" s="65">
        <v>83.68</v>
      </c>
      <c r="F1845" s="8">
        <v>3.595</v>
      </c>
      <c r="G1845" s="66">
        <v>130.683</v>
      </c>
      <c r="H1845" s="8">
        <v>5.765</v>
      </c>
      <c r="J1845" s="26"/>
      <c r="K1845"/>
    </row>
    <row r="1846" spans="1:11">
      <c r="A1846">
        <v>13</v>
      </c>
      <c r="B1846" s="64">
        <v>41110</v>
      </c>
      <c r="C1846" s="2">
        <v>2053089.32</v>
      </c>
      <c r="D1846">
        <v>0</v>
      </c>
      <c r="E1846" s="65">
        <v>75.69</v>
      </c>
      <c r="F1846" s="8">
        <v>3.556</v>
      </c>
      <c r="G1846" s="66">
        <v>130.7012903</v>
      </c>
      <c r="H1846" s="8">
        <v>5.765</v>
      </c>
      <c r="J1846" s="26"/>
      <c r="K1846"/>
    </row>
    <row r="1847" spans="1:11">
      <c r="A1847">
        <v>13</v>
      </c>
      <c r="B1847" s="64">
        <v>41117</v>
      </c>
      <c r="C1847" s="2">
        <v>1914430.53</v>
      </c>
      <c r="D1847">
        <v>0</v>
      </c>
      <c r="E1847" s="65">
        <v>80.42</v>
      </c>
      <c r="F1847" s="8">
        <v>3.537</v>
      </c>
      <c r="G1847" s="66">
        <v>130.7195806</v>
      </c>
      <c r="H1847" s="8">
        <v>5.765</v>
      </c>
      <c r="J1847" s="26"/>
      <c r="K1847"/>
    </row>
    <row r="1848" spans="1:11">
      <c r="A1848">
        <v>13</v>
      </c>
      <c r="B1848" s="64">
        <v>41124</v>
      </c>
      <c r="C1848" s="2">
        <v>2044148.23</v>
      </c>
      <c r="D1848">
        <v>0</v>
      </c>
      <c r="E1848" s="65">
        <v>81.99</v>
      </c>
      <c r="F1848" s="8">
        <v>3.512</v>
      </c>
      <c r="G1848" s="66">
        <v>130.737871</v>
      </c>
      <c r="H1848" s="8">
        <v>5.765</v>
      </c>
      <c r="J1848" s="26"/>
      <c r="K1848"/>
    </row>
    <row r="1849" spans="1:11">
      <c r="A1849">
        <v>13</v>
      </c>
      <c r="B1849" s="64">
        <v>41131</v>
      </c>
      <c r="C1849" s="2">
        <v>2041019.92</v>
      </c>
      <c r="D1849">
        <v>0</v>
      </c>
      <c r="E1849" s="65">
        <v>81.69</v>
      </c>
      <c r="F1849" s="8">
        <v>3.509</v>
      </c>
      <c r="G1849" s="66">
        <v>130.7561613</v>
      </c>
      <c r="H1849" s="8">
        <v>5.765</v>
      </c>
      <c r="J1849" s="26"/>
      <c r="K1849"/>
    </row>
    <row r="1850" spans="1:11">
      <c r="A1850">
        <v>13</v>
      </c>
      <c r="B1850" s="64">
        <v>41138</v>
      </c>
      <c r="C1850" s="2">
        <v>2095769.18</v>
      </c>
      <c r="D1850">
        <v>0</v>
      </c>
      <c r="E1850" s="65">
        <v>79.4</v>
      </c>
      <c r="F1850" s="8">
        <v>3.545</v>
      </c>
      <c r="G1850" s="66">
        <v>130.7909677</v>
      </c>
      <c r="H1850" s="8">
        <v>5.765</v>
      </c>
      <c r="J1850" s="26"/>
      <c r="K1850"/>
    </row>
    <row r="1851" spans="1:11">
      <c r="A1851">
        <v>13</v>
      </c>
      <c r="B1851" s="64">
        <v>41145</v>
      </c>
      <c r="C1851" s="2">
        <v>2059458.25</v>
      </c>
      <c r="D1851">
        <v>0</v>
      </c>
      <c r="E1851" s="65">
        <v>77.37</v>
      </c>
      <c r="F1851" s="8">
        <v>3.582</v>
      </c>
      <c r="G1851" s="66">
        <v>130.8381613</v>
      </c>
      <c r="H1851" s="8">
        <v>5.765</v>
      </c>
      <c r="J1851" s="26"/>
      <c r="K1851"/>
    </row>
    <row r="1852" spans="1:11">
      <c r="A1852">
        <v>13</v>
      </c>
      <c r="B1852" s="64">
        <v>41152</v>
      </c>
      <c r="C1852" s="2">
        <v>2073855.42</v>
      </c>
      <c r="D1852">
        <v>0</v>
      </c>
      <c r="E1852" s="65">
        <v>79.18</v>
      </c>
      <c r="F1852" s="8">
        <v>3.624</v>
      </c>
      <c r="G1852" s="66">
        <v>130.8853548</v>
      </c>
      <c r="H1852" s="8">
        <v>5.765</v>
      </c>
      <c r="J1852" s="26"/>
      <c r="K1852"/>
    </row>
    <row r="1853" spans="1:11">
      <c r="A1853">
        <v>13</v>
      </c>
      <c r="B1853" s="64">
        <v>41159</v>
      </c>
      <c r="C1853" s="2">
        <v>2165796.31</v>
      </c>
      <c r="D1853">
        <v>1</v>
      </c>
      <c r="E1853" s="65">
        <v>70.65</v>
      </c>
      <c r="F1853" s="8">
        <v>3.689</v>
      </c>
      <c r="G1853" s="66">
        <v>130.9325484</v>
      </c>
      <c r="H1853" s="8">
        <v>5.765</v>
      </c>
      <c r="J1853" s="26"/>
      <c r="K1853"/>
    </row>
    <row r="1854" spans="1:11">
      <c r="A1854">
        <v>13</v>
      </c>
      <c r="B1854" s="64">
        <v>41166</v>
      </c>
      <c r="C1854" s="2">
        <v>1919917.03</v>
      </c>
      <c r="D1854">
        <v>0</v>
      </c>
      <c r="E1854" s="65">
        <v>68.55</v>
      </c>
      <c r="F1854" s="8">
        <v>3.749</v>
      </c>
      <c r="G1854" s="66">
        <v>130.9776667</v>
      </c>
      <c r="H1854" s="8">
        <v>5.765</v>
      </c>
      <c r="J1854" s="26"/>
      <c r="K1854"/>
    </row>
    <row r="1855" spans="1:11">
      <c r="A1855">
        <v>13</v>
      </c>
      <c r="B1855" s="64">
        <v>41173</v>
      </c>
      <c r="C1855" s="2">
        <v>1938379.66</v>
      </c>
      <c r="D1855">
        <v>0</v>
      </c>
      <c r="E1855" s="65">
        <v>67.96</v>
      </c>
      <c r="F1855" s="8">
        <v>3.821</v>
      </c>
      <c r="G1855" s="66">
        <v>131.0103333</v>
      </c>
      <c r="H1855" s="8">
        <v>5.765</v>
      </c>
      <c r="J1855" s="26"/>
      <c r="K1855"/>
    </row>
    <row r="1856" spans="1:11">
      <c r="A1856">
        <v>13</v>
      </c>
      <c r="B1856" s="64">
        <v>41180</v>
      </c>
      <c r="C1856" s="2">
        <v>1927664.11</v>
      </c>
      <c r="D1856">
        <v>0</v>
      </c>
      <c r="E1856" s="65">
        <v>64.8</v>
      </c>
      <c r="F1856" s="8">
        <v>3.821</v>
      </c>
      <c r="G1856" s="66">
        <v>131.043</v>
      </c>
      <c r="H1856" s="8">
        <v>5.765</v>
      </c>
      <c r="J1856" s="26"/>
      <c r="K1856"/>
    </row>
    <row r="1857" spans="1:11">
      <c r="A1857">
        <v>13</v>
      </c>
      <c r="B1857" s="64">
        <v>41187</v>
      </c>
      <c r="C1857" s="2">
        <v>2041918.74</v>
      </c>
      <c r="D1857">
        <v>0</v>
      </c>
      <c r="E1857" s="65">
        <v>61.79</v>
      </c>
      <c r="F1857" s="8">
        <v>3.815</v>
      </c>
      <c r="G1857" s="66">
        <v>131.0756667</v>
      </c>
      <c r="H1857" s="8">
        <v>5.621</v>
      </c>
      <c r="J1857" s="26"/>
      <c r="K1857"/>
    </row>
    <row r="1858" spans="1:11">
      <c r="A1858">
        <v>13</v>
      </c>
      <c r="B1858" s="64">
        <v>41194</v>
      </c>
      <c r="C1858" s="2">
        <v>1999079.44</v>
      </c>
      <c r="D1858">
        <v>0</v>
      </c>
      <c r="E1858" s="65">
        <v>55.1</v>
      </c>
      <c r="F1858" s="8">
        <v>3.797</v>
      </c>
      <c r="G1858" s="66">
        <v>131.1083333</v>
      </c>
      <c r="H1858" s="8">
        <v>5.621</v>
      </c>
      <c r="J1858" s="26"/>
      <c r="K1858"/>
    </row>
    <row r="1859" spans="1:11">
      <c r="A1859">
        <v>13</v>
      </c>
      <c r="B1859" s="64">
        <v>41201</v>
      </c>
      <c r="C1859" s="2">
        <v>2018010.15</v>
      </c>
      <c r="D1859">
        <v>0</v>
      </c>
      <c r="E1859" s="65">
        <v>52.06</v>
      </c>
      <c r="F1859" s="8">
        <v>3.781</v>
      </c>
      <c r="G1859" s="66">
        <v>131.1499677</v>
      </c>
      <c r="H1859" s="8">
        <v>5.621</v>
      </c>
      <c r="J1859" s="26"/>
      <c r="K1859"/>
    </row>
    <row r="1860" spans="1:11">
      <c r="A1860">
        <v>13</v>
      </c>
      <c r="B1860" s="64">
        <v>41208</v>
      </c>
      <c r="C1860" s="2">
        <v>2035189.66</v>
      </c>
      <c r="D1860">
        <v>0</v>
      </c>
      <c r="E1860" s="65">
        <v>46.97</v>
      </c>
      <c r="F1860" s="8">
        <v>3.755</v>
      </c>
      <c r="G1860" s="66">
        <v>131.1930968</v>
      </c>
      <c r="H1860" s="8">
        <v>5.621</v>
      </c>
      <c r="J1860" s="26"/>
      <c r="K1860"/>
    </row>
    <row r="1861" spans="1:11">
      <c r="A1861">
        <v>14</v>
      </c>
      <c r="B1861" s="64">
        <v>40214</v>
      </c>
      <c r="C1861" s="2">
        <v>2623469.95</v>
      </c>
      <c r="D1861">
        <v>0</v>
      </c>
      <c r="E1861" s="65">
        <v>27.31</v>
      </c>
      <c r="F1861" s="8">
        <v>2.784</v>
      </c>
      <c r="G1861" s="66">
        <v>181.8711898</v>
      </c>
      <c r="H1861" s="8">
        <v>8.992</v>
      </c>
      <c r="J1861" s="26"/>
      <c r="K1861"/>
    </row>
    <row r="1862" spans="1:11">
      <c r="A1862">
        <v>14</v>
      </c>
      <c r="B1862" s="64">
        <v>40221</v>
      </c>
      <c r="C1862" s="2">
        <v>1704218.84</v>
      </c>
      <c r="D1862">
        <v>1</v>
      </c>
      <c r="E1862" s="65">
        <v>27.73</v>
      </c>
      <c r="F1862" s="8">
        <v>2.773</v>
      </c>
      <c r="G1862" s="66">
        <v>181.982317</v>
      </c>
      <c r="H1862" s="8">
        <v>8.992</v>
      </c>
      <c r="J1862" s="26"/>
      <c r="K1862"/>
    </row>
    <row r="1863" spans="1:11">
      <c r="A1863">
        <v>14</v>
      </c>
      <c r="B1863" s="64">
        <v>40228</v>
      </c>
      <c r="C1863" s="2">
        <v>2204556.7</v>
      </c>
      <c r="D1863">
        <v>0</v>
      </c>
      <c r="E1863" s="65">
        <v>31.27</v>
      </c>
      <c r="F1863" s="8">
        <v>2.745</v>
      </c>
      <c r="G1863" s="66">
        <v>182.0347816</v>
      </c>
      <c r="H1863" s="8">
        <v>8.992</v>
      </c>
      <c r="J1863" s="26"/>
      <c r="K1863"/>
    </row>
    <row r="1864" spans="1:11">
      <c r="A1864">
        <v>14</v>
      </c>
      <c r="B1864" s="64">
        <v>40235</v>
      </c>
      <c r="C1864" s="2">
        <v>2095591.63</v>
      </c>
      <c r="D1864">
        <v>0</v>
      </c>
      <c r="E1864" s="65">
        <v>34.89</v>
      </c>
      <c r="F1864" s="8">
        <v>2.754</v>
      </c>
      <c r="G1864" s="66">
        <v>182.0774691</v>
      </c>
      <c r="H1864" s="8">
        <v>8.992</v>
      </c>
      <c r="J1864" s="26"/>
      <c r="K1864"/>
    </row>
    <row r="1865" spans="1:11">
      <c r="A1865">
        <v>14</v>
      </c>
      <c r="B1865" s="64">
        <v>40242</v>
      </c>
      <c r="C1865" s="2">
        <v>2237544.75</v>
      </c>
      <c r="D1865">
        <v>0</v>
      </c>
      <c r="E1865" s="65">
        <v>37.13</v>
      </c>
      <c r="F1865" s="8">
        <v>2.777</v>
      </c>
      <c r="G1865" s="66">
        <v>182.1201566</v>
      </c>
      <c r="H1865" s="8">
        <v>8.992</v>
      </c>
      <c r="J1865" s="26"/>
      <c r="K1865"/>
    </row>
    <row r="1866" spans="1:11">
      <c r="A1866">
        <v>14</v>
      </c>
      <c r="B1866" s="64">
        <v>40249</v>
      </c>
      <c r="C1866" s="2">
        <v>2156035.06</v>
      </c>
      <c r="D1866">
        <v>0</v>
      </c>
      <c r="E1866" s="65">
        <v>45.8</v>
      </c>
      <c r="F1866" s="8">
        <v>2.818</v>
      </c>
      <c r="G1866" s="66">
        <v>182.1628441</v>
      </c>
      <c r="H1866" s="8">
        <v>8.992</v>
      </c>
      <c r="J1866" s="26"/>
      <c r="K1866"/>
    </row>
    <row r="1867" spans="1:11">
      <c r="A1867">
        <v>14</v>
      </c>
      <c r="B1867" s="64">
        <v>40256</v>
      </c>
      <c r="C1867" s="2">
        <v>2066219.3</v>
      </c>
      <c r="D1867">
        <v>0</v>
      </c>
      <c r="E1867" s="65">
        <v>48.79</v>
      </c>
      <c r="F1867" s="8">
        <v>2.844</v>
      </c>
      <c r="G1867" s="66">
        <v>182.0779857</v>
      </c>
      <c r="H1867" s="8">
        <v>8.992</v>
      </c>
      <c r="J1867" s="26"/>
      <c r="K1867"/>
    </row>
    <row r="1868" spans="1:11">
      <c r="A1868">
        <v>14</v>
      </c>
      <c r="B1868" s="64">
        <v>40263</v>
      </c>
      <c r="C1868" s="2">
        <v>2050396.27</v>
      </c>
      <c r="D1868">
        <v>0</v>
      </c>
      <c r="E1868" s="65">
        <v>54.36</v>
      </c>
      <c r="F1868" s="8">
        <v>2.854</v>
      </c>
      <c r="G1868" s="66">
        <v>181.9718697</v>
      </c>
      <c r="H1868" s="8">
        <v>8.992</v>
      </c>
      <c r="J1868" s="26"/>
      <c r="K1868"/>
    </row>
    <row r="1869" spans="1:11">
      <c r="A1869">
        <v>14</v>
      </c>
      <c r="B1869" s="64">
        <v>40270</v>
      </c>
      <c r="C1869" s="2">
        <v>2495630.51</v>
      </c>
      <c r="D1869">
        <v>0</v>
      </c>
      <c r="E1869" s="65">
        <v>47.74</v>
      </c>
      <c r="F1869" s="8">
        <v>2.85</v>
      </c>
      <c r="G1869" s="66">
        <v>181.8657537</v>
      </c>
      <c r="H1869" s="8">
        <v>8.899</v>
      </c>
      <c r="J1869" s="26"/>
      <c r="K1869"/>
    </row>
    <row r="1870" spans="1:11">
      <c r="A1870">
        <v>14</v>
      </c>
      <c r="B1870" s="64">
        <v>40277</v>
      </c>
      <c r="C1870" s="2">
        <v>2258781.28</v>
      </c>
      <c r="D1870">
        <v>0</v>
      </c>
      <c r="E1870" s="65">
        <v>65.45</v>
      </c>
      <c r="F1870" s="8">
        <v>2.869</v>
      </c>
      <c r="G1870" s="66">
        <v>181.7596377</v>
      </c>
      <c r="H1870" s="8">
        <v>8.899</v>
      </c>
      <c r="J1870" s="26"/>
      <c r="K1870"/>
    </row>
    <row r="1871" spans="1:11">
      <c r="A1871">
        <v>14</v>
      </c>
      <c r="B1871" s="64">
        <v>40284</v>
      </c>
      <c r="C1871" s="2">
        <v>2121788.61</v>
      </c>
      <c r="D1871">
        <v>0</v>
      </c>
      <c r="E1871" s="65">
        <v>54.28</v>
      </c>
      <c r="F1871" s="8">
        <v>2.899</v>
      </c>
      <c r="G1871" s="66">
        <v>181.6924769</v>
      </c>
      <c r="H1871" s="8">
        <v>8.899</v>
      </c>
      <c r="J1871" s="26"/>
      <c r="K1871"/>
    </row>
    <row r="1872" spans="1:11">
      <c r="A1872">
        <v>14</v>
      </c>
      <c r="B1872" s="64">
        <v>40291</v>
      </c>
      <c r="C1872" s="2">
        <v>2138144.91</v>
      </c>
      <c r="D1872">
        <v>0</v>
      </c>
      <c r="E1872" s="65">
        <v>53.47</v>
      </c>
      <c r="F1872" s="8">
        <v>2.902</v>
      </c>
      <c r="G1872" s="66">
        <v>181.6772564</v>
      </c>
      <c r="H1872" s="8">
        <v>8.899</v>
      </c>
      <c r="J1872" s="26"/>
      <c r="K1872"/>
    </row>
    <row r="1873" spans="1:11">
      <c r="A1873">
        <v>14</v>
      </c>
      <c r="B1873" s="64">
        <v>40298</v>
      </c>
      <c r="C1873" s="2">
        <v>2082355.12</v>
      </c>
      <c r="D1873">
        <v>0</v>
      </c>
      <c r="E1873" s="65">
        <v>53.15</v>
      </c>
      <c r="F1873" s="8">
        <v>2.921</v>
      </c>
      <c r="G1873" s="66">
        <v>181.6620359</v>
      </c>
      <c r="H1873" s="8">
        <v>8.899</v>
      </c>
      <c r="J1873" s="26"/>
      <c r="K1873"/>
    </row>
    <row r="1874" spans="1:11">
      <c r="A1874">
        <v>14</v>
      </c>
      <c r="B1874" s="64">
        <v>40305</v>
      </c>
      <c r="C1874" s="2">
        <v>2370116.52</v>
      </c>
      <c r="D1874">
        <v>0</v>
      </c>
      <c r="E1874" s="65">
        <v>70.75</v>
      </c>
      <c r="F1874" s="8">
        <v>2.966</v>
      </c>
      <c r="G1874" s="66">
        <v>181.6468154</v>
      </c>
      <c r="H1874" s="8">
        <v>8.899</v>
      </c>
      <c r="J1874" s="26"/>
      <c r="K1874"/>
    </row>
    <row r="1875" spans="1:11">
      <c r="A1875">
        <v>14</v>
      </c>
      <c r="B1875" s="64">
        <v>40312</v>
      </c>
      <c r="C1875" s="2">
        <v>2129771.13</v>
      </c>
      <c r="D1875">
        <v>0</v>
      </c>
      <c r="E1875" s="65">
        <v>54.26</v>
      </c>
      <c r="F1875" s="8">
        <v>2.982</v>
      </c>
      <c r="G1875" s="66">
        <v>181.6612792</v>
      </c>
      <c r="H1875" s="8">
        <v>8.899</v>
      </c>
      <c r="J1875" s="26"/>
      <c r="K1875"/>
    </row>
    <row r="1876" spans="1:11">
      <c r="A1876">
        <v>14</v>
      </c>
      <c r="B1876" s="64">
        <v>40319</v>
      </c>
      <c r="C1876" s="2">
        <v>2108187.1</v>
      </c>
      <c r="D1876">
        <v>0</v>
      </c>
      <c r="E1876" s="65">
        <v>62.62</v>
      </c>
      <c r="F1876" s="8">
        <v>2.958</v>
      </c>
      <c r="G1876" s="66">
        <v>181.8538486</v>
      </c>
      <c r="H1876" s="8">
        <v>8.899</v>
      </c>
      <c r="J1876" s="26"/>
      <c r="K1876"/>
    </row>
    <row r="1877" spans="1:11">
      <c r="A1877">
        <v>14</v>
      </c>
      <c r="B1877" s="64">
        <v>40326</v>
      </c>
      <c r="C1877" s="2">
        <v>2227152.16</v>
      </c>
      <c r="D1877">
        <v>0</v>
      </c>
      <c r="E1877" s="65">
        <v>69.27</v>
      </c>
      <c r="F1877" s="8">
        <v>2.899</v>
      </c>
      <c r="G1877" s="66">
        <v>182.0464181</v>
      </c>
      <c r="H1877" s="8">
        <v>8.899</v>
      </c>
      <c r="J1877" s="26"/>
      <c r="K1877"/>
    </row>
    <row r="1878" spans="1:11">
      <c r="A1878">
        <v>14</v>
      </c>
      <c r="B1878" s="64">
        <v>40333</v>
      </c>
      <c r="C1878" s="2">
        <v>2363601.47</v>
      </c>
      <c r="D1878">
        <v>0</v>
      </c>
      <c r="E1878" s="65">
        <v>75.93</v>
      </c>
      <c r="F1878" s="8">
        <v>2.847</v>
      </c>
      <c r="G1878" s="66">
        <v>182.2389876</v>
      </c>
      <c r="H1878" s="8">
        <v>8.899</v>
      </c>
      <c r="J1878" s="26"/>
      <c r="K1878"/>
    </row>
    <row r="1879" spans="1:11">
      <c r="A1879">
        <v>14</v>
      </c>
      <c r="B1879" s="64">
        <v>40340</v>
      </c>
      <c r="C1879" s="2">
        <v>2249570.04</v>
      </c>
      <c r="D1879">
        <v>0</v>
      </c>
      <c r="E1879" s="65">
        <v>69.71</v>
      </c>
      <c r="F1879" s="8">
        <v>2.809</v>
      </c>
      <c r="G1879" s="66">
        <v>182.4315571</v>
      </c>
      <c r="H1879" s="8">
        <v>8.899</v>
      </c>
      <c r="J1879" s="26"/>
      <c r="K1879"/>
    </row>
    <row r="1880" spans="1:11">
      <c r="A1880">
        <v>14</v>
      </c>
      <c r="B1880" s="64">
        <v>40347</v>
      </c>
      <c r="C1880" s="2">
        <v>2248645.59</v>
      </c>
      <c r="D1880">
        <v>0</v>
      </c>
      <c r="E1880" s="65">
        <v>72.62</v>
      </c>
      <c r="F1880" s="8">
        <v>2.78</v>
      </c>
      <c r="G1880" s="66">
        <v>182.4424199</v>
      </c>
      <c r="H1880" s="8">
        <v>8.899</v>
      </c>
      <c r="J1880" s="26"/>
      <c r="K1880"/>
    </row>
    <row r="1881" spans="1:11">
      <c r="A1881">
        <v>14</v>
      </c>
      <c r="B1881" s="64">
        <v>40354</v>
      </c>
      <c r="C1881" s="2">
        <v>2246179.91</v>
      </c>
      <c r="D1881">
        <v>0</v>
      </c>
      <c r="E1881" s="65">
        <v>79.32</v>
      </c>
      <c r="F1881" s="8">
        <v>2.808</v>
      </c>
      <c r="G1881" s="66">
        <v>182.3806</v>
      </c>
      <c r="H1881" s="8">
        <v>8.899</v>
      </c>
      <c r="J1881" s="26"/>
      <c r="K1881"/>
    </row>
    <row r="1882" spans="1:11">
      <c r="A1882">
        <v>14</v>
      </c>
      <c r="B1882" s="64">
        <v>40361</v>
      </c>
      <c r="C1882" s="2">
        <v>2334788.42</v>
      </c>
      <c r="D1882">
        <v>0</v>
      </c>
      <c r="E1882" s="65">
        <v>76.61</v>
      </c>
      <c r="F1882" s="8">
        <v>2.815</v>
      </c>
      <c r="G1882" s="66">
        <v>182.3187801</v>
      </c>
      <c r="H1882" s="8">
        <v>8.743</v>
      </c>
      <c r="J1882" s="26"/>
      <c r="K1882"/>
    </row>
    <row r="1883" spans="1:11">
      <c r="A1883">
        <v>14</v>
      </c>
      <c r="B1883" s="64">
        <v>40368</v>
      </c>
      <c r="C1883" s="2">
        <v>2236209.13</v>
      </c>
      <c r="D1883">
        <v>0</v>
      </c>
      <c r="E1883" s="65">
        <v>82.45</v>
      </c>
      <c r="F1883" s="8">
        <v>2.793</v>
      </c>
      <c r="G1883" s="66">
        <v>182.2569603</v>
      </c>
      <c r="H1883" s="8">
        <v>8.743</v>
      </c>
      <c r="J1883" s="26"/>
      <c r="K1883"/>
    </row>
    <row r="1884" spans="1:11">
      <c r="A1884">
        <v>14</v>
      </c>
      <c r="B1884" s="64">
        <v>40375</v>
      </c>
      <c r="C1884" s="2">
        <v>2130287.27</v>
      </c>
      <c r="D1884">
        <v>0</v>
      </c>
      <c r="E1884" s="65">
        <v>77.84</v>
      </c>
      <c r="F1884" s="8">
        <v>2.783</v>
      </c>
      <c r="G1884" s="66">
        <v>182.2604411</v>
      </c>
      <c r="H1884" s="8">
        <v>8.743</v>
      </c>
      <c r="J1884" s="26"/>
      <c r="K1884"/>
    </row>
    <row r="1885" spans="1:11">
      <c r="A1885">
        <v>14</v>
      </c>
      <c r="B1885" s="64">
        <v>40382</v>
      </c>
      <c r="C1885" s="2">
        <v>2044155.39</v>
      </c>
      <c r="D1885">
        <v>0</v>
      </c>
      <c r="E1885" s="65">
        <v>81.46</v>
      </c>
      <c r="F1885" s="8">
        <v>2.771</v>
      </c>
      <c r="G1885" s="66">
        <v>182.3509895</v>
      </c>
      <c r="H1885" s="8">
        <v>8.743</v>
      </c>
      <c r="J1885" s="26"/>
      <c r="K1885"/>
    </row>
    <row r="1886" spans="1:11">
      <c r="A1886">
        <v>14</v>
      </c>
      <c r="B1886" s="64">
        <v>40389</v>
      </c>
      <c r="C1886" s="2">
        <v>2054843.28</v>
      </c>
      <c r="D1886">
        <v>0</v>
      </c>
      <c r="E1886" s="65">
        <v>79.78</v>
      </c>
      <c r="F1886" s="8">
        <v>2.781</v>
      </c>
      <c r="G1886" s="66">
        <v>182.4415378</v>
      </c>
      <c r="H1886" s="8">
        <v>8.743</v>
      </c>
      <c r="J1886" s="26"/>
      <c r="K1886"/>
    </row>
    <row r="1887" spans="1:11">
      <c r="A1887">
        <v>14</v>
      </c>
      <c r="B1887" s="64">
        <v>40396</v>
      </c>
      <c r="C1887" s="2">
        <v>2219813.5</v>
      </c>
      <c r="D1887">
        <v>0</v>
      </c>
      <c r="E1887" s="65">
        <v>77.17</v>
      </c>
      <c r="F1887" s="8">
        <v>2.784</v>
      </c>
      <c r="G1887" s="66">
        <v>182.5320862</v>
      </c>
      <c r="H1887" s="8">
        <v>8.743</v>
      </c>
      <c r="J1887" s="26"/>
      <c r="K1887"/>
    </row>
    <row r="1888" spans="1:11">
      <c r="A1888">
        <v>14</v>
      </c>
      <c r="B1888" s="64">
        <v>40403</v>
      </c>
      <c r="C1888" s="2">
        <v>2052984.81</v>
      </c>
      <c r="D1888">
        <v>0</v>
      </c>
      <c r="E1888" s="65">
        <v>78.44</v>
      </c>
      <c r="F1888" s="8">
        <v>2.805</v>
      </c>
      <c r="G1888" s="66">
        <v>182.6226346</v>
      </c>
      <c r="H1888" s="8">
        <v>8.743</v>
      </c>
      <c r="J1888" s="26"/>
      <c r="K1888"/>
    </row>
    <row r="1889" spans="1:11">
      <c r="A1889">
        <v>14</v>
      </c>
      <c r="B1889" s="64">
        <v>40410</v>
      </c>
      <c r="C1889" s="2">
        <v>2057138.31</v>
      </c>
      <c r="D1889">
        <v>0</v>
      </c>
      <c r="E1889" s="65">
        <v>76.01</v>
      </c>
      <c r="F1889" s="8">
        <v>2.779</v>
      </c>
      <c r="G1889" s="66">
        <v>182.6165205</v>
      </c>
      <c r="H1889" s="8">
        <v>8.743</v>
      </c>
      <c r="J1889" s="26"/>
      <c r="K1889"/>
    </row>
    <row r="1890" spans="1:11">
      <c r="A1890">
        <v>14</v>
      </c>
      <c r="B1890" s="64">
        <v>40417</v>
      </c>
      <c r="C1890" s="2">
        <v>2020332.07</v>
      </c>
      <c r="D1890">
        <v>0</v>
      </c>
      <c r="E1890" s="65">
        <v>71.36</v>
      </c>
      <c r="F1890" s="8">
        <v>2.755</v>
      </c>
      <c r="G1890" s="66">
        <v>182.6104063</v>
      </c>
      <c r="H1890" s="8">
        <v>8.743</v>
      </c>
      <c r="J1890" s="26"/>
      <c r="K1890"/>
    </row>
    <row r="1891" spans="1:11">
      <c r="A1891">
        <v>14</v>
      </c>
      <c r="B1891" s="64">
        <v>40424</v>
      </c>
      <c r="C1891" s="2">
        <v>2182563.66</v>
      </c>
      <c r="D1891">
        <v>0</v>
      </c>
      <c r="E1891" s="65">
        <v>78.37</v>
      </c>
      <c r="F1891" s="8">
        <v>2.715</v>
      </c>
      <c r="G1891" s="66">
        <v>182.6042922</v>
      </c>
      <c r="H1891" s="8">
        <v>8.743</v>
      </c>
      <c r="J1891" s="26"/>
      <c r="K1891"/>
    </row>
    <row r="1892" spans="1:11">
      <c r="A1892">
        <v>14</v>
      </c>
      <c r="B1892" s="64">
        <v>40431</v>
      </c>
      <c r="C1892" s="2">
        <v>2191767.76</v>
      </c>
      <c r="D1892">
        <v>1</v>
      </c>
      <c r="E1892" s="65">
        <v>70.87</v>
      </c>
      <c r="F1892" s="8">
        <v>2.699</v>
      </c>
      <c r="G1892" s="66">
        <v>182.598178</v>
      </c>
      <c r="H1892" s="8">
        <v>8.743</v>
      </c>
      <c r="J1892" s="26"/>
      <c r="K1892"/>
    </row>
    <row r="1893" spans="1:11">
      <c r="A1893">
        <v>14</v>
      </c>
      <c r="B1893" s="64">
        <v>40438</v>
      </c>
      <c r="C1893" s="2">
        <v>1953539.85</v>
      </c>
      <c r="D1893">
        <v>0</v>
      </c>
      <c r="E1893" s="65">
        <v>66.55</v>
      </c>
      <c r="F1893" s="8">
        <v>2.706</v>
      </c>
      <c r="G1893" s="66">
        <v>182.622509</v>
      </c>
      <c r="H1893" s="8">
        <v>8.743</v>
      </c>
      <c r="J1893" s="26"/>
      <c r="K1893"/>
    </row>
    <row r="1894" spans="1:11">
      <c r="A1894">
        <v>14</v>
      </c>
      <c r="B1894" s="64">
        <v>40445</v>
      </c>
      <c r="C1894" s="2">
        <v>1879891.13</v>
      </c>
      <c r="D1894">
        <v>0</v>
      </c>
      <c r="E1894" s="65">
        <v>68.59</v>
      </c>
      <c r="F1894" s="8">
        <v>2.713</v>
      </c>
      <c r="G1894" s="66">
        <v>182.6696737</v>
      </c>
      <c r="H1894" s="8">
        <v>8.743</v>
      </c>
      <c r="J1894" s="26"/>
      <c r="K1894"/>
    </row>
    <row r="1895" spans="1:11">
      <c r="A1895">
        <v>14</v>
      </c>
      <c r="B1895" s="64">
        <v>40452</v>
      </c>
      <c r="C1895" s="2">
        <v>1855703.66</v>
      </c>
      <c r="D1895">
        <v>0</v>
      </c>
      <c r="E1895" s="65">
        <v>70.58</v>
      </c>
      <c r="F1895" s="8">
        <v>2.707</v>
      </c>
      <c r="G1895" s="66">
        <v>182.7168385</v>
      </c>
      <c r="H1895" s="8">
        <v>8.724</v>
      </c>
      <c r="J1895" s="26"/>
      <c r="K1895"/>
    </row>
    <row r="1896" spans="1:11">
      <c r="A1896">
        <v>14</v>
      </c>
      <c r="B1896" s="64">
        <v>40459</v>
      </c>
      <c r="C1896" s="2">
        <v>2091663.2</v>
      </c>
      <c r="D1896">
        <v>0</v>
      </c>
      <c r="E1896" s="65">
        <v>56.49</v>
      </c>
      <c r="F1896" s="8">
        <v>2.764</v>
      </c>
      <c r="G1896" s="66">
        <v>182.7640032</v>
      </c>
      <c r="H1896" s="8">
        <v>8.724</v>
      </c>
      <c r="J1896" s="26"/>
      <c r="K1896"/>
    </row>
    <row r="1897" spans="1:11">
      <c r="A1897">
        <v>14</v>
      </c>
      <c r="B1897" s="64">
        <v>40466</v>
      </c>
      <c r="C1897" s="2">
        <v>1932162.63</v>
      </c>
      <c r="D1897">
        <v>0</v>
      </c>
      <c r="E1897" s="65">
        <v>58.61</v>
      </c>
      <c r="F1897" s="8">
        <v>2.868</v>
      </c>
      <c r="G1897" s="66">
        <v>182.8106203</v>
      </c>
      <c r="H1897" s="8">
        <v>8.724</v>
      </c>
      <c r="J1897" s="26"/>
      <c r="K1897"/>
    </row>
    <row r="1898" spans="1:11">
      <c r="A1898">
        <v>14</v>
      </c>
      <c r="B1898" s="64">
        <v>40473</v>
      </c>
      <c r="C1898" s="2">
        <v>1936621.09</v>
      </c>
      <c r="D1898">
        <v>0</v>
      </c>
      <c r="E1898" s="65">
        <v>53.15</v>
      </c>
      <c r="F1898" s="8">
        <v>2.917</v>
      </c>
      <c r="G1898" s="66">
        <v>182.8558685</v>
      </c>
      <c r="H1898" s="8">
        <v>8.724</v>
      </c>
      <c r="J1898" s="26"/>
      <c r="K1898"/>
    </row>
    <row r="1899" spans="1:11">
      <c r="A1899">
        <v>14</v>
      </c>
      <c r="B1899" s="64">
        <v>40480</v>
      </c>
      <c r="C1899" s="2">
        <v>1984768.34</v>
      </c>
      <c r="D1899">
        <v>0</v>
      </c>
      <c r="E1899" s="65">
        <v>61.3</v>
      </c>
      <c r="F1899" s="8">
        <v>2.921</v>
      </c>
      <c r="G1899" s="66">
        <v>182.9011166</v>
      </c>
      <c r="H1899" s="8">
        <v>8.724</v>
      </c>
      <c r="J1899" s="26"/>
      <c r="K1899"/>
    </row>
    <row r="1900" spans="1:11">
      <c r="A1900">
        <v>14</v>
      </c>
      <c r="B1900" s="64">
        <v>40487</v>
      </c>
      <c r="C1900" s="2">
        <v>2078417.47</v>
      </c>
      <c r="D1900">
        <v>0</v>
      </c>
      <c r="E1900" s="65">
        <v>45.65</v>
      </c>
      <c r="F1900" s="8">
        <v>2.917</v>
      </c>
      <c r="G1900" s="66">
        <v>182.9463648</v>
      </c>
      <c r="H1900" s="8">
        <v>8.724</v>
      </c>
      <c r="J1900" s="26"/>
      <c r="K1900"/>
    </row>
    <row r="1901" spans="1:11">
      <c r="A1901">
        <v>14</v>
      </c>
      <c r="B1901" s="64">
        <v>40494</v>
      </c>
      <c r="C1901" s="2">
        <v>2092189.06</v>
      </c>
      <c r="D1901">
        <v>0</v>
      </c>
      <c r="E1901" s="65">
        <v>46.14</v>
      </c>
      <c r="F1901" s="8">
        <v>2.931</v>
      </c>
      <c r="G1901" s="66">
        <v>182.9916129</v>
      </c>
      <c r="H1901" s="8">
        <v>8.724</v>
      </c>
      <c r="J1901" s="26"/>
      <c r="K1901"/>
    </row>
    <row r="1902" spans="1:11">
      <c r="A1902">
        <v>14</v>
      </c>
      <c r="B1902" s="64">
        <v>40501</v>
      </c>
      <c r="C1902" s="2">
        <v>1968462.58</v>
      </c>
      <c r="D1902">
        <v>0</v>
      </c>
      <c r="E1902" s="65">
        <v>50.02</v>
      </c>
      <c r="F1902" s="8">
        <v>3</v>
      </c>
      <c r="G1902" s="66">
        <v>182.8989385</v>
      </c>
      <c r="H1902" s="8">
        <v>8.724</v>
      </c>
      <c r="J1902" s="26"/>
      <c r="K1902"/>
    </row>
    <row r="1903" spans="1:11">
      <c r="A1903">
        <v>14</v>
      </c>
      <c r="B1903" s="64">
        <v>40508</v>
      </c>
      <c r="C1903" s="2">
        <v>2921709.71</v>
      </c>
      <c r="D1903">
        <v>1</v>
      </c>
      <c r="E1903" s="65">
        <v>46.15</v>
      </c>
      <c r="F1903" s="8">
        <v>3.039</v>
      </c>
      <c r="G1903" s="66">
        <v>182.7832769</v>
      </c>
      <c r="H1903" s="8">
        <v>8.724</v>
      </c>
      <c r="J1903" s="26"/>
      <c r="K1903"/>
    </row>
    <row r="1904" spans="1:11">
      <c r="A1904">
        <v>14</v>
      </c>
      <c r="B1904" s="64">
        <v>40515</v>
      </c>
      <c r="C1904" s="2">
        <v>2258489.63</v>
      </c>
      <c r="D1904">
        <v>0</v>
      </c>
      <c r="E1904" s="65">
        <v>40.93</v>
      </c>
      <c r="F1904" s="8">
        <v>3.046</v>
      </c>
      <c r="G1904" s="66">
        <v>182.6676154</v>
      </c>
      <c r="H1904" s="8">
        <v>8.724</v>
      </c>
      <c r="J1904" s="26"/>
      <c r="K1904"/>
    </row>
    <row r="1905" spans="1:11">
      <c r="A1905">
        <v>14</v>
      </c>
      <c r="B1905" s="64">
        <v>40522</v>
      </c>
      <c r="C1905" s="2">
        <v>2600519.26</v>
      </c>
      <c r="D1905">
        <v>0</v>
      </c>
      <c r="E1905" s="65">
        <v>30.54</v>
      </c>
      <c r="F1905" s="8">
        <v>3.109</v>
      </c>
      <c r="G1905" s="66">
        <v>182.5519538</v>
      </c>
      <c r="H1905" s="8">
        <v>8.724</v>
      </c>
      <c r="J1905" s="26"/>
      <c r="K1905"/>
    </row>
    <row r="1906" spans="1:11">
      <c r="A1906">
        <v>14</v>
      </c>
      <c r="B1906" s="64">
        <v>40529</v>
      </c>
      <c r="C1906" s="2">
        <v>2762861.41</v>
      </c>
      <c r="D1906">
        <v>0</v>
      </c>
      <c r="E1906" s="65">
        <v>30.51</v>
      </c>
      <c r="F1906" s="8">
        <v>3.14</v>
      </c>
      <c r="G1906" s="66">
        <v>182.517732</v>
      </c>
      <c r="H1906" s="8">
        <v>8.724</v>
      </c>
      <c r="J1906" s="26"/>
      <c r="K1906"/>
    </row>
    <row r="1907" spans="1:11">
      <c r="A1907">
        <v>14</v>
      </c>
      <c r="B1907" s="64">
        <v>40536</v>
      </c>
      <c r="C1907" s="2">
        <v>3818686.45</v>
      </c>
      <c r="D1907">
        <v>0</v>
      </c>
      <c r="E1907" s="65">
        <v>30.59</v>
      </c>
      <c r="F1907" s="8">
        <v>3.141</v>
      </c>
      <c r="G1907" s="66">
        <v>182.54459</v>
      </c>
      <c r="H1907" s="8">
        <v>8.724</v>
      </c>
      <c r="J1907" s="26"/>
      <c r="K1907"/>
    </row>
    <row r="1908" spans="1:11">
      <c r="A1908">
        <v>14</v>
      </c>
      <c r="B1908" s="64">
        <v>40543</v>
      </c>
      <c r="C1908" s="2">
        <v>1623716.46</v>
      </c>
      <c r="D1908">
        <v>1</v>
      </c>
      <c r="E1908" s="65">
        <v>29.67</v>
      </c>
      <c r="F1908" s="8">
        <v>3.179</v>
      </c>
      <c r="G1908" s="66">
        <v>182.5714479</v>
      </c>
      <c r="H1908" s="8">
        <v>8.724</v>
      </c>
      <c r="J1908" s="26"/>
      <c r="K1908"/>
    </row>
    <row r="1909" spans="1:11">
      <c r="A1909">
        <v>14</v>
      </c>
      <c r="B1909" s="64">
        <v>40550</v>
      </c>
      <c r="C1909" s="2">
        <v>1864746.1</v>
      </c>
      <c r="D1909">
        <v>0</v>
      </c>
      <c r="E1909" s="65">
        <v>34.32</v>
      </c>
      <c r="F1909" s="8">
        <v>3.193</v>
      </c>
      <c r="G1909" s="66">
        <v>182.5983058</v>
      </c>
      <c r="H1909" s="8">
        <v>8.549</v>
      </c>
      <c r="J1909" s="26"/>
      <c r="K1909"/>
    </row>
    <row r="1910" spans="1:11">
      <c r="A1910">
        <v>14</v>
      </c>
      <c r="B1910" s="64">
        <v>40557</v>
      </c>
      <c r="C1910" s="2">
        <v>1699095.9</v>
      </c>
      <c r="D1910">
        <v>0</v>
      </c>
      <c r="E1910" s="65">
        <v>24.78</v>
      </c>
      <c r="F1910" s="8">
        <v>3.205</v>
      </c>
      <c r="G1910" s="66">
        <v>182.6585782</v>
      </c>
      <c r="H1910" s="8">
        <v>8.549</v>
      </c>
      <c r="J1910" s="26"/>
      <c r="K1910"/>
    </row>
    <row r="1911" spans="1:11">
      <c r="A1911">
        <v>14</v>
      </c>
      <c r="B1911" s="64">
        <v>40564</v>
      </c>
      <c r="C1911" s="2">
        <v>1743188.87</v>
      </c>
      <c r="D1911">
        <v>0</v>
      </c>
      <c r="E1911" s="65">
        <v>30.55</v>
      </c>
      <c r="F1911" s="8">
        <v>3.229</v>
      </c>
      <c r="G1911" s="66">
        <v>182.9193368</v>
      </c>
      <c r="H1911" s="8">
        <v>8.549</v>
      </c>
      <c r="J1911" s="26"/>
      <c r="K1911"/>
    </row>
    <row r="1912" spans="1:11">
      <c r="A1912">
        <v>14</v>
      </c>
      <c r="B1912" s="64">
        <v>40571</v>
      </c>
      <c r="C1912" s="2">
        <v>1613718.38</v>
      </c>
      <c r="D1912">
        <v>0</v>
      </c>
      <c r="E1912" s="65">
        <v>24.05</v>
      </c>
      <c r="F1912" s="8">
        <v>3.237</v>
      </c>
      <c r="G1912" s="66">
        <v>183.1800955</v>
      </c>
      <c r="H1912" s="8">
        <v>8.549</v>
      </c>
      <c r="J1912" s="26"/>
      <c r="K1912"/>
    </row>
    <row r="1913" spans="1:11">
      <c r="A1913">
        <v>14</v>
      </c>
      <c r="B1913" s="64">
        <v>40578</v>
      </c>
      <c r="C1913" s="2">
        <v>1995891.87</v>
      </c>
      <c r="D1913">
        <v>0</v>
      </c>
      <c r="E1913" s="65">
        <v>28.73</v>
      </c>
      <c r="F1913" s="8">
        <v>3.231</v>
      </c>
      <c r="G1913" s="66">
        <v>183.4408542</v>
      </c>
      <c r="H1913" s="8">
        <v>8.549</v>
      </c>
      <c r="J1913" s="26"/>
      <c r="K1913"/>
    </row>
    <row r="1914" spans="1:11">
      <c r="A1914">
        <v>14</v>
      </c>
      <c r="B1914" s="64">
        <v>40585</v>
      </c>
      <c r="C1914" s="2">
        <v>1980405.03</v>
      </c>
      <c r="D1914">
        <v>1</v>
      </c>
      <c r="E1914" s="65">
        <v>30.3</v>
      </c>
      <c r="F1914" s="8">
        <v>3.239</v>
      </c>
      <c r="G1914" s="66">
        <v>183.7016129</v>
      </c>
      <c r="H1914" s="8">
        <v>8.549</v>
      </c>
      <c r="J1914" s="26"/>
      <c r="K1914"/>
    </row>
    <row r="1915" spans="1:11">
      <c r="A1915">
        <v>14</v>
      </c>
      <c r="B1915" s="64">
        <v>40592</v>
      </c>
      <c r="C1915" s="2">
        <v>2019031.67</v>
      </c>
      <c r="D1915">
        <v>0</v>
      </c>
      <c r="E1915" s="65">
        <v>40.7</v>
      </c>
      <c r="F1915" s="8">
        <v>3.245</v>
      </c>
      <c r="G1915" s="66">
        <v>183.9371353</v>
      </c>
      <c r="H1915" s="8">
        <v>8.549</v>
      </c>
      <c r="J1915" s="26"/>
      <c r="K1915"/>
    </row>
    <row r="1916" spans="1:11">
      <c r="A1916">
        <v>14</v>
      </c>
      <c r="B1916" s="64">
        <v>40599</v>
      </c>
      <c r="C1916" s="2">
        <v>1875708.88</v>
      </c>
      <c r="D1916">
        <v>0</v>
      </c>
      <c r="E1916" s="65">
        <v>35.78</v>
      </c>
      <c r="F1916" s="8">
        <v>3.274</v>
      </c>
      <c r="G1916" s="66">
        <v>184.1625632</v>
      </c>
      <c r="H1916" s="8">
        <v>8.549</v>
      </c>
      <c r="J1916" s="26"/>
      <c r="K1916"/>
    </row>
    <row r="1917" spans="1:11">
      <c r="A1917">
        <v>14</v>
      </c>
      <c r="B1917" s="64">
        <v>40606</v>
      </c>
      <c r="C1917" s="2">
        <v>2041215.61</v>
      </c>
      <c r="D1917">
        <v>0</v>
      </c>
      <c r="E1917" s="65">
        <v>38.65</v>
      </c>
      <c r="F1917" s="8">
        <v>3.433</v>
      </c>
      <c r="G1917" s="66">
        <v>184.3879911</v>
      </c>
      <c r="H1917" s="8">
        <v>8.549</v>
      </c>
      <c r="J1917" s="26"/>
      <c r="K1917"/>
    </row>
    <row r="1918" spans="1:11">
      <c r="A1918">
        <v>14</v>
      </c>
      <c r="B1918" s="64">
        <v>40613</v>
      </c>
      <c r="C1918" s="2">
        <v>1931104.67</v>
      </c>
      <c r="D1918">
        <v>0</v>
      </c>
      <c r="E1918" s="65">
        <v>45.01</v>
      </c>
      <c r="F1918" s="8">
        <v>3.582</v>
      </c>
      <c r="G1918" s="66">
        <v>184.613419</v>
      </c>
      <c r="H1918" s="8">
        <v>8.549</v>
      </c>
      <c r="J1918" s="26"/>
      <c r="K1918"/>
    </row>
    <row r="1919" spans="1:11">
      <c r="A1919">
        <v>14</v>
      </c>
      <c r="B1919" s="64">
        <v>40620</v>
      </c>
      <c r="C1919" s="2">
        <v>1932491.42</v>
      </c>
      <c r="D1919">
        <v>0</v>
      </c>
      <c r="E1919" s="65">
        <v>46.66</v>
      </c>
      <c r="F1919" s="8">
        <v>3.631</v>
      </c>
      <c r="G1919" s="66">
        <v>184.809719</v>
      </c>
      <c r="H1919" s="8">
        <v>8.549</v>
      </c>
      <c r="J1919" s="26"/>
      <c r="K1919"/>
    </row>
    <row r="1920" spans="1:11">
      <c r="A1920">
        <v>14</v>
      </c>
      <c r="B1920" s="64">
        <v>40627</v>
      </c>
      <c r="C1920" s="2">
        <v>1879451.23</v>
      </c>
      <c r="D1920">
        <v>0</v>
      </c>
      <c r="E1920" s="65">
        <v>41.76</v>
      </c>
      <c r="F1920" s="8">
        <v>3.625</v>
      </c>
      <c r="G1920" s="66">
        <v>184.9943679</v>
      </c>
      <c r="H1920" s="8">
        <v>8.549</v>
      </c>
      <c r="J1920" s="26"/>
      <c r="K1920"/>
    </row>
    <row r="1921" spans="1:11">
      <c r="A1921">
        <v>14</v>
      </c>
      <c r="B1921" s="64">
        <v>40634</v>
      </c>
      <c r="C1921" s="2">
        <v>1869110.55</v>
      </c>
      <c r="D1921">
        <v>0</v>
      </c>
      <c r="E1921" s="65">
        <v>37.27</v>
      </c>
      <c r="F1921" s="8">
        <v>3.638</v>
      </c>
      <c r="G1921" s="66">
        <v>185.1790167</v>
      </c>
      <c r="H1921" s="8">
        <v>8.521</v>
      </c>
      <c r="J1921" s="26"/>
      <c r="K1921"/>
    </row>
    <row r="1922" spans="1:11">
      <c r="A1922">
        <v>14</v>
      </c>
      <c r="B1922" s="64">
        <v>40641</v>
      </c>
      <c r="C1922" s="2">
        <v>2037798.88</v>
      </c>
      <c r="D1922">
        <v>0</v>
      </c>
      <c r="E1922" s="65">
        <v>48.71</v>
      </c>
      <c r="F1922" s="8">
        <v>3.72</v>
      </c>
      <c r="G1922" s="66">
        <v>185.3636656</v>
      </c>
      <c r="H1922" s="8">
        <v>8.521</v>
      </c>
      <c r="J1922" s="26"/>
      <c r="K1922"/>
    </row>
    <row r="1923" spans="1:11">
      <c r="A1923">
        <v>14</v>
      </c>
      <c r="B1923" s="64">
        <v>40648</v>
      </c>
      <c r="C1923" s="2">
        <v>1974960.86</v>
      </c>
      <c r="D1923">
        <v>0</v>
      </c>
      <c r="E1923" s="65">
        <v>53.69</v>
      </c>
      <c r="F1923" s="8">
        <v>3.821</v>
      </c>
      <c r="G1923" s="66">
        <v>185.5339821</v>
      </c>
      <c r="H1923" s="8">
        <v>8.521</v>
      </c>
      <c r="J1923" s="26"/>
      <c r="K1923"/>
    </row>
    <row r="1924" spans="1:11">
      <c r="A1924">
        <v>14</v>
      </c>
      <c r="B1924" s="64">
        <v>40655</v>
      </c>
      <c r="C1924" s="2">
        <v>2256461.39</v>
      </c>
      <c r="D1924">
        <v>0</v>
      </c>
      <c r="E1924" s="65">
        <v>53.04</v>
      </c>
      <c r="F1924" s="8">
        <v>3.892</v>
      </c>
      <c r="G1924" s="66">
        <v>185.6684673</v>
      </c>
      <c r="H1924" s="8">
        <v>8.521</v>
      </c>
      <c r="J1924" s="26"/>
      <c r="K1924"/>
    </row>
    <row r="1925" spans="1:11">
      <c r="A1925">
        <v>14</v>
      </c>
      <c r="B1925" s="64">
        <v>40662</v>
      </c>
      <c r="C1925" s="2">
        <v>1930617.64</v>
      </c>
      <c r="D1925">
        <v>0</v>
      </c>
      <c r="E1925" s="65">
        <v>66.18</v>
      </c>
      <c r="F1925" s="8">
        <v>3.962</v>
      </c>
      <c r="G1925" s="66">
        <v>185.8029526</v>
      </c>
      <c r="H1925" s="8">
        <v>8.521</v>
      </c>
      <c r="J1925" s="26"/>
      <c r="K1925"/>
    </row>
    <row r="1926" spans="1:11">
      <c r="A1926">
        <v>14</v>
      </c>
      <c r="B1926" s="64">
        <v>40669</v>
      </c>
      <c r="C1926" s="2">
        <v>2095599.93</v>
      </c>
      <c r="D1926">
        <v>0</v>
      </c>
      <c r="E1926" s="65">
        <v>58.21</v>
      </c>
      <c r="F1926" s="8">
        <v>4.046</v>
      </c>
      <c r="G1926" s="66">
        <v>185.9374378</v>
      </c>
      <c r="H1926" s="8">
        <v>8.521</v>
      </c>
      <c r="J1926" s="26"/>
      <c r="K1926"/>
    </row>
    <row r="1927" spans="1:11">
      <c r="A1927">
        <v>14</v>
      </c>
      <c r="B1927" s="64">
        <v>40676</v>
      </c>
      <c r="C1927" s="2">
        <v>2004330.3</v>
      </c>
      <c r="D1927">
        <v>0</v>
      </c>
      <c r="E1927" s="65">
        <v>60.38</v>
      </c>
      <c r="F1927" s="8">
        <v>4.066</v>
      </c>
      <c r="G1927" s="66">
        <v>186.0719231</v>
      </c>
      <c r="H1927" s="8">
        <v>8.521</v>
      </c>
      <c r="J1927" s="26"/>
      <c r="K1927"/>
    </row>
    <row r="1928" spans="1:11">
      <c r="A1928">
        <v>14</v>
      </c>
      <c r="B1928" s="64">
        <v>40683</v>
      </c>
      <c r="C1928" s="2">
        <v>1959967.8</v>
      </c>
      <c r="D1928">
        <v>0</v>
      </c>
      <c r="E1928" s="65">
        <v>62.28</v>
      </c>
      <c r="F1928" s="8">
        <v>4.062</v>
      </c>
      <c r="G1928" s="66">
        <v>185.9661154</v>
      </c>
      <c r="H1928" s="8">
        <v>8.521</v>
      </c>
      <c r="J1928" s="26"/>
      <c r="K1928"/>
    </row>
    <row r="1929" spans="1:11">
      <c r="A1929">
        <v>14</v>
      </c>
      <c r="B1929" s="64">
        <v>40690</v>
      </c>
      <c r="C1929" s="2">
        <v>2080694.24</v>
      </c>
      <c r="D1929">
        <v>0</v>
      </c>
      <c r="E1929" s="65">
        <v>69.7</v>
      </c>
      <c r="F1929" s="8">
        <v>3.985</v>
      </c>
      <c r="G1929" s="66">
        <v>185.8603077</v>
      </c>
      <c r="H1929" s="8">
        <v>8.521</v>
      </c>
      <c r="J1929" s="26"/>
      <c r="K1929"/>
    </row>
    <row r="1930" spans="1:11">
      <c r="A1930">
        <v>14</v>
      </c>
      <c r="B1930" s="64">
        <v>40697</v>
      </c>
      <c r="C1930" s="2">
        <v>2079899.47</v>
      </c>
      <c r="D1930">
        <v>0</v>
      </c>
      <c r="E1930" s="65">
        <v>76.38</v>
      </c>
      <c r="F1930" s="8">
        <v>3.922</v>
      </c>
      <c r="G1930" s="66">
        <v>185.7545</v>
      </c>
      <c r="H1930" s="8">
        <v>8.521</v>
      </c>
      <c r="J1930" s="26"/>
      <c r="K1930"/>
    </row>
    <row r="1931" spans="1:11">
      <c r="A1931">
        <v>14</v>
      </c>
      <c r="B1931" s="64">
        <v>40704</v>
      </c>
      <c r="C1931" s="2">
        <v>2132446</v>
      </c>
      <c r="D1931">
        <v>0</v>
      </c>
      <c r="E1931" s="65">
        <v>73.88</v>
      </c>
      <c r="F1931" s="8">
        <v>3.881</v>
      </c>
      <c r="G1931" s="66">
        <v>185.6486923</v>
      </c>
      <c r="H1931" s="8">
        <v>8.521</v>
      </c>
      <c r="J1931" s="26"/>
      <c r="K1931"/>
    </row>
    <row r="1932" spans="1:11">
      <c r="A1932">
        <v>14</v>
      </c>
      <c r="B1932" s="64">
        <v>40711</v>
      </c>
      <c r="C1932" s="2">
        <v>2082083.34</v>
      </c>
      <c r="D1932">
        <v>0</v>
      </c>
      <c r="E1932" s="65">
        <v>69.32</v>
      </c>
      <c r="F1932" s="8">
        <v>3.842</v>
      </c>
      <c r="G1932" s="66">
        <v>185.6719333</v>
      </c>
      <c r="H1932" s="8">
        <v>8.521</v>
      </c>
      <c r="J1932" s="26"/>
      <c r="K1932"/>
    </row>
    <row r="1933" spans="1:11">
      <c r="A1933">
        <v>14</v>
      </c>
      <c r="B1933" s="64">
        <v>40718</v>
      </c>
      <c r="C1933" s="2">
        <v>2069523.52</v>
      </c>
      <c r="D1933">
        <v>0</v>
      </c>
      <c r="E1933" s="65">
        <v>74.85</v>
      </c>
      <c r="F1933" s="8">
        <v>3.804</v>
      </c>
      <c r="G1933" s="66">
        <v>185.7919609</v>
      </c>
      <c r="H1933" s="8">
        <v>8.521</v>
      </c>
      <c r="J1933" s="26"/>
      <c r="K1933"/>
    </row>
    <row r="1934" spans="1:11">
      <c r="A1934">
        <v>14</v>
      </c>
      <c r="B1934" s="64">
        <v>40725</v>
      </c>
      <c r="C1934" s="2">
        <v>2074668.19</v>
      </c>
      <c r="D1934">
        <v>0</v>
      </c>
      <c r="E1934" s="65">
        <v>74.04</v>
      </c>
      <c r="F1934" s="8">
        <v>3.748</v>
      </c>
      <c r="G1934" s="66">
        <v>185.9119885</v>
      </c>
      <c r="H1934" s="8">
        <v>8.625</v>
      </c>
      <c r="J1934" s="26"/>
      <c r="K1934"/>
    </row>
    <row r="1935" spans="1:11">
      <c r="A1935">
        <v>14</v>
      </c>
      <c r="B1935" s="64">
        <v>40732</v>
      </c>
      <c r="C1935" s="2">
        <v>2063401.06</v>
      </c>
      <c r="D1935">
        <v>0</v>
      </c>
      <c r="E1935" s="65">
        <v>77.49</v>
      </c>
      <c r="F1935" s="8">
        <v>3.711</v>
      </c>
      <c r="G1935" s="66">
        <v>186.032016</v>
      </c>
      <c r="H1935" s="8">
        <v>8.625</v>
      </c>
      <c r="J1935" s="26"/>
      <c r="K1935"/>
    </row>
    <row r="1936" spans="1:11">
      <c r="A1936">
        <v>14</v>
      </c>
      <c r="B1936" s="64">
        <v>40739</v>
      </c>
      <c r="C1936" s="2">
        <v>1953544.76</v>
      </c>
      <c r="D1936">
        <v>0</v>
      </c>
      <c r="E1936" s="65">
        <v>78.47</v>
      </c>
      <c r="F1936" s="8">
        <v>3.76</v>
      </c>
      <c r="G1936" s="66">
        <v>186.1399808</v>
      </c>
      <c r="H1936" s="8">
        <v>8.625</v>
      </c>
      <c r="J1936" s="26"/>
      <c r="K1936"/>
    </row>
    <row r="1937" spans="1:11">
      <c r="A1937">
        <v>14</v>
      </c>
      <c r="B1937" s="64">
        <v>40746</v>
      </c>
      <c r="C1937" s="2">
        <v>1882070.88</v>
      </c>
      <c r="D1937">
        <v>0</v>
      </c>
      <c r="E1937" s="65">
        <v>82.33</v>
      </c>
      <c r="F1937" s="8">
        <v>3.811</v>
      </c>
      <c r="G1937" s="66">
        <v>186.2177885</v>
      </c>
      <c r="H1937" s="8">
        <v>8.625</v>
      </c>
      <c r="J1937" s="26"/>
      <c r="K1937"/>
    </row>
    <row r="1938" spans="1:11">
      <c r="A1938">
        <v>14</v>
      </c>
      <c r="B1938" s="64">
        <v>40753</v>
      </c>
      <c r="C1938" s="2">
        <v>1871021.01</v>
      </c>
      <c r="D1938">
        <v>0</v>
      </c>
      <c r="E1938" s="65">
        <v>81.31</v>
      </c>
      <c r="F1938" s="8">
        <v>3.829</v>
      </c>
      <c r="G1938" s="66">
        <v>186.2955962</v>
      </c>
      <c r="H1938" s="8">
        <v>8.625</v>
      </c>
      <c r="J1938" s="26"/>
      <c r="K1938"/>
    </row>
    <row r="1939" spans="1:11">
      <c r="A1939">
        <v>14</v>
      </c>
      <c r="B1939" s="64">
        <v>40760</v>
      </c>
      <c r="C1939" s="2">
        <v>2066020.69</v>
      </c>
      <c r="D1939">
        <v>0</v>
      </c>
      <c r="E1939" s="65">
        <v>78.22</v>
      </c>
      <c r="F1939" s="8">
        <v>3.842</v>
      </c>
      <c r="G1939" s="66">
        <v>186.3734038</v>
      </c>
      <c r="H1939" s="8">
        <v>8.625</v>
      </c>
      <c r="J1939" s="26"/>
      <c r="K1939"/>
    </row>
    <row r="1940" spans="1:11">
      <c r="A1940">
        <v>14</v>
      </c>
      <c r="B1940" s="64">
        <v>40767</v>
      </c>
      <c r="C1940" s="2">
        <v>1928773.82</v>
      </c>
      <c r="D1940">
        <v>0</v>
      </c>
      <c r="E1940" s="65">
        <v>77</v>
      </c>
      <c r="F1940" s="8">
        <v>3.812</v>
      </c>
      <c r="G1940" s="66">
        <v>186.4512115</v>
      </c>
      <c r="H1940" s="8">
        <v>8.625</v>
      </c>
      <c r="J1940" s="26"/>
      <c r="K1940"/>
    </row>
    <row r="1941" spans="1:11">
      <c r="A1941">
        <v>14</v>
      </c>
      <c r="B1941" s="64">
        <v>40774</v>
      </c>
      <c r="C1941" s="2">
        <v>1896873.99</v>
      </c>
      <c r="D1941">
        <v>0</v>
      </c>
      <c r="E1941" s="65">
        <v>72.98</v>
      </c>
      <c r="F1941" s="8">
        <v>3.747</v>
      </c>
      <c r="G1941" s="66">
        <v>186.5093071</v>
      </c>
      <c r="H1941" s="8">
        <v>8.625</v>
      </c>
      <c r="J1941" s="26"/>
      <c r="K1941"/>
    </row>
    <row r="1942" spans="1:11">
      <c r="A1942">
        <v>14</v>
      </c>
      <c r="B1942" s="64">
        <v>40781</v>
      </c>
      <c r="C1942" s="2">
        <v>2273470.62</v>
      </c>
      <c r="D1942">
        <v>0</v>
      </c>
      <c r="E1942" s="65">
        <v>72.55</v>
      </c>
      <c r="F1942" s="8">
        <v>3.704</v>
      </c>
      <c r="G1942" s="66">
        <v>186.5641172</v>
      </c>
      <c r="H1942" s="8">
        <v>8.625</v>
      </c>
      <c r="J1942" s="26"/>
      <c r="K1942"/>
    </row>
    <row r="1943" spans="1:11">
      <c r="A1943">
        <v>14</v>
      </c>
      <c r="B1943" s="64">
        <v>40788</v>
      </c>
      <c r="C1943" s="2">
        <v>1750891.47</v>
      </c>
      <c r="D1943">
        <v>0</v>
      </c>
      <c r="E1943" s="65">
        <v>70.63</v>
      </c>
      <c r="F1943" s="8">
        <v>3.703</v>
      </c>
      <c r="G1943" s="66">
        <v>186.6189274</v>
      </c>
      <c r="H1943" s="8">
        <v>8.625</v>
      </c>
      <c r="J1943" s="26"/>
      <c r="K1943"/>
    </row>
    <row r="1944" spans="1:11">
      <c r="A1944">
        <v>14</v>
      </c>
      <c r="B1944" s="64">
        <v>40795</v>
      </c>
      <c r="C1944" s="2">
        <v>2202742.9</v>
      </c>
      <c r="D1944">
        <v>1</v>
      </c>
      <c r="E1944" s="65">
        <v>71.48</v>
      </c>
      <c r="F1944" s="8">
        <v>3.738</v>
      </c>
      <c r="G1944" s="66">
        <v>186.6737376</v>
      </c>
      <c r="H1944" s="8">
        <v>8.625</v>
      </c>
      <c r="J1944" s="26"/>
      <c r="K1944"/>
    </row>
    <row r="1945" spans="1:11">
      <c r="A1945">
        <v>14</v>
      </c>
      <c r="B1945" s="64">
        <v>40802</v>
      </c>
      <c r="C1945" s="2">
        <v>1864637.89</v>
      </c>
      <c r="D1945">
        <v>0</v>
      </c>
      <c r="E1945" s="65">
        <v>69.17</v>
      </c>
      <c r="F1945" s="8">
        <v>3.742</v>
      </c>
      <c r="G1945" s="66">
        <v>186.8024</v>
      </c>
      <c r="H1945" s="8">
        <v>8.625</v>
      </c>
      <c r="J1945" s="26"/>
      <c r="K1945"/>
    </row>
    <row r="1946" spans="1:11">
      <c r="A1946">
        <v>14</v>
      </c>
      <c r="B1946" s="64">
        <v>40809</v>
      </c>
      <c r="C1946" s="2">
        <v>1871555.64</v>
      </c>
      <c r="D1946">
        <v>0</v>
      </c>
      <c r="E1946" s="65">
        <v>63.75</v>
      </c>
      <c r="F1946" s="8">
        <v>3.711</v>
      </c>
      <c r="G1946" s="66">
        <v>187.0295321</v>
      </c>
      <c r="H1946" s="8">
        <v>8.625</v>
      </c>
      <c r="J1946" s="26"/>
      <c r="K1946"/>
    </row>
    <row r="1947" spans="1:11">
      <c r="A1947">
        <v>14</v>
      </c>
      <c r="B1947" s="64">
        <v>40816</v>
      </c>
      <c r="C1947" s="2">
        <v>1809989.29</v>
      </c>
      <c r="D1947">
        <v>0</v>
      </c>
      <c r="E1947" s="65">
        <v>70.66</v>
      </c>
      <c r="F1947" s="8">
        <v>3.645</v>
      </c>
      <c r="G1947" s="66">
        <v>187.2566641</v>
      </c>
      <c r="H1947" s="8">
        <v>8.625</v>
      </c>
      <c r="J1947" s="26"/>
      <c r="K1947"/>
    </row>
    <row r="1948" spans="1:11">
      <c r="A1948">
        <v>14</v>
      </c>
      <c r="B1948" s="64">
        <v>40823</v>
      </c>
      <c r="C1948" s="2">
        <v>2078796.76</v>
      </c>
      <c r="D1948">
        <v>0</v>
      </c>
      <c r="E1948" s="65">
        <v>55.82</v>
      </c>
      <c r="F1948" s="8">
        <v>3.583</v>
      </c>
      <c r="G1948" s="66">
        <v>187.4837962</v>
      </c>
      <c r="H1948" s="8">
        <v>8.523</v>
      </c>
      <c r="J1948" s="26"/>
      <c r="K1948"/>
    </row>
    <row r="1949" spans="1:11">
      <c r="A1949">
        <v>14</v>
      </c>
      <c r="B1949" s="64">
        <v>40830</v>
      </c>
      <c r="C1949" s="2">
        <v>1890870.75</v>
      </c>
      <c r="D1949">
        <v>0</v>
      </c>
      <c r="E1949" s="65">
        <v>63.82</v>
      </c>
      <c r="F1949" s="8">
        <v>3.541</v>
      </c>
      <c r="G1949" s="66">
        <v>187.6917481</v>
      </c>
      <c r="H1949" s="8">
        <v>8.523</v>
      </c>
      <c r="J1949" s="26"/>
      <c r="K1949"/>
    </row>
    <row r="1950" spans="1:11">
      <c r="A1950">
        <v>14</v>
      </c>
      <c r="B1950" s="64">
        <v>40837</v>
      </c>
      <c r="C1950" s="2">
        <v>2009004.59</v>
      </c>
      <c r="D1950">
        <v>0</v>
      </c>
      <c r="E1950" s="65">
        <v>59.6</v>
      </c>
      <c r="F1950" s="8">
        <v>3.57</v>
      </c>
      <c r="G1950" s="66">
        <v>187.7846197</v>
      </c>
      <c r="H1950" s="8">
        <v>8.523</v>
      </c>
      <c r="J1950" s="26"/>
      <c r="K1950"/>
    </row>
    <row r="1951" spans="1:11">
      <c r="A1951">
        <v>14</v>
      </c>
      <c r="B1951" s="64">
        <v>40844</v>
      </c>
      <c r="C1951" s="2">
        <v>2056846.12</v>
      </c>
      <c r="D1951">
        <v>0</v>
      </c>
      <c r="E1951" s="65">
        <v>51.78</v>
      </c>
      <c r="F1951" s="8">
        <v>3.569</v>
      </c>
      <c r="G1951" s="66">
        <v>187.8774913</v>
      </c>
      <c r="H1951" s="8">
        <v>8.523</v>
      </c>
      <c r="J1951" s="26"/>
      <c r="K1951"/>
    </row>
    <row r="1952" spans="1:11">
      <c r="A1952">
        <v>14</v>
      </c>
      <c r="B1952" s="64">
        <v>40851</v>
      </c>
      <c r="C1952" s="2">
        <v>2174056.71</v>
      </c>
      <c r="D1952">
        <v>0</v>
      </c>
      <c r="E1952" s="65">
        <v>43.92</v>
      </c>
      <c r="F1952" s="8">
        <v>3.551</v>
      </c>
      <c r="G1952" s="66">
        <v>187.9703629</v>
      </c>
      <c r="H1952" s="8">
        <v>8.523</v>
      </c>
      <c r="J1952" s="26"/>
      <c r="K1952"/>
    </row>
    <row r="1953" spans="1:11">
      <c r="A1953">
        <v>14</v>
      </c>
      <c r="B1953" s="64">
        <v>40858</v>
      </c>
      <c r="C1953" s="2">
        <v>2081534.65</v>
      </c>
      <c r="D1953">
        <v>0</v>
      </c>
      <c r="E1953" s="65">
        <v>47.65</v>
      </c>
      <c r="F1953" s="8">
        <v>3.53</v>
      </c>
      <c r="G1953" s="66">
        <v>188.0632345</v>
      </c>
      <c r="H1953" s="8">
        <v>8.523</v>
      </c>
      <c r="J1953" s="26"/>
      <c r="K1953"/>
    </row>
    <row r="1954" spans="1:11">
      <c r="A1954">
        <v>14</v>
      </c>
      <c r="B1954" s="64">
        <v>40865</v>
      </c>
      <c r="C1954" s="2">
        <v>1969360.72</v>
      </c>
      <c r="D1954">
        <v>0</v>
      </c>
      <c r="E1954" s="65">
        <v>51.34</v>
      </c>
      <c r="F1954" s="8">
        <v>3.53</v>
      </c>
      <c r="G1954" s="66">
        <v>188.1983654</v>
      </c>
      <c r="H1954" s="8">
        <v>8.523</v>
      </c>
      <c r="J1954" s="26"/>
      <c r="K1954"/>
    </row>
    <row r="1955" spans="1:11">
      <c r="A1955">
        <v>14</v>
      </c>
      <c r="B1955" s="64">
        <v>40872</v>
      </c>
      <c r="C1955" s="2">
        <v>2685351.81</v>
      </c>
      <c r="D1955">
        <v>1</v>
      </c>
      <c r="E1955" s="65">
        <v>48.71</v>
      </c>
      <c r="F1955" s="8">
        <v>3.492</v>
      </c>
      <c r="G1955" s="66">
        <v>188.3504</v>
      </c>
      <c r="H1955" s="8">
        <v>8.523</v>
      </c>
      <c r="J1955" s="26"/>
      <c r="K1955"/>
    </row>
    <row r="1956" spans="1:11">
      <c r="A1956">
        <v>14</v>
      </c>
      <c r="B1956" s="64">
        <v>40879</v>
      </c>
      <c r="C1956" s="2">
        <v>2143080.57</v>
      </c>
      <c r="D1956">
        <v>0</v>
      </c>
      <c r="E1956" s="65">
        <v>50.19</v>
      </c>
      <c r="F1956" s="8">
        <v>3.452</v>
      </c>
      <c r="G1956" s="66">
        <v>188.5024346</v>
      </c>
      <c r="H1956" s="8">
        <v>8.523</v>
      </c>
      <c r="J1956" s="26"/>
      <c r="K1956"/>
    </row>
    <row r="1957" spans="1:11">
      <c r="A1957">
        <v>14</v>
      </c>
      <c r="B1957" s="64">
        <v>40886</v>
      </c>
      <c r="C1957" s="2">
        <v>2470581.29</v>
      </c>
      <c r="D1957">
        <v>0</v>
      </c>
      <c r="E1957" s="65">
        <v>46.57</v>
      </c>
      <c r="F1957" s="8">
        <v>3.415</v>
      </c>
      <c r="G1957" s="66">
        <v>188.6544692</v>
      </c>
      <c r="H1957" s="8">
        <v>8.523</v>
      </c>
      <c r="J1957" s="26"/>
      <c r="K1957"/>
    </row>
    <row r="1958" spans="1:11">
      <c r="A1958">
        <v>14</v>
      </c>
      <c r="B1958" s="64">
        <v>40893</v>
      </c>
      <c r="C1958" s="2">
        <v>2594363.09</v>
      </c>
      <c r="D1958">
        <v>0</v>
      </c>
      <c r="E1958" s="65">
        <v>39.93</v>
      </c>
      <c r="F1958" s="8">
        <v>3.413</v>
      </c>
      <c r="G1958" s="66">
        <v>188.7979349</v>
      </c>
      <c r="H1958" s="8">
        <v>8.523</v>
      </c>
      <c r="J1958" s="26"/>
      <c r="K1958"/>
    </row>
    <row r="1959" spans="1:11">
      <c r="A1959">
        <v>14</v>
      </c>
      <c r="B1959" s="64">
        <v>40900</v>
      </c>
      <c r="C1959" s="2">
        <v>3369068.99</v>
      </c>
      <c r="D1959">
        <v>0</v>
      </c>
      <c r="E1959" s="65">
        <v>42.27</v>
      </c>
      <c r="F1959" s="8">
        <v>3.389</v>
      </c>
      <c r="G1959" s="66">
        <v>188.9299752</v>
      </c>
      <c r="H1959" s="8">
        <v>8.523</v>
      </c>
      <c r="J1959" s="26"/>
      <c r="K1959"/>
    </row>
    <row r="1960" spans="1:11">
      <c r="A1960">
        <v>14</v>
      </c>
      <c r="B1960" s="64">
        <v>40907</v>
      </c>
      <c r="C1960" s="2">
        <v>1914148.89</v>
      </c>
      <c r="D1960">
        <v>1</v>
      </c>
      <c r="E1960" s="65">
        <v>37.79</v>
      </c>
      <c r="F1960" s="8">
        <v>3.389</v>
      </c>
      <c r="G1960" s="66">
        <v>189.0620155</v>
      </c>
      <c r="H1960" s="8">
        <v>8.523</v>
      </c>
      <c r="J1960" s="26"/>
      <c r="K1960"/>
    </row>
    <row r="1961" spans="1:11">
      <c r="A1961">
        <v>14</v>
      </c>
      <c r="B1961" s="64">
        <v>40914</v>
      </c>
      <c r="C1961" s="2">
        <v>1859144.96</v>
      </c>
      <c r="D1961">
        <v>0</v>
      </c>
      <c r="E1961" s="65">
        <v>35.88</v>
      </c>
      <c r="F1961" s="8">
        <v>3.422</v>
      </c>
      <c r="G1961" s="66">
        <v>189.1940558</v>
      </c>
      <c r="H1961" s="8">
        <v>8.424</v>
      </c>
      <c r="J1961" s="26"/>
      <c r="K1961"/>
    </row>
    <row r="1962" spans="1:11">
      <c r="A1962">
        <v>14</v>
      </c>
      <c r="B1962" s="64">
        <v>40921</v>
      </c>
      <c r="C1962" s="2">
        <v>1696248.27</v>
      </c>
      <c r="D1962">
        <v>0</v>
      </c>
      <c r="E1962" s="65">
        <v>41.18</v>
      </c>
      <c r="F1962" s="8">
        <v>3.513</v>
      </c>
      <c r="G1962" s="66">
        <v>189.3260962</v>
      </c>
      <c r="H1962" s="8">
        <v>8.424</v>
      </c>
      <c r="J1962" s="26"/>
      <c r="K1962"/>
    </row>
    <row r="1963" spans="1:11">
      <c r="A1963">
        <v>14</v>
      </c>
      <c r="B1963" s="64">
        <v>40928</v>
      </c>
      <c r="C1963" s="2">
        <v>1789113.32</v>
      </c>
      <c r="D1963">
        <v>0</v>
      </c>
      <c r="E1963" s="65">
        <v>31.85</v>
      </c>
      <c r="F1963" s="8">
        <v>3.533</v>
      </c>
      <c r="G1963" s="66">
        <v>189.4214733</v>
      </c>
      <c r="H1963" s="8">
        <v>8.424</v>
      </c>
      <c r="J1963" s="26"/>
      <c r="K1963"/>
    </row>
    <row r="1964" spans="1:11">
      <c r="A1964">
        <v>14</v>
      </c>
      <c r="B1964" s="64">
        <v>40935</v>
      </c>
      <c r="C1964" s="2">
        <v>1595362.27</v>
      </c>
      <c r="D1964">
        <v>0</v>
      </c>
      <c r="E1964" s="65">
        <v>37.93</v>
      </c>
      <c r="F1964" s="8">
        <v>3.567</v>
      </c>
      <c r="G1964" s="66">
        <v>189.5168505</v>
      </c>
      <c r="H1964" s="8">
        <v>8.424</v>
      </c>
      <c r="J1964" s="26"/>
      <c r="K1964"/>
    </row>
    <row r="1965" spans="1:11">
      <c r="A1965">
        <v>14</v>
      </c>
      <c r="B1965" s="64">
        <v>40942</v>
      </c>
      <c r="C1965" s="2">
        <v>1877410.36</v>
      </c>
      <c r="D1965">
        <v>0</v>
      </c>
      <c r="E1965" s="65">
        <v>42.96</v>
      </c>
      <c r="F1965" s="8">
        <v>3.617</v>
      </c>
      <c r="G1965" s="66">
        <v>189.6122277</v>
      </c>
      <c r="H1965" s="8">
        <v>8.424</v>
      </c>
      <c r="J1965" s="26"/>
      <c r="K1965"/>
    </row>
    <row r="1966" spans="1:11">
      <c r="A1966">
        <v>14</v>
      </c>
      <c r="B1966" s="64">
        <v>40949</v>
      </c>
      <c r="C1966" s="2">
        <v>2077256.24</v>
      </c>
      <c r="D1966">
        <v>1</v>
      </c>
      <c r="E1966" s="65">
        <v>37</v>
      </c>
      <c r="F1966" s="8">
        <v>3.64</v>
      </c>
      <c r="G1966" s="66">
        <v>189.7076048</v>
      </c>
      <c r="H1966" s="8">
        <v>8.424</v>
      </c>
      <c r="J1966" s="26"/>
      <c r="K1966"/>
    </row>
    <row r="1967" spans="1:11">
      <c r="A1967">
        <v>14</v>
      </c>
      <c r="B1967" s="64">
        <v>40956</v>
      </c>
      <c r="C1967" s="2">
        <v>2020550.99</v>
      </c>
      <c r="D1967">
        <v>0</v>
      </c>
      <c r="E1967" s="65">
        <v>36.85</v>
      </c>
      <c r="F1967" s="8">
        <v>3.695</v>
      </c>
      <c r="G1967" s="66">
        <v>189.8424834</v>
      </c>
      <c r="H1967" s="8">
        <v>8.424</v>
      </c>
      <c r="J1967" s="26"/>
      <c r="K1967"/>
    </row>
    <row r="1968" spans="1:11">
      <c r="A1968">
        <v>14</v>
      </c>
      <c r="B1968" s="64">
        <v>40963</v>
      </c>
      <c r="C1968" s="2">
        <v>1875040.16</v>
      </c>
      <c r="D1968">
        <v>0</v>
      </c>
      <c r="E1968" s="65">
        <v>42.86</v>
      </c>
      <c r="F1968" s="8">
        <v>3.739</v>
      </c>
      <c r="G1968" s="66">
        <v>190.0069881</v>
      </c>
      <c r="H1968" s="8">
        <v>8.424</v>
      </c>
      <c r="J1968" s="26"/>
      <c r="K1968"/>
    </row>
    <row r="1969" spans="1:11">
      <c r="A1969">
        <v>14</v>
      </c>
      <c r="B1969" s="64">
        <v>40970</v>
      </c>
      <c r="C1969" s="2">
        <v>1926004.99</v>
      </c>
      <c r="D1969">
        <v>0</v>
      </c>
      <c r="E1969" s="65">
        <v>41.55</v>
      </c>
      <c r="F1969" s="8">
        <v>3.816</v>
      </c>
      <c r="G1969" s="66">
        <v>190.1714927</v>
      </c>
      <c r="H1969" s="8">
        <v>8.424</v>
      </c>
      <c r="J1969" s="26"/>
      <c r="K1969"/>
    </row>
    <row r="1970" spans="1:11">
      <c r="A1970">
        <v>14</v>
      </c>
      <c r="B1970" s="64">
        <v>40977</v>
      </c>
      <c r="C1970" s="2">
        <v>2020839.31</v>
      </c>
      <c r="D1970">
        <v>0</v>
      </c>
      <c r="E1970" s="65">
        <v>45.52</v>
      </c>
      <c r="F1970" s="8">
        <v>3.848</v>
      </c>
      <c r="G1970" s="66">
        <v>190.3359973</v>
      </c>
      <c r="H1970" s="8">
        <v>8.424</v>
      </c>
      <c r="J1970" s="26"/>
      <c r="K1970"/>
    </row>
    <row r="1971" spans="1:11">
      <c r="A1971">
        <v>14</v>
      </c>
      <c r="B1971" s="64">
        <v>40984</v>
      </c>
      <c r="C1971" s="2">
        <v>1941040.5</v>
      </c>
      <c r="D1971">
        <v>0</v>
      </c>
      <c r="E1971" s="65">
        <v>50.56</v>
      </c>
      <c r="F1971" s="8">
        <v>3.862</v>
      </c>
      <c r="G1971" s="66">
        <v>190.4618964</v>
      </c>
      <c r="H1971" s="8">
        <v>8.424</v>
      </c>
      <c r="J1971" s="26"/>
      <c r="K1971"/>
    </row>
    <row r="1972" spans="1:11">
      <c r="A1972">
        <v>14</v>
      </c>
      <c r="B1972" s="64">
        <v>40991</v>
      </c>
      <c r="C1972" s="2">
        <v>1893447.71</v>
      </c>
      <c r="D1972">
        <v>0</v>
      </c>
      <c r="E1972" s="65">
        <v>59.45</v>
      </c>
      <c r="F1972" s="8">
        <v>3.9</v>
      </c>
      <c r="G1972" s="66">
        <v>190.5363213</v>
      </c>
      <c r="H1972" s="8">
        <v>8.424</v>
      </c>
      <c r="J1972" s="26"/>
      <c r="K1972"/>
    </row>
    <row r="1973" spans="1:11">
      <c r="A1973">
        <v>14</v>
      </c>
      <c r="B1973" s="64">
        <v>40998</v>
      </c>
      <c r="C1973" s="2">
        <v>1905033.01</v>
      </c>
      <c r="D1973">
        <v>0</v>
      </c>
      <c r="E1973" s="65">
        <v>50.04</v>
      </c>
      <c r="F1973" s="8">
        <v>3.953</v>
      </c>
      <c r="G1973" s="66">
        <v>190.6107463</v>
      </c>
      <c r="H1973" s="8">
        <v>8.424</v>
      </c>
      <c r="J1973" s="26"/>
      <c r="K1973"/>
    </row>
    <row r="1974" spans="1:11">
      <c r="A1974">
        <v>14</v>
      </c>
      <c r="B1974" s="64">
        <v>41005</v>
      </c>
      <c r="C1974" s="2">
        <v>2376022.26</v>
      </c>
      <c r="D1974">
        <v>0</v>
      </c>
      <c r="E1974" s="65">
        <v>49.73</v>
      </c>
      <c r="F1974" s="8">
        <v>3.996</v>
      </c>
      <c r="G1974" s="66">
        <v>190.6851712</v>
      </c>
      <c r="H1974" s="8">
        <v>8.567</v>
      </c>
      <c r="J1974" s="26"/>
      <c r="K1974"/>
    </row>
    <row r="1975" spans="1:11">
      <c r="A1975">
        <v>14</v>
      </c>
      <c r="B1975" s="64">
        <v>41012</v>
      </c>
      <c r="C1975" s="2">
        <v>1912909.69</v>
      </c>
      <c r="D1975">
        <v>0</v>
      </c>
      <c r="E1975" s="65">
        <v>51.83</v>
      </c>
      <c r="F1975" s="8">
        <v>4.044</v>
      </c>
      <c r="G1975" s="66">
        <v>190.7595962</v>
      </c>
      <c r="H1975" s="8">
        <v>8.567</v>
      </c>
      <c r="J1975" s="26"/>
      <c r="K1975"/>
    </row>
    <row r="1976" spans="1:11">
      <c r="A1976">
        <v>14</v>
      </c>
      <c r="B1976" s="64">
        <v>41019</v>
      </c>
      <c r="C1976" s="2">
        <v>1875686.44</v>
      </c>
      <c r="D1976">
        <v>0</v>
      </c>
      <c r="E1976" s="65">
        <v>63.13</v>
      </c>
      <c r="F1976" s="8">
        <v>4.027</v>
      </c>
      <c r="G1976" s="66">
        <v>190.8138013</v>
      </c>
      <c r="H1976" s="8">
        <v>8.567</v>
      </c>
      <c r="J1976" s="26"/>
      <c r="K1976"/>
    </row>
    <row r="1977" spans="1:11">
      <c r="A1977">
        <v>14</v>
      </c>
      <c r="B1977" s="64">
        <v>41026</v>
      </c>
      <c r="C1977" s="2">
        <v>1784029.95</v>
      </c>
      <c r="D1977">
        <v>0</v>
      </c>
      <c r="E1977" s="65">
        <v>53.2</v>
      </c>
      <c r="F1977" s="8">
        <v>4.004</v>
      </c>
      <c r="G1977" s="66">
        <v>190.8680064</v>
      </c>
      <c r="H1977" s="8">
        <v>8.567</v>
      </c>
      <c r="J1977" s="26"/>
      <c r="K1977"/>
    </row>
    <row r="1978" spans="1:11">
      <c r="A1978">
        <v>14</v>
      </c>
      <c r="B1978" s="64">
        <v>41033</v>
      </c>
      <c r="C1978" s="2">
        <v>1949354.29</v>
      </c>
      <c r="D1978">
        <v>0</v>
      </c>
      <c r="E1978" s="65">
        <v>55.21</v>
      </c>
      <c r="F1978" s="8">
        <v>3.951</v>
      </c>
      <c r="G1978" s="66">
        <v>190.9222115</v>
      </c>
      <c r="H1978" s="8">
        <v>8.567</v>
      </c>
      <c r="J1978" s="26"/>
      <c r="K1978"/>
    </row>
    <row r="1979" spans="1:11">
      <c r="A1979">
        <v>14</v>
      </c>
      <c r="B1979" s="64">
        <v>41040</v>
      </c>
      <c r="C1979" s="2">
        <v>1987531.05</v>
      </c>
      <c r="D1979">
        <v>0</v>
      </c>
      <c r="E1979" s="65">
        <v>61.24</v>
      </c>
      <c r="F1979" s="8">
        <v>3.889</v>
      </c>
      <c r="G1979" s="66">
        <v>190.9764167</v>
      </c>
      <c r="H1979" s="8">
        <v>8.567</v>
      </c>
      <c r="J1979" s="26"/>
      <c r="K1979"/>
    </row>
    <row r="1980" spans="1:11">
      <c r="A1980">
        <v>14</v>
      </c>
      <c r="B1980" s="64">
        <v>41047</v>
      </c>
      <c r="C1980" s="2">
        <v>1932233.17</v>
      </c>
      <c r="D1980">
        <v>0</v>
      </c>
      <c r="E1980" s="65">
        <v>66.3</v>
      </c>
      <c r="F1980" s="8">
        <v>3.848</v>
      </c>
      <c r="G1980" s="66">
        <v>190.9964479</v>
      </c>
      <c r="H1980" s="8">
        <v>8.567</v>
      </c>
      <c r="J1980" s="26"/>
      <c r="K1980"/>
    </row>
    <row r="1981" spans="1:11">
      <c r="A1981">
        <v>14</v>
      </c>
      <c r="B1981" s="64">
        <v>41054</v>
      </c>
      <c r="C1981" s="2">
        <v>2030869.61</v>
      </c>
      <c r="D1981">
        <v>0</v>
      </c>
      <c r="E1981" s="65">
        <v>67.21</v>
      </c>
      <c r="F1981" s="8">
        <v>3.798</v>
      </c>
      <c r="G1981" s="66">
        <v>191.0028096</v>
      </c>
      <c r="H1981" s="8">
        <v>8.567</v>
      </c>
      <c r="J1981" s="26"/>
      <c r="K1981"/>
    </row>
    <row r="1982" spans="1:11">
      <c r="A1982">
        <v>14</v>
      </c>
      <c r="B1982" s="64">
        <v>41061</v>
      </c>
      <c r="C1982" s="2">
        <v>2049485.49</v>
      </c>
      <c r="D1982">
        <v>0</v>
      </c>
      <c r="E1982" s="65">
        <v>74.48</v>
      </c>
      <c r="F1982" s="8">
        <v>3.742</v>
      </c>
      <c r="G1982" s="66">
        <v>191.0091712</v>
      </c>
      <c r="H1982" s="8">
        <v>8.567</v>
      </c>
      <c r="J1982" s="26"/>
      <c r="K1982"/>
    </row>
    <row r="1983" spans="1:11">
      <c r="A1983">
        <v>14</v>
      </c>
      <c r="B1983" s="64">
        <v>41068</v>
      </c>
      <c r="C1983" s="2">
        <v>2099615.88</v>
      </c>
      <c r="D1983">
        <v>0</v>
      </c>
      <c r="E1983" s="65">
        <v>64.3</v>
      </c>
      <c r="F1983" s="8">
        <v>3.689</v>
      </c>
      <c r="G1983" s="66">
        <v>191.0155329</v>
      </c>
      <c r="H1983" s="8">
        <v>8.567</v>
      </c>
      <c r="J1983" s="26"/>
      <c r="K1983"/>
    </row>
    <row r="1984" spans="1:11">
      <c r="A1984">
        <v>14</v>
      </c>
      <c r="B1984" s="64">
        <v>41075</v>
      </c>
      <c r="C1984" s="2">
        <v>1905733.68</v>
      </c>
      <c r="D1984">
        <v>0</v>
      </c>
      <c r="E1984" s="65">
        <v>71.93</v>
      </c>
      <c r="F1984" s="8">
        <v>3.62</v>
      </c>
      <c r="G1984" s="66">
        <v>191.0299731</v>
      </c>
      <c r="H1984" s="8">
        <v>8.567</v>
      </c>
      <c r="J1984" s="26"/>
      <c r="K1984"/>
    </row>
    <row r="1985" spans="1:11">
      <c r="A1985">
        <v>14</v>
      </c>
      <c r="B1985" s="64">
        <v>41082</v>
      </c>
      <c r="C1985" s="2">
        <v>1660228.88</v>
      </c>
      <c r="D1985">
        <v>0</v>
      </c>
      <c r="E1985" s="65">
        <v>74.22</v>
      </c>
      <c r="F1985" s="8">
        <v>3.564</v>
      </c>
      <c r="G1985" s="66">
        <v>191.0646096</v>
      </c>
      <c r="H1985" s="8">
        <v>8.567</v>
      </c>
      <c r="J1985" s="26"/>
      <c r="K1985"/>
    </row>
    <row r="1986" spans="1:11">
      <c r="A1986">
        <v>14</v>
      </c>
      <c r="B1986" s="64">
        <v>41089</v>
      </c>
      <c r="C1986" s="2">
        <v>1591835.02</v>
      </c>
      <c r="D1986">
        <v>0</v>
      </c>
      <c r="E1986" s="65">
        <v>75.22</v>
      </c>
      <c r="F1986" s="8">
        <v>3.506</v>
      </c>
      <c r="G1986" s="66">
        <v>191.0992462</v>
      </c>
      <c r="H1986" s="8">
        <v>8.567</v>
      </c>
      <c r="J1986" s="26"/>
      <c r="K1986"/>
    </row>
    <row r="1987" spans="1:11">
      <c r="A1987">
        <v>14</v>
      </c>
      <c r="B1987" s="64">
        <v>41096</v>
      </c>
      <c r="C1987" s="2">
        <v>1862128.95</v>
      </c>
      <c r="D1987">
        <v>0</v>
      </c>
      <c r="E1987" s="65">
        <v>82.99</v>
      </c>
      <c r="F1987" s="8">
        <v>3.475</v>
      </c>
      <c r="G1987" s="66">
        <v>191.1338827</v>
      </c>
      <c r="H1987" s="8">
        <v>8.684</v>
      </c>
      <c r="J1987" s="26"/>
      <c r="K1987"/>
    </row>
    <row r="1988" spans="1:11">
      <c r="A1988">
        <v>14</v>
      </c>
      <c r="B1988" s="64">
        <v>41103</v>
      </c>
      <c r="C1988" s="2">
        <v>1544422.35</v>
      </c>
      <c r="D1988">
        <v>0</v>
      </c>
      <c r="E1988" s="65">
        <v>79.97</v>
      </c>
      <c r="F1988" s="8">
        <v>3.523</v>
      </c>
      <c r="G1988" s="66">
        <v>191.1685192</v>
      </c>
      <c r="H1988" s="8">
        <v>8.684</v>
      </c>
      <c r="J1988" s="26"/>
      <c r="K1988"/>
    </row>
    <row r="1989" spans="1:11">
      <c r="A1989">
        <v>14</v>
      </c>
      <c r="B1989" s="64">
        <v>41110</v>
      </c>
      <c r="C1989" s="2">
        <v>1553250.16</v>
      </c>
      <c r="D1989">
        <v>0</v>
      </c>
      <c r="E1989" s="65">
        <v>78.89</v>
      </c>
      <c r="F1989" s="8">
        <v>3.567</v>
      </c>
      <c r="G1989" s="66">
        <v>191.1670428</v>
      </c>
      <c r="H1989" s="8">
        <v>8.684</v>
      </c>
      <c r="J1989" s="26"/>
      <c r="K1989"/>
    </row>
    <row r="1990" spans="1:11">
      <c r="A1990">
        <v>14</v>
      </c>
      <c r="B1990" s="64">
        <v>41117</v>
      </c>
      <c r="C1990" s="2">
        <v>1479514.66</v>
      </c>
      <c r="D1990">
        <v>0</v>
      </c>
      <c r="E1990" s="65">
        <v>77.2</v>
      </c>
      <c r="F1990" s="8">
        <v>3.647</v>
      </c>
      <c r="G1990" s="66">
        <v>191.1655664</v>
      </c>
      <c r="H1990" s="8">
        <v>8.684</v>
      </c>
      <c r="J1990" s="26"/>
      <c r="K1990"/>
    </row>
    <row r="1991" spans="1:11">
      <c r="A1991">
        <v>14</v>
      </c>
      <c r="B1991" s="64">
        <v>41124</v>
      </c>
      <c r="C1991" s="2">
        <v>1656886.46</v>
      </c>
      <c r="D1991">
        <v>0</v>
      </c>
      <c r="E1991" s="65">
        <v>76.58</v>
      </c>
      <c r="F1991" s="8">
        <v>3.654</v>
      </c>
      <c r="G1991" s="66">
        <v>191.16409</v>
      </c>
      <c r="H1991" s="8">
        <v>8.684</v>
      </c>
      <c r="J1991" s="26"/>
      <c r="K1991"/>
    </row>
    <row r="1992" spans="1:11">
      <c r="A1992">
        <v>14</v>
      </c>
      <c r="B1992" s="64">
        <v>41131</v>
      </c>
      <c r="C1992" s="2">
        <v>1648570.03</v>
      </c>
      <c r="D1992">
        <v>0</v>
      </c>
      <c r="E1992" s="65">
        <v>78.65</v>
      </c>
      <c r="F1992" s="8">
        <v>3.722</v>
      </c>
      <c r="G1992" s="66">
        <v>191.1626135</v>
      </c>
      <c r="H1992" s="8">
        <v>8.684</v>
      </c>
      <c r="J1992" s="26"/>
      <c r="K1992"/>
    </row>
    <row r="1993" spans="1:11">
      <c r="A1993">
        <v>14</v>
      </c>
      <c r="B1993" s="64">
        <v>41138</v>
      </c>
      <c r="C1993" s="2">
        <v>1660433.3</v>
      </c>
      <c r="D1993">
        <v>0</v>
      </c>
      <c r="E1993" s="65">
        <v>75.71</v>
      </c>
      <c r="F1993" s="8">
        <v>3.807</v>
      </c>
      <c r="G1993" s="66">
        <v>191.2284919</v>
      </c>
      <c r="H1993" s="8">
        <v>8.684</v>
      </c>
      <c r="J1993" s="26"/>
      <c r="K1993"/>
    </row>
    <row r="1994" spans="1:11">
      <c r="A1994">
        <v>14</v>
      </c>
      <c r="B1994" s="64">
        <v>41145</v>
      </c>
      <c r="C1994" s="2">
        <v>1621841.33</v>
      </c>
      <c r="D1994">
        <v>0</v>
      </c>
      <c r="E1994" s="65">
        <v>72.62</v>
      </c>
      <c r="F1994" s="8">
        <v>3.834</v>
      </c>
      <c r="G1994" s="66">
        <v>191.3448865</v>
      </c>
      <c r="H1994" s="8">
        <v>8.684</v>
      </c>
      <c r="J1994" s="26"/>
      <c r="K1994"/>
    </row>
    <row r="1995" spans="1:11">
      <c r="A1995">
        <v>14</v>
      </c>
      <c r="B1995" s="64">
        <v>41152</v>
      </c>
      <c r="C1995" s="2">
        <v>1613342.19</v>
      </c>
      <c r="D1995">
        <v>0</v>
      </c>
      <c r="E1995" s="65">
        <v>75.09</v>
      </c>
      <c r="F1995" s="8">
        <v>3.867</v>
      </c>
      <c r="G1995" s="66">
        <v>191.461281</v>
      </c>
      <c r="H1995" s="8">
        <v>8.684</v>
      </c>
      <c r="J1995" s="26"/>
      <c r="K1995"/>
    </row>
    <row r="1996" spans="1:11">
      <c r="A1996">
        <v>14</v>
      </c>
      <c r="B1996" s="64">
        <v>41159</v>
      </c>
      <c r="C1996" s="2">
        <v>1904512.34</v>
      </c>
      <c r="D1996">
        <v>1</v>
      </c>
      <c r="E1996" s="65">
        <v>75.7</v>
      </c>
      <c r="F1996" s="8">
        <v>3.911</v>
      </c>
      <c r="G1996" s="66">
        <v>191.5776756</v>
      </c>
      <c r="H1996" s="8">
        <v>8.684</v>
      </c>
      <c r="J1996" s="26"/>
      <c r="K1996"/>
    </row>
    <row r="1997" spans="1:11">
      <c r="A1997">
        <v>14</v>
      </c>
      <c r="B1997" s="64">
        <v>41166</v>
      </c>
      <c r="C1997" s="2">
        <v>1554794.22</v>
      </c>
      <c r="D1997">
        <v>0</v>
      </c>
      <c r="E1997" s="65">
        <v>67.87</v>
      </c>
      <c r="F1997" s="8">
        <v>3.948</v>
      </c>
      <c r="G1997" s="66">
        <v>191.69985</v>
      </c>
      <c r="H1997" s="8">
        <v>8.684</v>
      </c>
      <c r="J1997" s="26"/>
      <c r="K1997"/>
    </row>
    <row r="1998" spans="1:11">
      <c r="A1998">
        <v>14</v>
      </c>
      <c r="B1998" s="64">
        <v>41173</v>
      </c>
      <c r="C1998" s="2">
        <v>1565352.46</v>
      </c>
      <c r="D1998">
        <v>0</v>
      </c>
      <c r="E1998" s="65">
        <v>65.32</v>
      </c>
      <c r="F1998" s="8">
        <v>4.038</v>
      </c>
      <c r="G1998" s="66">
        <v>191.8567038</v>
      </c>
      <c r="H1998" s="8">
        <v>8.684</v>
      </c>
      <c r="J1998" s="26"/>
      <c r="K1998"/>
    </row>
    <row r="1999" spans="1:11">
      <c r="A1999">
        <v>14</v>
      </c>
      <c r="B1999" s="64">
        <v>41180</v>
      </c>
      <c r="C1999" s="2">
        <v>1522512.2</v>
      </c>
      <c r="D1999">
        <v>0</v>
      </c>
      <c r="E1999" s="65">
        <v>64.88</v>
      </c>
      <c r="F1999" s="8">
        <v>3.997</v>
      </c>
      <c r="G1999" s="66">
        <v>192.0135577</v>
      </c>
      <c r="H1999" s="8">
        <v>8.684</v>
      </c>
      <c r="J1999" s="26"/>
      <c r="K1999"/>
    </row>
    <row r="2000" spans="1:11">
      <c r="A2000">
        <v>14</v>
      </c>
      <c r="B2000" s="64">
        <v>41187</v>
      </c>
      <c r="C2000" s="2">
        <v>1687592.16</v>
      </c>
      <c r="D2000">
        <v>0</v>
      </c>
      <c r="E2000" s="65">
        <v>64.89</v>
      </c>
      <c r="F2000" s="8">
        <v>3.985</v>
      </c>
      <c r="G2000" s="66">
        <v>192.1704115</v>
      </c>
      <c r="H2000" s="8">
        <v>8.667</v>
      </c>
      <c r="J2000" s="26"/>
      <c r="K2000"/>
    </row>
    <row r="2001" spans="1:11">
      <c r="A2001">
        <v>14</v>
      </c>
      <c r="B2001" s="64">
        <v>41194</v>
      </c>
      <c r="C2001" s="2">
        <v>1639585.61</v>
      </c>
      <c r="D2001">
        <v>0</v>
      </c>
      <c r="E2001" s="65">
        <v>54.47</v>
      </c>
      <c r="F2001" s="8">
        <v>4</v>
      </c>
      <c r="G2001" s="66">
        <v>192.3272654</v>
      </c>
      <c r="H2001" s="8">
        <v>8.667</v>
      </c>
      <c r="J2001" s="26"/>
      <c r="K2001"/>
    </row>
    <row r="2002" spans="1:11">
      <c r="A2002">
        <v>14</v>
      </c>
      <c r="B2002" s="64">
        <v>41201</v>
      </c>
      <c r="C2002" s="2">
        <v>1590274.72</v>
      </c>
      <c r="D2002">
        <v>0</v>
      </c>
      <c r="E2002" s="65">
        <v>56.47</v>
      </c>
      <c r="F2002" s="8">
        <v>3.969</v>
      </c>
      <c r="G2002" s="66">
        <v>192.3308542</v>
      </c>
      <c r="H2002" s="8">
        <v>8.667</v>
      </c>
      <c r="J2002" s="26"/>
      <c r="K2002"/>
    </row>
    <row r="2003" spans="1:11">
      <c r="A2003">
        <v>14</v>
      </c>
      <c r="B2003" s="64">
        <v>41208</v>
      </c>
      <c r="C2003" s="2">
        <v>1704357.62</v>
      </c>
      <c r="D2003">
        <v>0</v>
      </c>
      <c r="E2003" s="65">
        <v>58.85</v>
      </c>
      <c r="F2003" s="8">
        <v>3.882</v>
      </c>
      <c r="G2003" s="66">
        <v>192.3088989</v>
      </c>
      <c r="H2003" s="8">
        <v>8.667</v>
      </c>
      <c r="J2003" s="26"/>
      <c r="K2003"/>
    </row>
    <row r="2004" spans="1:11">
      <c r="A2004">
        <v>15</v>
      </c>
      <c r="B2004" s="64">
        <v>40214</v>
      </c>
      <c r="C2004" s="2">
        <v>652122.44</v>
      </c>
      <c r="D2004">
        <v>0</v>
      </c>
      <c r="E2004" s="65">
        <v>19.83</v>
      </c>
      <c r="F2004" s="8">
        <v>2.954</v>
      </c>
      <c r="G2004" s="66">
        <v>131.5279032</v>
      </c>
      <c r="H2004" s="8">
        <v>8.35</v>
      </c>
      <c r="J2004" s="26"/>
      <c r="K2004"/>
    </row>
    <row r="2005" spans="1:11">
      <c r="A2005">
        <v>15</v>
      </c>
      <c r="B2005" s="64">
        <v>40221</v>
      </c>
      <c r="C2005" s="2">
        <v>682447.1</v>
      </c>
      <c r="D2005">
        <v>1</v>
      </c>
      <c r="E2005" s="65">
        <v>22</v>
      </c>
      <c r="F2005" s="8">
        <v>2.94</v>
      </c>
      <c r="G2005" s="66">
        <v>131.5866129</v>
      </c>
      <c r="H2005" s="8">
        <v>8.35</v>
      </c>
      <c r="J2005" s="26"/>
      <c r="K2005"/>
    </row>
    <row r="2006" spans="1:11">
      <c r="A2006">
        <v>15</v>
      </c>
      <c r="B2006" s="64">
        <v>40228</v>
      </c>
      <c r="C2006" s="2">
        <v>660838.75</v>
      </c>
      <c r="D2006">
        <v>0</v>
      </c>
      <c r="E2006" s="65">
        <v>27.54</v>
      </c>
      <c r="F2006" s="8">
        <v>2.909</v>
      </c>
      <c r="G2006" s="66">
        <v>131.637</v>
      </c>
      <c r="H2006" s="8">
        <v>8.35</v>
      </c>
      <c r="J2006" s="26"/>
      <c r="K2006"/>
    </row>
    <row r="2007" spans="1:11">
      <c r="A2007">
        <v>15</v>
      </c>
      <c r="B2007" s="64">
        <v>40235</v>
      </c>
      <c r="C2007" s="2">
        <v>564883.2</v>
      </c>
      <c r="D2007">
        <v>0</v>
      </c>
      <c r="E2007" s="65">
        <v>29.87</v>
      </c>
      <c r="F2007" s="8">
        <v>2.91</v>
      </c>
      <c r="G2007" s="66">
        <v>131.686</v>
      </c>
      <c r="H2007" s="8">
        <v>8.35</v>
      </c>
      <c r="J2007" s="26"/>
      <c r="K2007"/>
    </row>
    <row r="2008" spans="1:11">
      <c r="A2008">
        <v>15</v>
      </c>
      <c r="B2008" s="64">
        <v>40242</v>
      </c>
      <c r="C2008" s="2">
        <v>605325.43</v>
      </c>
      <c r="D2008">
        <v>0</v>
      </c>
      <c r="E2008" s="65">
        <v>31.79</v>
      </c>
      <c r="F2008" s="8">
        <v>2.919</v>
      </c>
      <c r="G2008" s="66">
        <v>131.735</v>
      </c>
      <c r="H2008" s="8">
        <v>8.35</v>
      </c>
      <c r="J2008" s="26"/>
      <c r="K2008"/>
    </row>
    <row r="2009" spans="1:11">
      <c r="A2009">
        <v>15</v>
      </c>
      <c r="B2009" s="64">
        <v>40249</v>
      </c>
      <c r="C2009" s="2">
        <v>604173.59</v>
      </c>
      <c r="D2009">
        <v>0</v>
      </c>
      <c r="E2009" s="65">
        <v>41.39</v>
      </c>
      <c r="F2009" s="8">
        <v>2.938</v>
      </c>
      <c r="G2009" s="66">
        <v>131.784</v>
      </c>
      <c r="H2009" s="8">
        <v>8.35</v>
      </c>
      <c r="J2009" s="26"/>
      <c r="K2009"/>
    </row>
    <row r="2010" spans="1:11">
      <c r="A2010">
        <v>15</v>
      </c>
      <c r="B2010" s="64">
        <v>40256</v>
      </c>
      <c r="C2010" s="2">
        <v>593710.67</v>
      </c>
      <c r="D2010">
        <v>0</v>
      </c>
      <c r="E2010" s="65">
        <v>44.69</v>
      </c>
      <c r="F2010" s="8">
        <v>2.96</v>
      </c>
      <c r="G2010" s="66">
        <v>131.8242903</v>
      </c>
      <c r="H2010" s="8">
        <v>8.35</v>
      </c>
      <c r="J2010" s="26"/>
      <c r="K2010"/>
    </row>
    <row r="2011" spans="1:11">
      <c r="A2011">
        <v>15</v>
      </c>
      <c r="B2011" s="64">
        <v>40263</v>
      </c>
      <c r="C2011" s="2">
        <v>592111.49</v>
      </c>
      <c r="D2011">
        <v>0</v>
      </c>
      <c r="E2011" s="65">
        <v>39.53</v>
      </c>
      <c r="F2011" s="8">
        <v>2.963</v>
      </c>
      <c r="G2011" s="66">
        <v>131.863129</v>
      </c>
      <c r="H2011" s="8">
        <v>8.35</v>
      </c>
      <c r="J2011" s="26"/>
      <c r="K2011"/>
    </row>
    <row r="2012" spans="1:11">
      <c r="A2012">
        <v>15</v>
      </c>
      <c r="B2012" s="64">
        <v>40270</v>
      </c>
      <c r="C2012" s="2">
        <v>718470.71</v>
      </c>
      <c r="D2012">
        <v>0</v>
      </c>
      <c r="E2012" s="65">
        <v>45.27</v>
      </c>
      <c r="F2012" s="8">
        <v>2.957</v>
      </c>
      <c r="G2012" s="66">
        <v>131.9019677</v>
      </c>
      <c r="H2012" s="8">
        <v>8.185</v>
      </c>
      <c r="J2012" s="26"/>
      <c r="K2012"/>
    </row>
    <row r="2013" spans="1:11">
      <c r="A2013">
        <v>15</v>
      </c>
      <c r="B2013" s="64">
        <v>40277</v>
      </c>
      <c r="C2013" s="2">
        <v>634605.77</v>
      </c>
      <c r="D2013">
        <v>0</v>
      </c>
      <c r="E2013" s="65">
        <v>57.77</v>
      </c>
      <c r="F2013" s="8">
        <v>2.992</v>
      </c>
      <c r="G2013" s="66">
        <v>131.9408065</v>
      </c>
      <c r="H2013" s="8">
        <v>8.185</v>
      </c>
      <c r="J2013" s="26"/>
      <c r="K2013"/>
    </row>
    <row r="2014" spans="1:11">
      <c r="A2014">
        <v>15</v>
      </c>
      <c r="B2014" s="64">
        <v>40284</v>
      </c>
      <c r="C2014" s="2">
        <v>641208.65</v>
      </c>
      <c r="D2014">
        <v>0</v>
      </c>
      <c r="E2014" s="65">
        <v>49.63</v>
      </c>
      <c r="F2014" s="8">
        <v>3.01</v>
      </c>
      <c r="G2014" s="66">
        <v>131.9809</v>
      </c>
      <c r="H2014" s="8">
        <v>8.185</v>
      </c>
      <c r="J2014" s="26"/>
      <c r="K2014"/>
    </row>
    <row r="2015" spans="1:11">
      <c r="A2015">
        <v>15</v>
      </c>
      <c r="B2015" s="64">
        <v>40291</v>
      </c>
      <c r="C2015" s="2">
        <v>643097.6</v>
      </c>
      <c r="D2015">
        <v>0</v>
      </c>
      <c r="E2015" s="65">
        <v>46.54</v>
      </c>
      <c r="F2015" s="8">
        <v>3.021</v>
      </c>
      <c r="G2015" s="66">
        <v>132.0226667</v>
      </c>
      <c r="H2015" s="8">
        <v>8.185</v>
      </c>
      <c r="J2015" s="26"/>
      <c r="K2015"/>
    </row>
    <row r="2016" spans="1:11">
      <c r="A2016">
        <v>15</v>
      </c>
      <c r="B2016" s="64">
        <v>40298</v>
      </c>
      <c r="C2016" s="2">
        <v>570791.11</v>
      </c>
      <c r="D2016">
        <v>0</v>
      </c>
      <c r="E2016" s="65">
        <v>49.09</v>
      </c>
      <c r="F2016" s="8">
        <v>3.042</v>
      </c>
      <c r="G2016" s="66">
        <v>132.0644333</v>
      </c>
      <c r="H2016" s="8">
        <v>8.185</v>
      </c>
      <c r="J2016" s="26"/>
      <c r="K2016"/>
    </row>
    <row r="2017" spans="1:11">
      <c r="A2017">
        <v>15</v>
      </c>
      <c r="B2017" s="64">
        <v>40305</v>
      </c>
      <c r="C2017" s="2">
        <v>661348.88</v>
      </c>
      <c r="D2017">
        <v>0</v>
      </c>
      <c r="E2017" s="65">
        <v>63.16</v>
      </c>
      <c r="F2017" s="8">
        <v>3.095</v>
      </c>
      <c r="G2017" s="66">
        <v>132.1062</v>
      </c>
      <c r="H2017" s="8">
        <v>8.185</v>
      </c>
      <c r="J2017" s="26"/>
      <c r="K2017"/>
    </row>
    <row r="2018" spans="1:11">
      <c r="A2018">
        <v>15</v>
      </c>
      <c r="B2018" s="64">
        <v>40312</v>
      </c>
      <c r="C2018" s="2">
        <v>594385.2</v>
      </c>
      <c r="D2018">
        <v>0</v>
      </c>
      <c r="E2018" s="65">
        <v>47.13</v>
      </c>
      <c r="F2018" s="8">
        <v>3.112</v>
      </c>
      <c r="G2018" s="66">
        <v>132.152129</v>
      </c>
      <c r="H2018" s="8">
        <v>8.185</v>
      </c>
      <c r="J2018" s="26"/>
      <c r="K2018"/>
    </row>
    <row r="2019" spans="1:11">
      <c r="A2019">
        <v>15</v>
      </c>
      <c r="B2019" s="64">
        <v>40319</v>
      </c>
      <c r="C2019" s="2">
        <v>616598.1</v>
      </c>
      <c r="D2019">
        <v>0</v>
      </c>
      <c r="E2019" s="65">
        <v>59.09</v>
      </c>
      <c r="F2019" s="8">
        <v>3.096</v>
      </c>
      <c r="G2019" s="66">
        <v>132.2230323</v>
      </c>
      <c r="H2019" s="8">
        <v>8.185</v>
      </c>
      <c r="J2019" s="26"/>
      <c r="K2019"/>
    </row>
    <row r="2020" spans="1:11">
      <c r="A2020">
        <v>15</v>
      </c>
      <c r="B2020" s="64">
        <v>40326</v>
      </c>
      <c r="C2020" s="2">
        <v>744772.88</v>
      </c>
      <c r="D2020">
        <v>0</v>
      </c>
      <c r="E2020" s="65">
        <v>70.61</v>
      </c>
      <c r="F2020" s="8">
        <v>3.046</v>
      </c>
      <c r="G2020" s="66">
        <v>132.2939355</v>
      </c>
      <c r="H2020" s="8">
        <v>8.185</v>
      </c>
      <c r="J2020" s="26"/>
      <c r="K2020"/>
    </row>
    <row r="2021" spans="1:11">
      <c r="A2021">
        <v>15</v>
      </c>
      <c r="B2021" s="64">
        <v>40333</v>
      </c>
      <c r="C2021" s="2">
        <v>693192.5</v>
      </c>
      <c r="D2021">
        <v>0</v>
      </c>
      <c r="E2021" s="65">
        <v>69.99</v>
      </c>
      <c r="F2021" s="8">
        <v>3.006</v>
      </c>
      <c r="G2021" s="66">
        <v>132.3648387</v>
      </c>
      <c r="H2021" s="8">
        <v>8.185</v>
      </c>
      <c r="J2021" s="26"/>
      <c r="K2021"/>
    </row>
    <row r="2022" spans="1:11">
      <c r="A2022">
        <v>15</v>
      </c>
      <c r="B2022" s="64">
        <v>40340</v>
      </c>
      <c r="C2022" s="2">
        <v>619337.29</v>
      </c>
      <c r="D2022">
        <v>0</v>
      </c>
      <c r="E2022" s="65">
        <v>61.04</v>
      </c>
      <c r="F2022" s="8">
        <v>2.972</v>
      </c>
      <c r="G2022" s="66">
        <v>132.4357419</v>
      </c>
      <c r="H2022" s="8">
        <v>8.185</v>
      </c>
      <c r="J2022" s="26"/>
      <c r="K2022"/>
    </row>
    <row r="2023" spans="1:11">
      <c r="A2023">
        <v>15</v>
      </c>
      <c r="B2023" s="64">
        <v>40347</v>
      </c>
      <c r="C2023" s="2">
        <v>652329.53</v>
      </c>
      <c r="D2023">
        <v>0</v>
      </c>
      <c r="E2023" s="65">
        <v>65.83</v>
      </c>
      <c r="F2023" s="8">
        <v>2.942</v>
      </c>
      <c r="G2023" s="66">
        <v>132.4733333</v>
      </c>
      <c r="H2023" s="8">
        <v>8.185</v>
      </c>
      <c r="J2023" s="26"/>
      <c r="K2023"/>
    </row>
    <row r="2024" spans="1:11">
      <c r="A2024">
        <v>15</v>
      </c>
      <c r="B2024" s="64">
        <v>40354</v>
      </c>
      <c r="C2024" s="2">
        <v>672194.03</v>
      </c>
      <c r="D2024">
        <v>0</v>
      </c>
      <c r="E2024" s="65">
        <v>72.79</v>
      </c>
      <c r="F2024" s="8">
        <v>2.958</v>
      </c>
      <c r="G2024" s="66">
        <v>132.4976</v>
      </c>
      <c r="H2024" s="8">
        <v>8.185</v>
      </c>
      <c r="J2024" s="26"/>
      <c r="K2024"/>
    </row>
    <row r="2025" spans="1:11">
      <c r="A2025">
        <v>15</v>
      </c>
      <c r="B2025" s="64">
        <v>40361</v>
      </c>
      <c r="C2025" s="2">
        <v>709337.11</v>
      </c>
      <c r="D2025">
        <v>0</v>
      </c>
      <c r="E2025" s="65">
        <v>66.13</v>
      </c>
      <c r="F2025" s="8">
        <v>2.958</v>
      </c>
      <c r="G2025" s="66">
        <v>132.5218667</v>
      </c>
      <c r="H2025" s="8">
        <v>8.099</v>
      </c>
      <c r="J2025" s="26"/>
      <c r="K2025"/>
    </row>
    <row r="2026" spans="1:11">
      <c r="A2026">
        <v>15</v>
      </c>
      <c r="B2026" s="64">
        <v>40368</v>
      </c>
      <c r="C2026" s="2">
        <v>691497.62</v>
      </c>
      <c r="D2026">
        <v>0</v>
      </c>
      <c r="E2026" s="65">
        <v>77.33</v>
      </c>
      <c r="F2026" s="8">
        <v>2.94</v>
      </c>
      <c r="G2026" s="66">
        <v>132.5461333</v>
      </c>
      <c r="H2026" s="8">
        <v>8.099</v>
      </c>
      <c r="J2026" s="26"/>
      <c r="K2026"/>
    </row>
    <row r="2027" spans="1:11">
      <c r="A2027">
        <v>15</v>
      </c>
      <c r="B2027" s="64">
        <v>40375</v>
      </c>
      <c r="C2027" s="2">
        <v>633203.69</v>
      </c>
      <c r="D2027">
        <v>0</v>
      </c>
      <c r="E2027" s="65">
        <v>72.83</v>
      </c>
      <c r="F2027" s="8">
        <v>2.933</v>
      </c>
      <c r="G2027" s="66">
        <v>132.5667742</v>
      </c>
      <c r="H2027" s="8">
        <v>8.099</v>
      </c>
      <c r="J2027" s="26"/>
      <c r="K2027"/>
    </row>
    <row r="2028" spans="1:11">
      <c r="A2028">
        <v>15</v>
      </c>
      <c r="B2028" s="64">
        <v>40382</v>
      </c>
      <c r="C2028" s="2">
        <v>598553.43</v>
      </c>
      <c r="D2028">
        <v>0</v>
      </c>
      <c r="E2028" s="65">
        <v>73.2</v>
      </c>
      <c r="F2028" s="8">
        <v>2.924</v>
      </c>
      <c r="G2028" s="66">
        <v>132.5825806</v>
      </c>
      <c r="H2028" s="8">
        <v>8.099</v>
      </c>
      <c r="J2028" s="26"/>
      <c r="K2028"/>
    </row>
    <row r="2029" spans="1:11">
      <c r="A2029">
        <v>15</v>
      </c>
      <c r="B2029" s="64">
        <v>40389</v>
      </c>
      <c r="C2029" s="2">
        <v>619224.06</v>
      </c>
      <c r="D2029">
        <v>0</v>
      </c>
      <c r="E2029" s="65">
        <v>72.04</v>
      </c>
      <c r="F2029" s="8">
        <v>2.932</v>
      </c>
      <c r="G2029" s="66">
        <v>132.5983871</v>
      </c>
      <c r="H2029" s="8">
        <v>8.099</v>
      </c>
      <c r="J2029" s="26"/>
      <c r="K2029"/>
    </row>
    <row r="2030" spans="1:11">
      <c r="A2030">
        <v>15</v>
      </c>
      <c r="B2030" s="64">
        <v>40396</v>
      </c>
      <c r="C2030" s="2">
        <v>639651.24</v>
      </c>
      <c r="D2030">
        <v>0</v>
      </c>
      <c r="E2030" s="65">
        <v>72.7</v>
      </c>
      <c r="F2030" s="8">
        <v>2.942</v>
      </c>
      <c r="G2030" s="66">
        <v>132.6141935</v>
      </c>
      <c r="H2030" s="8">
        <v>8.099</v>
      </c>
      <c r="J2030" s="26"/>
      <c r="K2030"/>
    </row>
    <row r="2031" spans="1:11">
      <c r="A2031">
        <v>15</v>
      </c>
      <c r="B2031" s="64">
        <v>40403</v>
      </c>
      <c r="C2031" s="2">
        <v>622437.08</v>
      </c>
      <c r="D2031">
        <v>0</v>
      </c>
      <c r="E2031" s="65">
        <v>72.17</v>
      </c>
      <c r="F2031" s="8">
        <v>2.923</v>
      </c>
      <c r="G2031" s="66">
        <v>132.63</v>
      </c>
      <c r="H2031" s="8">
        <v>8.099</v>
      </c>
      <c r="J2031" s="26"/>
      <c r="K2031"/>
    </row>
    <row r="2032" spans="1:11">
      <c r="A2032">
        <v>15</v>
      </c>
      <c r="B2032" s="64">
        <v>40410</v>
      </c>
      <c r="C2032" s="2">
        <v>637090.44</v>
      </c>
      <c r="D2032">
        <v>0</v>
      </c>
      <c r="E2032" s="65">
        <v>71.1</v>
      </c>
      <c r="F2032" s="8">
        <v>2.913</v>
      </c>
      <c r="G2032" s="66">
        <v>132.6616129</v>
      </c>
      <c r="H2032" s="8">
        <v>8.099</v>
      </c>
      <c r="J2032" s="26"/>
      <c r="K2032"/>
    </row>
    <row r="2033" spans="1:11">
      <c r="A2033">
        <v>15</v>
      </c>
      <c r="B2033" s="64">
        <v>40417</v>
      </c>
      <c r="C2033" s="2">
        <v>649791.15</v>
      </c>
      <c r="D2033">
        <v>0</v>
      </c>
      <c r="E2033" s="65">
        <v>65.07</v>
      </c>
      <c r="F2033" s="8">
        <v>2.885</v>
      </c>
      <c r="G2033" s="66">
        <v>132.6932258</v>
      </c>
      <c r="H2033" s="8">
        <v>8.099</v>
      </c>
      <c r="J2033" s="26"/>
      <c r="K2033"/>
    </row>
    <row r="2034" spans="1:11">
      <c r="A2034">
        <v>15</v>
      </c>
      <c r="B2034" s="64">
        <v>40424</v>
      </c>
      <c r="C2034" s="2">
        <v>638647.21</v>
      </c>
      <c r="D2034">
        <v>0</v>
      </c>
      <c r="E2034" s="65">
        <v>73.17</v>
      </c>
      <c r="F2034" s="8">
        <v>2.86</v>
      </c>
      <c r="G2034" s="66">
        <v>132.7248387</v>
      </c>
      <c r="H2034" s="8">
        <v>8.099</v>
      </c>
      <c r="J2034" s="26"/>
      <c r="K2034"/>
    </row>
    <row r="2035" spans="1:11">
      <c r="A2035">
        <v>15</v>
      </c>
      <c r="B2035" s="64">
        <v>40431</v>
      </c>
      <c r="C2035" s="2">
        <v>641965.2</v>
      </c>
      <c r="D2035">
        <v>1</v>
      </c>
      <c r="E2035" s="65">
        <v>62.36</v>
      </c>
      <c r="F2035" s="8">
        <v>2.837</v>
      </c>
      <c r="G2035" s="66">
        <v>132.7564516</v>
      </c>
      <c r="H2035" s="8">
        <v>8.099</v>
      </c>
      <c r="J2035" s="26"/>
      <c r="K2035"/>
    </row>
    <row r="2036" spans="1:11">
      <c r="A2036">
        <v>15</v>
      </c>
      <c r="B2036" s="64">
        <v>40438</v>
      </c>
      <c r="C2036" s="2">
        <v>583210.87</v>
      </c>
      <c r="D2036">
        <v>0</v>
      </c>
      <c r="E2036" s="65">
        <v>57.94</v>
      </c>
      <c r="F2036" s="8">
        <v>2.846</v>
      </c>
      <c r="G2036" s="66">
        <v>132.7670667</v>
      </c>
      <c r="H2036" s="8">
        <v>8.099</v>
      </c>
      <c r="J2036" s="26"/>
      <c r="K2036"/>
    </row>
    <row r="2037" spans="1:11">
      <c r="A2037">
        <v>15</v>
      </c>
      <c r="B2037" s="64">
        <v>40445</v>
      </c>
      <c r="C2037" s="2">
        <v>548542.47</v>
      </c>
      <c r="D2037">
        <v>0</v>
      </c>
      <c r="E2037" s="65">
        <v>62.53</v>
      </c>
      <c r="F2037" s="8">
        <v>2.837</v>
      </c>
      <c r="G2037" s="66">
        <v>132.7619333</v>
      </c>
      <c r="H2037" s="8">
        <v>8.099</v>
      </c>
      <c r="J2037" s="26"/>
      <c r="K2037"/>
    </row>
    <row r="2038" spans="1:11">
      <c r="A2038">
        <v>15</v>
      </c>
      <c r="B2038" s="64">
        <v>40452</v>
      </c>
      <c r="C2038" s="2">
        <v>566945.95</v>
      </c>
      <c r="D2038">
        <v>0</v>
      </c>
      <c r="E2038" s="65">
        <v>59.69</v>
      </c>
      <c r="F2038" s="8">
        <v>2.84</v>
      </c>
      <c r="G2038" s="66">
        <v>132.7568</v>
      </c>
      <c r="H2038" s="8">
        <v>8.067</v>
      </c>
      <c r="J2038" s="26"/>
      <c r="K2038"/>
    </row>
    <row r="2039" spans="1:11">
      <c r="A2039">
        <v>15</v>
      </c>
      <c r="B2039" s="64">
        <v>40459</v>
      </c>
      <c r="C2039" s="2">
        <v>591603.79</v>
      </c>
      <c r="D2039">
        <v>0</v>
      </c>
      <c r="E2039" s="65">
        <v>52.19</v>
      </c>
      <c r="F2039" s="8">
        <v>2.903</v>
      </c>
      <c r="G2039" s="66">
        <v>132.7516667</v>
      </c>
      <c r="H2039" s="8">
        <v>8.067</v>
      </c>
      <c r="J2039" s="26"/>
      <c r="K2039"/>
    </row>
    <row r="2040" spans="1:11">
      <c r="A2040">
        <v>15</v>
      </c>
      <c r="B2040" s="64">
        <v>40466</v>
      </c>
      <c r="C2040" s="2">
        <v>577011.26</v>
      </c>
      <c r="D2040">
        <v>0</v>
      </c>
      <c r="E2040" s="65">
        <v>49.96</v>
      </c>
      <c r="F2040" s="8">
        <v>2.999</v>
      </c>
      <c r="G2040" s="66">
        <v>132.7633548</v>
      </c>
      <c r="H2040" s="8">
        <v>8.067</v>
      </c>
      <c r="J2040" s="26"/>
      <c r="K2040"/>
    </row>
    <row r="2041" spans="1:11">
      <c r="A2041">
        <v>15</v>
      </c>
      <c r="B2041" s="64">
        <v>40473</v>
      </c>
      <c r="C2041" s="2">
        <v>600395.73</v>
      </c>
      <c r="D2041">
        <v>0</v>
      </c>
      <c r="E2041" s="65">
        <v>47.1</v>
      </c>
      <c r="F2041" s="8">
        <v>3.049</v>
      </c>
      <c r="G2041" s="66">
        <v>132.8170968</v>
      </c>
      <c r="H2041" s="8">
        <v>8.067</v>
      </c>
      <c r="J2041" s="26"/>
      <c r="K2041"/>
    </row>
    <row r="2042" spans="1:11">
      <c r="A2042">
        <v>15</v>
      </c>
      <c r="B2042" s="64">
        <v>40480</v>
      </c>
      <c r="C2042" s="2">
        <v>598301.5</v>
      </c>
      <c r="D2042">
        <v>0</v>
      </c>
      <c r="E2042" s="65">
        <v>55.09</v>
      </c>
      <c r="F2042" s="8">
        <v>3.055</v>
      </c>
      <c r="G2042" s="66">
        <v>132.8708387</v>
      </c>
      <c r="H2042" s="8">
        <v>8.067</v>
      </c>
      <c r="J2042" s="26"/>
      <c r="K2042"/>
    </row>
    <row r="2043" spans="1:11">
      <c r="A2043">
        <v>15</v>
      </c>
      <c r="B2043" s="64">
        <v>40487</v>
      </c>
      <c r="C2043" s="2">
        <v>612987.64</v>
      </c>
      <c r="D2043">
        <v>0</v>
      </c>
      <c r="E2043" s="65">
        <v>40.29</v>
      </c>
      <c r="F2043" s="8">
        <v>3.049</v>
      </c>
      <c r="G2043" s="66">
        <v>132.9245806</v>
      </c>
      <c r="H2043" s="8">
        <v>8.067</v>
      </c>
      <c r="J2043" s="26"/>
      <c r="K2043"/>
    </row>
    <row r="2044" spans="1:11">
      <c r="A2044">
        <v>15</v>
      </c>
      <c r="B2044" s="64">
        <v>40494</v>
      </c>
      <c r="C2044" s="2">
        <v>619639.74</v>
      </c>
      <c r="D2044">
        <v>0</v>
      </c>
      <c r="E2044" s="65">
        <v>39.63</v>
      </c>
      <c r="F2044" s="8">
        <v>3.065</v>
      </c>
      <c r="G2044" s="66">
        <v>132.9783226</v>
      </c>
      <c r="H2044" s="8">
        <v>8.067</v>
      </c>
      <c r="J2044" s="26"/>
      <c r="K2044"/>
    </row>
    <row r="2045" spans="1:11">
      <c r="A2045">
        <v>15</v>
      </c>
      <c r="B2045" s="64">
        <v>40501</v>
      </c>
      <c r="C2045" s="2">
        <v>608200.81</v>
      </c>
      <c r="D2045">
        <v>0</v>
      </c>
      <c r="E2045" s="65">
        <v>44.1</v>
      </c>
      <c r="F2045" s="8">
        <v>3.138</v>
      </c>
      <c r="G2045" s="66">
        <v>132.9172</v>
      </c>
      <c r="H2045" s="8">
        <v>8.067</v>
      </c>
      <c r="J2045" s="26"/>
      <c r="K2045"/>
    </row>
    <row r="2046" spans="1:11">
      <c r="A2046">
        <v>15</v>
      </c>
      <c r="B2046" s="64">
        <v>40508</v>
      </c>
      <c r="C2046" s="2">
        <v>1120018.92</v>
      </c>
      <c r="D2046">
        <v>1</v>
      </c>
      <c r="E2046" s="65">
        <v>40.71</v>
      </c>
      <c r="F2046" s="8">
        <v>3.186</v>
      </c>
      <c r="G2046" s="66">
        <v>132.8369333</v>
      </c>
      <c r="H2046" s="8">
        <v>8.067</v>
      </c>
      <c r="J2046" s="26"/>
      <c r="K2046"/>
    </row>
    <row r="2047" spans="1:11">
      <c r="A2047">
        <v>15</v>
      </c>
      <c r="B2047" s="64">
        <v>40515</v>
      </c>
      <c r="C2047" s="2">
        <v>754134.95</v>
      </c>
      <c r="D2047">
        <v>0</v>
      </c>
      <c r="E2047" s="65">
        <v>36</v>
      </c>
      <c r="F2047" s="8">
        <v>3.2</v>
      </c>
      <c r="G2047" s="66">
        <v>132.7566667</v>
      </c>
      <c r="H2047" s="8">
        <v>8.067</v>
      </c>
      <c r="J2047" s="26"/>
      <c r="K2047"/>
    </row>
    <row r="2048" spans="1:11">
      <c r="A2048">
        <v>15</v>
      </c>
      <c r="B2048" s="64">
        <v>40522</v>
      </c>
      <c r="C2048" s="2">
        <v>847294.04</v>
      </c>
      <c r="D2048">
        <v>0</v>
      </c>
      <c r="E2048" s="65">
        <v>23.97</v>
      </c>
      <c r="F2048" s="8">
        <v>3.255</v>
      </c>
      <c r="G2048" s="66">
        <v>132.6764</v>
      </c>
      <c r="H2048" s="8">
        <v>8.067</v>
      </c>
      <c r="J2048" s="26"/>
      <c r="K2048"/>
    </row>
    <row r="2049" spans="1:11">
      <c r="A2049">
        <v>15</v>
      </c>
      <c r="B2049" s="64">
        <v>40529</v>
      </c>
      <c r="C2049" s="2">
        <v>983825.15</v>
      </c>
      <c r="D2049">
        <v>0</v>
      </c>
      <c r="E2049" s="65">
        <v>25.3</v>
      </c>
      <c r="F2049" s="8">
        <v>3.301</v>
      </c>
      <c r="G2049" s="66">
        <v>132.6804516</v>
      </c>
      <c r="H2049" s="8">
        <v>8.067</v>
      </c>
      <c r="J2049" s="26"/>
      <c r="K2049"/>
    </row>
    <row r="2050" spans="1:11">
      <c r="A2050">
        <v>15</v>
      </c>
      <c r="B2050" s="64">
        <v>40536</v>
      </c>
      <c r="C2050" s="2">
        <v>1368318.17</v>
      </c>
      <c r="D2050">
        <v>0</v>
      </c>
      <c r="E2050" s="65">
        <v>25.07</v>
      </c>
      <c r="F2050" s="8">
        <v>3.309</v>
      </c>
      <c r="G2050" s="66">
        <v>132.7477419</v>
      </c>
      <c r="H2050" s="8">
        <v>8.067</v>
      </c>
      <c r="J2050" s="26"/>
      <c r="K2050"/>
    </row>
    <row r="2051" spans="1:11">
      <c r="A2051">
        <v>15</v>
      </c>
      <c r="B2051" s="64">
        <v>40543</v>
      </c>
      <c r="C2051" s="2">
        <v>543754.17</v>
      </c>
      <c r="D2051">
        <v>1</v>
      </c>
      <c r="E2051" s="65">
        <v>26.54</v>
      </c>
      <c r="F2051" s="8">
        <v>3.336</v>
      </c>
      <c r="G2051" s="66">
        <v>132.8150323</v>
      </c>
      <c r="H2051" s="8">
        <v>8.067</v>
      </c>
      <c r="J2051" s="26"/>
      <c r="K2051"/>
    </row>
    <row r="2052" spans="1:11">
      <c r="A2052">
        <v>15</v>
      </c>
      <c r="B2052" s="64">
        <v>40550</v>
      </c>
      <c r="C2052" s="2">
        <v>509640.77</v>
      </c>
      <c r="D2052">
        <v>0</v>
      </c>
      <c r="E2052" s="65">
        <v>30.53</v>
      </c>
      <c r="F2052" s="8">
        <v>3.351</v>
      </c>
      <c r="G2052" s="66">
        <v>132.8823226</v>
      </c>
      <c r="H2052" s="8">
        <v>7.771</v>
      </c>
      <c r="J2052" s="26"/>
      <c r="K2052"/>
    </row>
    <row r="2053" spans="1:11">
      <c r="A2053">
        <v>15</v>
      </c>
      <c r="B2053" s="64">
        <v>40557</v>
      </c>
      <c r="C2053" s="2">
        <v>479424.2</v>
      </c>
      <c r="D2053">
        <v>0</v>
      </c>
      <c r="E2053" s="65">
        <v>19.53</v>
      </c>
      <c r="F2053" s="8">
        <v>3.367</v>
      </c>
      <c r="G2053" s="66">
        <v>132.9510645</v>
      </c>
      <c r="H2053" s="8">
        <v>7.771</v>
      </c>
      <c r="J2053" s="26"/>
      <c r="K2053"/>
    </row>
    <row r="2054" spans="1:11">
      <c r="A2054">
        <v>15</v>
      </c>
      <c r="B2054" s="64">
        <v>40564</v>
      </c>
      <c r="C2054" s="2">
        <v>487311.03</v>
      </c>
      <c r="D2054">
        <v>0</v>
      </c>
      <c r="E2054" s="65">
        <v>21.84</v>
      </c>
      <c r="F2054" s="8">
        <v>3.391</v>
      </c>
      <c r="G2054" s="66">
        <v>133.0285161</v>
      </c>
      <c r="H2054" s="8">
        <v>7.771</v>
      </c>
      <c r="J2054" s="26"/>
      <c r="K2054"/>
    </row>
    <row r="2055" spans="1:11">
      <c r="A2055">
        <v>15</v>
      </c>
      <c r="B2055" s="64">
        <v>40571</v>
      </c>
      <c r="C2055" s="2">
        <v>481119.6</v>
      </c>
      <c r="D2055">
        <v>0</v>
      </c>
      <c r="E2055" s="65">
        <v>19.61</v>
      </c>
      <c r="F2055" s="8">
        <v>3.402</v>
      </c>
      <c r="G2055" s="66">
        <v>133.1059677</v>
      </c>
      <c r="H2055" s="8">
        <v>7.771</v>
      </c>
      <c r="J2055" s="26"/>
      <c r="K2055"/>
    </row>
    <row r="2056" spans="1:11">
      <c r="A2056">
        <v>15</v>
      </c>
      <c r="B2056" s="64">
        <v>40578</v>
      </c>
      <c r="C2056" s="2">
        <v>556550.85</v>
      </c>
      <c r="D2056">
        <v>0</v>
      </c>
      <c r="E2056" s="65">
        <v>20.69</v>
      </c>
      <c r="F2056" s="8">
        <v>3.4</v>
      </c>
      <c r="G2056" s="66">
        <v>133.1834194</v>
      </c>
      <c r="H2056" s="8">
        <v>7.771</v>
      </c>
      <c r="J2056" s="26"/>
      <c r="K2056"/>
    </row>
    <row r="2057" spans="1:11">
      <c r="A2057">
        <v>15</v>
      </c>
      <c r="B2057" s="64">
        <v>40585</v>
      </c>
      <c r="C2057" s="2">
        <v>582864.35</v>
      </c>
      <c r="D2057">
        <v>1</v>
      </c>
      <c r="E2057" s="65">
        <v>21.64</v>
      </c>
      <c r="F2057" s="8">
        <v>3.416</v>
      </c>
      <c r="G2057" s="66">
        <v>133.260871</v>
      </c>
      <c r="H2057" s="8">
        <v>7.771</v>
      </c>
      <c r="J2057" s="26"/>
      <c r="K2057"/>
    </row>
    <row r="2058" spans="1:11">
      <c r="A2058">
        <v>15</v>
      </c>
      <c r="B2058" s="64">
        <v>40592</v>
      </c>
      <c r="C2058" s="2">
        <v>649993.5</v>
      </c>
      <c r="D2058">
        <v>0</v>
      </c>
      <c r="E2058" s="65">
        <v>33.06</v>
      </c>
      <c r="F2058" s="8">
        <v>3.42</v>
      </c>
      <c r="G2058" s="66">
        <v>133.3701429</v>
      </c>
      <c r="H2058" s="8">
        <v>7.771</v>
      </c>
      <c r="J2058" s="26"/>
      <c r="K2058"/>
    </row>
    <row r="2059" spans="1:11">
      <c r="A2059">
        <v>15</v>
      </c>
      <c r="B2059" s="64">
        <v>40599</v>
      </c>
      <c r="C2059" s="2">
        <v>547564.09</v>
      </c>
      <c r="D2059">
        <v>0</v>
      </c>
      <c r="E2059" s="65">
        <v>20.87</v>
      </c>
      <c r="F2059" s="8">
        <v>3.452</v>
      </c>
      <c r="G2059" s="66">
        <v>133.4921429</v>
      </c>
      <c r="H2059" s="8">
        <v>7.771</v>
      </c>
      <c r="J2059" s="26"/>
      <c r="K2059"/>
    </row>
    <row r="2060" spans="1:11">
      <c r="A2060">
        <v>15</v>
      </c>
      <c r="B2060" s="64">
        <v>40606</v>
      </c>
      <c r="C2060" s="2">
        <v>573374.49</v>
      </c>
      <c r="D2060">
        <v>0</v>
      </c>
      <c r="E2060" s="65">
        <v>28.16</v>
      </c>
      <c r="F2060" s="8">
        <v>3.605</v>
      </c>
      <c r="G2060" s="66">
        <v>133.6141429</v>
      </c>
      <c r="H2060" s="8">
        <v>7.771</v>
      </c>
      <c r="J2060" s="26"/>
      <c r="K2060"/>
    </row>
    <row r="2061" spans="1:11">
      <c r="A2061">
        <v>15</v>
      </c>
      <c r="B2061" s="64">
        <v>40613</v>
      </c>
      <c r="C2061" s="2">
        <v>537035.28</v>
      </c>
      <c r="D2061">
        <v>0</v>
      </c>
      <c r="E2061" s="65">
        <v>34.27</v>
      </c>
      <c r="F2061" s="8">
        <v>3.752</v>
      </c>
      <c r="G2061" s="66">
        <v>133.7361429</v>
      </c>
      <c r="H2061" s="8">
        <v>7.771</v>
      </c>
      <c r="J2061" s="26"/>
      <c r="K2061"/>
    </row>
    <row r="2062" spans="1:11">
      <c r="A2062">
        <v>15</v>
      </c>
      <c r="B2062" s="64">
        <v>40620</v>
      </c>
      <c r="C2062" s="2">
        <v>551553.99</v>
      </c>
      <c r="D2062">
        <v>0</v>
      </c>
      <c r="E2062" s="65">
        <v>40.23</v>
      </c>
      <c r="F2062" s="8">
        <v>3.796</v>
      </c>
      <c r="G2062" s="66">
        <v>133.8492258</v>
      </c>
      <c r="H2062" s="8">
        <v>7.771</v>
      </c>
      <c r="J2062" s="26"/>
      <c r="K2062"/>
    </row>
    <row r="2063" spans="1:11">
      <c r="A2063">
        <v>15</v>
      </c>
      <c r="B2063" s="64">
        <v>40627</v>
      </c>
      <c r="C2063" s="2">
        <v>527389.28</v>
      </c>
      <c r="D2063">
        <v>0</v>
      </c>
      <c r="E2063" s="65">
        <v>32.63</v>
      </c>
      <c r="F2063" s="8">
        <v>3.789</v>
      </c>
      <c r="G2063" s="66">
        <v>133.9587419</v>
      </c>
      <c r="H2063" s="8">
        <v>7.771</v>
      </c>
      <c r="J2063" s="26"/>
      <c r="K2063"/>
    </row>
    <row r="2064" spans="1:11">
      <c r="A2064">
        <v>15</v>
      </c>
      <c r="B2064" s="64">
        <v>40634</v>
      </c>
      <c r="C2064" s="2">
        <v>542556.05</v>
      </c>
      <c r="D2064">
        <v>0</v>
      </c>
      <c r="E2064" s="65">
        <v>30.34</v>
      </c>
      <c r="F2064" s="8">
        <v>3.811</v>
      </c>
      <c r="G2064" s="66">
        <v>134.0682581</v>
      </c>
      <c r="H2064" s="8">
        <v>7.658</v>
      </c>
      <c r="J2064" s="26"/>
      <c r="K2064"/>
    </row>
    <row r="2065" spans="1:11">
      <c r="A2065">
        <v>15</v>
      </c>
      <c r="B2065" s="64">
        <v>40641</v>
      </c>
      <c r="C2065" s="2">
        <v>587370.81</v>
      </c>
      <c r="D2065">
        <v>0</v>
      </c>
      <c r="E2065" s="65">
        <v>40.94</v>
      </c>
      <c r="F2065" s="8">
        <v>3.895</v>
      </c>
      <c r="G2065" s="66">
        <v>134.1777742</v>
      </c>
      <c r="H2065" s="8">
        <v>7.658</v>
      </c>
      <c r="J2065" s="26"/>
      <c r="K2065"/>
    </row>
    <row r="2066" spans="1:11">
      <c r="A2066">
        <v>15</v>
      </c>
      <c r="B2066" s="64">
        <v>40648</v>
      </c>
      <c r="C2066" s="2">
        <v>607691.36</v>
      </c>
      <c r="D2066">
        <v>0</v>
      </c>
      <c r="E2066" s="65">
        <v>48.63</v>
      </c>
      <c r="F2066" s="8">
        <v>3.981</v>
      </c>
      <c r="G2066" s="66">
        <v>134.2784667</v>
      </c>
      <c r="H2066" s="8">
        <v>7.658</v>
      </c>
      <c r="J2066" s="26"/>
      <c r="K2066"/>
    </row>
    <row r="2067" spans="1:11">
      <c r="A2067">
        <v>15</v>
      </c>
      <c r="B2067" s="64">
        <v>40655</v>
      </c>
      <c r="C2067" s="2">
        <v>655318.26</v>
      </c>
      <c r="D2067">
        <v>0</v>
      </c>
      <c r="E2067" s="65">
        <v>41.37</v>
      </c>
      <c r="F2067" s="8">
        <v>4.061</v>
      </c>
      <c r="G2067" s="66">
        <v>134.3571</v>
      </c>
      <c r="H2067" s="8">
        <v>7.658</v>
      </c>
      <c r="J2067" s="26"/>
      <c r="K2067"/>
    </row>
    <row r="2068" spans="1:11">
      <c r="A2068">
        <v>15</v>
      </c>
      <c r="B2068" s="64">
        <v>40662</v>
      </c>
      <c r="C2068" s="2">
        <v>560764.41</v>
      </c>
      <c r="D2068">
        <v>0</v>
      </c>
      <c r="E2068" s="65">
        <v>55.46</v>
      </c>
      <c r="F2068" s="8">
        <v>4.117</v>
      </c>
      <c r="G2068" s="66">
        <v>134.4357333</v>
      </c>
      <c r="H2068" s="8">
        <v>7.658</v>
      </c>
      <c r="J2068" s="26"/>
      <c r="K2068"/>
    </row>
    <row r="2069" spans="1:11">
      <c r="A2069">
        <v>15</v>
      </c>
      <c r="B2069" s="64">
        <v>40669</v>
      </c>
      <c r="C2069" s="2">
        <v>630522.67</v>
      </c>
      <c r="D2069">
        <v>0</v>
      </c>
      <c r="E2069" s="65">
        <v>49.87</v>
      </c>
      <c r="F2069" s="8">
        <v>4.192</v>
      </c>
      <c r="G2069" s="66">
        <v>134.5143667</v>
      </c>
      <c r="H2069" s="8">
        <v>7.658</v>
      </c>
      <c r="J2069" s="26"/>
      <c r="K2069"/>
    </row>
    <row r="2070" spans="1:11">
      <c r="A2070">
        <v>15</v>
      </c>
      <c r="B2070" s="64">
        <v>40676</v>
      </c>
      <c r="C2070" s="2">
        <v>630482.91</v>
      </c>
      <c r="D2070">
        <v>0</v>
      </c>
      <c r="E2070" s="65">
        <v>57.07</v>
      </c>
      <c r="F2070" s="8">
        <v>4.211</v>
      </c>
      <c r="G2070" s="66">
        <v>134.593</v>
      </c>
      <c r="H2070" s="8">
        <v>7.658</v>
      </c>
      <c r="J2070" s="26"/>
      <c r="K2070"/>
    </row>
    <row r="2071" spans="1:11">
      <c r="A2071">
        <v>15</v>
      </c>
      <c r="B2071" s="64">
        <v>40683</v>
      </c>
      <c r="C2071" s="2">
        <v>593941.9</v>
      </c>
      <c r="D2071">
        <v>0</v>
      </c>
      <c r="E2071" s="65">
        <v>57.19</v>
      </c>
      <c r="F2071" s="8">
        <v>4.202</v>
      </c>
      <c r="G2071" s="66">
        <v>134.6803871</v>
      </c>
      <c r="H2071" s="8">
        <v>7.658</v>
      </c>
      <c r="J2071" s="26"/>
      <c r="K2071"/>
    </row>
    <row r="2072" spans="1:11">
      <c r="A2072">
        <v>15</v>
      </c>
      <c r="B2072" s="64">
        <v>40690</v>
      </c>
      <c r="C2072" s="2">
        <v>636193.24</v>
      </c>
      <c r="D2072">
        <v>0</v>
      </c>
      <c r="E2072" s="65">
        <v>65.87</v>
      </c>
      <c r="F2072" s="8">
        <v>4.134</v>
      </c>
      <c r="G2072" s="66">
        <v>134.7677742</v>
      </c>
      <c r="H2072" s="8">
        <v>7.658</v>
      </c>
      <c r="J2072" s="26"/>
      <c r="K2072"/>
    </row>
    <row r="2073" spans="1:11">
      <c r="A2073">
        <v>15</v>
      </c>
      <c r="B2073" s="64">
        <v>40697</v>
      </c>
      <c r="C2073" s="2">
        <v>695396.19</v>
      </c>
      <c r="D2073">
        <v>0</v>
      </c>
      <c r="E2073" s="65">
        <v>69.8</v>
      </c>
      <c r="F2073" s="8">
        <v>4.069</v>
      </c>
      <c r="G2073" s="66">
        <v>134.8551613</v>
      </c>
      <c r="H2073" s="8">
        <v>7.658</v>
      </c>
      <c r="J2073" s="26"/>
      <c r="K2073"/>
    </row>
    <row r="2074" spans="1:11">
      <c r="A2074">
        <v>15</v>
      </c>
      <c r="B2074" s="64">
        <v>40704</v>
      </c>
      <c r="C2074" s="2">
        <v>642679.81</v>
      </c>
      <c r="D2074">
        <v>0</v>
      </c>
      <c r="E2074" s="65">
        <v>69.86</v>
      </c>
      <c r="F2074" s="8">
        <v>4.025</v>
      </c>
      <c r="G2074" s="66">
        <v>134.9425484</v>
      </c>
      <c r="H2074" s="8">
        <v>7.658</v>
      </c>
      <c r="J2074" s="26"/>
      <c r="K2074"/>
    </row>
    <row r="2075" spans="1:11">
      <c r="A2075">
        <v>15</v>
      </c>
      <c r="B2075" s="64">
        <v>40711</v>
      </c>
      <c r="C2075" s="2">
        <v>639928.85</v>
      </c>
      <c r="D2075">
        <v>0</v>
      </c>
      <c r="E2075" s="65">
        <v>63.9</v>
      </c>
      <c r="F2075" s="8">
        <v>3.989</v>
      </c>
      <c r="G2075" s="66">
        <v>135.0837333</v>
      </c>
      <c r="H2075" s="8">
        <v>7.658</v>
      </c>
      <c r="J2075" s="26"/>
      <c r="K2075"/>
    </row>
    <row r="2076" spans="1:11">
      <c r="A2076">
        <v>15</v>
      </c>
      <c r="B2076" s="64">
        <v>40718</v>
      </c>
      <c r="C2076" s="2">
        <v>656594.95</v>
      </c>
      <c r="D2076">
        <v>0</v>
      </c>
      <c r="E2076" s="65">
        <v>69.96</v>
      </c>
      <c r="F2076" s="8">
        <v>3.964</v>
      </c>
      <c r="G2076" s="66">
        <v>135.2652667</v>
      </c>
      <c r="H2076" s="8">
        <v>7.658</v>
      </c>
      <c r="J2076" s="26"/>
      <c r="K2076"/>
    </row>
    <row r="2077" spans="1:11">
      <c r="A2077">
        <v>15</v>
      </c>
      <c r="B2077" s="64">
        <v>40725</v>
      </c>
      <c r="C2077" s="2">
        <v>674669.16</v>
      </c>
      <c r="D2077">
        <v>0</v>
      </c>
      <c r="E2077" s="65">
        <v>67.43</v>
      </c>
      <c r="F2077" s="8">
        <v>3.916</v>
      </c>
      <c r="G2077" s="66">
        <v>135.4468</v>
      </c>
      <c r="H2077" s="8">
        <v>7.806</v>
      </c>
      <c r="J2077" s="26"/>
      <c r="K2077"/>
    </row>
    <row r="2078" spans="1:11">
      <c r="A2078">
        <v>15</v>
      </c>
      <c r="B2078" s="64">
        <v>40732</v>
      </c>
      <c r="C2078" s="2">
        <v>635118.48</v>
      </c>
      <c r="D2078">
        <v>0</v>
      </c>
      <c r="E2078" s="65">
        <v>73.47</v>
      </c>
      <c r="F2078" s="8">
        <v>3.886</v>
      </c>
      <c r="G2078" s="66">
        <v>135.6283333</v>
      </c>
      <c r="H2078" s="8">
        <v>7.806</v>
      </c>
      <c r="J2078" s="26"/>
      <c r="K2078"/>
    </row>
    <row r="2079" spans="1:11">
      <c r="A2079">
        <v>15</v>
      </c>
      <c r="B2079" s="64">
        <v>40739</v>
      </c>
      <c r="C2079" s="2">
        <v>624114.56</v>
      </c>
      <c r="D2079">
        <v>0</v>
      </c>
      <c r="E2079" s="65">
        <v>73.34</v>
      </c>
      <c r="F2079" s="8">
        <v>3.915</v>
      </c>
      <c r="G2079" s="66">
        <v>135.7837419</v>
      </c>
      <c r="H2079" s="8">
        <v>7.806</v>
      </c>
      <c r="J2079" s="26"/>
      <c r="K2079"/>
    </row>
    <row r="2080" spans="1:11">
      <c r="A2080">
        <v>15</v>
      </c>
      <c r="B2080" s="64">
        <v>40746</v>
      </c>
      <c r="C2080" s="2">
        <v>607475.44</v>
      </c>
      <c r="D2080">
        <v>0</v>
      </c>
      <c r="E2080" s="65">
        <v>79.97</v>
      </c>
      <c r="F2080" s="8">
        <v>3.972</v>
      </c>
      <c r="G2080" s="66">
        <v>135.8738387</v>
      </c>
      <c r="H2080" s="8">
        <v>7.806</v>
      </c>
      <c r="J2080" s="26"/>
      <c r="K2080"/>
    </row>
    <row r="2081" spans="1:11">
      <c r="A2081">
        <v>15</v>
      </c>
      <c r="B2081" s="64">
        <v>40753</v>
      </c>
      <c r="C2081" s="2">
        <v>577511.02</v>
      </c>
      <c r="D2081">
        <v>0</v>
      </c>
      <c r="E2081" s="65">
        <v>74.67</v>
      </c>
      <c r="F2081" s="8">
        <v>4.004</v>
      </c>
      <c r="G2081" s="66">
        <v>135.9639355</v>
      </c>
      <c r="H2081" s="8">
        <v>7.806</v>
      </c>
      <c r="J2081" s="26"/>
      <c r="K2081"/>
    </row>
    <row r="2082" spans="1:11">
      <c r="A2082">
        <v>15</v>
      </c>
      <c r="B2082" s="64">
        <v>40760</v>
      </c>
      <c r="C2082" s="2">
        <v>607961.21</v>
      </c>
      <c r="D2082">
        <v>0</v>
      </c>
      <c r="E2082" s="65">
        <v>73.63</v>
      </c>
      <c r="F2082" s="8">
        <v>4.02</v>
      </c>
      <c r="G2082" s="66">
        <v>136.0540323</v>
      </c>
      <c r="H2082" s="8">
        <v>7.806</v>
      </c>
      <c r="J2082" s="26"/>
      <c r="K2082"/>
    </row>
    <row r="2083" spans="1:11">
      <c r="A2083">
        <v>15</v>
      </c>
      <c r="B2083" s="64">
        <v>40767</v>
      </c>
      <c r="C2083" s="2">
        <v>590836.37</v>
      </c>
      <c r="D2083">
        <v>0</v>
      </c>
      <c r="E2083" s="65">
        <v>70.63</v>
      </c>
      <c r="F2083" s="8">
        <v>3.995</v>
      </c>
      <c r="G2083" s="66">
        <v>136.144129</v>
      </c>
      <c r="H2083" s="8">
        <v>7.806</v>
      </c>
      <c r="J2083" s="26"/>
      <c r="K2083"/>
    </row>
    <row r="2084" spans="1:11">
      <c r="A2084">
        <v>15</v>
      </c>
      <c r="B2084" s="64">
        <v>40774</v>
      </c>
      <c r="C2084" s="2">
        <v>599488.98</v>
      </c>
      <c r="D2084">
        <v>0</v>
      </c>
      <c r="E2084" s="65">
        <v>70.41</v>
      </c>
      <c r="F2084" s="8">
        <v>3.942</v>
      </c>
      <c r="G2084" s="66">
        <v>136.183129</v>
      </c>
      <c r="H2084" s="8">
        <v>7.806</v>
      </c>
      <c r="J2084" s="26"/>
      <c r="K2084"/>
    </row>
    <row r="2085" spans="1:11">
      <c r="A2085">
        <v>15</v>
      </c>
      <c r="B2085" s="64">
        <v>40781</v>
      </c>
      <c r="C2085" s="2">
        <v>605413.17</v>
      </c>
      <c r="D2085">
        <v>0</v>
      </c>
      <c r="E2085" s="65">
        <v>69.19</v>
      </c>
      <c r="F2085" s="8">
        <v>3.906</v>
      </c>
      <c r="G2085" s="66">
        <v>136.2136129</v>
      </c>
      <c r="H2085" s="8">
        <v>7.806</v>
      </c>
      <c r="J2085" s="26"/>
      <c r="K2085"/>
    </row>
    <row r="2086" spans="1:11">
      <c r="A2086">
        <v>15</v>
      </c>
      <c r="B2086" s="64">
        <v>40788</v>
      </c>
      <c r="C2086" s="2">
        <v>649159.68</v>
      </c>
      <c r="D2086">
        <v>0</v>
      </c>
      <c r="E2086" s="65">
        <v>67.63</v>
      </c>
      <c r="F2086" s="8">
        <v>3.879</v>
      </c>
      <c r="G2086" s="66">
        <v>136.2440968</v>
      </c>
      <c r="H2086" s="8">
        <v>7.806</v>
      </c>
      <c r="J2086" s="26"/>
      <c r="K2086"/>
    </row>
    <row r="2087" spans="1:11">
      <c r="A2087">
        <v>15</v>
      </c>
      <c r="B2087" s="64">
        <v>40795</v>
      </c>
      <c r="C2087" s="2">
        <v>607593.51</v>
      </c>
      <c r="D2087">
        <v>1</v>
      </c>
      <c r="E2087" s="65">
        <v>67.59</v>
      </c>
      <c r="F2087" s="8">
        <v>3.93</v>
      </c>
      <c r="G2087" s="66">
        <v>136.2745806</v>
      </c>
      <c r="H2087" s="8">
        <v>7.806</v>
      </c>
      <c r="J2087" s="26"/>
      <c r="K2087"/>
    </row>
    <row r="2088" spans="1:11">
      <c r="A2088">
        <v>15</v>
      </c>
      <c r="B2088" s="64">
        <v>40802</v>
      </c>
      <c r="C2088" s="2">
        <v>545052.34</v>
      </c>
      <c r="D2088">
        <v>0</v>
      </c>
      <c r="E2088" s="65">
        <v>62.1</v>
      </c>
      <c r="F2088" s="8">
        <v>3.937</v>
      </c>
      <c r="G2088" s="66">
        <v>136.3145</v>
      </c>
      <c r="H2088" s="8">
        <v>7.806</v>
      </c>
      <c r="J2088" s="26"/>
      <c r="K2088"/>
    </row>
    <row r="2089" spans="1:11">
      <c r="A2089">
        <v>15</v>
      </c>
      <c r="B2089" s="64">
        <v>40809</v>
      </c>
      <c r="C2089" s="2">
        <v>545570.86</v>
      </c>
      <c r="D2089">
        <v>0</v>
      </c>
      <c r="E2089" s="65">
        <v>59</v>
      </c>
      <c r="F2089" s="8">
        <v>3.899</v>
      </c>
      <c r="G2089" s="66">
        <v>136.367</v>
      </c>
      <c r="H2089" s="8">
        <v>7.806</v>
      </c>
      <c r="J2089" s="26"/>
      <c r="K2089"/>
    </row>
    <row r="2090" spans="1:11">
      <c r="A2090">
        <v>15</v>
      </c>
      <c r="B2090" s="64">
        <v>40816</v>
      </c>
      <c r="C2090" s="2">
        <v>521297.31</v>
      </c>
      <c r="D2090">
        <v>0</v>
      </c>
      <c r="E2090" s="65">
        <v>64.87</v>
      </c>
      <c r="F2090" s="8">
        <v>3.858</v>
      </c>
      <c r="G2090" s="66">
        <v>136.4195</v>
      </c>
      <c r="H2090" s="8">
        <v>7.806</v>
      </c>
      <c r="J2090" s="26"/>
      <c r="K2090"/>
    </row>
    <row r="2091" spans="1:11">
      <c r="A2091">
        <v>15</v>
      </c>
      <c r="B2091" s="64">
        <v>40823</v>
      </c>
      <c r="C2091" s="2">
        <v>579068.88</v>
      </c>
      <c r="D2091">
        <v>0</v>
      </c>
      <c r="E2091" s="65">
        <v>51.24</v>
      </c>
      <c r="F2091" s="8">
        <v>3.775</v>
      </c>
      <c r="G2091" s="66">
        <v>136.472</v>
      </c>
      <c r="H2091" s="8">
        <v>7.866</v>
      </c>
      <c r="J2091" s="26"/>
      <c r="K2091"/>
    </row>
    <row r="2092" spans="1:11">
      <c r="A2092">
        <v>15</v>
      </c>
      <c r="B2092" s="64">
        <v>40830</v>
      </c>
      <c r="C2092" s="2">
        <v>537300.94</v>
      </c>
      <c r="D2092">
        <v>0</v>
      </c>
      <c r="E2092" s="65">
        <v>61.3</v>
      </c>
      <c r="F2092" s="8">
        <v>3.744</v>
      </c>
      <c r="G2092" s="66">
        <v>136.5150968</v>
      </c>
      <c r="H2092" s="8">
        <v>7.866</v>
      </c>
      <c r="J2092" s="26"/>
      <c r="K2092"/>
    </row>
    <row r="2093" spans="1:11">
      <c r="A2093">
        <v>15</v>
      </c>
      <c r="B2093" s="64">
        <v>40837</v>
      </c>
      <c r="C2093" s="2">
        <v>603318.89</v>
      </c>
      <c r="D2093">
        <v>0</v>
      </c>
      <c r="E2093" s="65">
        <v>51.67</v>
      </c>
      <c r="F2093" s="8">
        <v>3.757</v>
      </c>
      <c r="G2093" s="66">
        <v>136.5017742</v>
      </c>
      <c r="H2093" s="8">
        <v>7.866</v>
      </c>
      <c r="J2093" s="26"/>
      <c r="K2093"/>
    </row>
    <row r="2094" spans="1:11">
      <c r="A2094">
        <v>15</v>
      </c>
      <c r="B2094" s="64">
        <v>40844</v>
      </c>
      <c r="C2094" s="2">
        <v>589842.69</v>
      </c>
      <c r="D2094">
        <v>0</v>
      </c>
      <c r="E2094" s="65">
        <v>45.54</v>
      </c>
      <c r="F2094" s="8">
        <v>3.757</v>
      </c>
      <c r="G2094" s="66">
        <v>136.4884516</v>
      </c>
      <c r="H2094" s="8">
        <v>7.866</v>
      </c>
      <c r="J2094" s="26"/>
      <c r="K2094"/>
    </row>
    <row r="2095" spans="1:11">
      <c r="A2095">
        <v>15</v>
      </c>
      <c r="B2095" s="64">
        <v>40851</v>
      </c>
      <c r="C2095" s="2">
        <v>615121.78</v>
      </c>
      <c r="D2095">
        <v>0</v>
      </c>
      <c r="E2095" s="65">
        <v>43.39</v>
      </c>
      <c r="F2095" s="8">
        <v>3.738</v>
      </c>
      <c r="G2095" s="66">
        <v>136.475129</v>
      </c>
      <c r="H2095" s="8">
        <v>7.866</v>
      </c>
      <c r="J2095" s="26"/>
      <c r="K2095"/>
    </row>
    <row r="2096" spans="1:11">
      <c r="A2096">
        <v>15</v>
      </c>
      <c r="B2096" s="64">
        <v>40858</v>
      </c>
      <c r="C2096" s="2">
        <v>618949.82</v>
      </c>
      <c r="D2096">
        <v>0</v>
      </c>
      <c r="E2096" s="65">
        <v>47.13</v>
      </c>
      <c r="F2096" s="8">
        <v>3.719</v>
      </c>
      <c r="G2096" s="66">
        <v>136.4618065</v>
      </c>
      <c r="H2096" s="8">
        <v>7.866</v>
      </c>
      <c r="J2096" s="26"/>
      <c r="K2096"/>
    </row>
    <row r="2097" spans="1:11">
      <c r="A2097">
        <v>15</v>
      </c>
      <c r="B2097" s="64">
        <v>40865</v>
      </c>
      <c r="C2097" s="2">
        <v>597856.51</v>
      </c>
      <c r="D2097">
        <v>0</v>
      </c>
      <c r="E2097" s="65">
        <v>46.53</v>
      </c>
      <c r="F2097" s="8">
        <v>3.717</v>
      </c>
      <c r="G2097" s="66">
        <v>136.4666667</v>
      </c>
      <c r="H2097" s="8">
        <v>7.866</v>
      </c>
      <c r="J2097" s="26"/>
      <c r="K2097"/>
    </row>
    <row r="2098" spans="1:11">
      <c r="A2098">
        <v>15</v>
      </c>
      <c r="B2098" s="64">
        <v>40872</v>
      </c>
      <c r="C2098" s="2">
        <v>1066478.1</v>
      </c>
      <c r="D2098">
        <v>1</v>
      </c>
      <c r="E2098" s="65">
        <v>41.1</v>
      </c>
      <c r="F2098" s="8">
        <v>3.689</v>
      </c>
      <c r="G2098" s="66">
        <v>136.4788</v>
      </c>
      <c r="H2098" s="8">
        <v>7.866</v>
      </c>
      <c r="J2098" s="26"/>
      <c r="K2098"/>
    </row>
    <row r="2099" spans="1:11">
      <c r="A2099">
        <v>15</v>
      </c>
      <c r="B2099" s="64">
        <v>40879</v>
      </c>
      <c r="C2099" s="2">
        <v>699028.66</v>
      </c>
      <c r="D2099">
        <v>0</v>
      </c>
      <c r="E2099" s="65">
        <v>45.67</v>
      </c>
      <c r="F2099" s="8">
        <v>3.666</v>
      </c>
      <c r="G2099" s="66">
        <v>136.4909333</v>
      </c>
      <c r="H2099" s="8">
        <v>7.866</v>
      </c>
      <c r="J2099" s="26"/>
      <c r="K2099"/>
    </row>
    <row r="2100" spans="1:11">
      <c r="A2100">
        <v>15</v>
      </c>
      <c r="B2100" s="64">
        <v>40886</v>
      </c>
      <c r="C2100" s="2">
        <v>764565.55</v>
      </c>
      <c r="D2100">
        <v>0</v>
      </c>
      <c r="E2100" s="65">
        <v>38.53</v>
      </c>
      <c r="F2100" s="8">
        <v>3.627</v>
      </c>
      <c r="G2100" s="66">
        <v>136.5030667</v>
      </c>
      <c r="H2100" s="8">
        <v>7.866</v>
      </c>
      <c r="J2100" s="26"/>
      <c r="K2100"/>
    </row>
    <row r="2101" spans="1:11">
      <c r="A2101">
        <v>15</v>
      </c>
      <c r="B2101" s="64">
        <v>40893</v>
      </c>
      <c r="C2101" s="2">
        <v>870415.49</v>
      </c>
      <c r="D2101">
        <v>0</v>
      </c>
      <c r="E2101" s="65">
        <v>35.49</v>
      </c>
      <c r="F2101" s="8">
        <v>3.611</v>
      </c>
      <c r="G2101" s="66">
        <v>136.5335161</v>
      </c>
      <c r="H2101" s="8">
        <v>7.866</v>
      </c>
      <c r="J2101" s="26"/>
      <c r="K2101"/>
    </row>
    <row r="2102" spans="1:11">
      <c r="A2102">
        <v>15</v>
      </c>
      <c r="B2102" s="64">
        <v>40900</v>
      </c>
      <c r="C2102" s="2">
        <v>1182691.87</v>
      </c>
      <c r="D2102">
        <v>0</v>
      </c>
      <c r="E2102" s="65">
        <v>34.93</v>
      </c>
      <c r="F2102" s="8">
        <v>3.587</v>
      </c>
      <c r="G2102" s="66">
        <v>136.5883871</v>
      </c>
      <c r="H2102" s="8">
        <v>7.866</v>
      </c>
      <c r="J2102" s="26"/>
      <c r="K2102"/>
    </row>
    <row r="2103" spans="1:11">
      <c r="A2103">
        <v>15</v>
      </c>
      <c r="B2103" s="64">
        <v>40907</v>
      </c>
      <c r="C2103" s="2">
        <v>603460.79</v>
      </c>
      <c r="D2103">
        <v>1</v>
      </c>
      <c r="E2103" s="65">
        <v>31.44</v>
      </c>
      <c r="F2103" s="8">
        <v>3.566</v>
      </c>
      <c r="G2103" s="66">
        <v>136.6432581</v>
      </c>
      <c r="H2103" s="8">
        <v>7.866</v>
      </c>
      <c r="J2103" s="26"/>
      <c r="K2103"/>
    </row>
    <row r="2104" spans="1:11">
      <c r="A2104">
        <v>15</v>
      </c>
      <c r="B2104" s="64">
        <v>40914</v>
      </c>
      <c r="C2104" s="2">
        <v>516087.65</v>
      </c>
      <c r="D2104">
        <v>0</v>
      </c>
      <c r="E2104" s="65">
        <v>30.24</v>
      </c>
      <c r="F2104" s="8">
        <v>3.585</v>
      </c>
      <c r="G2104" s="66">
        <v>136.698129</v>
      </c>
      <c r="H2104" s="8">
        <v>7.943</v>
      </c>
      <c r="J2104" s="26"/>
      <c r="K2104"/>
    </row>
    <row r="2105" spans="1:11">
      <c r="A2105">
        <v>15</v>
      </c>
      <c r="B2105" s="64">
        <v>40921</v>
      </c>
      <c r="C2105" s="2">
        <v>454183.42</v>
      </c>
      <c r="D2105">
        <v>0</v>
      </c>
      <c r="E2105" s="65">
        <v>36.26</v>
      </c>
      <c r="F2105" s="8">
        <v>3.666</v>
      </c>
      <c r="G2105" s="66">
        <v>136.753</v>
      </c>
      <c r="H2105" s="8">
        <v>7.943</v>
      </c>
      <c r="J2105" s="26"/>
      <c r="K2105"/>
    </row>
    <row r="2106" spans="1:11">
      <c r="A2106">
        <v>15</v>
      </c>
      <c r="B2106" s="64">
        <v>40928</v>
      </c>
      <c r="C2106" s="2">
        <v>492721.85</v>
      </c>
      <c r="D2106">
        <v>0</v>
      </c>
      <c r="E2106" s="65">
        <v>21.39</v>
      </c>
      <c r="F2106" s="8">
        <v>3.705</v>
      </c>
      <c r="G2106" s="66">
        <v>136.8564194</v>
      </c>
      <c r="H2106" s="8">
        <v>7.943</v>
      </c>
      <c r="J2106" s="26"/>
      <c r="K2106"/>
    </row>
    <row r="2107" spans="1:11">
      <c r="A2107">
        <v>15</v>
      </c>
      <c r="B2107" s="64">
        <v>40935</v>
      </c>
      <c r="C2107" s="2">
        <v>466045.63</v>
      </c>
      <c r="D2107">
        <v>0</v>
      </c>
      <c r="E2107" s="65">
        <v>30.87</v>
      </c>
      <c r="F2107" s="8">
        <v>3.737</v>
      </c>
      <c r="G2107" s="66">
        <v>136.9598387</v>
      </c>
      <c r="H2107" s="8">
        <v>7.943</v>
      </c>
      <c r="J2107" s="26"/>
      <c r="K2107"/>
    </row>
    <row r="2108" spans="1:11">
      <c r="A2108">
        <v>15</v>
      </c>
      <c r="B2108" s="64">
        <v>40942</v>
      </c>
      <c r="C2108" s="2">
        <v>523831.64</v>
      </c>
      <c r="D2108">
        <v>0</v>
      </c>
      <c r="E2108" s="65">
        <v>35.3</v>
      </c>
      <c r="F2108" s="8">
        <v>3.796</v>
      </c>
      <c r="G2108" s="66">
        <v>137.0632581</v>
      </c>
      <c r="H2108" s="8">
        <v>7.943</v>
      </c>
      <c r="J2108" s="26"/>
      <c r="K2108"/>
    </row>
    <row r="2109" spans="1:11">
      <c r="A2109">
        <v>15</v>
      </c>
      <c r="B2109" s="64">
        <v>40949</v>
      </c>
      <c r="C2109" s="2">
        <v>628218.22</v>
      </c>
      <c r="D2109">
        <v>1</v>
      </c>
      <c r="E2109" s="65">
        <v>31.91</v>
      </c>
      <c r="F2109" s="8">
        <v>3.826</v>
      </c>
      <c r="G2109" s="66">
        <v>137.1666774</v>
      </c>
      <c r="H2109" s="8">
        <v>7.943</v>
      </c>
      <c r="J2109" s="26"/>
      <c r="K2109"/>
    </row>
    <row r="2110" spans="1:11">
      <c r="A2110">
        <v>15</v>
      </c>
      <c r="B2110" s="64">
        <v>40956</v>
      </c>
      <c r="C2110" s="2">
        <v>598502.83</v>
      </c>
      <c r="D2110">
        <v>0</v>
      </c>
      <c r="E2110" s="65">
        <v>30.26</v>
      </c>
      <c r="F2110" s="8">
        <v>3.874</v>
      </c>
      <c r="G2110" s="66">
        <v>137.2583103</v>
      </c>
      <c r="H2110" s="8">
        <v>7.943</v>
      </c>
      <c r="J2110" s="26"/>
      <c r="K2110"/>
    </row>
    <row r="2111" spans="1:11">
      <c r="A2111">
        <v>15</v>
      </c>
      <c r="B2111" s="64">
        <v>40963</v>
      </c>
      <c r="C2111" s="2">
        <v>561137.06</v>
      </c>
      <c r="D2111">
        <v>0</v>
      </c>
      <c r="E2111" s="65">
        <v>33.18</v>
      </c>
      <c r="F2111" s="8">
        <v>3.917</v>
      </c>
      <c r="G2111" s="66">
        <v>137.3411034</v>
      </c>
      <c r="H2111" s="8">
        <v>7.943</v>
      </c>
      <c r="J2111" s="26"/>
      <c r="K2111"/>
    </row>
    <row r="2112" spans="1:11">
      <c r="A2112">
        <v>15</v>
      </c>
      <c r="B2112" s="64">
        <v>40970</v>
      </c>
      <c r="C2112" s="2">
        <v>541292.64</v>
      </c>
      <c r="D2112">
        <v>0</v>
      </c>
      <c r="E2112" s="65">
        <v>33.24</v>
      </c>
      <c r="F2112" s="8">
        <v>3.983</v>
      </c>
      <c r="G2112" s="66">
        <v>137.4238966</v>
      </c>
      <c r="H2112" s="8">
        <v>7.943</v>
      </c>
      <c r="J2112" s="26"/>
      <c r="K2112"/>
    </row>
    <row r="2113" spans="1:11">
      <c r="A2113">
        <v>15</v>
      </c>
      <c r="B2113" s="64">
        <v>40977</v>
      </c>
      <c r="C2113" s="2">
        <v>545120.67</v>
      </c>
      <c r="D2113">
        <v>0</v>
      </c>
      <c r="E2113" s="65">
        <v>36.97</v>
      </c>
      <c r="F2113" s="8">
        <v>4.021</v>
      </c>
      <c r="G2113" s="66">
        <v>137.5066897</v>
      </c>
      <c r="H2113" s="8">
        <v>7.943</v>
      </c>
      <c r="J2113" s="26"/>
      <c r="K2113"/>
    </row>
    <row r="2114" spans="1:11">
      <c r="A2114">
        <v>15</v>
      </c>
      <c r="B2114" s="64">
        <v>40984</v>
      </c>
      <c r="C2114" s="2">
        <v>570611.23</v>
      </c>
      <c r="D2114">
        <v>0</v>
      </c>
      <c r="E2114" s="65">
        <v>47.42</v>
      </c>
      <c r="F2114" s="8">
        <v>4.021</v>
      </c>
      <c r="G2114" s="66">
        <v>137.5843871</v>
      </c>
      <c r="H2114" s="8">
        <v>7.943</v>
      </c>
      <c r="J2114" s="26"/>
      <c r="K2114"/>
    </row>
    <row r="2115" spans="1:11">
      <c r="A2115">
        <v>15</v>
      </c>
      <c r="B2115" s="64">
        <v>40991</v>
      </c>
      <c r="C2115" s="2">
        <v>565481.88</v>
      </c>
      <c r="D2115">
        <v>0</v>
      </c>
      <c r="E2115" s="65">
        <v>58.92</v>
      </c>
      <c r="F2115" s="8">
        <v>4.054</v>
      </c>
      <c r="G2115" s="66">
        <v>137.6552903</v>
      </c>
      <c r="H2115" s="8">
        <v>7.943</v>
      </c>
      <c r="J2115" s="26"/>
      <c r="K2115"/>
    </row>
    <row r="2116" spans="1:11">
      <c r="A2116">
        <v>15</v>
      </c>
      <c r="B2116" s="64">
        <v>40998</v>
      </c>
      <c r="C2116" s="2">
        <v>557547.25</v>
      </c>
      <c r="D2116">
        <v>0</v>
      </c>
      <c r="E2116" s="65">
        <v>42.65</v>
      </c>
      <c r="F2116" s="8">
        <v>4.098</v>
      </c>
      <c r="G2116" s="66">
        <v>137.7261935</v>
      </c>
      <c r="H2116" s="8">
        <v>7.943</v>
      </c>
      <c r="J2116" s="26"/>
      <c r="K2116"/>
    </row>
    <row r="2117" spans="1:11">
      <c r="A2117">
        <v>15</v>
      </c>
      <c r="B2117" s="64">
        <v>41005</v>
      </c>
      <c r="C2117" s="2">
        <v>659950.36</v>
      </c>
      <c r="D2117">
        <v>0</v>
      </c>
      <c r="E2117" s="65">
        <v>40.01</v>
      </c>
      <c r="F2117" s="8">
        <v>4.143</v>
      </c>
      <c r="G2117" s="66">
        <v>137.7970968</v>
      </c>
      <c r="H2117" s="8">
        <v>8.15</v>
      </c>
      <c r="J2117" s="26"/>
      <c r="K2117"/>
    </row>
    <row r="2118" spans="1:11">
      <c r="A2118">
        <v>15</v>
      </c>
      <c r="B2118" s="64">
        <v>41012</v>
      </c>
      <c r="C2118" s="2">
        <v>558585.13</v>
      </c>
      <c r="D2118">
        <v>0</v>
      </c>
      <c r="E2118" s="65">
        <v>43.52</v>
      </c>
      <c r="F2118" s="8">
        <v>4.187</v>
      </c>
      <c r="G2118" s="66">
        <v>137.868</v>
      </c>
      <c r="H2118" s="8">
        <v>8.15</v>
      </c>
      <c r="J2118" s="26"/>
      <c r="K2118"/>
    </row>
    <row r="2119" spans="1:11">
      <c r="A2119">
        <v>15</v>
      </c>
      <c r="B2119" s="64">
        <v>41019</v>
      </c>
      <c r="C2119" s="2">
        <v>534780.57</v>
      </c>
      <c r="D2119">
        <v>0</v>
      </c>
      <c r="E2119" s="65">
        <v>54.47</v>
      </c>
      <c r="F2119" s="8">
        <v>4.17</v>
      </c>
      <c r="G2119" s="66">
        <v>137.9230667</v>
      </c>
      <c r="H2119" s="8">
        <v>8.15</v>
      </c>
      <c r="J2119" s="26"/>
      <c r="K2119"/>
    </row>
    <row r="2120" spans="1:11">
      <c r="A2120">
        <v>15</v>
      </c>
      <c r="B2120" s="64">
        <v>41026</v>
      </c>
      <c r="C2120" s="2">
        <v>527402.62</v>
      </c>
      <c r="D2120">
        <v>0</v>
      </c>
      <c r="E2120" s="65">
        <v>41.57</v>
      </c>
      <c r="F2120" s="8">
        <v>4.163</v>
      </c>
      <c r="G2120" s="66">
        <v>137.9781333</v>
      </c>
      <c r="H2120" s="8">
        <v>8.15</v>
      </c>
      <c r="J2120" s="26"/>
      <c r="K2120"/>
    </row>
    <row r="2121" spans="1:11">
      <c r="A2121">
        <v>15</v>
      </c>
      <c r="B2121" s="64">
        <v>41033</v>
      </c>
      <c r="C2121" s="2">
        <v>577868.38</v>
      </c>
      <c r="D2121">
        <v>0</v>
      </c>
      <c r="E2121" s="65">
        <v>51.04</v>
      </c>
      <c r="F2121" s="8">
        <v>4.124</v>
      </c>
      <c r="G2121" s="66">
        <v>138.0332</v>
      </c>
      <c r="H2121" s="8">
        <v>8.15</v>
      </c>
      <c r="J2121" s="26"/>
      <c r="K2121"/>
    </row>
    <row r="2122" spans="1:11">
      <c r="A2122">
        <v>15</v>
      </c>
      <c r="B2122" s="64">
        <v>41040</v>
      </c>
      <c r="C2122" s="2">
        <v>579539.95</v>
      </c>
      <c r="D2122">
        <v>0</v>
      </c>
      <c r="E2122" s="65">
        <v>54.23</v>
      </c>
      <c r="F2122" s="8">
        <v>4.055</v>
      </c>
      <c r="G2122" s="66">
        <v>138.0882667</v>
      </c>
      <c r="H2122" s="8">
        <v>8.15</v>
      </c>
      <c r="J2122" s="26"/>
      <c r="K2122"/>
    </row>
    <row r="2123" spans="1:11">
      <c r="A2123">
        <v>15</v>
      </c>
      <c r="B2123" s="64">
        <v>41047</v>
      </c>
      <c r="C2123" s="2">
        <v>600050.98</v>
      </c>
      <c r="D2123">
        <v>0</v>
      </c>
      <c r="E2123" s="65">
        <v>58.84</v>
      </c>
      <c r="F2123" s="8">
        <v>4.029</v>
      </c>
      <c r="G2123" s="66">
        <v>138.1065806</v>
      </c>
      <c r="H2123" s="8">
        <v>8.15</v>
      </c>
      <c r="J2123" s="26"/>
      <c r="K2123"/>
    </row>
    <row r="2124" spans="1:11">
      <c r="A2124">
        <v>15</v>
      </c>
      <c r="B2124" s="64">
        <v>41054</v>
      </c>
      <c r="C2124" s="2">
        <v>693780.42</v>
      </c>
      <c r="D2124">
        <v>0</v>
      </c>
      <c r="E2124" s="65">
        <v>67.97</v>
      </c>
      <c r="F2124" s="8">
        <v>3.979</v>
      </c>
      <c r="G2124" s="66">
        <v>138.1101935</v>
      </c>
      <c r="H2124" s="8">
        <v>8.15</v>
      </c>
      <c r="J2124" s="26"/>
      <c r="K2124"/>
    </row>
    <row r="2125" spans="1:11">
      <c r="A2125">
        <v>15</v>
      </c>
      <c r="B2125" s="64">
        <v>41061</v>
      </c>
      <c r="C2125" s="2">
        <v>663971.26</v>
      </c>
      <c r="D2125">
        <v>0</v>
      </c>
      <c r="E2125" s="65">
        <v>67.61</v>
      </c>
      <c r="F2125" s="8">
        <v>3.915</v>
      </c>
      <c r="G2125" s="66">
        <v>138.1138065</v>
      </c>
      <c r="H2125" s="8">
        <v>8.15</v>
      </c>
      <c r="J2125" s="26"/>
      <c r="K2125"/>
    </row>
    <row r="2126" spans="1:11">
      <c r="A2126">
        <v>15</v>
      </c>
      <c r="B2126" s="64">
        <v>41068</v>
      </c>
      <c r="C2126" s="2">
        <v>611390.67</v>
      </c>
      <c r="D2126">
        <v>0</v>
      </c>
      <c r="E2126" s="65">
        <v>59.35</v>
      </c>
      <c r="F2126" s="8">
        <v>3.871</v>
      </c>
      <c r="G2126" s="66">
        <v>138.1174194</v>
      </c>
      <c r="H2126" s="8">
        <v>8.15</v>
      </c>
      <c r="J2126" s="26"/>
      <c r="K2126"/>
    </row>
    <row r="2127" spans="1:11">
      <c r="A2127">
        <v>15</v>
      </c>
      <c r="B2127" s="64">
        <v>41075</v>
      </c>
      <c r="C2127" s="2">
        <v>636737.65</v>
      </c>
      <c r="D2127">
        <v>0</v>
      </c>
      <c r="E2127" s="65">
        <v>67.7</v>
      </c>
      <c r="F2127" s="8">
        <v>3.786</v>
      </c>
      <c r="G2127" s="66">
        <v>138.1295333</v>
      </c>
      <c r="H2127" s="8">
        <v>8.15</v>
      </c>
      <c r="J2127" s="26"/>
      <c r="K2127"/>
    </row>
    <row r="2128" spans="1:11">
      <c r="A2128">
        <v>15</v>
      </c>
      <c r="B2128" s="64">
        <v>41082</v>
      </c>
      <c r="C2128" s="2">
        <v>687085.6</v>
      </c>
      <c r="D2128">
        <v>0</v>
      </c>
      <c r="E2128" s="65">
        <v>74.28</v>
      </c>
      <c r="F2128" s="8">
        <v>3.722</v>
      </c>
      <c r="G2128" s="66">
        <v>138.1629</v>
      </c>
      <c r="H2128" s="8">
        <v>8.15</v>
      </c>
      <c r="J2128" s="26"/>
      <c r="K2128"/>
    </row>
    <row r="2129" spans="1:11">
      <c r="A2129">
        <v>15</v>
      </c>
      <c r="B2129" s="64">
        <v>41089</v>
      </c>
      <c r="C2129" s="2">
        <v>624099.48</v>
      </c>
      <c r="D2129">
        <v>0</v>
      </c>
      <c r="E2129" s="65">
        <v>68.91</v>
      </c>
      <c r="F2129" s="8">
        <v>3.667</v>
      </c>
      <c r="G2129" s="66">
        <v>138.1962667</v>
      </c>
      <c r="H2129" s="8">
        <v>8.15</v>
      </c>
      <c r="J2129" s="26"/>
      <c r="K2129"/>
    </row>
    <row r="2130" spans="1:11">
      <c r="A2130">
        <v>15</v>
      </c>
      <c r="B2130" s="64">
        <v>41096</v>
      </c>
      <c r="C2130" s="2">
        <v>678024.75</v>
      </c>
      <c r="D2130">
        <v>0</v>
      </c>
      <c r="E2130" s="65">
        <v>74.64</v>
      </c>
      <c r="F2130" s="8">
        <v>3.646</v>
      </c>
      <c r="G2130" s="66">
        <v>138.2296333</v>
      </c>
      <c r="H2130" s="8">
        <v>8.193</v>
      </c>
      <c r="J2130" s="26"/>
      <c r="K2130"/>
    </row>
    <row r="2131" spans="1:11">
      <c r="A2131">
        <v>15</v>
      </c>
      <c r="B2131" s="64">
        <v>41103</v>
      </c>
      <c r="C2131" s="2">
        <v>591335.5</v>
      </c>
      <c r="D2131">
        <v>0</v>
      </c>
      <c r="E2131" s="65">
        <v>72.62</v>
      </c>
      <c r="F2131" s="8">
        <v>3.689</v>
      </c>
      <c r="G2131" s="66">
        <v>138.263</v>
      </c>
      <c r="H2131" s="8">
        <v>8.193</v>
      </c>
      <c r="J2131" s="26"/>
      <c r="K2131"/>
    </row>
    <row r="2132" spans="1:11">
      <c r="A2132">
        <v>15</v>
      </c>
      <c r="B2132" s="64">
        <v>41110</v>
      </c>
      <c r="C2132" s="2">
        <v>592369.22</v>
      </c>
      <c r="D2132">
        <v>0</v>
      </c>
      <c r="E2132" s="65">
        <v>75.31</v>
      </c>
      <c r="F2132" s="8">
        <v>3.732</v>
      </c>
      <c r="G2132" s="66">
        <v>138.2331935</v>
      </c>
      <c r="H2132" s="8">
        <v>8.193</v>
      </c>
      <c r="J2132" s="26"/>
      <c r="K2132"/>
    </row>
    <row r="2133" spans="1:11">
      <c r="A2133">
        <v>15</v>
      </c>
      <c r="B2133" s="64">
        <v>41117</v>
      </c>
      <c r="C2133" s="2">
        <v>571190.83</v>
      </c>
      <c r="D2133">
        <v>0</v>
      </c>
      <c r="E2133" s="65">
        <v>73.9</v>
      </c>
      <c r="F2133" s="8">
        <v>3.82</v>
      </c>
      <c r="G2133" s="66">
        <v>138.2033871</v>
      </c>
      <c r="H2133" s="8">
        <v>8.193</v>
      </c>
      <c r="J2133" s="26"/>
      <c r="K2133"/>
    </row>
    <row r="2134" spans="1:11">
      <c r="A2134">
        <v>15</v>
      </c>
      <c r="B2134" s="64">
        <v>41124</v>
      </c>
      <c r="C2134" s="2">
        <v>590739.62</v>
      </c>
      <c r="D2134">
        <v>0</v>
      </c>
      <c r="E2134" s="65">
        <v>73.13</v>
      </c>
      <c r="F2134" s="8">
        <v>3.819</v>
      </c>
      <c r="G2134" s="66">
        <v>138.1735806</v>
      </c>
      <c r="H2134" s="8">
        <v>8.193</v>
      </c>
      <c r="J2134" s="26"/>
      <c r="K2134"/>
    </row>
    <row r="2135" spans="1:11">
      <c r="A2135">
        <v>15</v>
      </c>
      <c r="B2135" s="64">
        <v>41131</v>
      </c>
      <c r="C2135" s="2">
        <v>590453.63</v>
      </c>
      <c r="D2135">
        <v>0</v>
      </c>
      <c r="E2135" s="65">
        <v>73.99</v>
      </c>
      <c r="F2135" s="8">
        <v>3.863</v>
      </c>
      <c r="G2135" s="66">
        <v>138.1437742</v>
      </c>
      <c r="H2135" s="8">
        <v>8.193</v>
      </c>
      <c r="J2135" s="26"/>
      <c r="K2135"/>
    </row>
    <row r="2136" spans="1:11">
      <c r="A2136">
        <v>15</v>
      </c>
      <c r="B2136" s="64">
        <v>41138</v>
      </c>
      <c r="C2136" s="2">
        <v>579738.2</v>
      </c>
      <c r="D2136">
        <v>0</v>
      </c>
      <c r="E2136" s="65">
        <v>70.29</v>
      </c>
      <c r="F2136" s="8">
        <v>3.963</v>
      </c>
      <c r="G2136" s="66">
        <v>138.1857097</v>
      </c>
      <c r="H2136" s="8">
        <v>8.193</v>
      </c>
      <c r="J2136" s="26"/>
      <c r="K2136"/>
    </row>
    <row r="2137" spans="1:11">
      <c r="A2137">
        <v>15</v>
      </c>
      <c r="B2137" s="64">
        <v>41145</v>
      </c>
      <c r="C2137" s="2">
        <v>606210.77</v>
      </c>
      <c r="D2137">
        <v>0</v>
      </c>
      <c r="E2137" s="65">
        <v>66.98</v>
      </c>
      <c r="F2137" s="8">
        <v>3.997</v>
      </c>
      <c r="G2137" s="66">
        <v>138.2814516</v>
      </c>
      <c r="H2137" s="8">
        <v>8.193</v>
      </c>
      <c r="J2137" s="26"/>
      <c r="K2137"/>
    </row>
    <row r="2138" spans="1:11">
      <c r="A2138">
        <v>15</v>
      </c>
      <c r="B2138" s="64">
        <v>41152</v>
      </c>
      <c r="C2138" s="2">
        <v>610185.32</v>
      </c>
      <c r="D2138">
        <v>0</v>
      </c>
      <c r="E2138" s="65">
        <v>71.42</v>
      </c>
      <c r="F2138" s="8">
        <v>4.026</v>
      </c>
      <c r="G2138" s="66">
        <v>138.3771935</v>
      </c>
      <c r="H2138" s="8">
        <v>8.193</v>
      </c>
      <c r="J2138" s="26"/>
      <c r="K2138"/>
    </row>
    <row r="2139" spans="1:11">
      <c r="A2139">
        <v>15</v>
      </c>
      <c r="B2139" s="64">
        <v>41159</v>
      </c>
      <c r="C2139" s="2">
        <v>587259.82</v>
      </c>
      <c r="D2139">
        <v>1</v>
      </c>
      <c r="E2139" s="65">
        <v>71.61</v>
      </c>
      <c r="F2139" s="8">
        <v>4.076</v>
      </c>
      <c r="G2139" s="66">
        <v>138.4729355</v>
      </c>
      <c r="H2139" s="8">
        <v>8.193</v>
      </c>
      <c r="J2139" s="26"/>
      <c r="K2139"/>
    </row>
    <row r="2140" spans="1:11">
      <c r="A2140">
        <v>15</v>
      </c>
      <c r="B2140" s="64">
        <v>41166</v>
      </c>
      <c r="C2140" s="2">
        <v>527509.76</v>
      </c>
      <c r="D2140">
        <v>0</v>
      </c>
      <c r="E2140" s="65">
        <v>65.44</v>
      </c>
      <c r="F2140" s="8">
        <v>4.088</v>
      </c>
      <c r="G2140" s="66">
        <v>138.5673</v>
      </c>
      <c r="H2140" s="8">
        <v>8.193</v>
      </c>
      <c r="J2140" s="26"/>
      <c r="K2140"/>
    </row>
    <row r="2141" spans="1:11">
      <c r="A2141">
        <v>15</v>
      </c>
      <c r="B2141" s="64">
        <v>41173</v>
      </c>
      <c r="C2141" s="2">
        <v>533161.64</v>
      </c>
      <c r="D2141">
        <v>0</v>
      </c>
      <c r="E2141" s="65">
        <v>60.34</v>
      </c>
      <c r="F2141" s="8">
        <v>4.203</v>
      </c>
      <c r="G2141" s="66">
        <v>138.6534</v>
      </c>
      <c r="H2141" s="8">
        <v>8.193</v>
      </c>
      <c r="J2141" s="26"/>
      <c r="K2141"/>
    </row>
    <row r="2142" spans="1:11">
      <c r="A2142">
        <v>15</v>
      </c>
      <c r="B2142" s="64">
        <v>41180</v>
      </c>
      <c r="C2142" s="2">
        <v>553901.97</v>
      </c>
      <c r="D2142">
        <v>0</v>
      </c>
      <c r="E2142" s="65">
        <v>57.13</v>
      </c>
      <c r="F2142" s="8">
        <v>4.158</v>
      </c>
      <c r="G2142" s="66">
        <v>138.7395</v>
      </c>
      <c r="H2142" s="8">
        <v>8.193</v>
      </c>
      <c r="J2142" s="26"/>
      <c r="K2142"/>
    </row>
    <row r="2143" spans="1:11">
      <c r="A2143">
        <v>15</v>
      </c>
      <c r="B2143" s="64">
        <v>41187</v>
      </c>
      <c r="C2143" s="2">
        <v>573498.64</v>
      </c>
      <c r="D2143">
        <v>0</v>
      </c>
      <c r="E2143" s="65">
        <v>59.57</v>
      </c>
      <c r="F2143" s="8">
        <v>4.151</v>
      </c>
      <c r="G2143" s="66">
        <v>138.8256</v>
      </c>
      <c r="H2143" s="8">
        <v>7.992</v>
      </c>
      <c r="J2143" s="26"/>
      <c r="K2143"/>
    </row>
    <row r="2144" spans="1:11">
      <c r="A2144">
        <v>15</v>
      </c>
      <c r="B2144" s="64">
        <v>41194</v>
      </c>
      <c r="C2144" s="2">
        <v>551799.63</v>
      </c>
      <c r="D2144">
        <v>0</v>
      </c>
      <c r="E2144" s="65">
        <v>49.12</v>
      </c>
      <c r="F2144" s="8">
        <v>4.186</v>
      </c>
      <c r="G2144" s="66">
        <v>138.9117</v>
      </c>
      <c r="H2144" s="8">
        <v>7.992</v>
      </c>
      <c r="J2144" s="26"/>
      <c r="K2144"/>
    </row>
    <row r="2145" spans="1:11">
      <c r="A2145">
        <v>15</v>
      </c>
      <c r="B2145" s="64">
        <v>41201</v>
      </c>
      <c r="C2145" s="2">
        <v>555652.77</v>
      </c>
      <c r="D2145">
        <v>0</v>
      </c>
      <c r="E2145" s="65">
        <v>52.89</v>
      </c>
      <c r="F2145" s="8">
        <v>4.153</v>
      </c>
      <c r="G2145" s="66">
        <v>138.8336129</v>
      </c>
      <c r="H2145" s="8">
        <v>7.992</v>
      </c>
      <c r="J2145" s="26"/>
      <c r="K2145"/>
    </row>
    <row r="2146" spans="1:11">
      <c r="A2146">
        <v>15</v>
      </c>
      <c r="B2146" s="64">
        <v>41208</v>
      </c>
      <c r="C2146" s="2">
        <v>558473.6</v>
      </c>
      <c r="D2146">
        <v>0</v>
      </c>
      <c r="E2146" s="65">
        <v>55.75</v>
      </c>
      <c r="F2146" s="8">
        <v>4.071</v>
      </c>
      <c r="G2146" s="66">
        <v>138.7281613</v>
      </c>
      <c r="H2146" s="8">
        <v>7.992</v>
      </c>
      <c r="J2146" s="26"/>
      <c r="K2146"/>
    </row>
    <row r="2147" spans="1:11">
      <c r="A2147">
        <v>16</v>
      </c>
      <c r="B2147" s="64">
        <v>40214</v>
      </c>
      <c r="C2147" s="2">
        <v>477409.3</v>
      </c>
      <c r="D2147">
        <v>0</v>
      </c>
      <c r="E2147" s="65">
        <v>19.79</v>
      </c>
      <c r="F2147" s="8">
        <v>2.58</v>
      </c>
      <c r="G2147" s="66">
        <v>189.3816974</v>
      </c>
      <c r="H2147" s="8">
        <v>7.039</v>
      </c>
      <c r="J2147" s="26"/>
      <c r="K2147"/>
    </row>
    <row r="2148" spans="1:11">
      <c r="A2148">
        <v>16</v>
      </c>
      <c r="B2148" s="64">
        <v>40221</v>
      </c>
      <c r="C2148" s="2">
        <v>472044.28</v>
      </c>
      <c r="D2148">
        <v>1</v>
      </c>
      <c r="E2148" s="65">
        <v>20.87</v>
      </c>
      <c r="F2148" s="8">
        <v>2.572</v>
      </c>
      <c r="G2148" s="66">
        <v>189.4642725</v>
      </c>
      <c r="H2148" s="8">
        <v>7.039</v>
      </c>
      <c r="J2148" s="26"/>
      <c r="K2148"/>
    </row>
    <row r="2149" spans="1:11">
      <c r="A2149">
        <v>16</v>
      </c>
      <c r="B2149" s="64">
        <v>40228</v>
      </c>
      <c r="C2149" s="2">
        <v>469868.7</v>
      </c>
      <c r="D2149">
        <v>0</v>
      </c>
      <c r="E2149" s="65">
        <v>21.13</v>
      </c>
      <c r="F2149" s="8">
        <v>2.55</v>
      </c>
      <c r="G2149" s="66">
        <v>189.5340998</v>
      </c>
      <c r="H2149" s="8">
        <v>7.039</v>
      </c>
      <c r="J2149" s="26"/>
      <c r="K2149"/>
    </row>
    <row r="2150" spans="1:11">
      <c r="A2150">
        <v>16</v>
      </c>
      <c r="B2150" s="64">
        <v>40235</v>
      </c>
      <c r="C2150" s="2">
        <v>443242.17</v>
      </c>
      <c r="D2150">
        <v>0</v>
      </c>
      <c r="E2150" s="65">
        <v>18.12</v>
      </c>
      <c r="F2150" s="8">
        <v>2.586</v>
      </c>
      <c r="G2150" s="66">
        <v>189.6018023</v>
      </c>
      <c r="H2150" s="8">
        <v>7.039</v>
      </c>
      <c r="J2150" s="26"/>
      <c r="K2150"/>
    </row>
    <row r="2151" spans="1:11">
      <c r="A2151">
        <v>16</v>
      </c>
      <c r="B2151" s="64">
        <v>40242</v>
      </c>
      <c r="C2151" s="2">
        <v>444181.85</v>
      </c>
      <c r="D2151">
        <v>0</v>
      </c>
      <c r="E2151" s="65">
        <v>27.92</v>
      </c>
      <c r="F2151" s="8">
        <v>2.62</v>
      </c>
      <c r="G2151" s="66">
        <v>189.6695049</v>
      </c>
      <c r="H2151" s="8">
        <v>7.039</v>
      </c>
      <c r="J2151" s="26"/>
      <c r="K2151"/>
    </row>
    <row r="2152" spans="1:11">
      <c r="A2152">
        <v>16</v>
      </c>
      <c r="B2152" s="64">
        <v>40249</v>
      </c>
      <c r="C2152" s="2">
        <v>445393.74</v>
      </c>
      <c r="D2152">
        <v>0</v>
      </c>
      <c r="E2152" s="65">
        <v>28.64</v>
      </c>
      <c r="F2152" s="8">
        <v>2.684</v>
      </c>
      <c r="G2152" s="66">
        <v>189.7372075</v>
      </c>
      <c r="H2152" s="8">
        <v>7.039</v>
      </c>
      <c r="J2152" s="26"/>
      <c r="K2152"/>
    </row>
    <row r="2153" spans="1:11">
      <c r="A2153">
        <v>16</v>
      </c>
      <c r="B2153" s="64">
        <v>40256</v>
      </c>
      <c r="C2153" s="2">
        <v>504307.35</v>
      </c>
      <c r="D2153">
        <v>0</v>
      </c>
      <c r="E2153" s="65">
        <v>33.45</v>
      </c>
      <c r="F2153" s="8">
        <v>2.692</v>
      </c>
      <c r="G2153" s="66">
        <v>189.734262</v>
      </c>
      <c r="H2153" s="8">
        <v>7.039</v>
      </c>
      <c r="J2153" s="26"/>
      <c r="K2153"/>
    </row>
    <row r="2154" spans="1:11">
      <c r="A2154">
        <v>16</v>
      </c>
      <c r="B2154" s="64">
        <v>40263</v>
      </c>
      <c r="C2154" s="2">
        <v>483177.2</v>
      </c>
      <c r="D2154">
        <v>0</v>
      </c>
      <c r="E2154" s="65">
        <v>29.88</v>
      </c>
      <c r="F2154" s="8">
        <v>2.717</v>
      </c>
      <c r="G2154" s="66">
        <v>189.7195417</v>
      </c>
      <c r="H2154" s="8">
        <v>7.039</v>
      </c>
      <c r="J2154" s="26"/>
      <c r="K2154"/>
    </row>
    <row r="2155" spans="1:11">
      <c r="A2155">
        <v>16</v>
      </c>
      <c r="B2155" s="64">
        <v>40270</v>
      </c>
      <c r="C2155" s="2">
        <v>490503.69</v>
      </c>
      <c r="D2155">
        <v>0</v>
      </c>
      <c r="E2155" s="65">
        <v>36.19</v>
      </c>
      <c r="F2155" s="8">
        <v>2.725</v>
      </c>
      <c r="G2155" s="66">
        <v>189.7048215</v>
      </c>
      <c r="H2155" s="8">
        <v>6.842</v>
      </c>
      <c r="J2155" s="26"/>
      <c r="K2155"/>
    </row>
    <row r="2156" spans="1:11">
      <c r="A2156">
        <v>16</v>
      </c>
      <c r="B2156" s="64">
        <v>40277</v>
      </c>
      <c r="C2156" s="2">
        <v>424083.99</v>
      </c>
      <c r="D2156">
        <v>0</v>
      </c>
      <c r="E2156" s="65">
        <v>34.21</v>
      </c>
      <c r="F2156" s="8">
        <v>2.75</v>
      </c>
      <c r="G2156" s="66">
        <v>189.6901012</v>
      </c>
      <c r="H2156" s="8">
        <v>6.842</v>
      </c>
      <c r="J2156" s="26"/>
      <c r="K2156"/>
    </row>
    <row r="2157" spans="1:11">
      <c r="A2157">
        <v>16</v>
      </c>
      <c r="B2157" s="64">
        <v>40284</v>
      </c>
      <c r="C2157" s="2">
        <v>436312.41</v>
      </c>
      <c r="D2157">
        <v>0</v>
      </c>
      <c r="E2157" s="65">
        <v>45.69</v>
      </c>
      <c r="F2157" s="8">
        <v>2.765</v>
      </c>
      <c r="G2157" s="66">
        <v>189.6628845</v>
      </c>
      <c r="H2157" s="8">
        <v>6.842</v>
      </c>
      <c r="J2157" s="26"/>
      <c r="K2157"/>
    </row>
    <row r="2158" spans="1:11">
      <c r="A2158">
        <v>16</v>
      </c>
      <c r="B2158" s="64">
        <v>40291</v>
      </c>
      <c r="C2158" s="2">
        <v>370230.94</v>
      </c>
      <c r="D2158">
        <v>0</v>
      </c>
      <c r="E2158" s="65">
        <v>44.9</v>
      </c>
      <c r="F2158" s="8">
        <v>2.776</v>
      </c>
      <c r="G2158" s="66">
        <v>189.6190057</v>
      </c>
      <c r="H2158" s="8">
        <v>6.842</v>
      </c>
      <c r="J2158" s="26"/>
      <c r="K2158"/>
    </row>
    <row r="2159" spans="1:11">
      <c r="A2159">
        <v>16</v>
      </c>
      <c r="B2159" s="64">
        <v>40298</v>
      </c>
      <c r="C2159" s="2">
        <v>383550.93</v>
      </c>
      <c r="D2159">
        <v>0</v>
      </c>
      <c r="E2159" s="65">
        <v>37.75</v>
      </c>
      <c r="F2159" s="8">
        <v>2.766</v>
      </c>
      <c r="G2159" s="66">
        <v>189.575127</v>
      </c>
      <c r="H2159" s="8">
        <v>6.842</v>
      </c>
      <c r="J2159" s="26"/>
      <c r="K2159"/>
    </row>
    <row r="2160" spans="1:11">
      <c r="A2160">
        <v>16</v>
      </c>
      <c r="B2160" s="64">
        <v>40305</v>
      </c>
      <c r="C2160" s="2">
        <v>403217.22</v>
      </c>
      <c r="D2160">
        <v>0</v>
      </c>
      <c r="E2160" s="65">
        <v>37.43</v>
      </c>
      <c r="F2160" s="8">
        <v>2.771</v>
      </c>
      <c r="G2160" s="66">
        <v>189.5312483</v>
      </c>
      <c r="H2160" s="8">
        <v>6.842</v>
      </c>
      <c r="J2160" s="26"/>
      <c r="K2160"/>
    </row>
    <row r="2161" spans="1:11">
      <c r="A2161">
        <v>16</v>
      </c>
      <c r="B2161" s="64">
        <v>40312</v>
      </c>
      <c r="C2161" s="2">
        <v>401770.9</v>
      </c>
      <c r="D2161">
        <v>0</v>
      </c>
      <c r="E2161" s="65">
        <v>41.26</v>
      </c>
      <c r="F2161" s="8">
        <v>2.788</v>
      </c>
      <c r="G2161" s="66">
        <v>189.4904116</v>
      </c>
      <c r="H2161" s="8">
        <v>6.842</v>
      </c>
      <c r="J2161" s="26"/>
      <c r="K2161"/>
    </row>
    <row r="2162" spans="1:11">
      <c r="A2162">
        <v>16</v>
      </c>
      <c r="B2162" s="64">
        <v>40319</v>
      </c>
      <c r="C2162" s="2">
        <v>435300.51</v>
      </c>
      <c r="D2162">
        <v>0</v>
      </c>
      <c r="E2162" s="65">
        <v>47.34</v>
      </c>
      <c r="F2162" s="8">
        <v>2.776</v>
      </c>
      <c r="G2162" s="66">
        <v>189.467827</v>
      </c>
      <c r="H2162" s="8">
        <v>6.842</v>
      </c>
      <c r="J2162" s="26"/>
      <c r="K2162"/>
    </row>
    <row r="2163" spans="1:11">
      <c r="A2163">
        <v>16</v>
      </c>
      <c r="B2163" s="64">
        <v>40326</v>
      </c>
      <c r="C2163" s="2">
        <v>479430</v>
      </c>
      <c r="D2163">
        <v>0</v>
      </c>
      <c r="E2163" s="65">
        <v>52.08</v>
      </c>
      <c r="F2163" s="8">
        <v>2.737</v>
      </c>
      <c r="G2163" s="66">
        <v>189.4452425</v>
      </c>
      <c r="H2163" s="8">
        <v>6.842</v>
      </c>
      <c r="J2163" s="26"/>
      <c r="K2163"/>
    </row>
    <row r="2164" spans="1:11">
      <c r="A2164">
        <v>16</v>
      </c>
      <c r="B2164" s="64">
        <v>40333</v>
      </c>
      <c r="C2164" s="2">
        <v>516295.81</v>
      </c>
      <c r="D2164">
        <v>0</v>
      </c>
      <c r="E2164" s="65">
        <v>53.76</v>
      </c>
      <c r="F2164" s="8">
        <v>2.7</v>
      </c>
      <c r="G2164" s="66">
        <v>189.422658</v>
      </c>
      <c r="H2164" s="8">
        <v>6.842</v>
      </c>
      <c r="J2164" s="26"/>
      <c r="K2164"/>
    </row>
    <row r="2165" spans="1:11">
      <c r="A2165">
        <v>16</v>
      </c>
      <c r="B2165" s="64">
        <v>40340</v>
      </c>
      <c r="C2165" s="2">
        <v>535587.31</v>
      </c>
      <c r="D2165">
        <v>0</v>
      </c>
      <c r="E2165" s="65">
        <v>62.63</v>
      </c>
      <c r="F2165" s="8">
        <v>2.684</v>
      </c>
      <c r="G2165" s="66">
        <v>189.4000734</v>
      </c>
      <c r="H2165" s="8">
        <v>6.842</v>
      </c>
      <c r="J2165" s="26"/>
      <c r="K2165"/>
    </row>
    <row r="2166" spans="1:11">
      <c r="A2166">
        <v>16</v>
      </c>
      <c r="B2166" s="64">
        <v>40347</v>
      </c>
      <c r="C2166" s="2">
        <v>540149.85</v>
      </c>
      <c r="D2166">
        <v>0</v>
      </c>
      <c r="E2166" s="65">
        <v>52.4</v>
      </c>
      <c r="F2166" s="8">
        <v>2.674</v>
      </c>
      <c r="G2166" s="66">
        <v>189.4185259</v>
      </c>
      <c r="H2166" s="8">
        <v>6.842</v>
      </c>
      <c r="J2166" s="26"/>
      <c r="K2166"/>
    </row>
    <row r="2167" spans="1:11">
      <c r="A2167">
        <v>16</v>
      </c>
      <c r="B2167" s="64">
        <v>40354</v>
      </c>
      <c r="C2167" s="2">
        <v>546554.96</v>
      </c>
      <c r="D2167">
        <v>0</v>
      </c>
      <c r="E2167" s="65">
        <v>62.37</v>
      </c>
      <c r="F2167" s="8">
        <v>2.715</v>
      </c>
      <c r="G2167" s="66">
        <v>189.4533931</v>
      </c>
      <c r="H2167" s="8">
        <v>6.842</v>
      </c>
      <c r="J2167" s="26"/>
      <c r="K2167"/>
    </row>
    <row r="2168" spans="1:11">
      <c r="A2168">
        <v>16</v>
      </c>
      <c r="B2168" s="64">
        <v>40361</v>
      </c>
      <c r="C2168" s="2">
        <v>610641.42</v>
      </c>
      <c r="D2168">
        <v>0</v>
      </c>
      <c r="E2168" s="65">
        <v>64.44</v>
      </c>
      <c r="F2168" s="8">
        <v>2.728</v>
      </c>
      <c r="G2168" s="66">
        <v>189.4882603</v>
      </c>
      <c r="H2168" s="8">
        <v>6.868</v>
      </c>
      <c r="J2168" s="26"/>
      <c r="K2168"/>
    </row>
    <row r="2169" spans="1:11">
      <c r="A2169">
        <v>16</v>
      </c>
      <c r="B2169" s="64">
        <v>40368</v>
      </c>
      <c r="C2169" s="2">
        <v>614253.33</v>
      </c>
      <c r="D2169">
        <v>0</v>
      </c>
      <c r="E2169" s="65">
        <v>61.79</v>
      </c>
      <c r="F2169" s="8">
        <v>2.711</v>
      </c>
      <c r="G2169" s="66">
        <v>189.5231276</v>
      </c>
      <c r="H2169" s="8">
        <v>6.868</v>
      </c>
      <c r="J2169" s="26"/>
      <c r="K2169"/>
    </row>
    <row r="2170" spans="1:11">
      <c r="A2170">
        <v>16</v>
      </c>
      <c r="B2170" s="64">
        <v>40375</v>
      </c>
      <c r="C2170" s="2">
        <v>586583.69</v>
      </c>
      <c r="D2170">
        <v>0</v>
      </c>
      <c r="E2170" s="65">
        <v>67.68</v>
      </c>
      <c r="F2170" s="8">
        <v>2.699</v>
      </c>
      <c r="G2170" s="66">
        <v>189.6125456</v>
      </c>
      <c r="H2170" s="8">
        <v>6.868</v>
      </c>
      <c r="J2170" s="26"/>
      <c r="K2170"/>
    </row>
    <row r="2171" spans="1:11">
      <c r="A2171">
        <v>16</v>
      </c>
      <c r="B2171" s="64">
        <v>40382</v>
      </c>
      <c r="C2171" s="2">
        <v>588344.18</v>
      </c>
      <c r="D2171">
        <v>0</v>
      </c>
      <c r="E2171" s="65">
        <v>70.67</v>
      </c>
      <c r="F2171" s="8">
        <v>2.691</v>
      </c>
      <c r="G2171" s="66">
        <v>189.774698</v>
      </c>
      <c r="H2171" s="8">
        <v>6.868</v>
      </c>
      <c r="J2171" s="26"/>
      <c r="K2171"/>
    </row>
    <row r="2172" spans="1:11">
      <c r="A2172">
        <v>16</v>
      </c>
      <c r="B2172" s="64">
        <v>40389</v>
      </c>
      <c r="C2172" s="2">
        <v>562633.67</v>
      </c>
      <c r="D2172">
        <v>0</v>
      </c>
      <c r="E2172" s="65">
        <v>70.71</v>
      </c>
      <c r="F2172" s="8">
        <v>2.69</v>
      </c>
      <c r="G2172" s="66">
        <v>189.9368504</v>
      </c>
      <c r="H2172" s="8">
        <v>6.868</v>
      </c>
      <c r="J2172" s="26"/>
      <c r="K2172"/>
    </row>
    <row r="2173" spans="1:11">
      <c r="A2173">
        <v>16</v>
      </c>
      <c r="B2173" s="64">
        <v>40396</v>
      </c>
      <c r="C2173" s="2">
        <v>586936.45</v>
      </c>
      <c r="D2173">
        <v>0</v>
      </c>
      <c r="E2173" s="65">
        <v>67.42</v>
      </c>
      <c r="F2173" s="8">
        <v>2.69</v>
      </c>
      <c r="G2173" s="66">
        <v>190.0990028</v>
      </c>
      <c r="H2173" s="8">
        <v>6.868</v>
      </c>
      <c r="J2173" s="26"/>
      <c r="K2173"/>
    </row>
    <row r="2174" spans="1:11">
      <c r="A2174">
        <v>16</v>
      </c>
      <c r="B2174" s="64">
        <v>40403</v>
      </c>
      <c r="C2174" s="2">
        <v>543757.97</v>
      </c>
      <c r="D2174">
        <v>0</v>
      </c>
      <c r="E2174" s="65">
        <v>63.91</v>
      </c>
      <c r="F2174" s="8">
        <v>2.723</v>
      </c>
      <c r="G2174" s="66">
        <v>190.2611552</v>
      </c>
      <c r="H2174" s="8">
        <v>6.868</v>
      </c>
      <c r="J2174" s="26"/>
      <c r="K2174"/>
    </row>
    <row r="2175" spans="1:11">
      <c r="A2175">
        <v>16</v>
      </c>
      <c r="B2175" s="64">
        <v>40410</v>
      </c>
      <c r="C2175" s="2">
        <v>521516.96</v>
      </c>
      <c r="D2175">
        <v>0</v>
      </c>
      <c r="E2175" s="65">
        <v>63.59</v>
      </c>
      <c r="F2175" s="8">
        <v>2.732</v>
      </c>
      <c r="G2175" s="66">
        <v>190.2948237</v>
      </c>
      <c r="H2175" s="8">
        <v>6.868</v>
      </c>
      <c r="J2175" s="26"/>
      <c r="K2175"/>
    </row>
    <row r="2176" spans="1:11">
      <c r="A2176">
        <v>16</v>
      </c>
      <c r="B2176" s="64">
        <v>40417</v>
      </c>
      <c r="C2176" s="2">
        <v>581010.52</v>
      </c>
      <c r="D2176">
        <v>0</v>
      </c>
      <c r="E2176" s="65">
        <v>65.66</v>
      </c>
      <c r="F2176" s="8">
        <v>2.731</v>
      </c>
      <c r="G2176" s="66">
        <v>190.3284922</v>
      </c>
      <c r="H2176" s="8">
        <v>6.868</v>
      </c>
      <c r="J2176" s="26"/>
      <c r="K2176"/>
    </row>
    <row r="2177" spans="1:11">
      <c r="A2177">
        <v>16</v>
      </c>
      <c r="B2177" s="64">
        <v>40424</v>
      </c>
      <c r="C2177" s="2">
        <v>542087.89</v>
      </c>
      <c r="D2177">
        <v>0</v>
      </c>
      <c r="E2177" s="65">
        <v>58.02</v>
      </c>
      <c r="F2177" s="8">
        <v>2.773</v>
      </c>
      <c r="G2177" s="66">
        <v>190.3621607</v>
      </c>
      <c r="H2177" s="8">
        <v>6.868</v>
      </c>
      <c r="J2177" s="26"/>
      <c r="K2177"/>
    </row>
    <row r="2178" spans="1:11">
      <c r="A2178">
        <v>16</v>
      </c>
      <c r="B2178" s="64">
        <v>40431</v>
      </c>
      <c r="C2178" s="2">
        <v>537518.57</v>
      </c>
      <c r="D2178">
        <v>1</v>
      </c>
      <c r="E2178" s="65">
        <v>57.24</v>
      </c>
      <c r="F2178" s="8">
        <v>2.78</v>
      </c>
      <c r="G2178" s="66">
        <v>190.3958293</v>
      </c>
      <c r="H2178" s="8">
        <v>6.868</v>
      </c>
      <c r="J2178" s="26"/>
      <c r="K2178"/>
    </row>
    <row r="2179" spans="1:11">
      <c r="A2179">
        <v>16</v>
      </c>
      <c r="B2179" s="64">
        <v>40438</v>
      </c>
      <c r="C2179" s="2">
        <v>522049.52</v>
      </c>
      <c r="D2179">
        <v>0</v>
      </c>
      <c r="E2179" s="65">
        <v>56.55</v>
      </c>
      <c r="F2179" s="8">
        <v>2.8</v>
      </c>
      <c r="G2179" s="66">
        <v>190.4688287</v>
      </c>
      <c r="H2179" s="8">
        <v>6.868</v>
      </c>
      <c r="J2179" s="26"/>
      <c r="K2179"/>
    </row>
    <row r="2180" spans="1:11">
      <c r="A2180">
        <v>16</v>
      </c>
      <c r="B2180" s="64">
        <v>40445</v>
      </c>
      <c r="C2180" s="2">
        <v>511330.32</v>
      </c>
      <c r="D2180">
        <v>0</v>
      </c>
      <c r="E2180" s="65">
        <v>58.19</v>
      </c>
      <c r="F2180" s="8">
        <v>2.793</v>
      </c>
      <c r="G2180" s="66">
        <v>190.5713264</v>
      </c>
      <c r="H2180" s="8">
        <v>6.868</v>
      </c>
      <c r="J2180" s="26"/>
      <c r="K2180"/>
    </row>
    <row r="2181" spans="1:11">
      <c r="A2181">
        <v>16</v>
      </c>
      <c r="B2181" s="64">
        <v>40452</v>
      </c>
      <c r="C2181" s="2">
        <v>463977.54</v>
      </c>
      <c r="D2181">
        <v>0</v>
      </c>
      <c r="E2181" s="65">
        <v>59.39</v>
      </c>
      <c r="F2181" s="8">
        <v>2.759</v>
      </c>
      <c r="G2181" s="66">
        <v>190.6738241</v>
      </c>
      <c r="H2181" s="8">
        <v>6.986</v>
      </c>
      <c r="J2181" s="26"/>
      <c r="K2181"/>
    </row>
    <row r="2182" spans="1:11">
      <c r="A2182">
        <v>16</v>
      </c>
      <c r="B2182" s="64">
        <v>40459</v>
      </c>
      <c r="C2182" s="2">
        <v>442894.2</v>
      </c>
      <c r="D2182">
        <v>0</v>
      </c>
      <c r="E2182" s="65">
        <v>54.29</v>
      </c>
      <c r="F2182" s="8">
        <v>2.745</v>
      </c>
      <c r="G2182" s="66">
        <v>190.7763218</v>
      </c>
      <c r="H2182" s="8">
        <v>6.986</v>
      </c>
      <c r="J2182" s="26"/>
      <c r="K2182"/>
    </row>
    <row r="2183" spans="1:11">
      <c r="A2183">
        <v>16</v>
      </c>
      <c r="B2183" s="64">
        <v>40466</v>
      </c>
      <c r="C2183" s="2">
        <v>452169.28</v>
      </c>
      <c r="D2183">
        <v>0</v>
      </c>
      <c r="E2183" s="65">
        <v>45</v>
      </c>
      <c r="F2183" s="8">
        <v>2.762</v>
      </c>
      <c r="G2183" s="66">
        <v>190.8623087</v>
      </c>
      <c r="H2183" s="8">
        <v>6.986</v>
      </c>
      <c r="J2183" s="26"/>
      <c r="K2183"/>
    </row>
    <row r="2184" spans="1:11">
      <c r="A2184">
        <v>16</v>
      </c>
      <c r="B2184" s="64">
        <v>40473</v>
      </c>
      <c r="C2184" s="2">
        <v>541216.92</v>
      </c>
      <c r="D2184">
        <v>0</v>
      </c>
      <c r="E2184" s="65">
        <v>45.85</v>
      </c>
      <c r="F2184" s="8">
        <v>2.762</v>
      </c>
      <c r="G2184" s="66">
        <v>190.9070184</v>
      </c>
      <c r="H2184" s="8">
        <v>6.986</v>
      </c>
      <c r="J2184" s="26"/>
      <c r="K2184"/>
    </row>
    <row r="2185" spans="1:11">
      <c r="A2185">
        <v>16</v>
      </c>
      <c r="B2185" s="64">
        <v>40480</v>
      </c>
      <c r="C2185" s="2">
        <v>495022.51</v>
      </c>
      <c r="D2185">
        <v>0</v>
      </c>
      <c r="E2185" s="65">
        <v>35.76</v>
      </c>
      <c r="F2185" s="8">
        <v>2.748</v>
      </c>
      <c r="G2185" s="66">
        <v>190.951728</v>
      </c>
      <c r="H2185" s="8">
        <v>6.986</v>
      </c>
      <c r="J2185" s="26"/>
      <c r="K2185"/>
    </row>
    <row r="2186" spans="1:11">
      <c r="A2186">
        <v>16</v>
      </c>
      <c r="B2186" s="64">
        <v>40487</v>
      </c>
      <c r="C2186" s="2">
        <v>446905.02</v>
      </c>
      <c r="D2186">
        <v>0</v>
      </c>
      <c r="E2186" s="65">
        <v>39.94</v>
      </c>
      <c r="F2186" s="8">
        <v>2.729</v>
      </c>
      <c r="G2186" s="66">
        <v>190.9964377</v>
      </c>
      <c r="H2186" s="8">
        <v>6.986</v>
      </c>
      <c r="J2186" s="26"/>
      <c r="K2186"/>
    </row>
    <row r="2187" spans="1:11">
      <c r="A2187">
        <v>16</v>
      </c>
      <c r="B2187" s="64">
        <v>40494</v>
      </c>
      <c r="C2187" s="2">
        <v>453632.76</v>
      </c>
      <c r="D2187">
        <v>0</v>
      </c>
      <c r="E2187" s="65">
        <v>34.04</v>
      </c>
      <c r="F2187" s="8">
        <v>2.737</v>
      </c>
      <c r="G2187" s="66">
        <v>191.0411474</v>
      </c>
      <c r="H2187" s="8">
        <v>6.986</v>
      </c>
      <c r="J2187" s="26"/>
      <c r="K2187"/>
    </row>
    <row r="2188" spans="1:11">
      <c r="A2188">
        <v>16</v>
      </c>
      <c r="B2188" s="64">
        <v>40501</v>
      </c>
      <c r="C2188" s="2">
        <v>458634.68</v>
      </c>
      <c r="D2188">
        <v>0</v>
      </c>
      <c r="E2188" s="65">
        <v>27.26</v>
      </c>
      <c r="F2188" s="8">
        <v>2.758</v>
      </c>
      <c r="G2188" s="66">
        <v>191.0312172</v>
      </c>
      <c r="H2188" s="8">
        <v>6.986</v>
      </c>
      <c r="J2188" s="26"/>
      <c r="K2188"/>
    </row>
    <row r="2189" spans="1:11">
      <c r="A2189">
        <v>16</v>
      </c>
      <c r="B2189" s="64">
        <v>40508</v>
      </c>
      <c r="C2189" s="2">
        <v>651837.77</v>
      </c>
      <c r="D2189">
        <v>1</v>
      </c>
      <c r="E2189" s="65">
        <v>23.46</v>
      </c>
      <c r="F2189" s="8">
        <v>2.742</v>
      </c>
      <c r="G2189" s="66">
        <v>191.0121805</v>
      </c>
      <c r="H2189" s="8">
        <v>6.986</v>
      </c>
      <c r="J2189" s="26"/>
      <c r="K2189"/>
    </row>
    <row r="2190" spans="1:11">
      <c r="A2190">
        <v>16</v>
      </c>
      <c r="B2190" s="64">
        <v>40515</v>
      </c>
      <c r="C2190" s="2">
        <v>512260.59</v>
      </c>
      <c r="D2190">
        <v>0</v>
      </c>
      <c r="E2190" s="65">
        <v>23.68</v>
      </c>
      <c r="F2190" s="8">
        <v>2.712</v>
      </c>
      <c r="G2190" s="66">
        <v>190.9931437</v>
      </c>
      <c r="H2190" s="8">
        <v>6.986</v>
      </c>
      <c r="J2190" s="26"/>
      <c r="K2190"/>
    </row>
    <row r="2191" spans="1:11">
      <c r="A2191">
        <v>16</v>
      </c>
      <c r="B2191" s="64">
        <v>40522</v>
      </c>
      <c r="C2191" s="2">
        <v>570103.64</v>
      </c>
      <c r="D2191">
        <v>0</v>
      </c>
      <c r="E2191" s="65">
        <v>32.02</v>
      </c>
      <c r="F2191" s="8">
        <v>2.728</v>
      </c>
      <c r="G2191" s="66">
        <v>190.9741069</v>
      </c>
      <c r="H2191" s="8">
        <v>6.986</v>
      </c>
      <c r="J2191" s="26"/>
      <c r="K2191"/>
    </row>
    <row r="2192" spans="1:11">
      <c r="A2192">
        <v>16</v>
      </c>
      <c r="B2192" s="64">
        <v>40529</v>
      </c>
      <c r="C2192" s="2">
        <v>648652.01</v>
      </c>
      <c r="D2192">
        <v>0</v>
      </c>
      <c r="E2192" s="65">
        <v>26.01</v>
      </c>
      <c r="F2192" s="8">
        <v>2.778</v>
      </c>
      <c r="G2192" s="66">
        <v>191.0303376</v>
      </c>
      <c r="H2192" s="8">
        <v>6.986</v>
      </c>
      <c r="J2192" s="26"/>
      <c r="K2192"/>
    </row>
    <row r="2193" spans="1:11">
      <c r="A2193">
        <v>16</v>
      </c>
      <c r="B2193" s="64">
        <v>40536</v>
      </c>
      <c r="C2193" s="2">
        <v>1004730.69</v>
      </c>
      <c r="D2193">
        <v>0</v>
      </c>
      <c r="E2193" s="65">
        <v>32.46</v>
      </c>
      <c r="F2193" s="8">
        <v>2.781</v>
      </c>
      <c r="G2193" s="66">
        <v>191.1430189</v>
      </c>
      <c r="H2193" s="8">
        <v>6.986</v>
      </c>
      <c r="J2193" s="26"/>
      <c r="K2193"/>
    </row>
    <row r="2194" spans="1:11">
      <c r="A2194">
        <v>16</v>
      </c>
      <c r="B2194" s="64">
        <v>40543</v>
      </c>
      <c r="C2194" s="2">
        <v>575317.38</v>
      </c>
      <c r="D2194">
        <v>1</v>
      </c>
      <c r="E2194" s="65">
        <v>19.66</v>
      </c>
      <c r="F2194" s="8">
        <v>2.829</v>
      </c>
      <c r="G2194" s="66">
        <v>191.2557002</v>
      </c>
      <c r="H2194" s="8">
        <v>6.986</v>
      </c>
      <c r="J2194" s="26"/>
      <c r="K2194"/>
    </row>
    <row r="2195" spans="1:11">
      <c r="A2195">
        <v>16</v>
      </c>
      <c r="B2195" s="64">
        <v>40550</v>
      </c>
      <c r="C2195" s="2">
        <v>573545.96</v>
      </c>
      <c r="D2195">
        <v>0</v>
      </c>
      <c r="E2195" s="65">
        <v>12.39</v>
      </c>
      <c r="F2195" s="8">
        <v>2.882</v>
      </c>
      <c r="G2195" s="66">
        <v>191.3683815</v>
      </c>
      <c r="H2195" s="8">
        <v>6.614</v>
      </c>
      <c r="J2195" s="26"/>
      <c r="K2195"/>
    </row>
    <row r="2196" spans="1:11">
      <c r="A2196">
        <v>16</v>
      </c>
      <c r="B2196" s="64">
        <v>40557</v>
      </c>
      <c r="C2196" s="2">
        <v>470365.59</v>
      </c>
      <c r="D2196">
        <v>0</v>
      </c>
      <c r="E2196" s="65">
        <v>17.46</v>
      </c>
      <c r="F2196" s="8">
        <v>2.911</v>
      </c>
      <c r="G2196" s="66">
        <v>191.4784939</v>
      </c>
      <c r="H2196" s="8">
        <v>6.614</v>
      </c>
      <c r="J2196" s="26"/>
      <c r="K2196"/>
    </row>
    <row r="2197" spans="1:11">
      <c r="A2197">
        <v>16</v>
      </c>
      <c r="B2197" s="64">
        <v>40564</v>
      </c>
      <c r="C2197" s="2">
        <v>462888.13</v>
      </c>
      <c r="D2197">
        <v>0</v>
      </c>
      <c r="E2197" s="65">
        <v>28.6</v>
      </c>
      <c r="F2197" s="8">
        <v>2.973</v>
      </c>
      <c r="G2197" s="66">
        <v>191.5731924</v>
      </c>
      <c r="H2197" s="8">
        <v>6.614</v>
      </c>
      <c r="J2197" s="26"/>
      <c r="K2197"/>
    </row>
    <row r="2198" spans="1:11">
      <c r="A2198">
        <v>16</v>
      </c>
      <c r="B2198" s="64">
        <v>40571</v>
      </c>
      <c r="C2198" s="2">
        <v>448391.99</v>
      </c>
      <c r="D2198">
        <v>0</v>
      </c>
      <c r="E2198" s="65">
        <v>20.8</v>
      </c>
      <c r="F2198" s="8">
        <v>3.008</v>
      </c>
      <c r="G2198" s="66">
        <v>191.667891</v>
      </c>
      <c r="H2198" s="8">
        <v>6.614</v>
      </c>
      <c r="J2198" s="26"/>
      <c r="K2198"/>
    </row>
    <row r="2199" spans="1:11">
      <c r="A2199">
        <v>16</v>
      </c>
      <c r="B2199" s="64">
        <v>40578</v>
      </c>
      <c r="C2199" s="2">
        <v>479263.15</v>
      </c>
      <c r="D2199">
        <v>0</v>
      </c>
      <c r="E2199" s="65">
        <v>13.64</v>
      </c>
      <c r="F2199" s="8">
        <v>3.011</v>
      </c>
      <c r="G2199" s="66">
        <v>191.7625895</v>
      </c>
      <c r="H2199" s="8">
        <v>6.614</v>
      </c>
      <c r="J2199" s="26"/>
      <c r="K2199"/>
    </row>
    <row r="2200" spans="1:11">
      <c r="A2200">
        <v>16</v>
      </c>
      <c r="B2200" s="64">
        <v>40585</v>
      </c>
      <c r="C2200" s="2">
        <v>466806.89</v>
      </c>
      <c r="D2200">
        <v>1</v>
      </c>
      <c r="E2200" s="65">
        <v>15.02</v>
      </c>
      <c r="F2200" s="8">
        <v>3.037</v>
      </c>
      <c r="G2200" s="66">
        <v>191.8572881</v>
      </c>
      <c r="H2200" s="8">
        <v>6.614</v>
      </c>
      <c r="J2200" s="26"/>
      <c r="K2200"/>
    </row>
    <row r="2201" spans="1:11">
      <c r="A2201">
        <v>16</v>
      </c>
      <c r="B2201" s="64">
        <v>40592</v>
      </c>
      <c r="C2201" s="2">
        <v>491179.79</v>
      </c>
      <c r="D2201">
        <v>0</v>
      </c>
      <c r="E2201" s="65">
        <v>27.18</v>
      </c>
      <c r="F2201" s="8">
        <v>3.051</v>
      </c>
      <c r="G2201" s="66">
        <v>191.9178331</v>
      </c>
      <c r="H2201" s="8">
        <v>6.614</v>
      </c>
      <c r="J2201" s="26"/>
      <c r="K2201"/>
    </row>
    <row r="2202" spans="1:11">
      <c r="A2202">
        <v>16</v>
      </c>
      <c r="B2202" s="64">
        <v>40599</v>
      </c>
      <c r="C2202" s="2">
        <v>475201.64</v>
      </c>
      <c r="D2202">
        <v>0</v>
      </c>
      <c r="E2202" s="65">
        <v>26.15</v>
      </c>
      <c r="F2202" s="8">
        <v>3.101</v>
      </c>
      <c r="G2202" s="66">
        <v>191.9647167</v>
      </c>
      <c r="H2202" s="8">
        <v>6.614</v>
      </c>
      <c r="J2202" s="26"/>
      <c r="K2202"/>
    </row>
    <row r="2203" spans="1:11">
      <c r="A2203">
        <v>16</v>
      </c>
      <c r="B2203" s="64">
        <v>40606</v>
      </c>
      <c r="C2203" s="2">
        <v>484829.07</v>
      </c>
      <c r="D2203">
        <v>0</v>
      </c>
      <c r="E2203" s="65">
        <v>31.77</v>
      </c>
      <c r="F2203" s="8">
        <v>3.232</v>
      </c>
      <c r="G2203" s="66">
        <v>192.0116004</v>
      </c>
      <c r="H2203" s="8">
        <v>6.614</v>
      </c>
      <c r="J2203" s="26"/>
      <c r="K2203"/>
    </row>
    <row r="2204" spans="1:11">
      <c r="A2204">
        <v>16</v>
      </c>
      <c r="B2204" s="64">
        <v>40613</v>
      </c>
      <c r="C2204" s="2">
        <v>457504.35</v>
      </c>
      <c r="D2204">
        <v>0</v>
      </c>
      <c r="E2204" s="65">
        <v>29.36</v>
      </c>
      <c r="F2204" s="8">
        <v>3.372</v>
      </c>
      <c r="G2204" s="66">
        <v>192.058484</v>
      </c>
      <c r="H2204" s="8">
        <v>6.614</v>
      </c>
      <c r="J2204" s="26"/>
      <c r="K2204"/>
    </row>
    <row r="2205" spans="1:11">
      <c r="A2205">
        <v>16</v>
      </c>
      <c r="B2205" s="64">
        <v>40620</v>
      </c>
      <c r="C2205" s="2">
        <v>497373.49</v>
      </c>
      <c r="D2205">
        <v>0</v>
      </c>
      <c r="E2205" s="65">
        <v>36.5</v>
      </c>
      <c r="F2205" s="8">
        <v>3.406</v>
      </c>
      <c r="G2205" s="66">
        <v>192.1237981</v>
      </c>
      <c r="H2205" s="8">
        <v>6.614</v>
      </c>
      <c r="J2205" s="26"/>
      <c r="K2205"/>
    </row>
    <row r="2206" spans="1:11">
      <c r="A2206">
        <v>16</v>
      </c>
      <c r="B2206" s="64">
        <v>40627</v>
      </c>
      <c r="C2206" s="2">
        <v>465279.68</v>
      </c>
      <c r="D2206">
        <v>0</v>
      </c>
      <c r="E2206" s="65">
        <v>32.61</v>
      </c>
      <c r="F2206" s="8">
        <v>3.414</v>
      </c>
      <c r="G2206" s="66">
        <v>192.1964844</v>
      </c>
      <c r="H2206" s="8">
        <v>6.614</v>
      </c>
      <c r="J2206" s="26"/>
      <c r="K2206"/>
    </row>
    <row r="2207" spans="1:11">
      <c r="A2207">
        <v>16</v>
      </c>
      <c r="B2207" s="64">
        <v>40634</v>
      </c>
      <c r="C2207" s="2">
        <v>459756.11</v>
      </c>
      <c r="D2207">
        <v>0</v>
      </c>
      <c r="E2207" s="65">
        <v>35.75</v>
      </c>
      <c r="F2207" s="8">
        <v>3.461</v>
      </c>
      <c r="G2207" s="66">
        <v>192.2691707</v>
      </c>
      <c r="H2207" s="8">
        <v>6.339</v>
      </c>
      <c r="J2207" s="26"/>
      <c r="K2207"/>
    </row>
    <row r="2208" spans="1:11">
      <c r="A2208">
        <v>16</v>
      </c>
      <c r="B2208" s="64">
        <v>40641</v>
      </c>
      <c r="C2208" s="2">
        <v>439276.5</v>
      </c>
      <c r="D2208">
        <v>0</v>
      </c>
      <c r="E2208" s="65">
        <v>38.04</v>
      </c>
      <c r="F2208" s="8">
        <v>3.532</v>
      </c>
      <c r="G2208" s="66">
        <v>192.3418571</v>
      </c>
      <c r="H2208" s="8">
        <v>6.339</v>
      </c>
      <c r="J2208" s="26"/>
      <c r="K2208"/>
    </row>
    <row r="2209" spans="1:11">
      <c r="A2209">
        <v>16</v>
      </c>
      <c r="B2209" s="64">
        <v>40648</v>
      </c>
      <c r="C2209" s="2">
        <v>427855.24</v>
      </c>
      <c r="D2209">
        <v>0</v>
      </c>
      <c r="E2209" s="65">
        <v>34.59</v>
      </c>
      <c r="F2209" s="8">
        <v>3.611</v>
      </c>
      <c r="G2209" s="66">
        <v>192.4225954</v>
      </c>
      <c r="H2209" s="8">
        <v>6.339</v>
      </c>
      <c r="J2209" s="26"/>
      <c r="K2209"/>
    </row>
    <row r="2210" spans="1:11">
      <c r="A2210">
        <v>16</v>
      </c>
      <c r="B2210" s="64">
        <v>40655</v>
      </c>
      <c r="C2210" s="2">
        <v>368600</v>
      </c>
      <c r="D2210">
        <v>0</v>
      </c>
      <c r="E2210" s="65">
        <v>40.74</v>
      </c>
      <c r="F2210" s="8">
        <v>3.636</v>
      </c>
      <c r="G2210" s="66">
        <v>192.5234638</v>
      </c>
      <c r="H2210" s="8">
        <v>6.339</v>
      </c>
      <c r="J2210" s="26"/>
      <c r="K2210"/>
    </row>
    <row r="2211" spans="1:11">
      <c r="A2211">
        <v>16</v>
      </c>
      <c r="B2211" s="64">
        <v>40662</v>
      </c>
      <c r="C2211" s="2">
        <v>378100.31</v>
      </c>
      <c r="D2211">
        <v>0</v>
      </c>
      <c r="E2211" s="65">
        <v>37.77</v>
      </c>
      <c r="F2211" s="8">
        <v>3.663</v>
      </c>
      <c r="G2211" s="66">
        <v>192.6243322</v>
      </c>
      <c r="H2211" s="8">
        <v>6.339</v>
      </c>
      <c r="J2211" s="26"/>
      <c r="K2211"/>
    </row>
    <row r="2212" spans="1:11">
      <c r="A2212">
        <v>16</v>
      </c>
      <c r="B2212" s="64">
        <v>40669</v>
      </c>
      <c r="C2212" s="2">
        <v>423805.22</v>
      </c>
      <c r="D2212">
        <v>0</v>
      </c>
      <c r="E2212" s="65">
        <v>38.64</v>
      </c>
      <c r="F2212" s="8">
        <v>3.735</v>
      </c>
      <c r="G2212" s="66">
        <v>192.7252006</v>
      </c>
      <c r="H2212" s="8">
        <v>6.339</v>
      </c>
      <c r="J2212" s="26"/>
      <c r="K2212"/>
    </row>
    <row r="2213" spans="1:11">
      <c r="A2213">
        <v>16</v>
      </c>
      <c r="B2213" s="64">
        <v>40676</v>
      </c>
      <c r="C2213" s="2">
        <v>410406.95</v>
      </c>
      <c r="D2213">
        <v>0</v>
      </c>
      <c r="E2213" s="65">
        <v>43.29</v>
      </c>
      <c r="F2213" s="8">
        <v>3.767</v>
      </c>
      <c r="G2213" s="66">
        <v>192.826069</v>
      </c>
      <c r="H2213" s="8">
        <v>6.339</v>
      </c>
      <c r="J2213" s="26"/>
      <c r="K2213"/>
    </row>
    <row r="2214" spans="1:11">
      <c r="A2214">
        <v>16</v>
      </c>
      <c r="B2214" s="64">
        <v>40683</v>
      </c>
      <c r="C2214" s="2">
        <v>435397.19</v>
      </c>
      <c r="D2214">
        <v>0</v>
      </c>
      <c r="E2214" s="65">
        <v>43.95</v>
      </c>
      <c r="F2214" s="8">
        <v>3.828</v>
      </c>
      <c r="G2214" s="66">
        <v>192.831317</v>
      </c>
      <c r="H2214" s="8">
        <v>6.339</v>
      </c>
      <c r="J2214" s="26"/>
      <c r="K2214"/>
    </row>
    <row r="2215" spans="1:11">
      <c r="A2215">
        <v>16</v>
      </c>
      <c r="B2215" s="64">
        <v>40690</v>
      </c>
      <c r="C2215" s="2">
        <v>444718.68</v>
      </c>
      <c r="D2215">
        <v>0</v>
      </c>
      <c r="E2215" s="65">
        <v>45.17</v>
      </c>
      <c r="F2215" s="8">
        <v>3.795</v>
      </c>
      <c r="G2215" s="66">
        <v>192.8365651</v>
      </c>
      <c r="H2215" s="8">
        <v>6.339</v>
      </c>
      <c r="J2215" s="26"/>
      <c r="K2215"/>
    </row>
    <row r="2216" spans="1:11">
      <c r="A2216">
        <v>16</v>
      </c>
      <c r="B2216" s="64">
        <v>40697</v>
      </c>
      <c r="C2216" s="2">
        <v>531080.31</v>
      </c>
      <c r="D2216">
        <v>0</v>
      </c>
      <c r="E2216" s="65">
        <v>54.08</v>
      </c>
      <c r="F2216" s="8">
        <v>3.763</v>
      </c>
      <c r="G2216" s="66">
        <v>192.8418131</v>
      </c>
      <c r="H2216" s="8">
        <v>6.339</v>
      </c>
      <c r="J2216" s="26"/>
      <c r="K2216"/>
    </row>
    <row r="2217" spans="1:11">
      <c r="A2217">
        <v>16</v>
      </c>
      <c r="B2217" s="64">
        <v>40704</v>
      </c>
      <c r="C2217" s="2">
        <v>600952.06</v>
      </c>
      <c r="D2217">
        <v>0</v>
      </c>
      <c r="E2217" s="65">
        <v>55.78</v>
      </c>
      <c r="F2217" s="8">
        <v>3.735</v>
      </c>
      <c r="G2217" s="66">
        <v>192.8470612</v>
      </c>
      <c r="H2217" s="8">
        <v>6.339</v>
      </c>
      <c r="J2217" s="26"/>
      <c r="K2217"/>
    </row>
    <row r="2218" spans="1:11">
      <c r="A2218">
        <v>16</v>
      </c>
      <c r="B2218" s="64">
        <v>40711</v>
      </c>
      <c r="C2218" s="2">
        <v>581546.23</v>
      </c>
      <c r="D2218">
        <v>0</v>
      </c>
      <c r="E2218" s="65">
        <v>58.34</v>
      </c>
      <c r="F2218" s="8">
        <v>3.697</v>
      </c>
      <c r="G2218" s="66">
        <v>192.9034759</v>
      </c>
      <c r="H2218" s="8">
        <v>6.339</v>
      </c>
      <c r="J2218" s="26"/>
      <c r="K2218"/>
    </row>
    <row r="2219" spans="1:11">
      <c r="A2219">
        <v>16</v>
      </c>
      <c r="B2219" s="64">
        <v>40718</v>
      </c>
      <c r="C2219" s="2">
        <v>569105.03</v>
      </c>
      <c r="D2219">
        <v>0</v>
      </c>
      <c r="E2219" s="65">
        <v>54.36</v>
      </c>
      <c r="F2219" s="8">
        <v>3.661</v>
      </c>
      <c r="G2219" s="66">
        <v>192.9982655</v>
      </c>
      <c r="H2219" s="8">
        <v>6.339</v>
      </c>
      <c r="J2219" s="26"/>
      <c r="K2219"/>
    </row>
    <row r="2220" spans="1:11">
      <c r="A2220">
        <v>16</v>
      </c>
      <c r="B2220" s="64">
        <v>40725</v>
      </c>
      <c r="C2220" s="2">
        <v>608737.56</v>
      </c>
      <c r="D2220">
        <v>0</v>
      </c>
      <c r="E2220" s="65">
        <v>63.59</v>
      </c>
      <c r="F2220" s="8">
        <v>3.597</v>
      </c>
      <c r="G2220" s="66">
        <v>193.0930552</v>
      </c>
      <c r="H2220" s="8">
        <v>6.338</v>
      </c>
      <c r="J2220" s="26"/>
      <c r="K2220"/>
    </row>
    <row r="2221" spans="1:11">
      <c r="A2221">
        <v>16</v>
      </c>
      <c r="B2221" s="64">
        <v>40732</v>
      </c>
      <c r="C2221" s="2">
        <v>634634.66</v>
      </c>
      <c r="D2221">
        <v>0</v>
      </c>
      <c r="E2221" s="65">
        <v>65</v>
      </c>
      <c r="F2221" s="8">
        <v>3.54</v>
      </c>
      <c r="G2221" s="66">
        <v>193.1878448</v>
      </c>
      <c r="H2221" s="8">
        <v>6.338</v>
      </c>
      <c r="J2221" s="26"/>
      <c r="K2221"/>
    </row>
    <row r="2222" spans="1:11">
      <c r="A2222">
        <v>16</v>
      </c>
      <c r="B2222" s="64">
        <v>40739</v>
      </c>
      <c r="C2222" s="2">
        <v>586841.77</v>
      </c>
      <c r="D2222">
        <v>0</v>
      </c>
      <c r="E2222" s="65">
        <v>65.16</v>
      </c>
      <c r="F2222" s="8">
        <v>3.532</v>
      </c>
      <c r="G2222" s="66">
        <v>193.3125484</v>
      </c>
      <c r="H2222" s="8">
        <v>6.338</v>
      </c>
      <c r="J2222" s="26"/>
      <c r="K2222"/>
    </row>
    <row r="2223" spans="1:11">
      <c r="A2223">
        <v>16</v>
      </c>
      <c r="B2223" s="64">
        <v>40746</v>
      </c>
      <c r="C2223" s="2">
        <v>581758.22</v>
      </c>
      <c r="D2223">
        <v>0</v>
      </c>
      <c r="E2223" s="65">
        <v>65.36</v>
      </c>
      <c r="F2223" s="8">
        <v>3.545</v>
      </c>
      <c r="G2223" s="66">
        <v>193.5120367</v>
      </c>
      <c r="H2223" s="8">
        <v>6.338</v>
      </c>
      <c r="J2223" s="26"/>
      <c r="K2223"/>
    </row>
    <row r="2224" spans="1:11">
      <c r="A2224">
        <v>16</v>
      </c>
      <c r="B2224" s="64">
        <v>40753</v>
      </c>
      <c r="C2224" s="2">
        <v>582381.95</v>
      </c>
      <c r="D2224">
        <v>0</v>
      </c>
      <c r="E2224" s="65">
        <v>66.84</v>
      </c>
      <c r="F2224" s="8">
        <v>3.547</v>
      </c>
      <c r="G2224" s="66">
        <v>193.711525</v>
      </c>
      <c r="H2224" s="8">
        <v>6.338</v>
      </c>
      <c r="J2224" s="26"/>
      <c r="K2224"/>
    </row>
    <row r="2225" spans="1:11">
      <c r="A2225">
        <v>16</v>
      </c>
      <c r="B2225" s="64">
        <v>40760</v>
      </c>
      <c r="C2225" s="2">
        <v>592981.33</v>
      </c>
      <c r="D2225">
        <v>0</v>
      </c>
      <c r="E2225" s="65">
        <v>63.96</v>
      </c>
      <c r="F2225" s="8">
        <v>3.554</v>
      </c>
      <c r="G2225" s="66">
        <v>193.9110133</v>
      </c>
      <c r="H2225" s="8">
        <v>6.338</v>
      </c>
      <c r="J2225" s="26"/>
      <c r="K2225"/>
    </row>
    <row r="2226" spans="1:11">
      <c r="A2226">
        <v>16</v>
      </c>
      <c r="B2226" s="64">
        <v>40767</v>
      </c>
      <c r="C2226" s="2">
        <v>563884.47</v>
      </c>
      <c r="D2226">
        <v>0</v>
      </c>
      <c r="E2226" s="65">
        <v>67.09</v>
      </c>
      <c r="F2226" s="8">
        <v>3.542</v>
      </c>
      <c r="G2226" s="66">
        <v>194.1105017</v>
      </c>
      <c r="H2226" s="8">
        <v>6.338</v>
      </c>
      <c r="J2226" s="26"/>
      <c r="K2226"/>
    </row>
    <row r="2227" spans="1:11">
      <c r="A2227">
        <v>16</v>
      </c>
      <c r="B2227" s="64">
        <v>40774</v>
      </c>
      <c r="C2227" s="2">
        <v>554630.42</v>
      </c>
      <c r="D2227">
        <v>0</v>
      </c>
      <c r="E2227" s="65">
        <v>68.83</v>
      </c>
      <c r="F2227" s="8">
        <v>3.499</v>
      </c>
      <c r="G2227" s="66">
        <v>194.2500634</v>
      </c>
      <c r="H2227" s="8">
        <v>6.338</v>
      </c>
      <c r="J2227" s="26"/>
      <c r="K2227"/>
    </row>
    <row r="2228" spans="1:11">
      <c r="A2228">
        <v>16</v>
      </c>
      <c r="B2228" s="64">
        <v>40781</v>
      </c>
      <c r="C2228" s="2">
        <v>557312.01</v>
      </c>
      <c r="D2228">
        <v>0</v>
      </c>
      <c r="E2228" s="65">
        <v>67.51</v>
      </c>
      <c r="F2228" s="8">
        <v>3.485</v>
      </c>
      <c r="G2228" s="66">
        <v>194.3796374</v>
      </c>
      <c r="H2228" s="8">
        <v>6.338</v>
      </c>
      <c r="J2228" s="26"/>
      <c r="K2228"/>
    </row>
    <row r="2229" spans="1:11">
      <c r="A2229">
        <v>16</v>
      </c>
      <c r="B2229" s="64">
        <v>40788</v>
      </c>
      <c r="C2229" s="2">
        <v>580805.33</v>
      </c>
      <c r="D2229">
        <v>0</v>
      </c>
      <c r="E2229" s="65">
        <v>63.44</v>
      </c>
      <c r="F2229" s="8">
        <v>3.511</v>
      </c>
      <c r="G2229" s="66">
        <v>194.5092113</v>
      </c>
      <c r="H2229" s="8">
        <v>6.338</v>
      </c>
      <c r="J2229" s="26"/>
      <c r="K2229"/>
    </row>
    <row r="2230" spans="1:11">
      <c r="A2230">
        <v>16</v>
      </c>
      <c r="B2230" s="64">
        <v>40795</v>
      </c>
      <c r="C2230" s="2">
        <v>574622.56</v>
      </c>
      <c r="D2230">
        <v>1</v>
      </c>
      <c r="E2230" s="65">
        <v>56.99</v>
      </c>
      <c r="F2230" s="8">
        <v>3.566</v>
      </c>
      <c r="G2230" s="66">
        <v>194.6387853</v>
      </c>
      <c r="H2230" s="8">
        <v>6.338</v>
      </c>
      <c r="J2230" s="26"/>
      <c r="K2230"/>
    </row>
    <row r="2231" spans="1:11">
      <c r="A2231">
        <v>16</v>
      </c>
      <c r="B2231" s="64">
        <v>40802</v>
      </c>
      <c r="C2231" s="2">
        <v>539081.09</v>
      </c>
      <c r="D2231">
        <v>0</v>
      </c>
      <c r="E2231" s="65">
        <v>53.68</v>
      </c>
      <c r="F2231" s="8">
        <v>3.596</v>
      </c>
      <c r="G2231" s="66">
        <v>194.7419707</v>
      </c>
      <c r="H2231" s="8">
        <v>6.338</v>
      </c>
      <c r="J2231" s="26"/>
      <c r="K2231"/>
    </row>
    <row r="2232" spans="1:11">
      <c r="A2232">
        <v>16</v>
      </c>
      <c r="B2232" s="64">
        <v>40809</v>
      </c>
      <c r="C2232" s="2">
        <v>504856.97</v>
      </c>
      <c r="D2232">
        <v>0</v>
      </c>
      <c r="E2232" s="65">
        <v>50.39</v>
      </c>
      <c r="F2232" s="8">
        <v>3.581</v>
      </c>
      <c r="G2232" s="66">
        <v>194.8099713</v>
      </c>
      <c r="H2232" s="8">
        <v>6.338</v>
      </c>
      <c r="J2232" s="26"/>
      <c r="K2232"/>
    </row>
    <row r="2233" spans="1:11">
      <c r="A2233">
        <v>16</v>
      </c>
      <c r="B2233" s="64">
        <v>40816</v>
      </c>
      <c r="C2233" s="2">
        <v>450075.31</v>
      </c>
      <c r="D2233">
        <v>0</v>
      </c>
      <c r="E2233" s="65">
        <v>57.61</v>
      </c>
      <c r="F2233" s="8">
        <v>3.538</v>
      </c>
      <c r="G2233" s="66">
        <v>194.8779718</v>
      </c>
      <c r="H2233" s="8">
        <v>6.338</v>
      </c>
      <c r="J2233" s="26"/>
      <c r="K2233"/>
    </row>
    <row r="2234" spans="1:11">
      <c r="A2234">
        <v>16</v>
      </c>
      <c r="B2234" s="64">
        <v>40823</v>
      </c>
      <c r="C2234" s="2">
        <v>482926.93</v>
      </c>
      <c r="D2234">
        <v>0</v>
      </c>
      <c r="E2234" s="65">
        <v>48.91</v>
      </c>
      <c r="F2234" s="8">
        <v>3.498</v>
      </c>
      <c r="G2234" s="66">
        <v>194.9459724</v>
      </c>
      <c r="H2234" s="8">
        <v>6.232</v>
      </c>
      <c r="J2234" s="26"/>
      <c r="K2234"/>
    </row>
    <row r="2235" spans="1:11">
      <c r="A2235">
        <v>16</v>
      </c>
      <c r="B2235" s="64">
        <v>40830</v>
      </c>
      <c r="C2235" s="2">
        <v>498241.06</v>
      </c>
      <c r="D2235">
        <v>0</v>
      </c>
      <c r="E2235" s="65">
        <v>39.97</v>
      </c>
      <c r="F2235" s="8">
        <v>3.491</v>
      </c>
      <c r="G2235" s="66">
        <v>195.0261012</v>
      </c>
      <c r="H2235" s="8">
        <v>6.232</v>
      </c>
      <c r="J2235" s="26"/>
      <c r="K2235"/>
    </row>
    <row r="2236" spans="1:11">
      <c r="A2236">
        <v>16</v>
      </c>
      <c r="B2236" s="64">
        <v>40837</v>
      </c>
      <c r="C2236" s="2">
        <v>560104.16</v>
      </c>
      <c r="D2236">
        <v>0</v>
      </c>
      <c r="E2236" s="65">
        <v>46.99</v>
      </c>
      <c r="F2236" s="8">
        <v>3.548</v>
      </c>
      <c r="G2236" s="66">
        <v>195.1789994</v>
      </c>
      <c r="H2236" s="8">
        <v>6.232</v>
      </c>
      <c r="J2236" s="26"/>
      <c r="K2236"/>
    </row>
    <row r="2237" spans="1:11">
      <c r="A2237">
        <v>16</v>
      </c>
      <c r="B2237" s="64">
        <v>40844</v>
      </c>
      <c r="C2237" s="2">
        <v>505918.21</v>
      </c>
      <c r="D2237">
        <v>0</v>
      </c>
      <c r="E2237" s="65">
        <v>41.97</v>
      </c>
      <c r="F2237" s="8">
        <v>3.55</v>
      </c>
      <c r="G2237" s="66">
        <v>195.3318977</v>
      </c>
      <c r="H2237" s="8">
        <v>6.232</v>
      </c>
      <c r="J2237" s="26"/>
      <c r="K2237"/>
    </row>
    <row r="2238" spans="1:11">
      <c r="A2238">
        <v>16</v>
      </c>
      <c r="B2238" s="64">
        <v>40851</v>
      </c>
      <c r="C2238" s="2">
        <v>511059.95</v>
      </c>
      <c r="D2238">
        <v>0</v>
      </c>
      <c r="E2238" s="65">
        <v>33.43</v>
      </c>
      <c r="F2238" s="8">
        <v>3.527</v>
      </c>
      <c r="G2238" s="66">
        <v>195.4847959</v>
      </c>
      <c r="H2238" s="8">
        <v>6.232</v>
      </c>
      <c r="J2238" s="26"/>
      <c r="K2238"/>
    </row>
    <row r="2239" spans="1:11">
      <c r="A2239">
        <v>16</v>
      </c>
      <c r="B2239" s="64">
        <v>40858</v>
      </c>
      <c r="C2239" s="2">
        <v>513181.31</v>
      </c>
      <c r="D2239">
        <v>0</v>
      </c>
      <c r="E2239" s="65">
        <v>29.56</v>
      </c>
      <c r="F2239" s="8">
        <v>3.505</v>
      </c>
      <c r="G2239" s="66">
        <v>195.6376941</v>
      </c>
      <c r="H2239" s="8">
        <v>6.232</v>
      </c>
      <c r="J2239" s="26"/>
      <c r="K2239"/>
    </row>
    <row r="2240" spans="1:11">
      <c r="A2240">
        <v>16</v>
      </c>
      <c r="B2240" s="64">
        <v>40865</v>
      </c>
      <c r="C2240" s="2">
        <v>480353.64</v>
      </c>
      <c r="D2240">
        <v>0</v>
      </c>
      <c r="E2240" s="65">
        <v>31.73</v>
      </c>
      <c r="F2240" s="8">
        <v>3.479</v>
      </c>
      <c r="G2240" s="66">
        <v>195.7184713</v>
      </c>
      <c r="H2240" s="8">
        <v>6.232</v>
      </c>
      <c r="J2240" s="26"/>
      <c r="K2240"/>
    </row>
    <row r="2241" spans="1:11">
      <c r="A2241">
        <v>16</v>
      </c>
      <c r="B2241" s="64">
        <v>40872</v>
      </c>
      <c r="C2241" s="2">
        <v>712422.4</v>
      </c>
      <c r="D2241">
        <v>1</v>
      </c>
      <c r="E2241" s="65">
        <v>31.39</v>
      </c>
      <c r="F2241" s="8">
        <v>3.424</v>
      </c>
      <c r="G2241" s="66">
        <v>195.7704</v>
      </c>
      <c r="H2241" s="8">
        <v>6.232</v>
      </c>
      <c r="J2241" s="26"/>
      <c r="K2241"/>
    </row>
    <row r="2242" spans="1:11">
      <c r="A2242">
        <v>16</v>
      </c>
      <c r="B2242" s="64">
        <v>40879</v>
      </c>
      <c r="C2242" s="2">
        <v>530492.84</v>
      </c>
      <c r="D2242">
        <v>0</v>
      </c>
      <c r="E2242" s="65">
        <v>27.83</v>
      </c>
      <c r="F2242" s="8">
        <v>3.378</v>
      </c>
      <c r="G2242" s="66">
        <v>195.8223287</v>
      </c>
      <c r="H2242" s="8">
        <v>6.232</v>
      </c>
      <c r="J2242" s="26"/>
      <c r="K2242"/>
    </row>
    <row r="2243" spans="1:11">
      <c r="A2243">
        <v>16</v>
      </c>
      <c r="B2243" s="64">
        <v>40886</v>
      </c>
      <c r="C2243" s="2">
        <v>574798.86</v>
      </c>
      <c r="D2243">
        <v>0</v>
      </c>
      <c r="E2243" s="65">
        <v>14.44</v>
      </c>
      <c r="F2243" s="8">
        <v>3.331</v>
      </c>
      <c r="G2243" s="66">
        <v>195.8742575</v>
      </c>
      <c r="H2243" s="8">
        <v>6.232</v>
      </c>
      <c r="J2243" s="26"/>
      <c r="K2243"/>
    </row>
    <row r="2244" spans="1:11">
      <c r="A2244">
        <v>16</v>
      </c>
      <c r="B2244" s="64">
        <v>40893</v>
      </c>
      <c r="C2244" s="2">
        <v>679481.9</v>
      </c>
      <c r="D2244">
        <v>0</v>
      </c>
      <c r="E2244" s="65">
        <v>22.5</v>
      </c>
      <c r="F2244" s="8">
        <v>3.266</v>
      </c>
      <c r="G2244" s="66">
        <v>195.9841685</v>
      </c>
      <c r="H2244" s="8">
        <v>6.232</v>
      </c>
      <c r="J2244" s="26"/>
      <c r="K2244"/>
    </row>
    <row r="2245" spans="1:11">
      <c r="A2245">
        <v>16</v>
      </c>
      <c r="B2245" s="64">
        <v>40900</v>
      </c>
      <c r="C2245" s="2">
        <v>950691.96</v>
      </c>
      <c r="D2245">
        <v>0</v>
      </c>
      <c r="E2245" s="65">
        <v>20.79</v>
      </c>
      <c r="F2245" s="8">
        <v>3.173</v>
      </c>
      <c r="G2245" s="66">
        <v>196.1713893</v>
      </c>
      <c r="H2245" s="8">
        <v>6.232</v>
      </c>
      <c r="J2245" s="26"/>
      <c r="K2245"/>
    </row>
    <row r="2246" spans="1:11">
      <c r="A2246">
        <v>16</v>
      </c>
      <c r="B2246" s="64">
        <v>40907</v>
      </c>
      <c r="C2246" s="2">
        <v>665861.06</v>
      </c>
      <c r="D2246">
        <v>1</v>
      </c>
      <c r="E2246" s="65">
        <v>23.91</v>
      </c>
      <c r="F2246" s="8">
        <v>3.119</v>
      </c>
      <c r="G2246" s="66">
        <v>196.3586101</v>
      </c>
      <c r="H2246" s="8">
        <v>6.232</v>
      </c>
      <c r="J2246" s="26"/>
      <c r="K2246"/>
    </row>
    <row r="2247" spans="1:11">
      <c r="A2247">
        <v>16</v>
      </c>
      <c r="B2247" s="64">
        <v>40914</v>
      </c>
      <c r="C2247" s="2">
        <v>564538.07</v>
      </c>
      <c r="D2247">
        <v>0</v>
      </c>
      <c r="E2247" s="65">
        <v>26.49</v>
      </c>
      <c r="F2247" s="8">
        <v>3.095</v>
      </c>
      <c r="G2247" s="66">
        <v>196.5458309</v>
      </c>
      <c r="H2247" s="8">
        <v>6.162</v>
      </c>
      <c r="J2247" s="26"/>
      <c r="K2247"/>
    </row>
    <row r="2248" spans="1:11">
      <c r="A2248">
        <v>16</v>
      </c>
      <c r="B2248" s="64">
        <v>40921</v>
      </c>
      <c r="C2248" s="2">
        <v>508520.09</v>
      </c>
      <c r="D2248">
        <v>0</v>
      </c>
      <c r="E2248" s="65">
        <v>19.55</v>
      </c>
      <c r="F2248" s="8">
        <v>3.077</v>
      </c>
      <c r="G2248" s="66">
        <v>196.7330517</v>
      </c>
      <c r="H2248" s="8">
        <v>6.162</v>
      </c>
      <c r="J2248" s="26"/>
      <c r="K2248"/>
    </row>
    <row r="2249" spans="1:11">
      <c r="A2249">
        <v>16</v>
      </c>
      <c r="B2249" s="64">
        <v>40928</v>
      </c>
      <c r="C2249" s="2">
        <v>474389.75</v>
      </c>
      <c r="D2249">
        <v>0</v>
      </c>
      <c r="E2249" s="65">
        <v>29.3</v>
      </c>
      <c r="F2249" s="8">
        <v>3.055</v>
      </c>
      <c r="G2249" s="66">
        <v>196.7796652</v>
      </c>
      <c r="H2249" s="8">
        <v>6.162</v>
      </c>
      <c r="J2249" s="26"/>
      <c r="K2249"/>
    </row>
    <row r="2250" spans="1:11">
      <c r="A2250">
        <v>16</v>
      </c>
      <c r="B2250" s="64">
        <v>40935</v>
      </c>
      <c r="C2250" s="2">
        <v>453979.19</v>
      </c>
      <c r="D2250">
        <v>0</v>
      </c>
      <c r="E2250" s="65">
        <v>28.17</v>
      </c>
      <c r="F2250" s="8">
        <v>3.038</v>
      </c>
      <c r="G2250" s="66">
        <v>196.8262786</v>
      </c>
      <c r="H2250" s="8">
        <v>6.162</v>
      </c>
      <c r="J2250" s="26"/>
      <c r="K2250"/>
    </row>
    <row r="2251" spans="1:11">
      <c r="A2251">
        <v>16</v>
      </c>
      <c r="B2251" s="64">
        <v>40942</v>
      </c>
      <c r="C2251" s="2">
        <v>475905.1</v>
      </c>
      <c r="D2251">
        <v>0</v>
      </c>
      <c r="E2251" s="65">
        <v>25.53</v>
      </c>
      <c r="F2251" s="8">
        <v>3.031</v>
      </c>
      <c r="G2251" s="66">
        <v>196.8728921</v>
      </c>
      <c r="H2251" s="8">
        <v>6.162</v>
      </c>
      <c r="J2251" s="26"/>
      <c r="K2251"/>
    </row>
    <row r="2252" spans="1:11">
      <c r="A2252">
        <v>16</v>
      </c>
      <c r="B2252" s="64">
        <v>40949</v>
      </c>
      <c r="C2252" s="2">
        <v>473766.97</v>
      </c>
      <c r="D2252">
        <v>1</v>
      </c>
      <c r="E2252" s="65">
        <v>23.69</v>
      </c>
      <c r="F2252" s="8">
        <v>3.103</v>
      </c>
      <c r="G2252" s="66">
        <v>196.9195056</v>
      </c>
      <c r="H2252" s="8">
        <v>6.162</v>
      </c>
      <c r="J2252" s="26"/>
      <c r="K2252"/>
    </row>
    <row r="2253" spans="1:11">
      <c r="A2253">
        <v>16</v>
      </c>
      <c r="B2253" s="64">
        <v>40956</v>
      </c>
      <c r="C2253" s="2">
        <v>494069.49</v>
      </c>
      <c r="D2253">
        <v>0</v>
      </c>
      <c r="E2253" s="65">
        <v>31.19</v>
      </c>
      <c r="F2253" s="8">
        <v>3.113</v>
      </c>
      <c r="G2253" s="66">
        <v>196.9432711</v>
      </c>
      <c r="H2253" s="8">
        <v>6.162</v>
      </c>
      <c r="J2253" s="26"/>
      <c r="K2253"/>
    </row>
    <row r="2254" spans="1:11">
      <c r="A2254">
        <v>16</v>
      </c>
      <c r="B2254" s="64">
        <v>40963</v>
      </c>
      <c r="C2254" s="2">
        <v>495720.3</v>
      </c>
      <c r="D2254">
        <v>0</v>
      </c>
      <c r="E2254" s="65">
        <v>26.21</v>
      </c>
      <c r="F2254" s="8">
        <v>3.129</v>
      </c>
      <c r="G2254" s="66">
        <v>196.9499007</v>
      </c>
      <c r="H2254" s="8">
        <v>6.162</v>
      </c>
      <c r="J2254" s="26"/>
      <c r="K2254"/>
    </row>
    <row r="2255" spans="1:11">
      <c r="A2255">
        <v>16</v>
      </c>
      <c r="B2255" s="64">
        <v>40970</v>
      </c>
      <c r="C2255" s="2">
        <v>464189.09</v>
      </c>
      <c r="D2255">
        <v>0</v>
      </c>
      <c r="E2255" s="65">
        <v>23.4</v>
      </c>
      <c r="F2255" s="8">
        <v>3.191</v>
      </c>
      <c r="G2255" s="66">
        <v>196.9565303</v>
      </c>
      <c r="H2255" s="8">
        <v>6.162</v>
      </c>
      <c r="J2255" s="26"/>
      <c r="K2255"/>
    </row>
    <row r="2256" spans="1:11">
      <c r="A2256">
        <v>16</v>
      </c>
      <c r="B2256" s="64">
        <v>40977</v>
      </c>
      <c r="C2256" s="2">
        <v>495951.66</v>
      </c>
      <c r="D2256">
        <v>0</v>
      </c>
      <c r="E2256" s="65">
        <v>28.16</v>
      </c>
      <c r="F2256" s="8">
        <v>3.286</v>
      </c>
      <c r="G2256" s="66">
        <v>196.9631599</v>
      </c>
      <c r="H2256" s="8">
        <v>6.162</v>
      </c>
      <c r="J2256" s="26"/>
      <c r="K2256"/>
    </row>
    <row r="2257" spans="1:11">
      <c r="A2257">
        <v>16</v>
      </c>
      <c r="B2257" s="64">
        <v>40984</v>
      </c>
      <c r="C2257" s="2">
        <v>520850.71</v>
      </c>
      <c r="D2257">
        <v>0</v>
      </c>
      <c r="E2257" s="65">
        <v>38.02</v>
      </c>
      <c r="F2257" s="8">
        <v>3.486</v>
      </c>
      <c r="G2257" s="66">
        <v>197.0457208</v>
      </c>
      <c r="H2257" s="8">
        <v>6.162</v>
      </c>
      <c r="J2257" s="26"/>
      <c r="K2257"/>
    </row>
    <row r="2258" spans="1:11">
      <c r="A2258">
        <v>16</v>
      </c>
      <c r="B2258" s="64">
        <v>40991</v>
      </c>
      <c r="C2258" s="2">
        <v>493503.89</v>
      </c>
      <c r="D2258">
        <v>0</v>
      </c>
      <c r="E2258" s="65">
        <v>38.7</v>
      </c>
      <c r="F2258" s="8">
        <v>3.664</v>
      </c>
      <c r="G2258" s="66">
        <v>197.2295234</v>
      </c>
      <c r="H2258" s="8">
        <v>6.162</v>
      </c>
      <c r="J2258" s="26"/>
      <c r="K2258"/>
    </row>
    <row r="2259" spans="1:11">
      <c r="A2259">
        <v>16</v>
      </c>
      <c r="B2259" s="64">
        <v>40998</v>
      </c>
      <c r="C2259" s="2">
        <v>485095.41</v>
      </c>
      <c r="D2259">
        <v>0</v>
      </c>
      <c r="E2259" s="65">
        <v>48.29</v>
      </c>
      <c r="F2259" s="8">
        <v>3.75</v>
      </c>
      <c r="G2259" s="66">
        <v>197.4133259</v>
      </c>
      <c r="H2259" s="8">
        <v>6.162</v>
      </c>
      <c r="J2259" s="26"/>
      <c r="K2259"/>
    </row>
    <row r="2260" spans="1:11">
      <c r="A2260">
        <v>16</v>
      </c>
      <c r="B2260" s="64">
        <v>41005</v>
      </c>
      <c r="C2260" s="2">
        <v>502662.07</v>
      </c>
      <c r="D2260">
        <v>0</v>
      </c>
      <c r="E2260" s="65">
        <v>48.93</v>
      </c>
      <c r="F2260" s="8">
        <v>3.854</v>
      </c>
      <c r="G2260" s="66">
        <v>197.5971285</v>
      </c>
      <c r="H2260" s="8">
        <v>6.169</v>
      </c>
      <c r="J2260" s="26"/>
      <c r="K2260"/>
    </row>
    <row r="2261" spans="1:11">
      <c r="A2261">
        <v>16</v>
      </c>
      <c r="B2261" s="64">
        <v>41012</v>
      </c>
      <c r="C2261" s="2">
        <v>450756.71</v>
      </c>
      <c r="D2261">
        <v>0</v>
      </c>
      <c r="E2261" s="65">
        <v>45.83</v>
      </c>
      <c r="F2261" s="8">
        <v>3.901</v>
      </c>
      <c r="G2261" s="66">
        <v>197.780931</v>
      </c>
      <c r="H2261" s="8">
        <v>6.169</v>
      </c>
      <c r="J2261" s="26"/>
      <c r="K2261"/>
    </row>
    <row r="2262" spans="1:11">
      <c r="A2262">
        <v>16</v>
      </c>
      <c r="B2262" s="64">
        <v>41019</v>
      </c>
      <c r="C2262" s="2">
        <v>436221.26</v>
      </c>
      <c r="D2262">
        <v>0</v>
      </c>
      <c r="E2262" s="65">
        <v>43.61</v>
      </c>
      <c r="F2262" s="8">
        <v>3.936</v>
      </c>
      <c r="G2262" s="66">
        <v>197.7227385</v>
      </c>
      <c r="H2262" s="8">
        <v>6.169</v>
      </c>
      <c r="J2262" s="26"/>
      <c r="K2262"/>
    </row>
    <row r="2263" spans="1:11">
      <c r="A2263">
        <v>16</v>
      </c>
      <c r="B2263" s="64">
        <v>41026</v>
      </c>
      <c r="C2263" s="2">
        <v>398445.15</v>
      </c>
      <c r="D2263">
        <v>0</v>
      </c>
      <c r="E2263" s="65">
        <v>59.69</v>
      </c>
      <c r="F2263" s="8">
        <v>3.927</v>
      </c>
      <c r="G2263" s="66">
        <v>197.664546</v>
      </c>
      <c r="H2263" s="8">
        <v>6.169</v>
      </c>
      <c r="J2263" s="26"/>
      <c r="K2263"/>
    </row>
    <row r="2264" spans="1:11">
      <c r="A2264">
        <v>16</v>
      </c>
      <c r="B2264" s="64">
        <v>41033</v>
      </c>
      <c r="C2264" s="2">
        <v>426959.62</v>
      </c>
      <c r="D2264">
        <v>0</v>
      </c>
      <c r="E2264" s="65">
        <v>51.34</v>
      </c>
      <c r="F2264" s="8">
        <v>3.903</v>
      </c>
      <c r="G2264" s="66">
        <v>197.6063534</v>
      </c>
      <c r="H2264" s="8">
        <v>6.169</v>
      </c>
      <c r="J2264" s="26"/>
      <c r="K2264"/>
    </row>
    <row r="2265" spans="1:11">
      <c r="A2265">
        <v>16</v>
      </c>
      <c r="B2265" s="64">
        <v>41040</v>
      </c>
      <c r="C2265" s="2">
        <v>479855</v>
      </c>
      <c r="D2265">
        <v>0</v>
      </c>
      <c r="E2265" s="65">
        <v>53.57</v>
      </c>
      <c r="F2265" s="8">
        <v>3.87</v>
      </c>
      <c r="G2265" s="66">
        <v>197.5481609</v>
      </c>
      <c r="H2265" s="8">
        <v>6.169</v>
      </c>
      <c r="J2265" s="26"/>
      <c r="K2265"/>
    </row>
    <row r="2266" spans="1:11">
      <c r="A2266">
        <v>16</v>
      </c>
      <c r="B2266" s="64">
        <v>41047</v>
      </c>
      <c r="C2266" s="2">
        <v>493506.47</v>
      </c>
      <c r="D2266">
        <v>0</v>
      </c>
      <c r="E2266" s="65">
        <v>56.74</v>
      </c>
      <c r="F2266" s="8">
        <v>3.837</v>
      </c>
      <c r="G2266" s="66">
        <v>197.5553137</v>
      </c>
      <c r="H2266" s="8">
        <v>6.169</v>
      </c>
      <c r="J2266" s="26"/>
      <c r="K2266"/>
    </row>
    <row r="2267" spans="1:11">
      <c r="A2267">
        <v>16</v>
      </c>
      <c r="B2267" s="64">
        <v>41054</v>
      </c>
      <c r="C2267" s="2">
        <v>518045.09</v>
      </c>
      <c r="D2267">
        <v>0</v>
      </c>
      <c r="E2267" s="65">
        <v>57.36</v>
      </c>
      <c r="F2267" s="8">
        <v>3.804</v>
      </c>
      <c r="G2267" s="66">
        <v>197.5886046</v>
      </c>
      <c r="H2267" s="8">
        <v>6.169</v>
      </c>
      <c r="J2267" s="26"/>
      <c r="K2267"/>
    </row>
    <row r="2268" spans="1:11">
      <c r="A2268">
        <v>16</v>
      </c>
      <c r="B2268" s="64">
        <v>41061</v>
      </c>
      <c r="C2268" s="2">
        <v>532311.93</v>
      </c>
      <c r="D2268">
        <v>0</v>
      </c>
      <c r="E2268" s="65">
        <v>58.97</v>
      </c>
      <c r="F2268" s="8">
        <v>3.764</v>
      </c>
      <c r="G2268" s="66">
        <v>197.6218954</v>
      </c>
      <c r="H2268" s="8">
        <v>6.169</v>
      </c>
      <c r="J2268" s="26"/>
      <c r="K2268"/>
    </row>
    <row r="2269" spans="1:11">
      <c r="A2269">
        <v>16</v>
      </c>
      <c r="B2269" s="64">
        <v>41068</v>
      </c>
      <c r="C2269" s="2">
        <v>603618.89</v>
      </c>
      <c r="D2269">
        <v>0</v>
      </c>
      <c r="E2269" s="65">
        <v>65.43</v>
      </c>
      <c r="F2269" s="8">
        <v>3.741</v>
      </c>
      <c r="G2269" s="66">
        <v>197.6551863</v>
      </c>
      <c r="H2269" s="8">
        <v>6.169</v>
      </c>
      <c r="J2269" s="26"/>
      <c r="K2269"/>
    </row>
    <row r="2270" spans="1:11">
      <c r="A2270">
        <v>16</v>
      </c>
      <c r="B2270" s="64">
        <v>41075</v>
      </c>
      <c r="C2270" s="2">
        <v>570045.79</v>
      </c>
      <c r="D2270">
        <v>0</v>
      </c>
      <c r="E2270" s="65">
        <v>65.36</v>
      </c>
      <c r="F2270" s="8">
        <v>3.723</v>
      </c>
      <c r="G2270" s="66">
        <v>197.692292</v>
      </c>
      <c r="H2270" s="8">
        <v>6.169</v>
      </c>
      <c r="J2270" s="26"/>
      <c r="K2270"/>
    </row>
    <row r="2271" spans="1:11">
      <c r="A2271">
        <v>16</v>
      </c>
      <c r="B2271" s="64">
        <v>41082</v>
      </c>
      <c r="C2271" s="2">
        <v>581745.72</v>
      </c>
      <c r="D2271">
        <v>0</v>
      </c>
      <c r="E2271" s="65">
        <v>70.41</v>
      </c>
      <c r="F2271" s="8">
        <v>3.735</v>
      </c>
      <c r="G2271" s="66">
        <v>197.7389345</v>
      </c>
      <c r="H2271" s="8">
        <v>6.169</v>
      </c>
      <c r="J2271" s="26"/>
      <c r="K2271"/>
    </row>
    <row r="2272" spans="1:11">
      <c r="A2272">
        <v>16</v>
      </c>
      <c r="B2272" s="64">
        <v>41089</v>
      </c>
      <c r="C2272" s="2">
        <v>570162.28</v>
      </c>
      <c r="D2272">
        <v>0</v>
      </c>
      <c r="E2272" s="65">
        <v>77.31</v>
      </c>
      <c r="F2272" s="8">
        <v>3.693</v>
      </c>
      <c r="G2272" s="66">
        <v>197.785577</v>
      </c>
      <c r="H2272" s="8">
        <v>6.169</v>
      </c>
      <c r="J2272" s="26"/>
      <c r="K2272"/>
    </row>
    <row r="2273" spans="1:11">
      <c r="A2273">
        <v>16</v>
      </c>
      <c r="B2273" s="64">
        <v>41096</v>
      </c>
      <c r="C2273" s="2">
        <v>641763.53</v>
      </c>
      <c r="D2273">
        <v>0</v>
      </c>
      <c r="E2273" s="65">
        <v>70.49</v>
      </c>
      <c r="F2273" s="8">
        <v>3.646</v>
      </c>
      <c r="G2273" s="66">
        <v>197.8322195</v>
      </c>
      <c r="H2273" s="8">
        <v>6.061</v>
      </c>
      <c r="J2273" s="26"/>
      <c r="K2273"/>
    </row>
    <row r="2274" spans="1:11">
      <c r="A2274">
        <v>16</v>
      </c>
      <c r="B2274" s="64">
        <v>41103</v>
      </c>
      <c r="C2274" s="2">
        <v>569005.06</v>
      </c>
      <c r="D2274">
        <v>0</v>
      </c>
      <c r="E2274" s="65">
        <v>70.29</v>
      </c>
      <c r="F2274" s="8">
        <v>3.613</v>
      </c>
      <c r="G2274" s="66">
        <v>197.8788621</v>
      </c>
      <c r="H2274" s="8">
        <v>6.061</v>
      </c>
      <c r="J2274" s="26"/>
      <c r="K2274"/>
    </row>
    <row r="2275" spans="1:11">
      <c r="A2275">
        <v>16</v>
      </c>
      <c r="B2275" s="64">
        <v>41110</v>
      </c>
      <c r="C2275" s="2">
        <v>565297.54</v>
      </c>
      <c r="D2275">
        <v>0</v>
      </c>
      <c r="E2275" s="65">
        <v>68.43</v>
      </c>
      <c r="F2275" s="8">
        <v>3.585</v>
      </c>
      <c r="G2275" s="66">
        <v>197.9290378</v>
      </c>
      <c r="H2275" s="8">
        <v>6.061</v>
      </c>
      <c r="J2275" s="26"/>
      <c r="K2275"/>
    </row>
    <row r="2276" spans="1:11">
      <c r="A2276">
        <v>16</v>
      </c>
      <c r="B2276" s="64">
        <v>41117</v>
      </c>
      <c r="C2276" s="2">
        <v>539337.87</v>
      </c>
      <c r="D2276">
        <v>0</v>
      </c>
      <c r="E2276" s="65">
        <v>69</v>
      </c>
      <c r="F2276" s="8">
        <v>3.57</v>
      </c>
      <c r="G2276" s="66">
        <v>197.9792136</v>
      </c>
      <c r="H2276" s="8">
        <v>6.061</v>
      </c>
      <c r="J2276" s="26"/>
      <c r="K2276"/>
    </row>
    <row r="2277" spans="1:11">
      <c r="A2277">
        <v>16</v>
      </c>
      <c r="B2277" s="64">
        <v>41124</v>
      </c>
      <c r="C2277" s="2">
        <v>584000.71</v>
      </c>
      <c r="D2277">
        <v>0</v>
      </c>
      <c r="E2277" s="65">
        <v>68.59</v>
      </c>
      <c r="F2277" s="8">
        <v>3.528</v>
      </c>
      <c r="G2277" s="66">
        <v>198.0293893</v>
      </c>
      <c r="H2277" s="8">
        <v>6.061</v>
      </c>
      <c r="J2277" s="26"/>
      <c r="K2277"/>
    </row>
    <row r="2278" spans="1:11">
      <c r="A2278">
        <v>16</v>
      </c>
      <c r="B2278" s="64">
        <v>41131</v>
      </c>
      <c r="C2278" s="2">
        <v>554036.84</v>
      </c>
      <c r="D2278">
        <v>0</v>
      </c>
      <c r="E2278" s="65">
        <v>70.24</v>
      </c>
      <c r="F2278" s="8">
        <v>3.509</v>
      </c>
      <c r="G2278" s="66">
        <v>198.0795651</v>
      </c>
      <c r="H2278" s="8">
        <v>6.061</v>
      </c>
      <c r="J2278" s="26"/>
      <c r="K2278"/>
    </row>
    <row r="2279" spans="1:11">
      <c r="A2279">
        <v>16</v>
      </c>
      <c r="B2279" s="64">
        <v>41138</v>
      </c>
      <c r="C2279" s="2">
        <v>521896.6</v>
      </c>
      <c r="D2279">
        <v>0</v>
      </c>
      <c r="E2279" s="65">
        <v>62.07</v>
      </c>
      <c r="F2279" s="8">
        <v>3.545</v>
      </c>
      <c r="G2279" s="66">
        <v>198.1001057</v>
      </c>
      <c r="H2279" s="8">
        <v>6.061</v>
      </c>
      <c r="J2279" s="26"/>
      <c r="K2279"/>
    </row>
    <row r="2280" spans="1:11">
      <c r="A2280">
        <v>16</v>
      </c>
      <c r="B2280" s="64">
        <v>41145</v>
      </c>
      <c r="C2280" s="2">
        <v>551152.15</v>
      </c>
      <c r="D2280">
        <v>0</v>
      </c>
      <c r="E2280" s="65">
        <v>61.44</v>
      </c>
      <c r="F2280" s="8">
        <v>3.558</v>
      </c>
      <c r="G2280" s="66">
        <v>198.0984199</v>
      </c>
      <c r="H2280" s="8">
        <v>6.061</v>
      </c>
      <c r="J2280" s="26"/>
      <c r="K2280"/>
    </row>
    <row r="2281" spans="1:11">
      <c r="A2281">
        <v>16</v>
      </c>
      <c r="B2281" s="64">
        <v>41152</v>
      </c>
      <c r="C2281" s="2">
        <v>551837.31</v>
      </c>
      <c r="D2281">
        <v>0</v>
      </c>
      <c r="E2281" s="65">
        <v>64.19</v>
      </c>
      <c r="F2281" s="8">
        <v>3.556</v>
      </c>
      <c r="G2281" s="66">
        <v>198.0967341</v>
      </c>
      <c r="H2281" s="8">
        <v>6.061</v>
      </c>
      <c r="J2281" s="26"/>
      <c r="K2281"/>
    </row>
    <row r="2282" spans="1:11">
      <c r="A2282">
        <v>16</v>
      </c>
      <c r="B2282" s="64">
        <v>41159</v>
      </c>
      <c r="C2282" s="2">
        <v>537138.58</v>
      </c>
      <c r="D2282">
        <v>1</v>
      </c>
      <c r="E2282" s="65">
        <v>60.09</v>
      </c>
      <c r="F2282" s="8">
        <v>3.596</v>
      </c>
      <c r="G2282" s="66">
        <v>198.0950484</v>
      </c>
      <c r="H2282" s="8">
        <v>6.061</v>
      </c>
      <c r="J2282" s="26"/>
      <c r="K2282"/>
    </row>
    <row r="2283" spans="1:11">
      <c r="A2283">
        <v>16</v>
      </c>
      <c r="B2283" s="64">
        <v>41166</v>
      </c>
      <c r="C2283" s="2">
        <v>526525.16</v>
      </c>
      <c r="D2283">
        <v>0</v>
      </c>
      <c r="E2283" s="65">
        <v>56.69</v>
      </c>
      <c r="F2283" s="8">
        <v>3.659</v>
      </c>
      <c r="G2283" s="66">
        <v>198.1267184</v>
      </c>
      <c r="H2283" s="8">
        <v>6.061</v>
      </c>
      <c r="J2283" s="26"/>
      <c r="K2283"/>
    </row>
    <row r="2284" spans="1:11">
      <c r="A2284">
        <v>16</v>
      </c>
      <c r="B2284" s="64">
        <v>41173</v>
      </c>
      <c r="C2284" s="2">
        <v>509942.56</v>
      </c>
      <c r="D2284">
        <v>0</v>
      </c>
      <c r="E2284" s="65">
        <v>56.48</v>
      </c>
      <c r="F2284" s="8">
        <v>3.765</v>
      </c>
      <c r="G2284" s="66">
        <v>198.358523</v>
      </c>
      <c r="H2284" s="8">
        <v>6.061</v>
      </c>
      <c r="J2284" s="26"/>
      <c r="K2284"/>
    </row>
    <row r="2285" spans="1:11">
      <c r="A2285">
        <v>16</v>
      </c>
      <c r="B2285" s="64">
        <v>41180</v>
      </c>
      <c r="C2285" s="2">
        <v>469607.73</v>
      </c>
      <c r="D2285">
        <v>0</v>
      </c>
      <c r="E2285" s="65">
        <v>51.4</v>
      </c>
      <c r="F2285" s="8">
        <v>3.789</v>
      </c>
      <c r="G2285" s="66">
        <v>198.5903276</v>
      </c>
      <c r="H2285" s="8">
        <v>6.061</v>
      </c>
      <c r="J2285" s="26"/>
      <c r="K2285"/>
    </row>
    <row r="2286" spans="1:11">
      <c r="A2286">
        <v>16</v>
      </c>
      <c r="B2286" s="64">
        <v>41187</v>
      </c>
      <c r="C2286" s="2">
        <v>471281.68</v>
      </c>
      <c r="D2286">
        <v>0</v>
      </c>
      <c r="E2286" s="65">
        <v>50.46</v>
      </c>
      <c r="F2286" s="8">
        <v>3.779</v>
      </c>
      <c r="G2286" s="66">
        <v>198.8221322</v>
      </c>
      <c r="H2286" s="8">
        <v>5.847</v>
      </c>
      <c r="J2286" s="26"/>
      <c r="K2286"/>
    </row>
    <row r="2287" spans="1:11">
      <c r="A2287">
        <v>16</v>
      </c>
      <c r="B2287" s="64">
        <v>41194</v>
      </c>
      <c r="C2287" s="2">
        <v>491817.19</v>
      </c>
      <c r="D2287">
        <v>0</v>
      </c>
      <c r="E2287" s="65">
        <v>43.26</v>
      </c>
      <c r="F2287" s="8">
        <v>3.76</v>
      </c>
      <c r="G2287" s="66">
        <v>199.0539368</v>
      </c>
      <c r="H2287" s="8">
        <v>5.847</v>
      </c>
      <c r="J2287" s="26"/>
      <c r="K2287"/>
    </row>
    <row r="2288" spans="1:11">
      <c r="A2288">
        <v>16</v>
      </c>
      <c r="B2288" s="64">
        <v>41201</v>
      </c>
      <c r="C2288" s="2">
        <v>577198.97</v>
      </c>
      <c r="D2288">
        <v>0</v>
      </c>
      <c r="E2288" s="65">
        <v>40.59</v>
      </c>
      <c r="F2288" s="8">
        <v>3.75</v>
      </c>
      <c r="G2288" s="66">
        <v>199.1481963</v>
      </c>
      <c r="H2288" s="8">
        <v>5.847</v>
      </c>
      <c r="J2288" s="26"/>
      <c r="K2288"/>
    </row>
    <row r="2289" spans="1:11">
      <c r="A2289">
        <v>16</v>
      </c>
      <c r="B2289" s="64">
        <v>41208</v>
      </c>
      <c r="C2289" s="2">
        <v>475770.14</v>
      </c>
      <c r="D2289">
        <v>0</v>
      </c>
      <c r="E2289" s="65">
        <v>40.99</v>
      </c>
      <c r="F2289" s="8">
        <v>3.686</v>
      </c>
      <c r="G2289" s="66">
        <v>199.2195317</v>
      </c>
      <c r="H2289" s="8">
        <v>5.847</v>
      </c>
      <c r="J2289" s="26"/>
      <c r="K2289"/>
    </row>
    <row r="2290" spans="1:11">
      <c r="A2290">
        <v>17</v>
      </c>
      <c r="B2290" s="64">
        <v>40214</v>
      </c>
      <c r="C2290" s="2">
        <v>789036.02</v>
      </c>
      <c r="D2290">
        <v>0</v>
      </c>
      <c r="E2290" s="65">
        <v>23.11</v>
      </c>
      <c r="F2290" s="8">
        <v>2.666</v>
      </c>
      <c r="G2290" s="66">
        <v>126.4420645</v>
      </c>
      <c r="H2290" s="8">
        <v>6.548</v>
      </c>
      <c r="J2290" s="26"/>
      <c r="K2290"/>
    </row>
    <row r="2291" spans="1:11">
      <c r="A2291">
        <v>17</v>
      </c>
      <c r="B2291" s="64">
        <v>40221</v>
      </c>
      <c r="C2291" s="2">
        <v>841951.91</v>
      </c>
      <c r="D2291">
        <v>1</v>
      </c>
      <c r="E2291" s="65">
        <v>18.36</v>
      </c>
      <c r="F2291" s="8">
        <v>2.671</v>
      </c>
      <c r="G2291" s="66">
        <v>126.4962581</v>
      </c>
      <c r="H2291" s="8">
        <v>6.548</v>
      </c>
      <c r="J2291" s="26"/>
      <c r="K2291"/>
    </row>
    <row r="2292" spans="1:11">
      <c r="A2292">
        <v>17</v>
      </c>
      <c r="B2292" s="64">
        <v>40228</v>
      </c>
      <c r="C2292" s="2">
        <v>800714</v>
      </c>
      <c r="D2292">
        <v>0</v>
      </c>
      <c r="E2292" s="65">
        <v>25.06</v>
      </c>
      <c r="F2292" s="8">
        <v>2.654</v>
      </c>
      <c r="G2292" s="66">
        <v>126.5262857</v>
      </c>
      <c r="H2292" s="8">
        <v>6.548</v>
      </c>
      <c r="J2292" s="26"/>
      <c r="K2292"/>
    </row>
    <row r="2293" spans="1:11">
      <c r="A2293">
        <v>17</v>
      </c>
      <c r="B2293" s="64">
        <v>40235</v>
      </c>
      <c r="C2293" s="2">
        <v>749549.55</v>
      </c>
      <c r="D2293">
        <v>0</v>
      </c>
      <c r="E2293" s="65">
        <v>15.64</v>
      </c>
      <c r="F2293" s="8">
        <v>2.667</v>
      </c>
      <c r="G2293" s="66">
        <v>126.5522857</v>
      </c>
      <c r="H2293" s="8">
        <v>6.548</v>
      </c>
      <c r="J2293" s="26"/>
      <c r="K2293"/>
    </row>
    <row r="2294" spans="1:11">
      <c r="A2294">
        <v>17</v>
      </c>
      <c r="B2294" s="64">
        <v>40242</v>
      </c>
      <c r="C2294" s="2">
        <v>783300.05</v>
      </c>
      <c r="D2294">
        <v>0</v>
      </c>
      <c r="E2294" s="65">
        <v>31.58</v>
      </c>
      <c r="F2294" s="8">
        <v>2.681</v>
      </c>
      <c r="G2294" s="66">
        <v>126.5782857</v>
      </c>
      <c r="H2294" s="8">
        <v>6.548</v>
      </c>
      <c r="J2294" s="26"/>
      <c r="K2294"/>
    </row>
    <row r="2295" spans="1:11">
      <c r="A2295">
        <v>17</v>
      </c>
      <c r="B2295" s="64">
        <v>40249</v>
      </c>
      <c r="C2295" s="2">
        <v>763961.82</v>
      </c>
      <c r="D2295">
        <v>0</v>
      </c>
      <c r="E2295" s="65">
        <v>29.71</v>
      </c>
      <c r="F2295" s="8">
        <v>2.733</v>
      </c>
      <c r="G2295" s="66">
        <v>126.6042857</v>
      </c>
      <c r="H2295" s="8">
        <v>6.548</v>
      </c>
      <c r="J2295" s="26"/>
      <c r="K2295"/>
    </row>
    <row r="2296" spans="1:11">
      <c r="A2296">
        <v>17</v>
      </c>
      <c r="B2296" s="64">
        <v>40256</v>
      </c>
      <c r="C2296" s="2">
        <v>752034.52</v>
      </c>
      <c r="D2296">
        <v>0</v>
      </c>
      <c r="E2296" s="65">
        <v>33.96</v>
      </c>
      <c r="F2296" s="8">
        <v>2.782</v>
      </c>
      <c r="G2296" s="66">
        <v>126.6066452</v>
      </c>
      <c r="H2296" s="8">
        <v>6.548</v>
      </c>
      <c r="J2296" s="26"/>
      <c r="K2296"/>
    </row>
    <row r="2297" spans="1:11">
      <c r="A2297">
        <v>17</v>
      </c>
      <c r="B2297" s="64">
        <v>40263</v>
      </c>
      <c r="C2297" s="2">
        <v>793097.64</v>
      </c>
      <c r="D2297">
        <v>0</v>
      </c>
      <c r="E2297" s="65">
        <v>35.59</v>
      </c>
      <c r="F2297" s="8">
        <v>2.819</v>
      </c>
      <c r="G2297" s="66">
        <v>126.6050645</v>
      </c>
      <c r="H2297" s="8">
        <v>6.548</v>
      </c>
      <c r="J2297" s="26"/>
      <c r="K2297"/>
    </row>
    <row r="2298" spans="1:11">
      <c r="A2298">
        <v>17</v>
      </c>
      <c r="B2298" s="64">
        <v>40270</v>
      </c>
      <c r="C2298" s="2">
        <v>848521.17</v>
      </c>
      <c r="D2298">
        <v>0</v>
      </c>
      <c r="E2298" s="65">
        <v>36.94</v>
      </c>
      <c r="F2298" s="8">
        <v>2.842</v>
      </c>
      <c r="G2298" s="66">
        <v>126.6034839</v>
      </c>
      <c r="H2298" s="8">
        <v>6.635</v>
      </c>
      <c r="J2298" s="26"/>
      <c r="K2298"/>
    </row>
    <row r="2299" spans="1:11">
      <c r="A2299">
        <v>17</v>
      </c>
      <c r="B2299" s="64">
        <v>40277</v>
      </c>
      <c r="C2299" s="2">
        <v>770228.02</v>
      </c>
      <c r="D2299">
        <v>0</v>
      </c>
      <c r="E2299" s="65">
        <v>34.05</v>
      </c>
      <c r="F2299" s="8">
        <v>2.877</v>
      </c>
      <c r="G2299" s="66">
        <v>126.6019032</v>
      </c>
      <c r="H2299" s="8">
        <v>6.635</v>
      </c>
      <c r="J2299" s="26"/>
      <c r="K2299"/>
    </row>
    <row r="2300" spans="1:11">
      <c r="A2300">
        <v>17</v>
      </c>
      <c r="B2300" s="64">
        <v>40284</v>
      </c>
      <c r="C2300" s="2">
        <v>757738.76</v>
      </c>
      <c r="D2300">
        <v>0</v>
      </c>
      <c r="E2300" s="65">
        <v>45.22</v>
      </c>
      <c r="F2300" s="8">
        <v>2.915</v>
      </c>
      <c r="G2300" s="66">
        <v>126.5621</v>
      </c>
      <c r="H2300" s="8">
        <v>6.635</v>
      </c>
      <c r="J2300" s="26"/>
      <c r="K2300"/>
    </row>
    <row r="2301" spans="1:11">
      <c r="A2301">
        <v>17</v>
      </c>
      <c r="B2301" s="64">
        <v>40291</v>
      </c>
      <c r="C2301" s="2">
        <v>977790.83</v>
      </c>
      <c r="D2301">
        <v>0</v>
      </c>
      <c r="E2301" s="65">
        <v>52.25</v>
      </c>
      <c r="F2301" s="8">
        <v>2.936</v>
      </c>
      <c r="G2301" s="66">
        <v>126.4713333</v>
      </c>
      <c r="H2301" s="8">
        <v>6.635</v>
      </c>
      <c r="J2301" s="26"/>
      <c r="K2301"/>
    </row>
    <row r="2302" spans="1:11">
      <c r="A2302">
        <v>17</v>
      </c>
      <c r="B2302" s="64">
        <v>40298</v>
      </c>
      <c r="C2302" s="2">
        <v>807798.73</v>
      </c>
      <c r="D2302">
        <v>0</v>
      </c>
      <c r="E2302" s="65">
        <v>43.82</v>
      </c>
      <c r="F2302" s="8">
        <v>2.941</v>
      </c>
      <c r="G2302" s="66">
        <v>126.3805667</v>
      </c>
      <c r="H2302" s="8">
        <v>6.635</v>
      </c>
      <c r="J2302" s="26"/>
      <c r="K2302"/>
    </row>
    <row r="2303" spans="1:11">
      <c r="A2303">
        <v>17</v>
      </c>
      <c r="B2303" s="64">
        <v>40305</v>
      </c>
      <c r="C2303" s="2">
        <v>843848.65</v>
      </c>
      <c r="D2303">
        <v>0</v>
      </c>
      <c r="E2303" s="65">
        <v>40.26</v>
      </c>
      <c r="F2303" s="8">
        <v>2.948</v>
      </c>
      <c r="G2303" s="66">
        <v>126.2898</v>
      </c>
      <c r="H2303" s="8">
        <v>6.635</v>
      </c>
      <c r="J2303" s="26"/>
      <c r="K2303"/>
    </row>
    <row r="2304" spans="1:11">
      <c r="A2304">
        <v>17</v>
      </c>
      <c r="B2304" s="64">
        <v>40312</v>
      </c>
      <c r="C2304" s="2">
        <v>813756.09</v>
      </c>
      <c r="D2304">
        <v>0</v>
      </c>
      <c r="E2304" s="65">
        <v>47.28</v>
      </c>
      <c r="F2304" s="8">
        <v>2.962</v>
      </c>
      <c r="G2304" s="66">
        <v>126.2085484</v>
      </c>
      <c r="H2304" s="8">
        <v>6.635</v>
      </c>
      <c r="J2304" s="26"/>
      <c r="K2304"/>
    </row>
    <row r="2305" spans="1:11">
      <c r="A2305">
        <v>17</v>
      </c>
      <c r="B2305" s="64">
        <v>40319</v>
      </c>
      <c r="C2305" s="2">
        <v>826626.5</v>
      </c>
      <c r="D2305">
        <v>0</v>
      </c>
      <c r="E2305" s="65">
        <v>53.94</v>
      </c>
      <c r="F2305" s="8">
        <v>2.95</v>
      </c>
      <c r="G2305" s="66">
        <v>126.1843871</v>
      </c>
      <c r="H2305" s="8">
        <v>6.635</v>
      </c>
      <c r="J2305" s="26"/>
      <c r="K2305"/>
    </row>
    <row r="2306" spans="1:11">
      <c r="A2306">
        <v>17</v>
      </c>
      <c r="B2306" s="64">
        <v>40326</v>
      </c>
      <c r="C2306" s="2">
        <v>872817.62</v>
      </c>
      <c r="D2306">
        <v>0</v>
      </c>
      <c r="E2306" s="65">
        <v>48.19</v>
      </c>
      <c r="F2306" s="8">
        <v>2.908</v>
      </c>
      <c r="G2306" s="66">
        <v>126.1602258</v>
      </c>
      <c r="H2306" s="8">
        <v>6.635</v>
      </c>
      <c r="J2306" s="26"/>
      <c r="K2306"/>
    </row>
    <row r="2307" spans="1:11">
      <c r="A2307">
        <v>17</v>
      </c>
      <c r="B2307" s="64">
        <v>40333</v>
      </c>
      <c r="C2307" s="2">
        <v>876902.87</v>
      </c>
      <c r="D2307">
        <v>0</v>
      </c>
      <c r="E2307" s="65">
        <v>53.79</v>
      </c>
      <c r="F2307" s="8">
        <v>2.871</v>
      </c>
      <c r="G2307" s="66">
        <v>126.1360645</v>
      </c>
      <c r="H2307" s="8">
        <v>6.635</v>
      </c>
      <c r="J2307" s="26"/>
      <c r="K2307"/>
    </row>
    <row r="2308" spans="1:11">
      <c r="A2308">
        <v>17</v>
      </c>
      <c r="B2308" s="64">
        <v>40340</v>
      </c>
      <c r="C2308" s="2">
        <v>845252.21</v>
      </c>
      <c r="D2308">
        <v>0</v>
      </c>
      <c r="E2308" s="65">
        <v>57.14</v>
      </c>
      <c r="F2308" s="8">
        <v>2.841</v>
      </c>
      <c r="G2308" s="66">
        <v>126.1119032</v>
      </c>
      <c r="H2308" s="8">
        <v>6.635</v>
      </c>
      <c r="J2308" s="26"/>
      <c r="K2308"/>
    </row>
    <row r="2309" spans="1:11">
      <c r="A2309">
        <v>17</v>
      </c>
      <c r="B2309" s="64">
        <v>40347</v>
      </c>
      <c r="C2309" s="2">
        <v>877996.27</v>
      </c>
      <c r="D2309">
        <v>0</v>
      </c>
      <c r="E2309" s="65">
        <v>54.94</v>
      </c>
      <c r="F2309" s="8">
        <v>2.819</v>
      </c>
      <c r="G2309" s="66">
        <v>126.114</v>
      </c>
      <c r="H2309" s="8">
        <v>6.635</v>
      </c>
      <c r="J2309" s="26"/>
      <c r="K2309"/>
    </row>
    <row r="2310" spans="1:11">
      <c r="A2310">
        <v>17</v>
      </c>
      <c r="B2310" s="64">
        <v>40354</v>
      </c>
      <c r="C2310" s="2">
        <v>893995.44</v>
      </c>
      <c r="D2310">
        <v>0</v>
      </c>
      <c r="E2310" s="65">
        <v>62.64</v>
      </c>
      <c r="F2310" s="8">
        <v>2.82</v>
      </c>
      <c r="G2310" s="66">
        <v>126.1266</v>
      </c>
      <c r="H2310" s="8">
        <v>6.635</v>
      </c>
      <c r="J2310" s="26"/>
      <c r="K2310"/>
    </row>
    <row r="2311" spans="1:11">
      <c r="A2311">
        <v>17</v>
      </c>
      <c r="B2311" s="64">
        <v>40361</v>
      </c>
      <c r="C2311" s="2">
        <v>958875.37</v>
      </c>
      <c r="D2311">
        <v>0</v>
      </c>
      <c r="E2311" s="65">
        <v>68.98</v>
      </c>
      <c r="F2311" s="8">
        <v>2.814</v>
      </c>
      <c r="G2311" s="66">
        <v>126.1392</v>
      </c>
      <c r="H2311" s="8">
        <v>6.697</v>
      </c>
      <c r="J2311" s="26"/>
      <c r="K2311"/>
    </row>
    <row r="2312" spans="1:11">
      <c r="A2312">
        <v>17</v>
      </c>
      <c r="B2312" s="64">
        <v>40368</v>
      </c>
      <c r="C2312" s="2">
        <v>836915.92</v>
      </c>
      <c r="D2312">
        <v>0</v>
      </c>
      <c r="E2312" s="65">
        <v>62.41</v>
      </c>
      <c r="F2312" s="8">
        <v>2.802</v>
      </c>
      <c r="G2312" s="66">
        <v>126.1518</v>
      </c>
      <c r="H2312" s="8">
        <v>6.697</v>
      </c>
      <c r="J2312" s="26"/>
      <c r="K2312"/>
    </row>
    <row r="2313" spans="1:11">
      <c r="A2313">
        <v>17</v>
      </c>
      <c r="B2313" s="64">
        <v>40375</v>
      </c>
      <c r="C2313" s="2">
        <v>876591.41</v>
      </c>
      <c r="D2313">
        <v>0</v>
      </c>
      <c r="E2313" s="65">
        <v>65.66</v>
      </c>
      <c r="F2313" s="8">
        <v>2.791</v>
      </c>
      <c r="G2313" s="66">
        <v>126.1498065</v>
      </c>
      <c r="H2313" s="8">
        <v>6.697</v>
      </c>
      <c r="J2313" s="26"/>
      <c r="K2313"/>
    </row>
    <row r="2314" spans="1:11">
      <c r="A2314">
        <v>17</v>
      </c>
      <c r="B2314" s="64">
        <v>40382</v>
      </c>
      <c r="C2314" s="2">
        <v>893504.87</v>
      </c>
      <c r="D2314">
        <v>0</v>
      </c>
      <c r="E2314" s="65">
        <v>69.66</v>
      </c>
      <c r="F2314" s="8">
        <v>2.797</v>
      </c>
      <c r="G2314" s="66">
        <v>126.1283548</v>
      </c>
      <c r="H2314" s="8">
        <v>6.697</v>
      </c>
      <c r="J2314" s="26"/>
      <c r="K2314"/>
    </row>
    <row r="2315" spans="1:11">
      <c r="A2315">
        <v>17</v>
      </c>
      <c r="B2315" s="64">
        <v>40389</v>
      </c>
      <c r="C2315" s="2">
        <v>833517.19</v>
      </c>
      <c r="D2315">
        <v>0</v>
      </c>
      <c r="E2315" s="65">
        <v>69.96</v>
      </c>
      <c r="F2315" s="8">
        <v>2.797</v>
      </c>
      <c r="G2315" s="66">
        <v>126.1069032</v>
      </c>
      <c r="H2315" s="8">
        <v>6.697</v>
      </c>
      <c r="J2315" s="26"/>
      <c r="K2315"/>
    </row>
    <row r="2316" spans="1:11">
      <c r="A2316">
        <v>17</v>
      </c>
      <c r="B2316" s="64">
        <v>40396</v>
      </c>
      <c r="C2316" s="2">
        <v>795301.17</v>
      </c>
      <c r="D2316">
        <v>0</v>
      </c>
      <c r="E2316" s="65">
        <v>70.53</v>
      </c>
      <c r="F2316" s="8">
        <v>2.802</v>
      </c>
      <c r="G2316" s="66">
        <v>126.0854516</v>
      </c>
      <c r="H2316" s="8">
        <v>6.697</v>
      </c>
      <c r="J2316" s="26"/>
      <c r="K2316"/>
    </row>
    <row r="2317" spans="1:11">
      <c r="A2317">
        <v>17</v>
      </c>
      <c r="B2317" s="64">
        <v>40403</v>
      </c>
      <c r="C2317" s="2">
        <v>759995.18</v>
      </c>
      <c r="D2317">
        <v>0</v>
      </c>
      <c r="E2317" s="65">
        <v>65.17</v>
      </c>
      <c r="F2317" s="8">
        <v>2.837</v>
      </c>
      <c r="G2317" s="66">
        <v>126.064</v>
      </c>
      <c r="H2317" s="8">
        <v>6.697</v>
      </c>
      <c r="J2317" s="26"/>
      <c r="K2317"/>
    </row>
    <row r="2318" spans="1:11">
      <c r="A2318">
        <v>17</v>
      </c>
      <c r="B2318" s="64">
        <v>40410</v>
      </c>
      <c r="C2318" s="2">
        <v>783929.7</v>
      </c>
      <c r="D2318">
        <v>0</v>
      </c>
      <c r="E2318" s="65">
        <v>67.04</v>
      </c>
      <c r="F2318" s="8">
        <v>2.85</v>
      </c>
      <c r="G2318" s="66">
        <v>126.0766452</v>
      </c>
      <c r="H2318" s="8">
        <v>6.697</v>
      </c>
      <c r="J2318" s="26"/>
      <c r="K2318"/>
    </row>
    <row r="2319" spans="1:11">
      <c r="A2319">
        <v>17</v>
      </c>
      <c r="B2319" s="64">
        <v>40417</v>
      </c>
      <c r="C2319" s="2">
        <v>802583.89</v>
      </c>
      <c r="D2319">
        <v>0</v>
      </c>
      <c r="E2319" s="65">
        <v>65.03</v>
      </c>
      <c r="F2319" s="8">
        <v>2.854</v>
      </c>
      <c r="G2319" s="66">
        <v>126.0892903</v>
      </c>
      <c r="H2319" s="8">
        <v>6.697</v>
      </c>
      <c r="J2319" s="26"/>
      <c r="K2319"/>
    </row>
    <row r="2320" spans="1:11">
      <c r="A2320">
        <v>17</v>
      </c>
      <c r="B2320" s="64">
        <v>40424</v>
      </c>
      <c r="C2320" s="2">
        <v>834373.73</v>
      </c>
      <c r="D2320">
        <v>0</v>
      </c>
      <c r="E2320" s="65">
        <v>57.86</v>
      </c>
      <c r="F2320" s="8">
        <v>2.868</v>
      </c>
      <c r="G2320" s="66">
        <v>126.1019355</v>
      </c>
      <c r="H2320" s="8">
        <v>6.697</v>
      </c>
      <c r="J2320" s="26"/>
      <c r="K2320"/>
    </row>
    <row r="2321" spans="1:11">
      <c r="A2321">
        <v>17</v>
      </c>
      <c r="B2321" s="64">
        <v>40431</v>
      </c>
      <c r="C2321" s="2">
        <v>1200888.28</v>
      </c>
      <c r="D2321">
        <v>1</v>
      </c>
      <c r="E2321" s="65">
        <v>56.28</v>
      </c>
      <c r="F2321" s="8">
        <v>2.87</v>
      </c>
      <c r="G2321" s="66">
        <v>126.1145806</v>
      </c>
      <c r="H2321" s="8">
        <v>6.697</v>
      </c>
      <c r="J2321" s="26"/>
      <c r="K2321"/>
    </row>
    <row r="2322" spans="1:11">
      <c r="A2322">
        <v>17</v>
      </c>
      <c r="B2322" s="64">
        <v>40438</v>
      </c>
      <c r="C2322" s="2">
        <v>871264.25</v>
      </c>
      <c r="D2322">
        <v>0</v>
      </c>
      <c r="E2322" s="65">
        <v>58.53</v>
      </c>
      <c r="F2322" s="8">
        <v>2.875</v>
      </c>
      <c r="G2322" s="66">
        <v>126.1454667</v>
      </c>
      <c r="H2322" s="8">
        <v>6.697</v>
      </c>
      <c r="J2322" s="26"/>
      <c r="K2322"/>
    </row>
    <row r="2323" spans="1:11">
      <c r="A2323">
        <v>17</v>
      </c>
      <c r="B2323" s="64">
        <v>40445</v>
      </c>
      <c r="C2323" s="2">
        <v>852876.29</v>
      </c>
      <c r="D2323">
        <v>0</v>
      </c>
      <c r="E2323" s="65">
        <v>58.39</v>
      </c>
      <c r="F2323" s="8">
        <v>2.872</v>
      </c>
      <c r="G2323" s="66">
        <v>126.1900333</v>
      </c>
      <c r="H2323" s="8">
        <v>6.697</v>
      </c>
      <c r="J2323" s="26"/>
      <c r="K2323"/>
    </row>
    <row r="2324" spans="1:11">
      <c r="A2324">
        <v>17</v>
      </c>
      <c r="B2324" s="64">
        <v>40452</v>
      </c>
      <c r="C2324" s="2">
        <v>829207.27</v>
      </c>
      <c r="D2324">
        <v>0</v>
      </c>
      <c r="E2324" s="65">
        <v>60.07</v>
      </c>
      <c r="F2324" s="8">
        <v>2.853</v>
      </c>
      <c r="G2324" s="66">
        <v>126.2346</v>
      </c>
      <c r="H2324" s="8">
        <v>6.885</v>
      </c>
      <c r="J2324" s="26"/>
      <c r="K2324"/>
    </row>
    <row r="2325" spans="1:11">
      <c r="A2325">
        <v>17</v>
      </c>
      <c r="B2325" s="64">
        <v>40459</v>
      </c>
      <c r="C2325" s="2">
        <v>827738.06</v>
      </c>
      <c r="D2325">
        <v>0</v>
      </c>
      <c r="E2325" s="65">
        <v>58.06</v>
      </c>
      <c r="F2325" s="8">
        <v>2.841</v>
      </c>
      <c r="G2325" s="66">
        <v>126.2791667</v>
      </c>
      <c r="H2325" s="8">
        <v>6.885</v>
      </c>
      <c r="J2325" s="26"/>
      <c r="K2325"/>
    </row>
    <row r="2326" spans="1:11">
      <c r="A2326">
        <v>17</v>
      </c>
      <c r="B2326" s="64">
        <v>40466</v>
      </c>
      <c r="C2326" s="2">
        <v>838297.32</v>
      </c>
      <c r="D2326">
        <v>0</v>
      </c>
      <c r="E2326" s="65">
        <v>47.35</v>
      </c>
      <c r="F2326" s="8">
        <v>2.845</v>
      </c>
      <c r="G2326" s="66">
        <v>126.3266774</v>
      </c>
      <c r="H2326" s="8">
        <v>6.885</v>
      </c>
      <c r="J2326" s="26"/>
      <c r="K2326"/>
    </row>
    <row r="2327" spans="1:11">
      <c r="A2327">
        <v>17</v>
      </c>
      <c r="B2327" s="64">
        <v>40473</v>
      </c>
      <c r="C2327" s="2">
        <v>815093.76</v>
      </c>
      <c r="D2327">
        <v>0</v>
      </c>
      <c r="E2327" s="65">
        <v>47.95</v>
      </c>
      <c r="F2327" s="8">
        <v>2.849</v>
      </c>
      <c r="G2327" s="66">
        <v>126.3815484</v>
      </c>
      <c r="H2327" s="8">
        <v>6.885</v>
      </c>
      <c r="J2327" s="26"/>
      <c r="K2327"/>
    </row>
    <row r="2328" spans="1:11">
      <c r="A2328">
        <v>17</v>
      </c>
      <c r="B2328" s="64">
        <v>40480</v>
      </c>
      <c r="C2328" s="2">
        <v>861941.25</v>
      </c>
      <c r="D2328">
        <v>0</v>
      </c>
      <c r="E2328" s="65">
        <v>39.87</v>
      </c>
      <c r="F2328" s="8">
        <v>2.841</v>
      </c>
      <c r="G2328" s="66">
        <v>126.4364194</v>
      </c>
      <c r="H2328" s="8">
        <v>6.885</v>
      </c>
      <c r="J2328" s="26"/>
      <c r="K2328"/>
    </row>
    <row r="2329" spans="1:11">
      <c r="A2329">
        <v>17</v>
      </c>
      <c r="B2329" s="64">
        <v>40487</v>
      </c>
      <c r="C2329" s="2">
        <v>818434.49</v>
      </c>
      <c r="D2329">
        <v>0</v>
      </c>
      <c r="E2329" s="65">
        <v>42.54</v>
      </c>
      <c r="F2329" s="8">
        <v>2.831</v>
      </c>
      <c r="G2329" s="66">
        <v>126.4912903</v>
      </c>
      <c r="H2329" s="8">
        <v>6.885</v>
      </c>
      <c r="J2329" s="26"/>
      <c r="K2329"/>
    </row>
    <row r="2330" spans="1:11">
      <c r="A2330">
        <v>17</v>
      </c>
      <c r="B2330" s="64">
        <v>40494</v>
      </c>
      <c r="C2330" s="2">
        <v>855459.96</v>
      </c>
      <c r="D2330">
        <v>0</v>
      </c>
      <c r="E2330" s="65">
        <v>36.32</v>
      </c>
      <c r="F2330" s="8">
        <v>2.831</v>
      </c>
      <c r="G2330" s="66">
        <v>126.5461613</v>
      </c>
      <c r="H2330" s="8">
        <v>6.885</v>
      </c>
      <c r="J2330" s="26"/>
      <c r="K2330"/>
    </row>
    <row r="2331" spans="1:11">
      <c r="A2331">
        <v>17</v>
      </c>
      <c r="B2331" s="64">
        <v>40501</v>
      </c>
      <c r="C2331" s="2">
        <v>782252.57</v>
      </c>
      <c r="D2331">
        <v>0</v>
      </c>
      <c r="E2331" s="65">
        <v>36.31</v>
      </c>
      <c r="F2331" s="8">
        <v>2.842</v>
      </c>
      <c r="G2331" s="66">
        <v>126.6072</v>
      </c>
      <c r="H2331" s="8">
        <v>6.885</v>
      </c>
      <c r="J2331" s="26"/>
      <c r="K2331"/>
    </row>
    <row r="2332" spans="1:11">
      <c r="A2332">
        <v>17</v>
      </c>
      <c r="B2332" s="64">
        <v>40508</v>
      </c>
      <c r="C2332" s="2">
        <v>1005448.76</v>
      </c>
      <c r="D2332">
        <v>1</v>
      </c>
      <c r="E2332" s="65">
        <v>19.03</v>
      </c>
      <c r="F2332" s="8">
        <v>2.83</v>
      </c>
      <c r="G2332" s="66">
        <v>126.6692667</v>
      </c>
      <c r="H2332" s="8">
        <v>6.885</v>
      </c>
      <c r="J2332" s="26"/>
      <c r="K2332"/>
    </row>
    <row r="2333" spans="1:11">
      <c r="A2333">
        <v>17</v>
      </c>
      <c r="B2333" s="64">
        <v>40515</v>
      </c>
      <c r="C2333" s="2">
        <v>926573.81</v>
      </c>
      <c r="D2333">
        <v>0</v>
      </c>
      <c r="E2333" s="65">
        <v>22.47</v>
      </c>
      <c r="F2333" s="8">
        <v>2.812</v>
      </c>
      <c r="G2333" s="66">
        <v>126.7313333</v>
      </c>
      <c r="H2333" s="8">
        <v>6.885</v>
      </c>
      <c r="J2333" s="26"/>
      <c r="K2333"/>
    </row>
    <row r="2334" spans="1:11">
      <c r="A2334">
        <v>17</v>
      </c>
      <c r="B2334" s="64">
        <v>40522</v>
      </c>
      <c r="C2334" s="2">
        <v>962475.55</v>
      </c>
      <c r="D2334">
        <v>0</v>
      </c>
      <c r="E2334" s="65">
        <v>31.64</v>
      </c>
      <c r="F2334" s="8">
        <v>2.817</v>
      </c>
      <c r="G2334" s="66">
        <v>126.7934</v>
      </c>
      <c r="H2334" s="8">
        <v>6.885</v>
      </c>
      <c r="J2334" s="26"/>
      <c r="K2334"/>
    </row>
    <row r="2335" spans="1:11">
      <c r="A2335">
        <v>17</v>
      </c>
      <c r="B2335" s="64">
        <v>40529</v>
      </c>
      <c r="C2335" s="2">
        <v>1049372.38</v>
      </c>
      <c r="D2335">
        <v>0</v>
      </c>
      <c r="E2335" s="65">
        <v>25.13</v>
      </c>
      <c r="F2335" s="8">
        <v>2.842</v>
      </c>
      <c r="G2335" s="66">
        <v>126.8794839</v>
      </c>
      <c r="H2335" s="8">
        <v>6.885</v>
      </c>
      <c r="J2335" s="26"/>
      <c r="K2335"/>
    </row>
    <row r="2336" spans="1:11">
      <c r="A2336">
        <v>17</v>
      </c>
      <c r="B2336" s="64">
        <v>40536</v>
      </c>
      <c r="C2336" s="2">
        <v>1309226.79</v>
      </c>
      <c r="D2336">
        <v>0</v>
      </c>
      <c r="E2336" s="65">
        <v>26.58</v>
      </c>
      <c r="F2336" s="8">
        <v>2.846</v>
      </c>
      <c r="G2336" s="66">
        <v>126.9835806</v>
      </c>
      <c r="H2336" s="8">
        <v>6.885</v>
      </c>
      <c r="J2336" s="26"/>
      <c r="K2336"/>
    </row>
    <row r="2337" spans="1:11">
      <c r="A2337">
        <v>17</v>
      </c>
      <c r="B2337" s="64">
        <v>40543</v>
      </c>
      <c r="C2337" s="2">
        <v>635862.55</v>
      </c>
      <c r="D2337">
        <v>1</v>
      </c>
      <c r="E2337" s="65">
        <v>20.79</v>
      </c>
      <c r="F2337" s="8">
        <v>2.868</v>
      </c>
      <c r="G2337" s="66">
        <v>127.0876774</v>
      </c>
      <c r="H2337" s="8">
        <v>6.885</v>
      </c>
      <c r="J2337" s="26"/>
      <c r="K2337"/>
    </row>
    <row r="2338" spans="1:11">
      <c r="A2338">
        <v>17</v>
      </c>
      <c r="B2338" s="64">
        <v>40550</v>
      </c>
      <c r="C2338" s="2">
        <v>1083071.14</v>
      </c>
      <c r="D2338">
        <v>0</v>
      </c>
      <c r="E2338" s="65">
        <v>6.23</v>
      </c>
      <c r="F2338" s="8">
        <v>2.891</v>
      </c>
      <c r="G2338" s="66">
        <v>127.1917742</v>
      </c>
      <c r="H2338" s="8">
        <v>6.866</v>
      </c>
      <c r="J2338" s="26"/>
      <c r="K2338"/>
    </row>
    <row r="2339" spans="1:11">
      <c r="A2339">
        <v>17</v>
      </c>
      <c r="B2339" s="64">
        <v>40557</v>
      </c>
      <c r="C2339" s="2">
        <v>758510.36</v>
      </c>
      <c r="D2339">
        <v>0</v>
      </c>
      <c r="E2339" s="65">
        <v>16.57</v>
      </c>
      <c r="F2339" s="8">
        <v>2.903</v>
      </c>
      <c r="G2339" s="66">
        <v>127.3009355</v>
      </c>
      <c r="H2339" s="8">
        <v>6.866</v>
      </c>
      <c r="J2339" s="26"/>
      <c r="K2339"/>
    </row>
    <row r="2340" spans="1:11">
      <c r="A2340">
        <v>17</v>
      </c>
      <c r="B2340" s="64">
        <v>40564</v>
      </c>
      <c r="C2340" s="2">
        <v>755804.37</v>
      </c>
      <c r="D2340">
        <v>0</v>
      </c>
      <c r="E2340" s="65">
        <v>26.62</v>
      </c>
      <c r="F2340" s="8">
        <v>2.934</v>
      </c>
      <c r="G2340" s="66">
        <v>127.4404839</v>
      </c>
      <c r="H2340" s="8">
        <v>6.866</v>
      </c>
      <c r="J2340" s="26"/>
      <c r="K2340"/>
    </row>
    <row r="2341" spans="1:11">
      <c r="A2341">
        <v>17</v>
      </c>
      <c r="B2341" s="64">
        <v>40571</v>
      </c>
      <c r="C2341" s="2">
        <v>736335.69</v>
      </c>
      <c r="D2341">
        <v>0</v>
      </c>
      <c r="E2341" s="65">
        <v>22.16</v>
      </c>
      <c r="F2341" s="8">
        <v>2.96</v>
      </c>
      <c r="G2341" s="66">
        <v>127.5800323</v>
      </c>
      <c r="H2341" s="8">
        <v>6.866</v>
      </c>
      <c r="J2341" s="26"/>
      <c r="K2341"/>
    </row>
    <row r="2342" spans="1:11">
      <c r="A2342">
        <v>17</v>
      </c>
      <c r="B2342" s="64">
        <v>40578</v>
      </c>
      <c r="C2342" s="2">
        <v>816603.05</v>
      </c>
      <c r="D2342">
        <v>0</v>
      </c>
      <c r="E2342" s="65">
        <v>11.29</v>
      </c>
      <c r="F2342" s="8">
        <v>2.974</v>
      </c>
      <c r="G2342" s="66">
        <v>127.7195806</v>
      </c>
      <c r="H2342" s="8">
        <v>6.866</v>
      </c>
      <c r="J2342" s="26"/>
      <c r="K2342"/>
    </row>
    <row r="2343" spans="1:11">
      <c r="A2343">
        <v>17</v>
      </c>
      <c r="B2343" s="64">
        <v>40585</v>
      </c>
      <c r="C2343" s="2">
        <v>813211.46</v>
      </c>
      <c r="D2343">
        <v>1</v>
      </c>
      <c r="E2343" s="65">
        <v>14.19</v>
      </c>
      <c r="F2343" s="8">
        <v>3.034</v>
      </c>
      <c r="G2343" s="66">
        <v>127.859129</v>
      </c>
      <c r="H2343" s="8">
        <v>6.866</v>
      </c>
      <c r="J2343" s="26"/>
      <c r="K2343"/>
    </row>
    <row r="2344" spans="1:11">
      <c r="A2344">
        <v>17</v>
      </c>
      <c r="B2344" s="64">
        <v>40592</v>
      </c>
      <c r="C2344" s="2">
        <v>860962.91</v>
      </c>
      <c r="D2344">
        <v>0</v>
      </c>
      <c r="E2344" s="65">
        <v>26.86</v>
      </c>
      <c r="F2344" s="8">
        <v>3.062</v>
      </c>
      <c r="G2344" s="66">
        <v>127.99525</v>
      </c>
      <c r="H2344" s="8">
        <v>6.866</v>
      </c>
      <c r="J2344" s="26"/>
      <c r="K2344"/>
    </row>
    <row r="2345" spans="1:11">
      <c r="A2345">
        <v>17</v>
      </c>
      <c r="B2345" s="64">
        <v>40599</v>
      </c>
      <c r="C2345" s="2">
        <v>767256.53</v>
      </c>
      <c r="D2345">
        <v>0</v>
      </c>
      <c r="E2345" s="65">
        <v>24.36</v>
      </c>
      <c r="F2345" s="8">
        <v>3.12</v>
      </c>
      <c r="G2345" s="66">
        <v>128.13</v>
      </c>
      <c r="H2345" s="8">
        <v>6.866</v>
      </c>
      <c r="J2345" s="26"/>
      <c r="K2345"/>
    </row>
    <row r="2346" spans="1:11">
      <c r="A2346">
        <v>17</v>
      </c>
      <c r="B2346" s="64">
        <v>40606</v>
      </c>
      <c r="C2346" s="2">
        <v>816138.33</v>
      </c>
      <c r="D2346">
        <v>0</v>
      </c>
      <c r="E2346" s="65">
        <v>24.21</v>
      </c>
      <c r="F2346" s="8">
        <v>3.23</v>
      </c>
      <c r="G2346" s="66">
        <v>128.26475</v>
      </c>
      <c r="H2346" s="8">
        <v>6.866</v>
      </c>
      <c r="J2346" s="26"/>
      <c r="K2346"/>
    </row>
    <row r="2347" spans="1:11">
      <c r="A2347">
        <v>17</v>
      </c>
      <c r="B2347" s="64">
        <v>40613</v>
      </c>
      <c r="C2347" s="2">
        <v>779602.36</v>
      </c>
      <c r="D2347">
        <v>0</v>
      </c>
      <c r="E2347" s="65">
        <v>32.42</v>
      </c>
      <c r="F2347" s="8">
        <v>3.346</v>
      </c>
      <c r="G2347" s="66">
        <v>128.3995</v>
      </c>
      <c r="H2347" s="8">
        <v>6.866</v>
      </c>
      <c r="J2347" s="26"/>
      <c r="K2347"/>
    </row>
    <row r="2348" spans="1:11">
      <c r="A2348">
        <v>17</v>
      </c>
      <c r="B2348" s="64">
        <v>40620</v>
      </c>
      <c r="C2348" s="2">
        <v>778436.81</v>
      </c>
      <c r="D2348">
        <v>0</v>
      </c>
      <c r="E2348" s="65">
        <v>34.48</v>
      </c>
      <c r="F2348" s="8">
        <v>3.407</v>
      </c>
      <c r="G2348" s="66">
        <v>128.5121935</v>
      </c>
      <c r="H2348" s="8">
        <v>6.866</v>
      </c>
      <c r="J2348" s="26"/>
      <c r="K2348"/>
    </row>
    <row r="2349" spans="1:11">
      <c r="A2349">
        <v>17</v>
      </c>
      <c r="B2349" s="64">
        <v>40627</v>
      </c>
      <c r="C2349" s="2">
        <v>781267.76</v>
      </c>
      <c r="D2349">
        <v>0</v>
      </c>
      <c r="E2349" s="65">
        <v>36.71</v>
      </c>
      <c r="F2349" s="8">
        <v>3.435</v>
      </c>
      <c r="G2349" s="66">
        <v>128.6160645</v>
      </c>
      <c r="H2349" s="8">
        <v>6.866</v>
      </c>
      <c r="J2349" s="26"/>
      <c r="K2349"/>
    </row>
    <row r="2350" spans="1:11">
      <c r="A2350">
        <v>17</v>
      </c>
      <c r="B2350" s="64">
        <v>40634</v>
      </c>
      <c r="C2350" s="2">
        <v>795859.23</v>
      </c>
      <c r="D2350">
        <v>0</v>
      </c>
      <c r="E2350" s="65">
        <v>39.38</v>
      </c>
      <c r="F2350" s="8">
        <v>3.487</v>
      </c>
      <c r="G2350" s="66">
        <v>128.7199355</v>
      </c>
      <c r="H2350" s="8">
        <v>6.774</v>
      </c>
      <c r="J2350" s="26"/>
      <c r="K2350"/>
    </row>
    <row r="2351" spans="1:11">
      <c r="A2351">
        <v>17</v>
      </c>
      <c r="B2351" s="64">
        <v>40641</v>
      </c>
      <c r="C2351" s="2">
        <v>811855.72</v>
      </c>
      <c r="D2351">
        <v>0</v>
      </c>
      <c r="E2351" s="65">
        <v>39.16</v>
      </c>
      <c r="F2351" s="8">
        <v>3.547</v>
      </c>
      <c r="G2351" s="66">
        <v>128.8238065</v>
      </c>
      <c r="H2351" s="8">
        <v>6.774</v>
      </c>
      <c r="J2351" s="26"/>
      <c r="K2351"/>
    </row>
    <row r="2352" spans="1:11">
      <c r="A2352">
        <v>17</v>
      </c>
      <c r="B2352" s="64">
        <v>40648</v>
      </c>
      <c r="C2352" s="2">
        <v>825283.43</v>
      </c>
      <c r="D2352">
        <v>0</v>
      </c>
      <c r="E2352" s="65">
        <v>39.98</v>
      </c>
      <c r="F2352" s="8">
        <v>3.616</v>
      </c>
      <c r="G2352" s="66">
        <v>128.9107333</v>
      </c>
      <c r="H2352" s="8">
        <v>6.774</v>
      </c>
      <c r="J2352" s="26"/>
      <c r="K2352"/>
    </row>
    <row r="2353" spans="1:11">
      <c r="A2353">
        <v>17</v>
      </c>
      <c r="B2353" s="64">
        <v>40655</v>
      </c>
      <c r="C2353" s="2">
        <v>1060770.11</v>
      </c>
      <c r="D2353">
        <v>0</v>
      </c>
      <c r="E2353" s="65">
        <v>42.24</v>
      </c>
      <c r="F2353" s="8">
        <v>3.655</v>
      </c>
      <c r="G2353" s="66">
        <v>128.9553</v>
      </c>
      <c r="H2353" s="8">
        <v>6.774</v>
      </c>
      <c r="J2353" s="26"/>
      <c r="K2353"/>
    </row>
    <row r="2354" spans="1:11">
      <c r="A2354">
        <v>17</v>
      </c>
      <c r="B2354" s="64">
        <v>40662</v>
      </c>
      <c r="C2354" s="2">
        <v>806979.15</v>
      </c>
      <c r="D2354">
        <v>0</v>
      </c>
      <c r="E2354" s="65">
        <v>40.14</v>
      </c>
      <c r="F2354" s="8">
        <v>3.683</v>
      </c>
      <c r="G2354" s="66">
        <v>128.9998667</v>
      </c>
      <c r="H2354" s="8">
        <v>6.774</v>
      </c>
      <c r="J2354" s="26"/>
      <c r="K2354"/>
    </row>
    <row r="2355" spans="1:11">
      <c r="A2355">
        <v>17</v>
      </c>
      <c r="B2355" s="64">
        <v>40669</v>
      </c>
      <c r="C2355" s="2">
        <v>882132.28</v>
      </c>
      <c r="D2355">
        <v>0</v>
      </c>
      <c r="E2355" s="65">
        <v>45.66</v>
      </c>
      <c r="F2355" s="8">
        <v>3.744</v>
      </c>
      <c r="G2355" s="66">
        <v>129.0444333</v>
      </c>
      <c r="H2355" s="8">
        <v>6.774</v>
      </c>
      <c r="J2355" s="26"/>
      <c r="K2355"/>
    </row>
    <row r="2356" spans="1:11">
      <c r="A2356">
        <v>17</v>
      </c>
      <c r="B2356" s="64">
        <v>40676</v>
      </c>
      <c r="C2356" s="2">
        <v>870625.49</v>
      </c>
      <c r="D2356">
        <v>0</v>
      </c>
      <c r="E2356" s="65">
        <v>49.26</v>
      </c>
      <c r="F2356" s="8">
        <v>3.77</v>
      </c>
      <c r="G2356" s="66">
        <v>129.089</v>
      </c>
      <c r="H2356" s="8">
        <v>6.774</v>
      </c>
      <c r="J2356" s="26"/>
      <c r="K2356"/>
    </row>
    <row r="2357" spans="1:11">
      <c r="A2357">
        <v>17</v>
      </c>
      <c r="B2357" s="64">
        <v>40683</v>
      </c>
      <c r="C2357" s="2">
        <v>844443.35</v>
      </c>
      <c r="D2357">
        <v>0</v>
      </c>
      <c r="E2357" s="65">
        <v>51.93</v>
      </c>
      <c r="F2357" s="8">
        <v>3.802</v>
      </c>
      <c r="G2357" s="66">
        <v>129.0756774</v>
      </c>
      <c r="H2357" s="8">
        <v>6.774</v>
      </c>
      <c r="J2357" s="26"/>
      <c r="K2357"/>
    </row>
    <row r="2358" spans="1:11">
      <c r="A2358">
        <v>17</v>
      </c>
      <c r="B2358" s="64">
        <v>40690</v>
      </c>
      <c r="C2358" s="2">
        <v>892056.64</v>
      </c>
      <c r="D2358">
        <v>0</v>
      </c>
      <c r="E2358" s="65">
        <v>51.04</v>
      </c>
      <c r="F2358" s="8">
        <v>3.778</v>
      </c>
      <c r="G2358" s="66">
        <v>129.0623548</v>
      </c>
      <c r="H2358" s="8">
        <v>6.774</v>
      </c>
      <c r="J2358" s="26"/>
      <c r="K2358"/>
    </row>
    <row r="2359" spans="1:11">
      <c r="A2359">
        <v>17</v>
      </c>
      <c r="B2359" s="64">
        <v>40697</v>
      </c>
      <c r="C2359" s="2">
        <v>895020.48</v>
      </c>
      <c r="D2359">
        <v>0</v>
      </c>
      <c r="E2359" s="65">
        <v>49.61</v>
      </c>
      <c r="F2359" s="8">
        <v>3.752</v>
      </c>
      <c r="G2359" s="66">
        <v>129.0490323</v>
      </c>
      <c r="H2359" s="8">
        <v>6.774</v>
      </c>
      <c r="J2359" s="26"/>
      <c r="K2359"/>
    </row>
    <row r="2360" spans="1:11">
      <c r="A2360">
        <v>17</v>
      </c>
      <c r="B2360" s="64">
        <v>40704</v>
      </c>
      <c r="C2360" s="2">
        <v>881190.46</v>
      </c>
      <c r="D2360">
        <v>0</v>
      </c>
      <c r="E2360" s="65">
        <v>54.57</v>
      </c>
      <c r="F2360" s="8">
        <v>3.732</v>
      </c>
      <c r="G2360" s="66">
        <v>129.0357097</v>
      </c>
      <c r="H2360" s="8">
        <v>6.774</v>
      </c>
      <c r="J2360" s="26"/>
      <c r="K2360"/>
    </row>
    <row r="2361" spans="1:11">
      <c r="A2361">
        <v>17</v>
      </c>
      <c r="B2361" s="64">
        <v>40711</v>
      </c>
      <c r="C2361" s="2">
        <v>894686.67</v>
      </c>
      <c r="D2361">
        <v>0</v>
      </c>
      <c r="E2361" s="65">
        <v>56.61</v>
      </c>
      <c r="F2361" s="8">
        <v>3.704</v>
      </c>
      <c r="G2361" s="66">
        <v>129.0432</v>
      </c>
      <c r="H2361" s="8">
        <v>6.774</v>
      </c>
      <c r="J2361" s="26"/>
      <c r="K2361"/>
    </row>
    <row r="2362" spans="1:11">
      <c r="A2362">
        <v>17</v>
      </c>
      <c r="B2362" s="64">
        <v>40718</v>
      </c>
      <c r="C2362" s="2">
        <v>920719.98</v>
      </c>
      <c r="D2362">
        <v>0</v>
      </c>
      <c r="E2362" s="65">
        <v>60.99</v>
      </c>
      <c r="F2362" s="8">
        <v>3.668</v>
      </c>
      <c r="G2362" s="66">
        <v>129.0663</v>
      </c>
      <c r="H2362" s="8">
        <v>6.774</v>
      </c>
      <c r="J2362" s="26"/>
      <c r="K2362"/>
    </row>
    <row r="2363" spans="1:11">
      <c r="A2363">
        <v>17</v>
      </c>
      <c r="B2363" s="64">
        <v>40725</v>
      </c>
      <c r="C2363" s="2">
        <v>940554.34</v>
      </c>
      <c r="D2363">
        <v>0</v>
      </c>
      <c r="E2363" s="65">
        <v>67.39</v>
      </c>
      <c r="F2363" s="8">
        <v>3.613</v>
      </c>
      <c r="G2363" s="66">
        <v>129.0894</v>
      </c>
      <c r="H2363" s="8">
        <v>6.745</v>
      </c>
      <c r="J2363" s="26"/>
      <c r="K2363"/>
    </row>
    <row r="2364" spans="1:11">
      <c r="A2364">
        <v>17</v>
      </c>
      <c r="B2364" s="64">
        <v>40732</v>
      </c>
      <c r="C2364" s="2">
        <v>915064.22</v>
      </c>
      <c r="D2364">
        <v>0</v>
      </c>
      <c r="E2364" s="65">
        <v>70.6</v>
      </c>
      <c r="F2364" s="8">
        <v>3.563</v>
      </c>
      <c r="G2364" s="66">
        <v>129.1125</v>
      </c>
      <c r="H2364" s="8">
        <v>6.745</v>
      </c>
      <c r="J2364" s="26"/>
      <c r="K2364"/>
    </row>
    <row r="2365" spans="1:11">
      <c r="A2365">
        <v>17</v>
      </c>
      <c r="B2365" s="64">
        <v>40739</v>
      </c>
      <c r="C2365" s="2">
        <v>902727.76</v>
      </c>
      <c r="D2365">
        <v>0</v>
      </c>
      <c r="E2365" s="65">
        <v>67.93</v>
      </c>
      <c r="F2365" s="8">
        <v>3.553</v>
      </c>
      <c r="G2365" s="66">
        <v>129.1338387</v>
      </c>
      <c r="H2365" s="8">
        <v>6.745</v>
      </c>
      <c r="J2365" s="26"/>
      <c r="K2365"/>
    </row>
    <row r="2366" spans="1:11">
      <c r="A2366">
        <v>17</v>
      </c>
      <c r="B2366" s="64">
        <v>40746</v>
      </c>
      <c r="C2366" s="2">
        <v>899044.34</v>
      </c>
      <c r="D2366">
        <v>0</v>
      </c>
      <c r="E2366" s="65">
        <v>69.82</v>
      </c>
      <c r="F2366" s="8">
        <v>3.563</v>
      </c>
      <c r="G2366" s="66">
        <v>129.1507742</v>
      </c>
      <c r="H2366" s="8">
        <v>6.745</v>
      </c>
      <c r="J2366" s="26"/>
      <c r="K2366"/>
    </row>
    <row r="2367" spans="1:11">
      <c r="A2367">
        <v>17</v>
      </c>
      <c r="B2367" s="64">
        <v>40753</v>
      </c>
      <c r="C2367" s="2">
        <v>861894.77</v>
      </c>
      <c r="D2367">
        <v>0</v>
      </c>
      <c r="E2367" s="65">
        <v>68.59</v>
      </c>
      <c r="F2367" s="8">
        <v>3.574</v>
      </c>
      <c r="G2367" s="66">
        <v>129.1677097</v>
      </c>
      <c r="H2367" s="8">
        <v>6.745</v>
      </c>
      <c r="J2367" s="26"/>
      <c r="K2367"/>
    </row>
    <row r="2368" spans="1:11">
      <c r="A2368">
        <v>17</v>
      </c>
      <c r="B2368" s="64">
        <v>40760</v>
      </c>
      <c r="C2368" s="2">
        <v>866184.92</v>
      </c>
      <c r="D2368">
        <v>0</v>
      </c>
      <c r="E2368" s="65">
        <v>65.71</v>
      </c>
      <c r="F2368" s="8">
        <v>3.595</v>
      </c>
      <c r="G2368" s="66">
        <v>129.1846452</v>
      </c>
      <c r="H2368" s="8">
        <v>6.745</v>
      </c>
      <c r="J2368" s="26"/>
      <c r="K2368"/>
    </row>
    <row r="2369" spans="1:11">
      <c r="A2369">
        <v>17</v>
      </c>
      <c r="B2369" s="64">
        <v>40767</v>
      </c>
      <c r="C2369" s="2">
        <v>800819.79</v>
      </c>
      <c r="D2369">
        <v>0</v>
      </c>
      <c r="E2369" s="65">
        <v>64.79</v>
      </c>
      <c r="F2369" s="8">
        <v>3.606</v>
      </c>
      <c r="G2369" s="66">
        <v>129.2015806</v>
      </c>
      <c r="H2369" s="8">
        <v>6.745</v>
      </c>
      <c r="J2369" s="26"/>
      <c r="K2369"/>
    </row>
    <row r="2370" spans="1:11">
      <c r="A2370">
        <v>17</v>
      </c>
      <c r="B2370" s="64">
        <v>40774</v>
      </c>
      <c r="C2370" s="2">
        <v>797523.04</v>
      </c>
      <c r="D2370">
        <v>0</v>
      </c>
      <c r="E2370" s="65">
        <v>67.59</v>
      </c>
      <c r="F2370" s="8">
        <v>3.578</v>
      </c>
      <c r="G2370" s="66">
        <v>129.2405806</v>
      </c>
      <c r="H2370" s="8">
        <v>6.745</v>
      </c>
      <c r="J2370" s="26"/>
      <c r="K2370"/>
    </row>
    <row r="2371" spans="1:11">
      <c r="A2371">
        <v>17</v>
      </c>
      <c r="B2371" s="64">
        <v>40781</v>
      </c>
      <c r="C2371" s="2">
        <v>837390.79</v>
      </c>
      <c r="D2371">
        <v>0</v>
      </c>
      <c r="E2371" s="65">
        <v>72.04</v>
      </c>
      <c r="F2371" s="8">
        <v>3.57</v>
      </c>
      <c r="G2371" s="66">
        <v>129.2832581</v>
      </c>
      <c r="H2371" s="8">
        <v>6.745</v>
      </c>
      <c r="J2371" s="26"/>
      <c r="K2371"/>
    </row>
    <row r="2372" spans="1:11">
      <c r="A2372">
        <v>17</v>
      </c>
      <c r="B2372" s="64">
        <v>40788</v>
      </c>
      <c r="C2372" s="2">
        <v>847380.07</v>
      </c>
      <c r="D2372">
        <v>0</v>
      </c>
      <c r="E2372" s="65">
        <v>69.31</v>
      </c>
      <c r="F2372" s="8">
        <v>3.58</v>
      </c>
      <c r="G2372" s="66">
        <v>129.3259355</v>
      </c>
      <c r="H2372" s="8">
        <v>6.745</v>
      </c>
      <c r="J2372" s="26"/>
      <c r="K2372"/>
    </row>
    <row r="2373" spans="1:11">
      <c r="A2373">
        <v>17</v>
      </c>
      <c r="B2373" s="64">
        <v>40795</v>
      </c>
      <c r="C2373" s="2">
        <v>1161900.18</v>
      </c>
      <c r="D2373">
        <v>1</v>
      </c>
      <c r="E2373" s="65">
        <v>61.94</v>
      </c>
      <c r="F2373" s="8">
        <v>3.619</v>
      </c>
      <c r="G2373" s="66">
        <v>129.3686129</v>
      </c>
      <c r="H2373" s="8">
        <v>6.745</v>
      </c>
      <c r="J2373" s="26"/>
      <c r="K2373"/>
    </row>
    <row r="2374" spans="1:11">
      <c r="A2374">
        <v>17</v>
      </c>
      <c r="B2374" s="64">
        <v>40802</v>
      </c>
      <c r="C2374" s="2">
        <v>1051116.95</v>
      </c>
      <c r="D2374">
        <v>0</v>
      </c>
      <c r="E2374" s="65">
        <v>61.48</v>
      </c>
      <c r="F2374" s="8">
        <v>3.641</v>
      </c>
      <c r="G2374" s="66">
        <v>129.4306</v>
      </c>
      <c r="H2374" s="8">
        <v>6.745</v>
      </c>
      <c r="J2374" s="26"/>
      <c r="K2374"/>
    </row>
    <row r="2375" spans="1:11">
      <c r="A2375">
        <v>17</v>
      </c>
      <c r="B2375" s="64">
        <v>40809</v>
      </c>
      <c r="C2375" s="2">
        <v>895535.31</v>
      </c>
      <c r="D2375">
        <v>0</v>
      </c>
      <c r="E2375" s="65">
        <v>56.96</v>
      </c>
      <c r="F2375" s="8">
        <v>3.648</v>
      </c>
      <c r="G2375" s="66">
        <v>129.5183333</v>
      </c>
      <c r="H2375" s="8">
        <v>6.745</v>
      </c>
      <c r="J2375" s="26"/>
      <c r="K2375"/>
    </row>
    <row r="2376" spans="1:11">
      <c r="A2376">
        <v>17</v>
      </c>
      <c r="B2376" s="64">
        <v>40816</v>
      </c>
      <c r="C2376" s="2">
        <v>868191.05</v>
      </c>
      <c r="D2376">
        <v>0</v>
      </c>
      <c r="E2376" s="65">
        <v>61.4</v>
      </c>
      <c r="F2376" s="8">
        <v>3.623</v>
      </c>
      <c r="G2376" s="66">
        <v>129.6060667</v>
      </c>
      <c r="H2376" s="8">
        <v>6.745</v>
      </c>
      <c r="J2376" s="26"/>
      <c r="K2376"/>
    </row>
    <row r="2377" spans="1:11">
      <c r="A2377">
        <v>17</v>
      </c>
      <c r="B2377" s="64">
        <v>40823</v>
      </c>
      <c r="C2377" s="2">
        <v>918006.9</v>
      </c>
      <c r="D2377">
        <v>0</v>
      </c>
      <c r="E2377" s="65">
        <v>54.4</v>
      </c>
      <c r="F2377" s="8">
        <v>3.592</v>
      </c>
      <c r="G2377" s="66">
        <v>129.6938</v>
      </c>
      <c r="H2377" s="8">
        <v>6.617</v>
      </c>
      <c r="J2377" s="26"/>
      <c r="K2377"/>
    </row>
    <row r="2378" spans="1:11">
      <c r="A2378">
        <v>17</v>
      </c>
      <c r="B2378" s="64">
        <v>40830</v>
      </c>
      <c r="C2378" s="2">
        <v>884042.63</v>
      </c>
      <c r="D2378">
        <v>0</v>
      </c>
      <c r="E2378" s="65">
        <v>47.69</v>
      </c>
      <c r="F2378" s="8">
        <v>3.567</v>
      </c>
      <c r="G2378" s="66">
        <v>129.7706452</v>
      </c>
      <c r="H2378" s="8">
        <v>6.617</v>
      </c>
      <c r="J2378" s="26"/>
      <c r="K2378"/>
    </row>
    <row r="2379" spans="1:11">
      <c r="A2379">
        <v>17</v>
      </c>
      <c r="B2379" s="64">
        <v>40837</v>
      </c>
      <c r="C2379" s="2">
        <v>877380.22</v>
      </c>
      <c r="D2379">
        <v>0</v>
      </c>
      <c r="E2379" s="65">
        <v>47.27</v>
      </c>
      <c r="F2379" s="8">
        <v>3.579</v>
      </c>
      <c r="G2379" s="66">
        <v>129.7821613</v>
      </c>
      <c r="H2379" s="8">
        <v>6.617</v>
      </c>
      <c r="J2379" s="26"/>
      <c r="K2379"/>
    </row>
    <row r="2380" spans="1:11">
      <c r="A2380">
        <v>17</v>
      </c>
      <c r="B2380" s="64">
        <v>40844</v>
      </c>
      <c r="C2380" s="2">
        <v>936508.43</v>
      </c>
      <c r="D2380">
        <v>0</v>
      </c>
      <c r="E2380" s="65">
        <v>41.89</v>
      </c>
      <c r="F2380" s="8">
        <v>3.567</v>
      </c>
      <c r="G2380" s="66">
        <v>129.7936774</v>
      </c>
      <c r="H2380" s="8">
        <v>6.617</v>
      </c>
      <c r="J2380" s="26"/>
      <c r="K2380"/>
    </row>
    <row r="2381" spans="1:11">
      <c r="A2381">
        <v>17</v>
      </c>
      <c r="B2381" s="64">
        <v>40851</v>
      </c>
      <c r="C2381" s="2">
        <v>927657.63</v>
      </c>
      <c r="D2381">
        <v>0</v>
      </c>
      <c r="E2381" s="65">
        <v>37.52</v>
      </c>
      <c r="F2381" s="8">
        <v>3.538</v>
      </c>
      <c r="G2381" s="66">
        <v>129.8051935</v>
      </c>
      <c r="H2381" s="8">
        <v>6.617</v>
      </c>
      <c r="J2381" s="26"/>
      <c r="K2381"/>
    </row>
    <row r="2382" spans="1:11">
      <c r="A2382">
        <v>17</v>
      </c>
      <c r="B2382" s="64">
        <v>40858</v>
      </c>
      <c r="C2382" s="2">
        <v>914759.2</v>
      </c>
      <c r="D2382">
        <v>0</v>
      </c>
      <c r="E2382" s="65">
        <v>27.61</v>
      </c>
      <c r="F2382" s="8">
        <v>3.513</v>
      </c>
      <c r="G2382" s="66">
        <v>129.8167097</v>
      </c>
      <c r="H2382" s="8">
        <v>6.617</v>
      </c>
      <c r="J2382" s="26"/>
      <c r="K2382"/>
    </row>
    <row r="2383" spans="1:11">
      <c r="A2383">
        <v>17</v>
      </c>
      <c r="B2383" s="64">
        <v>40865</v>
      </c>
      <c r="C2383" s="2">
        <v>877724.31</v>
      </c>
      <c r="D2383">
        <v>0</v>
      </c>
      <c r="E2383" s="65">
        <v>32.93</v>
      </c>
      <c r="F2383" s="8">
        <v>3.489</v>
      </c>
      <c r="G2383" s="66">
        <v>129.8268333</v>
      </c>
      <c r="H2383" s="8">
        <v>6.617</v>
      </c>
      <c r="J2383" s="26"/>
      <c r="K2383"/>
    </row>
    <row r="2384" spans="1:11">
      <c r="A2384">
        <v>17</v>
      </c>
      <c r="B2384" s="64">
        <v>40872</v>
      </c>
      <c r="C2384" s="2">
        <v>1225700.28</v>
      </c>
      <c r="D2384">
        <v>1</v>
      </c>
      <c r="E2384" s="65">
        <v>32.81</v>
      </c>
      <c r="F2384" s="8">
        <v>3.445</v>
      </c>
      <c r="G2384" s="66">
        <v>129.8364</v>
      </c>
      <c r="H2384" s="8">
        <v>6.617</v>
      </c>
      <c r="J2384" s="26"/>
      <c r="K2384"/>
    </row>
    <row r="2385" spans="1:11">
      <c r="A2385">
        <v>17</v>
      </c>
      <c r="B2385" s="64">
        <v>40879</v>
      </c>
      <c r="C2385" s="2">
        <v>945267.68</v>
      </c>
      <c r="D2385">
        <v>0</v>
      </c>
      <c r="E2385" s="65">
        <v>26.47</v>
      </c>
      <c r="F2385" s="8">
        <v>3.389</v>
      </c>
      <c r="G2385" s="66">
        <v>129.8459667</v>
      </c>
      <c r="H2385" s="8">
        <v>6.617</v>
      </c>
      <c r="J2385" s="26"/>
      <c r="K2385"/>
    </row>
    <row r="2386" spans="1:11">
      <c r="A2386">
        <v>17</v>
      </c>
      <c r="B2386" s="64">
        <v>40886</v>
      </c>
      <c r="C2386" s="2">
        <v>976522.93</v>
      </c>
      <c r="D2386">
        <v>0</v>
      </c>
      <c r="E2386" s="65">
        <v>17.56</v>
      </c>
      <c r="F2386" s="8">
        <v>3.341</v>
      </c>
      <c r="G2386" s="66">
        <v>129.8555333</v>
      </c>
      <c r="H2386" s="8">
        <v>6.617</v>
      </c>
      <c r="J2386" s="26"/>
      <c r="K2386"/>
    </row>
    <row r="2387" spans="1:11">
      <c r="A2387">
        <v>17</v>
      </c>
      <c r="B2387" s="64">
        <v>40893</v>
      </c>
      <c r="C2387" s="2">
        <v>1067754.06</v>
      </c>
      <c r="D2387">
        <v>0</v>
      </c>
      <c r="E2387" s="65">
        <v>21.07</v>
      </c>
      <c r="F2387" s="8">
        <v>3.282</v>
      </c>
      <c r="G2387" s="66">
        <v>129.8980645</v>
      </c>
      <c r="H2387" s="8">
        <v>6.617</v>
      </c>
      <c r="J2387" s="26"/>
      <c r="K2387"/>
    </row>
    <row r="2388" spans="1:11">
      <c r="A2388">
        <v>17</v>
      </c>
      <c r="B2388" s="64">
        <v>40900</v>
      </c>
      <c r="C2388" s="2">
        <v>1289156.9</v>
      </c>
      <c r="D2388">
        <v>0</v>
      </c>
      <c r="E2388" s="65">
        <v>18.76</v>
      </c>
      <c r="F2388" s="8">
        <v>3.186</v>
      </c>
      <c r="G2388" s="66">
        <v>129.9845484</v>
      </c>
      <c r="H2388" s="8">
        <v>6.617</v>
      </c>
      <c r="J2388" s="26"/>
      <c r="K2388"/>
    </row>
    <row r="2389" spans="1:11">
      <c r="A2389">
        <v>17</v>
      </c>
      <c r="B2389" s="64">
        <v>40907</v>
      </c>
      <c r="C2389" s="2">
        <v>777207.3</v>
      </c>
      <c r="D2389">
        <v>1</v>
      </c>
      <c r="E2389" s="65">
        <v>26.73</v>
      </c>
      <c r="F2389" s="8">
        <v>3.119</v>
      </c>
      <c r="G2389" s="66">
        <v>130.0710323</v>
      </c>
      <c r="H2389" s="8">
        <v>6.617</v>
      </c>
      <c r="J2389" s="26"/>
      <c r="K2389"/>
    </row>
    <row r="2390" spans="1:11">
      <c r="A2390">
        <v>17</v>
      </c>
      <c r="B2390" s="64">
        <v>40914</v>
      </c>
      <c r="C2390" s="2">
        <v>1198104.22</v>
      </c>
      <c r="D2390">
        <v>0</v>
      </c>
      <c r="E2390" s="65">
        <v>27.64</v>
      </c>
      <c r="F2390" s="8">
        <v>3.08</v>
      </c>
      <c r="G2390" s="66">
        <v>130.1575161</v>
      </c>
      <c r="H2390" s="8">
        <v>6.403</v>
      </c>
      <c r="J2390" s="26"/>
      <c r="K2390"/>
    </row>
    <row r="2391" spans="1:11">
      <c r="A2391">
        <v>17</v>
      </c>
      <c r="B2391" s="64">
        <v>40921</v>
      </c>
      <c r="C2391" s="2">
        <v>873576.96</v>
      </c>
      <c r="D2391">
        <v>0</v>
      </c>
      <c r="E2391" s="65">
        <v>20.28</v>
      </c>
      <c r="F2391" s="8">
        <v>3.056</v>
      </c>
      <c r="G2391" s="66">
        <v>130.244</v>
      </c>
      <c r="H2391" s="8">
        <v>6.403</v>
      </c>
      <c r="J2391" s="26"/>
      <c r="K2391"/>
    </row>
    <row r="2392" spans="1:11">
      <c r="A2392">
        <v>17</v>
      </c>
      <c r="B2392" s="64">
        <v>40928</v>
      </c>
      <c r="C2392" s="2">
        <v>809272.65</v>
      </c>
      <c r="D2392">
        <v>0</v>
      </c>
      <c r="E2392" s="65">
        <v>27.26</v>
      </c>
      <c r="F2392" s="8">
        <v>3.047</v>
      </c>
      <c r="G2392" s="66">
        <v>130.2792258</v>
      </c>
      <c r="H2392" s="8">
        <v>6.403</v>
      </c>
      <c r="J2392" s="26"/>
      <c r="K2392"/>
    </row>
    <row r="2393" spans="1:11">
      <c r="A2393">
        <v>17</v>
      </c>
      <c r="B2393" s="64">
        <v>40935</v>
      </c>
      <c r="C2393" s="2">
        <v>769522.33</v>
      </c>
      <c r="D2393">
        <v>0</v>
      </c>
      <c r="E2393" s="65">
        <v>29.99</v>
      </c>
      <c r="F2393" s="8">
        <v>3.058</v>
      </c>
      <c r="G2393" s="66">
        <v>130.3144516</v>
      </c>
      <c r="H2393" s="8">
        <v>6.403</v>
      </c>
      <c r="J2393" s="26"/>
      <c r="K2393"/>
    </row>
    <row r="2394" spans="1:11">
      <c r="A2394">
        <v>17</v>
      </c>
      <c r="B2394" s="64">
        <v>40942</v>
      </c>
      <c r="C2394" s="2">
        <v>864852.85</v>
      </c>
      <c r="D2394">
        <v>0</v>
      </c>
      <c r="E2394" s="65">
        <v>26.26</v>
      </c>
      <c r="F2394" s="8">
        <v>3.077</v>
      </c>
      <c r="G2394" s="66">
        <v>130.3496774</v>
      </c>
      <c r="H2394" s="8">
        <v>6.403</v>
      </c>
      <c r="J2394" s="26"/>
      <c r="K2394"/>
    </row>
    <row r="2395" spans="1:11">
      <c r="A2395">
        <v>17</v>
      </c>
      <c r="B2395" s="64">
        <v>40949</v>
      </c>
      <c r="C2395" s="2">
        <v>880165.7</v>
      </c>
      <c r="D2395">
        <v>1</v>
      </c>
      <c r="E2395" s="65">
        <v>23.63</v>
      </c>
      <c r="F2395" s="8">
        <v>3.116</v>
      </c>
      <c r="G2395" s="66">
        <v>130.3849032</v>
      </c>
      <c r="H2395" s="8">
        <v>6.403</v>
      </c>
      <c r="J2395" s="26"/>
      <c r="K2395"/>
    </row>
    <row r="2396" spans="1:11">
      <c r="A2396">
        <v>17</v>
      </c>
      <c r="B2396" s="64">
        <v>40956</v>
      </c>
      <c r="C2396" s="2">
        <v>927084.65</v>
      </c>
      <c r="D2396">
        <v>0</v>
      </c>
      <c r="E2396" s="65">
        <v>30.76</v>
      </c>
      <c r="F2396" s="8">
        <v>3.119</v>
      </c>
      <c r="G2396" s="66">
        <v>130.4546207</v>
      </c>
      <c r="H2396" s="8">
        <v>6.403</v>
      </c>
      <c r="J2396" s="26"/>
      <c r="K2396"/>
    </row>
    <row r="2397" spans="1:11">
      <c r="A2397">
        <v>17</v>
      </c>
      <c r="B2397" s="64">
        <v>40963</v>
      </c>
      <c r="C2397" s="2">
        <v>843864.43</v>
      </c>
      <c r="D2397">
        <v>0</v>
      </c>
      <c r="E2397" s="65">
        <v>30.01</v>
      </c>
      <c r="F2397" s="8">
        <v>3.145</v>
      </c>
      <c r="G2397" s="66">
        <v>130.5502069</v>
      </c>
      <c r="H2397" s="8">
        <v>6.403</v>
      </c>
      <c r="J2397" s="26"/>
      <c r="K2397"/>
    </row>
    <row r="2398" spans="1:11">
      <c r="A2398">
        <v>17</v>
      </c>
      <c r="B2398" s="64">
        <v>40970</v>
      </c>
      <c r="C2398" s="2">
        <v>856178.47</v>
      </c>
      <c r="D2398">
        <v>0</v>
      </c>
      <c r="E2398" s="65">
        <v>26.28</v>
      </c>
      <c r="F2398" s="8">
        <v>3.242</v>
      </c>
      <c r="G2398" s="66">
        <v>130.6457931</v>
      </c>
      <c r="H2398" s="8">
        <v>6.403</v>
      </c>
      <c r="J2398" s="26"/>
      <c r="K2398"/>
    </row>
    <row r="2399" spans="1:11">
      <c r="A2399">
        <v>17</v>
      </c>
      <c r="B2399" s="64">
        <v>40977</v>
      </c>
      <c r="C2399" s="2">
        <v>860224.98</v>
      </c>
      <c r="D2399">
        <v>0</v>
      </c>
      <c r="E2399" s="65">
        <v>32.02</v>
      </c>
      <c r="F2399" s="8">
        <v>3.38</v>
      </c>
      <c r="G2399" s="66">
        <v>130.7413793</v>
      </c>
      <c r="H2399" s="8">
        <v>6.403</v>
      </c>
      <c r="J2399" s="26"/>
      <c r="K2399"/>
    </row>
    <row r="2400" spans="1:11">
      <c r="A2400">
        <v>17</v>
      </c>
      <c r="B2400" s="64">
        <v>40984</v>
      </c>
      <c r="C2400" s="2">
        <v>853136.46</v>
      </c>
      <c r="D2400">
        <v>0</v>
      </c>
      <c r="E2400" s="65">
        <v>43.69</v>
      </c>
      <c r="F2400" s="8">
        <v>3.529</v>
      </c>
      <c r="G2400" s="66">
        <v>130.8261935</v>
      </c>
      <c r="H2400" s="8">
        <v>6.403</v>
      </c>
      <c r="J2400" s="26"/>
      <c r="K2400"/>
    </row>
    <row r="2401" spans="1:11">
      <c r="A2401">
        <v>17</v>
      </c>
      <c r="B2401" s="64">
        <v>40991</v>
      </c>
      <c r="C2401" s="2">
        <v>851762.28</v>
      </c>
      <c r="D2401">
        <v>0</v>
      </c>
      <c r="E2401" s="65">
        <v>40.69</v>
      </c>
      <c r="F2401" s="8">
        <v>3.671</v>
      </c>
      <c r="G2401" s="66">
        <v>130.8966452</v>
      </c>
      <c r="H2401" s="8">
        <v>6.403</v>
      </c>
      <c r="J2401" s="26"/>
      <c r="K2401"/>
    </row>
    <row r="2402" spans="1:11">
      <c r="A2402">
        <v>17</v>
      </c>
      <c r="B2402" s="64">
        <v>40998</v>
      </c>
      <c r="C2402" s="2">
        <v>872469.03</v>
      </c>
      <c r="D2402">
        <v>0</v>
      </c>
      <c r="E2402" s="65">
        <v>45.29</v>
      </c>
      <c r="F2402" s="8">
        <v>3.734</v>
      </c>
      <c r="G2402" s="66">
        <v>130.9670968</v>
      </c>
      <c r="H2402" s="8">
        <v>6.403</v>
      </c>
      <c r="J2402" s="26"/>
      <c r="K2402"/>
    </row>
    <row r="2403" spans="1:11">
      <c r="A2403">
        <v>17</v>
      </c>
      <c r="B2403" s="64">
        <v>41005</v>
      </c>
      <c r="C2403" s="2">
        <v>986922.62</v>
      </c>
      <c r="D2403">
        <v>0</v>
      </c>
      <c r="E2403" s="65">
        <v>43.92</v>
      </c>
      <c r="F2403" s="8">
        <v>3.793</v>
      </c>
      <c r="G2403" s="66">
        <v>131.0375484</v>
      </c>
      <c r="H2403" s="8">
        <v>6.235</v>
      </c>
      <c r="J2403" s="26"/>
      <c r="K2403"/>
    </row>
    <row r="2404" spans="1:11">
      <c r="A2404">
        <v>17</v>
      </c>
      <c r="B2404" s="64">
        <v>41012</v>
      </c>
      <c r="C2404" s="2">
        <v>877055.32</v>
      </c>
      <c r="D2404">
        <v>0</v>
      </c>
      <c r="E2404" s="65">
        <v>46.94</v>
      </c>
      <c r="F2404" s="8">
        <v>3.833</v>
      </c>
      <c r="G2404" s="66">
        <v>131.108</v>
      </c>
      <c r="H2404" s="8">
        <v>6.235</v>
      </c>
      <c r="J2404" s="26"/>
      <c r="K2404"/>
    </row>
    <row r="2405" spans="1:11">
      <c r="A2405">
        <v>17</v>
      </c>
      <c r="B2405" s="64">
        <v>41019</v>
      </c>
      <c r="C2405" s="2">
        <v>1119979.98</v>
      </c>
      <c r="D2405">
        <v>0</v>
      </c>
      <c r="E2405" s="65">
        <v>47.69</v>
      </c>
      <c r="F2405" s="8">
        <v>3.845</v>
      </c>
      <c r="G2405" s="66">
        <v>131.1173333</v>
      </c>
      <c r="H2405" s="8">
        <v>6.235</v>
      </c>
      <c r="J2405" s="26"/>
      <c r="K2405"/>
    </row>
    <row r="2406" spans="1:11">
      <c r="A2406">
        <v>17</v>
      </c>
      <c r="B2406" s="64">
        <v>41026</v>
      </c>
      <c r="C2406" s="2">
        <v>925916.65</v>
      </c>
      <c r="D2406">
        <v>0</v>
      </c>
      <c r="E2406" s="65">
        <v>59.11</v>
      </c>
      <c r="F2406" s="8">
        <v>3.842</v>
      </c>
      <c r="G2406" s="66">
        <v>131.1266667</v>
      </c>
      <c r="H2406" s="8">
        <v>6.235</v>
      </c>
      <c r="J2406" s="26"/>
      <c r="K2406"/>
    </row>
    <row r="2407" spans="1:11">
      <c r="A2407">
        <v>17</v>
      </c>
      <c r="B2407" s="64">
        <v>41033</v>
      </c>
      <c r="C2407" s="2">
        <v>930121.14</v>
      </c>
      <c r="D2407">
        <v>0</v>
      </c>
      <c r="E2407" s="65">
        <v>48.86</v>
      </c>
      <c r="F2407" s="8">
        <v>3.831</v>
      </c>
      <c r="G2407" s="66">
        <v>131.136</v>
      </c>
      <c r="H2407" s="8">
        <v>6.235</v>
      </c>
      <c r="J2407" s="26"/>
      <c r="K2407"/>
    </row>
    <row r="2408" spans="1:11">
      <c r="A2408">
        <v>17</v>
      </c>
      <c r="B2408" s="64">
        <v>41040</v>
      </c>
      <c r="C2408" s="2">
        <v>944100.3</v>
      </c>
      <c r="D2408">
        <v>0</v>
      </c>
      <c r="E2408" s="65">
        <v>49.96</v>
      </c>
      <c r="F2408" s="8">
        <v>3.809</v>
      </c>
      <c r="G2408" s="66">
        <v>131.1453333</v>
      </c>
      <c r="H2408" s="8">
        <v>6.235</v>
      </c>
      <c r="J2408" s="26"/>
      <c r="K2408"/>
    </row>
    <row r="2409" spans="1:11">
      <c r="A2409">
        <v>17</v>
      </c>
      <c r="B2409" s="64">
        <v>41047</v>
      </c>
      <c r="C2409" s="2">
        <v>968816.33</v>
      </c>
      <c r="D2409">
        <v>0</v>
      </c>
      <c r="E2409" s="65">
        <v>59.67</v>
      </c>
      <c r="F2409" s="8">
        <v>3.808</v>
      </c>
      <c r="G2409" s="66">
        <v>131.0983226</v>
      </c>
      <c r="H2409" s="8">
        <v>6.235</v>
      </c>
      <c r="J2409" s="26"/>
      <c r="K2409"/>
    </row>
    <row r="2410" spans="1:11">
      <c r="A2410">
        <v>17</v>
      </c>
      <c r="B2410" s="64">
        <v>41054</v>
      </c>
      <c r="C2410" s="2">
        <v>984881.59</v>
      </c>
      <c r="D2410">
        <v>0</v>
      </c>
      <c r="E2410" s="65">
        <v>55.69</v>
      </c>
      <c r="F2410" s="8">
        <v>3.801</v>
      </c>
      <c r="G2410" s="66">
        <v>131.0287742</v>
      </c>
      <c r="H2410" s="8">
        <v>6.235</v>
      </c>
      <c r="J2410" s="26"/>
      <c r="K2410"/>
    </row>
    <row r="2411" spans="1:11">
      <c r="A2411">
        <v>17</v>
      </c>
      <c r="B2411" s="64">
        <v>41061</v>
      </c>
      <c r="C2411" s="2">
        <v>938914.28</v>
      </c>
      <c r="D2411">
        <v>0</v>
      </c>
      <c r="E2411" s="65">
        <v>54.13</v>
      </c>
      <c r="F2411" s="8">
        <v>3.788</v>
      </c>
      <c r="G2411" s="66">
        <v>130.9592258</v>
      </c>
      <c r="H2411" s="8">
        <v>6.235</v>
      </c>
      <c r="J2411" s="26"/>
      <c r="K2411"/>
    </row>
    <row r="2412" spans="1:11">
      <c r="A2412">
        <v>17</v>
      </c>
      <c r="B2412" s="64">
        <v>41068</v>
      </c>
      <c r="C2412" s="2">
        <v>987990.24</v>
      </c>
      <c r="D2412">
        <v>0</v>
      </c>
      <c r="E2412" s="65">
        <v>60.51</v>
      </c>
      <c r="F2412" s="8">
        <v>3.776</v>
      </c>
      <c r="G2412" s="66">
        <v>130.8896774</v>
      </c>
      <c r="H2412" s="8">
        <v>6.235</v>
      </c>
      <c r="J2412" s="26"/>
      <c r="K2412"/>
    </row>
    <row r="2413" spans="1:11">
      <c r="A2413">
        <v>17</v>
      </c>
      <c r="B2413" s="64">
        <v>41075</v>
      </c>
      <c r="C2413" s="2">
        <v>964169.67</v>
      </c>
      <c r="D2413">
        <v>0</v>
      </c>
      <c r="E2413" s="65">
        <v>56.67</v>
      </c>
      <c r="F2413" s="8">
        <v>3.756</v>
      </c>
      <c r="G2413" s="66">
        <v>130.8295333</v>
      </c>
      <c r="H2413" s="8">
        <v>6.235</v>
      </c>
      <c r="J2413" s="26"/>
      <c r="K2413"/>
    </row>
    <row r="2414" spans="1:11">
      <c r="A2414">
        <v>17</v>
      </c>
      <c r="B2414" s="64">
        <v>41082</v>
      </c>
      <c r="C2414" s="2">
        <v>981210.57</v>
      </c>
      <c r="D2414">
        <v>0</v>
      </c>
      <c r="E2414" s="65">
        <v>62.9</v>
      </c>
      <c r="F2414" s="8">
        <v>3.737</v>
      </c>
      <c r="G2414" s="66">
        <v>130.7929</v>
      </c>
      <c r="H2414" s="8">
        <v>6.235</v>
      </c>
      <c r="J2414" s="26"/>
      <c r="K2414"/>
    </row>
    <row r="2415" spans="1:11">
      <c r="A2415">
        <v>17</v>
      </c>
      <c r="B2415" s="64">
        <v>41089</v>
      </c>
      <c r="C2415" s="2">
        <v>982322.24</v>
      </c>
      <c r="D2415">
        <v>0</v>
      </c>
      <c r="E2415" s="65">
        <v>71.14</v>
      </c>
      <c r="F2415" s="8">
        <v>3.681</v>
      </c>
      <c r="G2415" s="66">
        <v>130.7562667</v>
      </c>
      <c r="H2415" s="8">
        <v>6.235</v>
      </c>
      <c r="J2415" s="26"/>
      <c r="K2415"/>
    </row>
    <row r="2416" spans="1:11">
      <c r="A2416">
        <v>17</v>
      </c>
      <c r="B2416" s="64">
        <v>41096</v>
      </c>
      <c r="C2416" s="2">
        <v>1046782.52</v>
      </c>
      <c r="D2416">
        <v>0</v>
      </c>
      <c r="E2416" s="65">
        <v>68.91</v>
      </c>
      <c r="F2416" s="8">
        <v>3.63</v>
      </c>
      <c r="G2416" s="66">
        <v>130.7196333</v>
      </c>
      <c r="H2416" s="8">
        <v>5.936</v>
      </c>
      <c r="J2416" s="26"/>
      <c r="K2416"/>
    </row>
    <row r="2417" spans="1:11">
      <c r="A2417">
        <v>17</v>
      </c>
      <c r="B2417" s="64">
        <v>41103</v>
      </c>
      <c r="C2417" s="2">
        <v>960746.04</v>
      </c>
      <c r="D2417">
        <v>0</v>
      </c>
      <c r="E2417" s="65">
        <v>72.94</v>
      </c>
      <c r="F2417" s="8">
        <v>3.595</v>
      </c>
      <c r="G2417" s="66">
        <v>130.683</v>
      </c>
      <c r="H2417" s="8">
        <v>5.936</v>
      </c>
      <c r="J2417" s="26"/>
      <c r="K2417"/>
    </row>
    <row r="2418" spans="1:11">
      <c r="A2418">
        <v>17</v>
      </c>
      <c r="B2418" s="64">
        <v>41110</v>
      </c>
      <c r="C2418" s="2">
        <v>944698.7</v>
      </c>
      <c r="D2418">
        <v>0</v>
      </c>
      <c r="E2418" s="65">
        <v>70.59</v>
      </c>
      <c r="F2418" s="8">
        <v>3.556</v>
      </c>
      <c r="G2418" s="66">
        <v>130.7012903</v>
      </c>
      <c r="H2418" s="8">
        <v>5.936</v>
      </c>
      <c r="J2418" s="26"/>
      <c r="K2418"/>
    </row>
    <row r="2419" spans="1:11">
      <c r="A2419">
        <v>17</v>
      </c>
      <c r="B2419" s="64">
        <v>41117</v>
      </c>
      <c r="C2419" s="2">
        <v>907493.24</v>
      </c>
      <c r="D2419">
        <v>0</v>
      </c>
      <c r="E2419" s="65">
        <v>74.2</v>
      </c>
      <c r="F2419" s="8">
        <v>3.537</v>
      </c>
      <c r="G2419" s="66">
        <v>130.7195806</v>
      </c>
      <c r="H2419" s="8">
        <v>5.936</v>
      </c>
      <c r="J2419" s="26"/>
      <c r="K2419"/>
    </row>
    <row r="2420" spans="1:11">
      <c r="A2420">
        <v>17</v>
      </c>
      <c r="B2420" s="64">
        <v>41124</v>
      </c>
      <c r="C2420" s="2">
        <v>877813.33</v>
      </c>
      <c r="D2420">
        <v>0</v>
      </c>
      <c r="E2420" s="65">
        <v>72.94</v>
      </c>
      <c r="F2420" s="8">
        <v>3.512</v>
      </c>
      <c r="G2420" s="66">
        <v>130.737871</v>
      </c>
      <c r="H2420" s="8">
        <v>5.936</v>
      </c>
      <c r="J2420" s="26"/>
      <c r="K2420"/>
    </row>
    <row r="2421" spans="1:11">
      <c r="A2421">
        <v>17</v>
      </c>
      <c r="B2421" s="64">
        <v>41131</v>
      </c>
      <c r="C2421" s="2">
        <v>849074.04</v>
      </c>
      <c r="D2421">
        <v>0</v>
      </c>
      <c r="E2421" s="65">
        <v>73.29</v>
      </c>
      <c r="F2421" s="8">
        <v>3.509</v>
      </c>
      <c r="G2421" s="66">
        <v>130.7561613</v>
      </c>
      <c r="H2421" s="8">
        <v>5.936</v>
      </c>
      <c r="J2421" s="26"/>
      <c r="K2421"/>
    </row>
    <row r="2422" spans="1:11">
      <c r="A2422">
        <v>17</v>
      </c>
      <c r="B2422" s="64">
        <v>41138</v>
      </c>
      <c r="C2422" s="2">
        <v>844928.17</v>
      </c>
      <c r="D2422">
        <v>0</v>
      </c>
      <c r="E2422" s="65">
        <v>70.98</v>
      </c>
      <c r="F2422" s="8">
        <v>3.545</v>
      </c>
      <c r="G2422" s="66">
        <v>130.7909677</v>
      </c>
      <c r="H2422" s="8">
        <v>5.936</v>
      </c>
      <c r="J2422" s="26"/>
      <c r="K2422"/>
    </row>
    <row r="2423" spans="1:11">
      <c r="A2423">
        <v>17</v>
      </c>
      <c r="B2423" s="64">
        <v>41145</v>
      </c>
      <c r="C2423" s="2">
        <v>924299.78</v>
      </c>
      <c r="D2423">
        <v>0</v>
      </c>
      <c r="E2423" s="65">
        <v>68.89</v>
      </c>
      <c r="F2423" s="8">
        <v>3.582</v>
      </c>
      <c r="G2423" s="66">
        <v>130.8381613</v>
      </c>
      <c r="H2423" s="8">
        <v>5.936</v>
      </c>
      <c r="J2423" s="26"/>
      <c r="K2423"/>
    </row>
    <row r="2424" spans="1:11">
      <c r="A2424">
        <v>17</v>
      </c>
      <c r="B2424" s="64">
        <v>41152</v>
      </c>
      <c r="C2424" s="2">
        <v>865924.2</v>
      </c>
      <c r="D2424">
        <v>0</v>
      </c>
      <c r="E2424" s="65">
        <v>68.07</v>
      </c>
      <c r="F2424" s="8">
        <v>3.624</v>
      </c>
      <c r="G2424" s="66">
        <v>130.8853548</v>
      </c>
      <c r="H2424" s="8">
        <v>5.936</v>
      </c>
      <c r="J2424" s="26"/>
      <c r="K2424"/>
    </row>
    <row r="2425" spans="1:11">
      <c r="A2425">
        <v>17</v>
      </c>
      <c r="B2425" s="64">
        <v>41159</v>
      </c>
      <c r="C2425" s="2">
        <v>1255633.29</v>
      </c>
      <c r="D2425">
        <v>1</v>
      </c>
      <c r="E2425" s="65">
        <v>61.99</v>
      </c>
      <c r="F2425" s="8">
        <v>3.689</v>
      </c>
      <c r="G2425" s="66">
        <v>130.9325484</v>
      </c>
      <c r="H2425" s="8">
        <v>5.936</v>
      </c>
      <c r="J2425" s="26"/>
      <c r="K2425"/>
    </row>
    <row r="2426" spans="1:11">
      <c r="A2426">
        <v>17</v>
      </c>
      <c r="B2426" s="64">
        <v>41166</v>
      </c>
      <c r="C2426" s="2">
        <v>1071040.22</v>
      </c>
      <c r="D2426">
        <v>0</v>
      </c>
      <c r="E2426" s="65">
        <v>59.64</v>
      </c>
      <c r="F2426" s="8">
        <v>3.749</v>
      </c>
      <c r="G2426" s="66">
        <v>130.9776667</v>
      </c>
      <c r="H2426" s="8">
        <v>5.936</v>
      </c>
      <c r="J2426" s="26"/>
      <c r="K2426"/>
    </row>
    <row r="2427" spans="1:11">
      <c r="A2427">
        <v>17</v>
      </c>
      <c r="B2427" s="64">
        <v>41173</v>
      </c>
      <c r="C2427" s="2">
        <v>938303.28</v>
      </c>
      <c r="D2427">
        <v>0</v>
      </c>
      <c r="E2427" s="65">
        <v>58.43</v>
      </c>
      <c r="F2427" s="8">
        <v>3.821</v>
      </c>
      <c r="G2427" s="66">
        <v>131.0103333</v>
      </c>
      <c r="H2427" s="8">
        <v>5.936</v>
      </c>
      <c r="J2427" s="26"/>
      <c r="K2427"/>
    </row>
    <row r="2428" spans="1:11">
      <c r="A2428">
        <v>17</v>
      </c>
      <c r="B2428" s="64">
        <v>41180</v>
      </c>
      <c r="C2428" s="2">
        <v>972716.24</v>
      </c>
      <c r="D2428">
        <v>0</v>
      </c>
      <c r="E2428" s="65">
        <v>57.77</v>
      </c>
      <c r="F2428" s="8">
        <v>3.821</v>
      </c>
      <c r="G2428" s="66">
        <v>131.043</v>
      </c>
      <c r="H2428" s="8">
        <v>5.936</v>
      </c>
      <c r="J2428" s="26"/>
      <c r="K2428"/>
    </row>
    <row r="2429" spans="1:11">
      <c r="A2429">
        <v>17</v>
      </c>
      <c r="B2429" s="64">
        <v>41187</v>
      </c>
      <c r="C2429" s="2">
        <v>952609.17</v>
      </c>
      <c r="D2429">
        <v>0</v>
      </c>
      <c r="E2429" s="65">
        <v>52.81</v>
      </c>
      <c r="F2429" s="8">
        <v>3.815</v>
      </c>
      <c r="G2429" s="66">
        <v>131.0756667</v>
      </c>
      <c r="H2429" s="8">
        <v>5.527</v>
      </c>
      <c r="J2429" s="26"/>
      <c r="K2429"/>
    </row>
    <row r="2430" spans="1:11">
      <c r="A2430">
        <v>17</v>
      </c>
      <c r="B2430" s="64">
        <v>41194</v>
      </c>
      <c r="C2430" s="2">
        <v>919878.34</v>
      </c>
      <c r="D2430">
        <v>0</v>
      </c>
      <c r="E2430" s="65">
        <v>44.82</v>
      </c>
      <c r="F2430" s="8">
        <v>3.797</v>
      </c>
      <c r="G2430" s="66">
        <v>131.1083333</v>
      </c>
      <c r="H2430" s="8">
        <v>5.527</v>
      </c>
      <c r="J2430" s="26"/>
      <c r="K2430"/>
    </row>
    <row r="2431" spans="1:11">
      <c r="A2431">
        <v>17</v>
      </c>
      <c r="B2431" s="64">
        <v>41201</v>
      </c>
      <c r="C2431" s="2">
        <v>957356.84</v>
      </c>
      <c r="D2431">
        <v>0</v>
      </c>
      <c r="E2431" s="65">
        <v>48.16</v>
      </c>
      <c r="F2431" s="8">
        <v>3.781</v>
      </c>
      <c r="G2431" s="66">
        <v>131.1499677</v>
      </c>
      <c r="H2431" s="8">
        <v>5.527</v>
      </c>
      <c r="J2431" s="26"/>
      <c r="K2431"/>
    </row>
    <row r="2432" spans="1:11">
      <c r="A2432">
        <v>17</v>
      </c>
      <c r="B2432" s="64">
        <v>41208</v>
      </c>
      <c r="C2432" s="2">
        <v>943465.29</v>
      </c>
      <c r="D2432">
        <v>0</v>
      </c>
      <c r="E2432" s="65">
        <v>39.94</v>
      </c>
      <c r="F2432" s="8">
        <v>3.755</v>
      </c>
      <c r="G2432" s="66">
        <v>131.1930968</v>
      </c>
      <c r="H2432" s="8">
        <v>5.527</v>
      </c>
      <c r="J2432" s="26"/>
      <c r="K2432"/>
    </row>
    <row r="2433" spans="1:11">
      <c r="A2433">
        <v>18</v>
      </c>
      <c r="B2433" s="64">
        <v>40214</v>
      </c>
      <c r="C2433" s="2">
        <v>1205307.5</v>
      </c>
      <c r="D2433">
        <v>0</v>
      </c>
      <c r="E2433" s="65">
        <v>21.33</v>
      </c>
      <c r="F2433" s="8">
        <v>2.788</v>
      </c>
      <c r="G2433" s="66">
        <v>131.5279032</v>
      </c>
      <c r="H2433" s="8">
        <v>9.202</v>
      </c>
      <c r="J2433" s="26"/>
      <c r="K2433"/>
    </row>
    <row r="2434" spans="1:11">
      <c r="A2434">
        <v>18</v>
      </c>
      <c r="B2434" s="64">
        <v>40221</v>
      </c>
      <c r="C2434" s="2">
        <v>1187880.7</v>
      </c>
      <c r="D2434">
        <v>1</v>
      </c>
      <c r="E2434" s="65">
        <v>26.41</v>
      </c>
      <c r="F2434" s="8">
        <v>2.771</v>
      </c>
      <c r="G2434" s="66">
        <v>131.5866129</v>
      </c>
      <c r="H2434" s="8">
        <v>9.202</v>
      </c>
      <c r="J2434" s="26"/>
      <c r="K2434"/>
    </row>
    <row r="2435" spans="1:11">
      <c r="A2435">
        <v>18</v>
      </c>
      <c r="B2435" s="64">
        <v>40228</v>
      </c>
      <c r="C2435" s="2">
        <v>1150663.42</v>
      </c>
      <c r="D2435">
        <v>0</v>
      </c>
      <c r="E2435" s="65">
        <v>30.91</v>
      </c>
      <c r="F2435" s="8">
        <v>2.747</v>
      </c>
      <c r="G2435" s="66">
        <v>131.637</v>
      </c>
      <c r="H2435" s="8">
        <v>9.202</v>
      </c>
      <c r="J2435" s="26"/>
      <c r="K2435"/>
    </row>
    <row r="2436" spans="1:11">
      <c r="A2436">
        <v>18</v>
      </c>
      <c r="B2436" s="64">
        <v>40235</v>
      </c>
      <c r="C2436" s="2">
        <v>1068157.45</v>
      </c>
      <c r="D2436">
        <v>0</v>
      </c>
      <c r="E2436" s="65">
        <v>35.42</v>
      </c>
      <c r="F2436" s="8">
        <v>2.753</v>
      </c>
      <c r="G2436" s="66">
        <v>131.686</v>
      </c>
      <c r="H2436" s="8">
        <v>9.202</v>
      </c>
      <c r="J2436" s="26"/>
      <c r="K2436"/>
    </row>
    <row r="2437" spans="1:11">
      <c r="A2437">
        <v>18</v>
      </c>
      <c r="B2437" s="64">
        <v>40242</v>
      </c>
      <c r="C2437" s="2">
        <v>1179738.5</v>
      </c>
      <c r="D2437">
        <v>0</v>
      </c>
      <c r="E2437" s="65">
        <v>37.17</v>
      </c>
      <c r="F2437" s="8">
        <v>2.766</v>
      </c>
      <c r="G2437" s="66">
        <v>131.735</v>
      </c>
      <c r="H2437" s="8">
        <v>9.202</v>
      </c>
      <c r="J2437" s="26"/>
      <c r="K2437"/>
    </row>
    <row r="2438" spans="1:11">
      <c r="A2438">
        <v>18</v>
      </c>
      <c r="B2438" s="64">
        <v>40249</v>
      </c>
      <c r="C2438" s="2">
        <v>1138800.32</v>
      </c>
      <c r="D2438">
        <v>0</v>
      </c>
      <c r="E2438" s="65">
        <v>42.39</v>
      </c>
      <c r="F2438" s="8">
        <v>2.805</v>
      </c>
      <c r="G2438" s="66">
        <v>131.784</v>
      </c>
      <c r="H2438" s="8">
        <v>9.202</v>
      </c>
      <c r="J2438" s="26"/>
      <c r="K2438"/>
    </row>
    <row r="2439" spans="1:11">
      <c r="A2439">
        <v>18</v>
      </c>
      <c r="B2439" s="64">
        <v>40256</v>
      </c>
      <c r="C2439" s="2">
        <v>1087507.47</v>
      </c>
      <c r="D2439">
        <v>0</v>
      </c>
      <c r="E2439" s="65">
        <v>45.42</v>
      </c>
      <c r="F2439" s="8">
        <v>2.834</v>
      </c>
      <c r="G2439" s="66">
        <v>131.8242903</v>
      </c>
      <c r="H2439" s="8">
        <v>9.202</v>
      </c>
      <c r="J2439" s="26"/>
      <c r="K2439"/>
    </row>
    <row r="2440" spans="1:11">
      <c r="A2440">
        <v>18</v>
      </c>
      <c r="B2440" s="64">
        <v>40263</v>
      </c>
      <c r="C2440" s="2">
        <v>1092704.09</v>
      </c>
      <c r="D2440">
        <v>0</v>
      </c>
      <c r="E2440" s="65">
        <v>47.55</v>
      </c>
      <c r="F2440" s="8">
        <v>2.831</v>
      </c>
      <c r="G2440" s="66">
        <v>131.863129</v>
      </c>
      <c r="H2440" s="8">
        <v>9.202</v>
      </c>
      <c r="J2440" s="26"/>
      <c r="K2440"/>
    </row>
    <row r="2441" spans="1:11">
      <c r="A2441">
        <v>18</v>
      </c>
      <c r="B2441" s="64">
        <v>40270</v>
      </c>
      <c r="C2441" s="2">
        <v>1254107.84</v>
      </c>
      <c r="D2441">
        <v>0</v>
      </c>
      <c r="E2441" s="65">
        <v>45.63</v>
      </c>
      <c r="F2441" s="8">
        <v>2.826</v>
      </c>
      <c r="G2441" s="66">
        <v>131.9019677</v>
      </c>
      <c r="H2441" s="8">
        <v>9.269</v>
      </c>
      <c r="J2441" s="26"/>
      <c r="K2441"/>
    </row>
    <row r="2442" spans="1:11">
      <c r="A2442">
        <v>18</v>
      </c>
      <c r="B2442" s="64">
        <v>40277</v>
      </c>
      <c r="C2442" s="2">
        <v>1174447.55</v>
      </c>
      <c r="D2442">
        <v>0</v>
      </c>
      <c r="E2442" s="65">
        <v>59.91</v>
      </c>
      <c r="F2442" s="8">
        <v>2.849</v>
      </c>
      <c r="G2442" s="66">
        <v>131.9408065</v>
      </c>
      <c r="H2442" s="8">
        <v>9.269</v>
      </c>
      <c r="J2442" s="26"/>
      <c r="K2442"/>
    </row>
    <row r="2443" spans="1:11">
      <c r="A2443">
        <v>18</v>
      </c>
      <c r="B2443" s="64">
        <v>40284</v>
      </c>
      <c r="C2443" s="2">
        <v>1135577.62</v>
      </c>
      <c r="D2443">
        <v>0</v>
      </c>
      <c r="E2443" s="65">
        <v>50.26</v>
      </c>
      <c r="F2443" s="8">
        <v>2.885</v>
      </c>
      <c r="G2443" s="66">
        <v>131.9809</v>
      </c>
      <c r="H2443" s="8">
        <v>9.269</v>
      </c>
      <c r="J2443" s="26"/>
      <c r="K2443"/>
    </row>
    <row r="2444" spans="1:11">
      <c r="A2444">
        <v>18</v>
      </c>
      <c r="B2444" s="64">
        <v>40291</v>
      </c>
      <c r="C2444" s="2">
        <v>1132433.55</v>
      </c>
      <c r="D2444">
        <v>0</v>
      </c>
      <c r="E2444" s="65">
        <v>50.3</v>
      </c>
      <c r="F2444" s="8">
        <v>2.895</v>
      </c>
      <c r="G2444" s="66">
        <v>132.0226667</v>
      </c>
      <c r="H2444" s="8">
        <v>9.269</v>
      </c>
      <c r="J2444" s="26"/>
      <c r="K2444"/>
    </row>
    <row r="2445" spans="1:11">
      <c r="A2445">
        <v>18</v>
      </c>
      <c r="B2445" s="64">
        <v>40298</v>
      </c>
      <c r="C2445" s="2">
        <v>1060446.16</v>
      </c>
      <c r="D2445">
        <v>0</v>
      </c>
      <c r="E2445" s="65">
        <v>51.12</v>
      </c>
      <c r="F2445" s="8">
        <v>2.935</v>
      </c>
      <c r="G2445" s="66">
        <v>132.0644333</v>
      </c>
      <c r="H2445" s="8">
        <v>9.269</v>
      </c>
      <c r="J2445" s="26"/>
      <c r="K2445"/>
    </row>
    <row r="2446" spans="1:11">
      <c r="A2446">
        <v>18</v>
      </c>
      <c r="B2446" s="64">
        <v>40305</v>
      </c>
      <c r="C2446" s="2">
        <v>1222255.47</v>
      </c>
      <c r="D2446">
        <v>0</v>
      </c>
      <c r="E2446" s="65">
        <v>65.64</v>
      </c>
      <c r="F2446" s="8">
        <v>2.981</v>
      </c>
      <c r="G2446" s="66">
        <v>132.1062</v>
      </c>
      <c r="H2446" s="8">
        <v>9.269</v>
      </c>
      <c r="J2446" s="26"/>
      <c r="K2446"/>
    </row>
    <row r="2447" spans="1:11">
      <c r="A2447">
        <v>18</v>
      </c>
      <c r="B2447" s="64">
        <v>40312</v>
      </c>
      <c r="C2447" s="2">
        <v>1092616.49</v>
      </c>
      <c r="D2447">
        <v>0</v>
      </c>
      <c r="E2447" s="65">
        <v>49.9</v>
      </c>
      <c r="F2447" s="8">
        <v>2.983</v>
      </c>
      <c r="G2447" s="66">
        <v>132.152129</v>
      </c>
      <c r="H2447" s="8">
        <v>9.269</v>
      </c>
      <c r="J2447" s="26"/>
      <c r="K2447"/>
    </row>
    <row r="2448" spans="1:11">
      <c r="A2448">
        <v>18</v>
      </c>
      <c r="B2448" s="64">
        <v>40319</v>
      </c>
      <c r="C2448" s="2">
        <v>1101621.36</v>
      </c>
      <c r="D2448">
        <v>0</v>
      </c>
      <c r="E2448" s="65">
        <v>60.27</v>
      </c>
      <c r="F2448" s="8">
        <v>2.961</v>
      </c>
      <c r="G2448" s="66">
        <v>132.2230323</v>
      </c>
      <c r="H2448" s="8">
        <v>9.269</v>
      </c>
      <c r="J2448" s="26"/>
      <c r="K2448"/>
    </row>
    <row r="2449" spans="1:11">
      <c r="A2449">
        <v>18</v>
      </c>
      <c r="B2449" s="64">
        <v>40326</v>
      </c>
      <c r="C2449" s="2">
        <v>1256282.79</v>
      </c>
      <c r="D2449">
        <v>0</v>
      </c>
      <c r="E2449" s="65">
        <v>69.12</v>
      </c>
      <c r="F2449" s="8">
        <v>2.906</v>
      </c>
      <c r="G2449" s="66">
        <v>132.2939355</v>
      </c>
      <c r="H2449" s="8">
        <v>9.269</v>
      </c>
      <c r="J2449" s="26"/>
      <c r="K2449"/>
    </row>
    <row r="2450" spans="1:11">
      <c r="A2450">
        <v>18</v>
      </c>
      <c r="B2450" s="64">
        <v>40333</v>
      </c>
      <c r="C2450" s="2">
        <v>1271311.76</v>
      </c>
      <c r="D2450">
        <v>0</v>
      </c>
      <c r="E2450" s="65">
        <v>70.28</v>
      </c>
      <c r="F2450" s="8">
        <v>2.857</v>
      </c>
      <c r="G2450" s="66">
        <v>132.3648387</v>
      </c>
      <c r="H2450" s="8">
        <v>9.269</v>
      </c>
      <c r="J2450" s="26"/>
      <c r="K2450"/>
    </row>
    <row r="2451" spans="1:11">
      <c r="A2451">
        <v>18</v>
      </c>
      <c r="B2451" s="64">
        <v>40340</v>
      </c>
      <c r="C2451" s="2">
        <v>1173521.82</v>
      </c>
      <c r="D2451">
        <v>0</v>
      </c>
      <c r="E2451" s="65">
        <v>64.08</v>
      </c>
      <c r="F2451" s="8">
        <v>2.83</v>
      </c>
      <c r="G2451" s="66">
        <v>132.4357419</v>
      </c>
      <c r="H2451" s="8">
        <v>9.269</v>
      </c>
      <c r="J2451" s="26"/>
      <c r="K2451"/>
    </row>
    <row r="2452" spans="1:11">
      <c r="A2452">
        <v>18</v>
      </c>
      <c r="B2452" s="64">
        <v>40347</v>
      </c>
      <c r="C2452" s="2">
        <v>1183225.92</v>
      </c>
      <c r="D2452">
        <v>0</v>
      </c>
      <c r="E2452" s="65">
        <v>65.96</v>
      </c>
      <c r="F2452" s="8">
        <v>2.805</v>
      </c>
      <c r="G2452" s="66">
        <v>132.4733333</v>
      </c>
      <c r="H2452" s="8">
        <v>9.269</v>
      </c>
      <c r="J2452" s="26"/>
      <c r="K2452"/>
    </row>
    <row r="2453" spans="1:11">
      <c r="A2453">
        <v>18</v>
      </c>
      <c r="B2453" s="64">
        <v>40354</v>
      </c>
      <c r="C2453" s="2">
        <v>1220983.17</v>
      </c>
      <c r="D2453">
        <v>0</v>
      </c>
      <c r="E2453" s="65">
        <v>74.04</v>
      </c>
      <c r="F2453" s="8">
        <v>2.81</v>
      </c>
      <c r="G2453" s="66">
        <v>132.4976</v>
      </c>
      <c r="H2453" s="8">
        <v>9.269</v>
      </c>
      <c r="J2453" s="26"/>
      <c r="K2453"/>
    </row>
    <row r="2454" spans="1:11">
      <c r="A2454">
        <v>18</v>
      </c>
      <c r="B2454" s="64">
        <v>40361</v>
      </c>
      <c r="C2454" s="2">
        <v>1257928.35</v>
      </c>
      <c r="D2454">
        <v>0</v>
      </c>
      <c r="E2454" s="65">
        <v>71.22</v>
      </c>
      <c r="F2454" s="8">
        <v>2.815</v>
      </c>
      <c r="G2454" s="66">
        <v>132.5218667</v>
      </c>
      <c r="H2454" s="8">
        <v>9.342</v>
      </c>
      <c r="J2454" s="26"/>
      <c r="K2454"/>
    </row>
    <row r="2455" spans="1:11">
      <c r="A2455">
        <v>18</v>
      </c>
      <c r="B2455" s="64">
        <v>40368</v>
      </c>
      <c r="C2455" s="2">
        <v>1171391.41</v>
      </c>
      <c r="D2455">
        <v>0</v>
      </c>
      <c r="E2455" s="65">
        <v>79.75</v>
      </c>
      <c r="F2455" s="8">
        <v>2.806</v>
      </c>
      <c r="G2455" s="66">
        <v>132.5461333</v>
      </c>
      <c r="H2455" s="8">
        <v>9.342</v>
      </c>
      <c r="J2455" s="26"/>
      <c r="K2455"/>
    </row>
    <row r="2456" spans="1:11">
      <c r="A2456">
        <v>18</v>
      </c>
      <c r="B2456" s="64">
        <v>40375</v>
      </c>
      <c r="C2456" s="2">
        <v>1115514.61</v>
      </c>
      <c r="D2456">
        <v>0</v>
      </c>
      <c r="E2456" s="65">
        <v>76.9</v>
      </c>
      <c r="F2456" s="8">
        <v>2.796</v>
      </c>
      <c r="G2456" s="66">
        <v>132.5667742</v>
      </c>
      <c r="H2456" s="8">
        <v>9.342</v>
      </c>
      <c r="J2456" s="26"/>
      <c r="K2456"/>
    </row>
    <row r="2457" spans="1:11">
      <c r="A2457">
        <v>18</v>
      </c>
      <c r="B2457" s="64">
        <v>40382</v>
      </c>
      <c r="C2457" s="2">
        <v>1032908.23</v>
      </c>
      <c r="D2457">
        <v>0</v>
      </c>
      <c r="E2457" s="65">
        <v>75.71</v>
      </c>
      <c r="F2457" s="8">
        <v>2.784</v>
      </c>
      <c r="G2457" s="66">
        <v>132.5825806</v>
      </c>
      <c r="H2457" s="8">
        <v>9.342</v>
      </c>
      <c r="J2457" s="26"/>
      <c r="K2457"/>
    </row>
    <row r="2458" spans="1:11">
      <c r="A2458">
        <v>18</v>
      </c>
      <c r="B2458" s="64">
        <v>40389</v>
      </c>
      <c r="C2458" s="2">
        <v>1078557.62</v>
      </c>
      <c r="D2458">
        <v>0</v>
      </c>
      <c r="E2458" s="65">
        <v>75.79</v>
      </c>
      <c r="F2458" s="8">
        <v>2.792</v>
      </c>
      <c r="G2458" s="66">
        <v>132.5983871</v>
      </c>
      <c r="H2458" s="8">
        <v>9.342</v>
      </c>
      <c r="J2458" s="26"/>
      <c r="K2458"/>
    </row>
    <row r="2459" spans="1:11">
      <c r="A2459">
        <v>18</v>
      </c>
      <c r="B2459" s="64">
        <v>40396</v>
      </c>
      <c r="C2459" s="2">
        <v>1166117.85</v>
      </c>
      <c r="D2459">
        <v>0</v>
      </c>
      <c r="E2459" s="65">
        <v>73.67</v>
      </c>
      <c r="F2459" s="8">
        <v>2.792</v>
      </c>
      <c r="G2459" s="66">
        <v>132.6141935</v>
      </c>
      <c r="H2459" s="8">
        <v>9.342</v>
      </c>
      <c r="J2459" s="26"/>
      <c r="K2459"/>
    </row>
    <row r="2460" spans="1:11">
      <c r="A2460">
        <v>18</v>
      </c>
      <c r="B2460" s="64">
        <v>40403</v>
      </c>
      <c r="C2460" s="2">
        <v>1084722.78</v>
      </c>
      <c r="D2460">
        <v>0</v>
      </c>
      <c r="E2460" s="65">
        <v>74.19</v>
      </c>
      <c r="F2460" s="8">
        <v>2.81</v>
      </c>
      <c r="G2460" s="66">
        <v>132.63</v>
      </c>
      <c r="H2460" s="8">
        <v>9.342</v>
      </c>
      <c r="J2460" s="26"/>
      <c r="K2460"/>
    </row>
    <row r="2461" spans="1:11">
      <c r="A2461">
        <v>18</v>
      </c>
      <c r="B2461" s="64">
        <v>40410</v>
      </c>
      <c r="C2461" s="2">
        <v>1141860.67</v>
      </c>
      <c r="D2461">
        <v>0</v>
      </c>
      <c r="E2461" s="65">
        <v>71.76</v>
      </c>
      <c r="F2461" s="8">
        <v>2.796</v>
      </c>
      <c r="G2461" s="66">
        <v>132.6616129</v>
      </c>
      <c r="H2461" s="8">
        <v>9.342</v>
      </c>
      <c r="J2461" s="26"/>
      <c r="K2461"/>
    </row>
    <row r="2462" spans="1:11">
      <c r="A2462">
        <v>18</v>
      </c>
      <c r="B2462" s="64">
        <v>40417</v>
      </c>
      <c r="C2462" s="2">
        <v>1214302.76</v>
      </c>
      <c r="D2462">
        <v>0</v>
      </c>
      <c r="E2462" s="65">
        <v>67.05</v>
      </c>
      <c r="F2462" s="8">
        <v>2.77</v>
      </c>
      <c r="G2462" s="66">
        <v>132.6932258</v>
      </c>
      <c r="H2462" s="8">
        <v>9.342</v>
      </c>
      <c r="J2462" s="26"/>
      <c r="K2462"/>
    </row>
    <row r="2463" spans="1:11">
      <c r="A2463">
        <v>18</v>
      </c>
      <c r="B2463" s="64">
        <v>40424</v>
      </c>
      <c r="C2463" s="2">
        <v>1187359.77</v>
      </c>
      <c r="D2463">
        <v>0</v>
      </c>
      <c r="E2463" s="65">
        <v>75.42</v>
      </c>
      <c r="F2463" s="8">
        <v>2.735</v>
      </c>
      <c r="G2463" s="66">
        <v>132.7248387</v>
      </c>
      <c r="H2463" s="8">
        <v>9.342</v>
      </c>
      <c r="J2463" s="26"/>
      <c r="K2463"/>
    </row>
    <row r="2464" spans="1:11">
      <c r="A2464">
        <v>18</v>
      </c>
      <c r="B2464" s="64">
        <v>40431</v>
      </c>
      <c r="C2464" s="2">
        <v>1011201.12</v>
      </c>
      <c r="D2464">
        <v>1</v>
      </c>
      <c r="E2464" s="65">
        <v>67.09</v>
      </c>
      <c r="F2464" s="8">
        <v>2.717</v>
      </c>
      <c r="G2464" s="66">
        <v>132.7564516</v>
      </c>
      <c r="H2464" s="8">
        <v>9.342</v>
      </c>
      <c r="J2464" s="26"/>
      <c r="K2464"/>
    </row>
    <row r="2465" spans="1:11">
      <c r="A2465">
        <v>18</v>
      </c>
      <c r="B2465" s="64">
        <v>40438</v>
      </c>
      <c r="C2465" s="2">
        <v>997998.21</v>
      </c>
      <c r="D2465">
        <v>0</v>
      </c>
      <c r="E2465" s="65">
        <v>60.94</v>
      </c>
      <c r="F2465" s="8">
        <v>2.716</v>
      </c>
      <c r="G2465" s="66">
        <v>132.7670667</v>
      </c>
      <c r="H2465" s="8">
        <v>9.342</v>
      </c>
      <c r="J2465" s="26"/>
      <c r="K2465"/>
    </row>
    <row r="2466" spans="1:11">
      <c r="A2466">
        <v>18</v>
      </c>
      <c r="B2466" s="64">
        <v>40445</v>
      </c>
      <c r="C2466" s="2">
        <v>950862.92</v>
      </c>
      <c r="D2466">
        <v>0</v>
      </c>
      <c r="E2466" s="65">
        <v>64.82</v>
      </c>
      <c r="F2466" s="8">
        <v>2.718</v>
      </c>
      <c r="G2466" s="66">
        <v>132.7619333</v>
      </c>
      <c r="H2466" s="8">
        <v>9.342</v>
      </c>
      <c r="J2466" s="26"/>
      <c r="K2466"/>
    </row>
    <row r="2467" spans="1:11">
      <c r="A2467">
        <v>18</v>
      </c>
      <c r="B2467" s="64">
        <v>40452</v>
      </c>
      <c r="C2467" s="2">
        <v>948977.5</v>
      </c>
      <c r="D2467">
        <v>0</v>
      </c>
      <c r="E2467" s="65">
        <v>67.76</v>
      </c>
      <c r="F2467" s="8">
        <v>2.717</v>
      </c>
      <c r="G2467" s="66">
        <v>132.7568</v>
      </c>
      <c r="H2467" s="8">
        <v>9.331</v>
      </c>
      <c r="J2467" s="26"/>
      <c r="K2467"/>
    </row>
    <row r="2468" spans="1:11">
      <c r="A2468">
        <v>18</v>
      </c>
      <c r="B2468" s="64">
        <v>40459</v>
      </c>
      <c r="C2468" s="2">
        <v>1107432.71</v>
      </c>
      <c r="D2468">
        <v>0</v>
      </c>
      <c r="E2468" s="65">
        <v>54.73</v>
      </c>
      <c r="F2468" s="8">
        <v>2.776</v>
      </c>
      <c r="G2468" s="66">
        <v>132.7516667</v>
      </c>
      <c r="H2468" s="8">
        <v>9.331</v>
      </c>
      <c r="J2468" s="26"/>
      <c r="K2468"/>
    </row>
    <row r="2469" spans="1:11">
      <c r="A2469">
        <v>18</v>
      </c>
      <c r="B2469" s="64">
        <v>40466</v>
      </c>
      <c r="C2469" s="2">
        <v>1029618.1</v>
      </c>
      <c r="D2469">
        <v>0</v>
      </c>
      <c r="E2469" s="65">
        <v>52.02</v>
      </c>
      <c r="F2469" s="8">
        <v>2.878</v>
      </c>
      <c r="G2469" s="66">
        <v>132.7633548</v>
      </c>
      <c r="H2469" s="8">
        <v>9.331</v>
      </c>
      <c r="J2469" s="26"/>
      <c r="K2469"/>
    </row>
    <row r="2470" spans="1:11">
      <c r="A2470">
        <v>18</v>
      </c>
      <c r="B2470" s="64">
        <v>40473</v>
      </c>
      <c r="C2470" s="2">
        <v>1052120.43</v>
      </c>
      <c r="D2470">
        <v>0</v>
      </c>
      <c r="E2470" s="65">
        <v>47.12</v>
      </c>
      <c r="F2470" s="8">
        <v>2.919</v>
      </c>
      <c r="G2470" s="66">
        <v>132.8170968</v>
      </c>
      <c r="H2470" s="8">
        <v>9.331</v>
      </c>
      <c r="J2470" s="26"/>
      <c r="K2470"/>
    </row>
    <row r="2471" spans="1:11">
      <c r="A2471">
        <v>18</v>
      </c>
      <c r="B2471" s="64">
        <v>40480</v>
      </c>
      <c r="C2471" s="2">
        <v>1038576.54</v>
      </c>
      <c r="D2471">
        <v>0</v>
      </c>
      <c r="E2471" s="65">
        <v>55.85</v>
      </c>
      <c r="F2471" s="8">
        <v>2.938</v>
      </c>
      <c r="G2471" s="66">
        <v>132.8708387</v>
      </c>
      <c r="H2471" s="8">
        <v>9.331</v>
      </c>
      <c r="J2471" s="26"/>
      <c r="K2471"/>
    </row>
    <row r="2472" spans="1:11">
      <c r="A2472">
        <v>18</v>
      </c>
      <c r="B2472" s="64">
        <v>40487</v>
      </c>
      <c r="C2472" s="2">
        <v>1089530.94</v>
      </c>
      <c r="D2472">
        <v>0</v>
      </c>
      <c r="E2472" s="65">
        <v>42.05</v>
      </c>
      <c r="F2472" s="8">
        <v>2.938</v>
      </c>
      <c r="G2472" s="66">
        <v>132.9245806</v>
      </c>
      <c r="H2472" s="8">
        <v>9.331</v>
      </c>
      <c r="J2472" s="26"/>
      <c r="K2472"/>
    </row>
    <row r="2473" spans="1:11">
      <c r="A2473">
        <v>18</v>
      </c>
      <c r="B2473" s="64">
        <v>40494</v>
      </c>
      <c r="C2473" s="2">
        <v>1081322.12</v>
      </c>
      <c r="D2473">
        <v>0</v>
      </c>
      <c r="E2473" s="65">
        <v>43.17</v>
      </c>
      <c r="F2473" s="8">
        <v>2.961</v>
      </c>
      <c r="G2473" s="66">
        <v>132.9783226</v>
      </c>
      <c r="H2473" s="8">
        <v>9.331</v>
      </c>
      <c r="J2473" s="26"/>
      <c r="K2473"/>
    </row>
    <row r="2474" spans="1:11">
      <c r="A2474">
        <v>18</v>
      </c>
      <c r="B2474" s="64">
        <v>40501</v>
      </c>
      <c r="C2474" s="2">
        <v>1045722.37</v>
      </c>
      <c r="D2474">
        <v>0</v>
      </c>
      <c r="E2474" s="65">
        <v>45.26</v>
      </c>
      <c r="F2474" s="8">
        <v>3.03</v>
      </c>
      <c r="G2474" s="66">
        <v>132.9172</v>
      </c>
      <c r="H2474" s="8">
        <v>9.331</v>
      </c>
      <c r="J2474" s="26"/>
      <c r="K2474"/>
    </row>
    <row r="2475" spans="1:11">
      <c r="A2475">
        <v>18</v>
      </c>
      <c r="B2475" s="64">
        <v>40508</v>
      </c>
      <c r="C2475" s="2">
        <v>1653759.36</v>
      </c>
      <c r="D2475">
        <v>1</v>
      </c>
      <c r="E2475" s="65">
        <v>40.81</v>
      </c>
      <c r="F2475" s="8">
        <v>3.07</v>
      </c>
      <c r="G2475" s="66">
        <v>132.8369333</v>
      </c>
      <c r="H2475" s="8">
        <v>9.331</v>
      </c>
      <c r="J2475" s="26"/>
      <c r="K2475"/>
    </row>
    <row r="2476" spans="1:11">
      <c r="A2476">
        <v>18</v>
      </c>
      <c r="B2476" s="64">
        <v>40515</v>
      </c>
      <c r="C2476" s="2">
        <v>1211026.13</v>
      </c>
      <c r="D2476">
        <v>0</v>
      </c>
      <c r="E2476" s="65">
        <v>37.09</v>
      </c>
      <c r="F2476" s="8">
        <v>3.065</v>
      </c>
      <c r="G2476" s="66">
        <v>132.7566667</v>
      </c>
      <c r="H2476" s="8">
        <v>9.331</v>
      </c>
      <c r="J2476" s="26"/>
      <c r="K2476"/>
    </row>
    <row r="2477" spans="1:11">
      <c r="A2477">
        <v>18</v>
      </c>
      <c r="B2477" s="64">
        <v>40522</v>
      </c>
      <c r="C2477" s="2">
        <v>1416168.98</v>
      </c>
      <c r="D2477">
        <v>0</v>
      </c>
      <c r="E2477" s="65">
        <v>25.64</v>
      </c>
      <c r="F2477" s="8">
        <v>3.132</v>
      </c>
      <c r="G2477" s="66">
        <v>132.6764</v>
      </c>
      <c r="H2477" s="8">
        <v>9.331</v>
      </c>
      <c r="J2477" s="26"/>
      <c r="K2477"/>
    </row>
    <row r="2478" spans="1:11">
      <c r="A2478">
        <v>18</v>
      </c>
      <c r="B2478" s="64">
        <v>40529</v>
      </c>
      <c r="C2478" s="2">
        <v>1588430.71</v>
      </c>
      <c r="D2478">
        <v>0</v>
      </c>
      <c r="E2478" s="65">
        <v>27.4</v>
      </c>
      <c r="F2478" s="8">
        <v>3.139</v>
      </c>
      <c r="G2478" s="66">
        <v>132.6804516</v>
      </c>
      <c r="H2478" s="8">
        <v>9.331</v>
      </c>
      <c r="J2478" s="26"/>
      <c r="K2478"/>
    </row>
    <row r="2479" spans="1:11">
      <c r="A2479">
        <v>18</v>
      </c>
      <c r="B2479" s="64">
        <v>40536</v>
      </c>
      <c r="C2479" s="2">
        <v>2027507.15</v>
      </c>
      <c r="D2479">
        <v>0</v>
      </c>
      <c r="E2479" s="65">
        <v>28.16</v>
      </c>
      <c r="F2479" s="8">
        <v>3.15</v>
      </c>
      <c r="G2479" s="66">
        <v>132.7477419</v>
      </c>
      <c r="H2479" s="8">
        <v>9.331</v>
      </c>
      <c r="J2479" s="26"/>
      <c r="K2479"/>
    </row>
    <row r="2480" spans="1:11">
      <c r="A2480">
        <v>18</v>
      </c>
      <c r="B2480" s="64">
        <v>40543</v>
      </c>
      <c r="C2480" s="2">
        <v>887907.01</v>
      </c>
      <c r="D2480">
        <v>1</v>
      </c>
      <c r="E2480" s="65">
        <v>26.1</v>
      </c>
      <c r="F2480" s="8">
        <v>3.177</v>
      </c>
      <c r="G2480" s="66">
        <v>132.8150323</v>
      </c>
      <c r="H2480" s="8">
        <v>9.331</v>
      </c>
      <c r="J2480" s="26"/>
      <c r="K2480"/>
    </row>
    <row r="2481" spans="1:11">
      <c r="A2481">
        <v>18</v>
      </c>
      <c r="B2481" s="64">
        <v>40550</v>
      </c>
      <c r="C2481" s="2">
        <v>933960.3</v>
      </c>
      <c r="D2481">
        <v>0</v>
      </c>
      <c r="E2481" s="65">
        <v>30.1</v>
      </c>
      <c r="F2481" s="8">
        <v>3.193</v>
      </c>
      <c r="G2481" s="66">
        <v>132.8823226</v>
      </c>
      <c r="H2481" s="8">
        <v>9.131</v>
      </c>
      <c r="J2481" s="26"/>
      <c r="K2481"/>
    </row>
    <row r="2482" spans="1:11">
      <c r="A2482">
        <v>18</v>
      </c>
      <c r="B2482" s="64">
        <v>40557</v>
      </c>
      <c r="C2482" s="2">
        <v>777175.28</v>
      </c>
      <c r="D2482">
        <v>0</v>
      </c>
      <c r="E2482" s="65">
        <v>22.69</v>
      </c>
      <c r="F2482" s="8">
        <v>3.215</v>
      </c>
      <c r="G2482" s="66">
        <v>132.9510645</v>
      </c>
      <c r="H2482" s="8">
        <v>9.131</v>
      </c>
      <c r="J2482" s="26"/>
      <c r="K2482"/>
    </row>
    <row r="2483" spans="1:11">
      <c r="A2483">
        <v>18</v>
      </c>
      <c r="B2483" s="64">
        <v>40564</v>
      </c>
      <c r="C2483" s="2">
        <v>891148.55</v>
      </c>
      <c r="D2483">
        <v>0</v>
      </c>
      <c r="E2483" s="65">
        <v>22.55</v>
      </c>
      <c r="F2483" s="8">
        <v>3.232</v>
      </c>
      <c r="G2483" s="66">
        <v>133.0285161</v>
      </c>
      <c r="H2483" s="8">
        <v>9.131</v>
      </c>
      <c r="J2483" s="26"/>
      <c r="K2483"/>
    </row>
    <row r="2484" spans="1:11">
      <c r="A2484">
        <v>18</v>
      </c>
      <c r="B2484" s="64">
        <v>40571</v>
      </c>
      <c r="C2484" s="2">
        <v>849540.85</v>
      </c>
      <c r="D2484">
        <v>0</v>
      </c>
      <c r="E2484" s="65">
        <v>14.84</v>
      </c>
      <c r="F2484" s="8">
        <v>3.243</v>
      </c>
      <c r="G2484" s="66">
        <v>133.1059677</v>
      </c>
      <c r="H2484" s="8">
        <v>9.131</v>
      </c>
      <c r="J2484" s="26"/>
      <c r="K2484"/>
    </row>
    <row r="2485" spans="1:11">
      <c r="A2485">
        <v>18</v>
      </c>
      <c r="B2485" s="64">
        <v>40578</v>
      </c>
      <c r="C2485" s="2">
        <v>1055841.24</v>
      </c>
      <c r="D2485">
        <v>0</v>
      </c>
      <c r="E2485" s="65">
        <v>20.79</v>
      </c>
      <c r="F2485" s="8">
        <v>3.24</v>
      </c>
      <c r="G2485" s="66">
        <v>133.1834194</v>
      </c>
      <c r="H2485" s="8">
        <v>9.131</v>
      </c>
      <c r="J2485" s="26"/>
      <c r="K2485"/>
    </row>
    <row r="2486" spans="1:11">
      <c r="A2486">
        <v>18</v>
      </c>
      <c r="B2486" s="64">
        <v>40585</v>
      </c>
      <c r="C2486" s="2">
        <v>1122053.58</v>
      </c>
      <c r="D2486">
        <v>1</v>
      </c>
      <c r="E2486" s="65">
        <v>24.3</v>
      </c>
      <c r="F2486" s="8">
        <v>3.255</v>
      </c>
      <c r="G2486" s="66">
        <v>133.260871</v>
      </c>
      <c r="H2486" s="8">
        <v>9.131</v>
      </c>
      <c r="J2486" s="26"/>
      <c r="K2486"/>
    </row>
    <row r="2487" spans="1:11">
      <c r="A2487">
        <v>18</v>
      </c>
      <c r="B2487" s="64">
        <v>40592</v>
      </c>
      <c r="C2487" s="2">
        <v>1095058.57</v>
      </c>
      <c r="D2487">
        <v>0</v>
      </c>
      <c r="E2487" s="65">
        <v>31.59</v>
      </c>
      <c r="F2487" s="8">
        <v>3.263</v>
      </c>
      <c r="G2487" s="66">
        <v>133.3701429</v>
      </c>
      <c r="H2487" s="8">
        <v>9.131</v>
      </c>
      <c r="J2487" s="26"/>
      <c r="K2487"/>
    </row>
    <row r="2488" spans="1:11">
      <c r="A2488">
        <v>18</v>
      </c>
      <c r="B2488" s="64">
        <v>40599</v>
      </c>
      <c r="C2488" s="2">
        <v>1005983.31</v>
      </c>
      <c r="D2488">
        <v>0</v>
      </c>
      <c r="E2488" s="65">
        <v>26.15</v>
      </c>
      <c r="F2488" s="8">
        <v>3.281</v>
      </c>
      <c r="G2488" s="66">
        <v>133.4921429</v>
      </c>
      <c r="H2488" s="8">
        <v>9.131</v>
      </c>
      <c r="J2488" s="26"/>
      <c r="K2488"/>
    </row>
    <row r="2489" spans="1:11">
      <c r="A2489">
        <v>18</v>
      </c>
      <c r="B2489" s="64">
        <v>40606</v>
      </c>
      <c r="C2489" s="2">
        <v>1063310.62</v>
      </c>
      <c r="D2489">
        <v>0</v>
      </c>
      <c r="E2489" s="65">
        <v>28.49</v>
      </c>
      <c r="F2489" s="8">
        <v>3.437</v>
      </c>
      <c r="G2489" s="66">
        <v>133.6141429</v>
      </c>
      <c r="H2489" s="8">
        <v>9.131</v>
      </c>
      <c r="J2489" s="26"/>
      <c r="K2489"/>
    </row>
    <row r="2490" spans="1:11">
      <c r="A2490">
        <v>18</v>
      </c>
      <c r="B2490" s="64">
        <v>40613</v>
      </c>
      <c r="C2490" s="2">
        <v>1002714.25</v>
      </c>
      <c r="D2490">
        <v>0</v>
      </c>
      <c r="E2490" s="65">
        <v>38.4</v>
      </c>
      <c r="F2490" s="8">
        <v>3.6</v>
      </c>
      <c r="G2490" s="66">
        <v>133.7361429</v>
      </c>
      <c r="H2490" s="8">
        <v>9.131</v>
      </c>
      <c r="J2490" s="26"/>
      <c r="K2490"/>
    </row>
    <row r="2491" spans="1:11">
      <c r="A2491">
        <v>18</v>
      </c>
      <c r="B2491" s="64">
        <v>40620</v>
      </c>
      <c r="C2491" s="2">
        <v>945889.59</v>
      </c>
      <c r="D2491">
        <v>0</v>
      </c>
      <c r="E2491" s="65">
        <v>41.12</v>
      </c>
      <c r="F2491" s="8">
        <v>3.634</v>
      </c>
      <c r="G2491" s="66">
        <v>133.8492258</v>
      </c>
      <c r="H2491" s="8">
        <v>9.131</v>
      </c>
      <c r="J2491" s="26"/>
      <c r="K2491"/>
    </row>
    <row r="2492" spans="1:11">
      <c r="A2492">
        <v>18</v>
      </c>
      <c r="B2492" s="64">
        <v>40627</v>
      </c>
      <c r="C2492" s="2">
        <v>944523.3</v>
      </c>
      <c r="D2492">
        <v>0</v>
      </c>
      <c r="E2492" s="65">
        <v>36.65</v>
      </c>
      <c r="F2492" s="8">
        <v>3.624</v>
      </c>
      <c r="G2492" s="66">
        <v>133.9587419</v>
      </c>
      <c r="H2492" s="8">
        <v>9.131</v>
      </c>
      <c r="J2492" s="26"/>
      <c r="K2492"/>
    </row>
    <row r="2493" spans="1:11">
      <c r="A2493">
        <v>18</v>
      </c>
      <c r="B2493" s="64">
        <v>40634</v>
      </c>
      <c r="C2493" s="2">
        <v>938083.17</v>
      </c>
      <c r="D2493">
        <v>0</v>
      </c>
      <c r="E2493" s="65">
        <v>35.06</v>
      </c>
      <c r="F2493" s="8">
        <v>3.638</v>
      </c>
      <c r="G2493" s="66">
        <v>134.0682581</v>
      </c>
      <c r="H2493" s="8">
        <v>8.975</v>
      </c>
      <c r="J2493" s="26"/>
      <c r="K2493"/>
    </row>
    <row r="2494" spans="1:11">
      <c r="A2494">
        <v>18</v>
      </c>
      <c r="B2494" s="64">
        <v>40641</v>
      </c>
      <c r="C2494" s="2">
        <v>1018541.3</v>
      </c>
      <c r="D2494">
        <v>0</v>
      </c>
      <c r="E2494" s="65">
        <v>43.32</v>
      </c>
      <c r="F2494" s="8">
        <v>3.72</v>
      </c>
      <c r="G2494" s="66">
        <v>134.1777742</v>
      </c>
      <c r="H2494" s="8">
        <v>8.975</v>
      </c>
      <c r="J2494" s="26"/>
      <c r="K2494"/>
    </row>
    <row r="2495" spans="1:11">
      <c r="A2495">
        <v>18</v>
      </c>
      <c r="B2495" s="64">
        <v>40648</v>
      </c>
      <c r="C2495" s="2">
        <v>988157.72</v>
      </c>
      <c r="D2495">
        <v>0</v>
      </c>
      <c r="E2495" s="65">
        <v>49.91</v>
      </c>
      <c r="F2495" s="8">
        <v>3.823</v>
      </c>
      <c r="G2495" s="66">
        <v>134.2784667</v>
      </c>
      <c r="H2495" s="8">
        <v>8.975</v>
      </c>
      <c r="J2495" s="26"/>
      <c r="K2495"/>
    </row>
    <row r="2496" spans="1:11">
      <c r="A2496">
        <v>18</v>
      </c>
      <c r="B2496" s="64">
        <v>40655</v>
      </c>
      <c r="C2496" s="2">
        <v>1105860.06</v>
      </c>
      <c r="D2496">
        <v>0</v>
      </c>
      <c r="E2496" s="65">
        <v>45.99</v>
      </c>
      <c r="F2496" s="8">
        <v>3.919</v>
      </c>
      <c r="G2496" s="66">
        <v>134.3571</v>
      </c>
      <c r="H2496" s="8">
        <v>8.975</v>
      </c>
      <c r="J2496" s="26"/>
      <c r="K2496"/>
    </row>
    <row r="2497" spans="1:11">
      <c r="A2497">
        <v>18</v>
      </c>
      <c r="B2497" s="64">
        <v>40662</v>
      </c>
      <c r="C2497" s="2">
        <v>974114.39</v>
      </c>
      <c r="D2497">
        <v>0</v>
      </c>
      <c r="E2497" s="65">
        <v>58.82</v>
      </c>
      <c r="F2497" s="8">
        <v>3.988</v>
      </c>
      <c r="G2497" s="66">
        <v>134.4357333</v>
      </c>
      <c r="H2497" s="8">
        <v>8.975</v>
      </c>
      <c r="J2497" s="26"/>
      <c r="K2497"/>
    </row>
    <row r="2498" spans="1:11">
      <c r="A2498">
        <v>18</v>
      </c>
      <c r="B2498" s="64">
        <v>40669</v>
      </c>
      <c r="C2498" s="2">
        <v>1065427.37</v>
      </c>
      <c r="D2498">
        <v>0</v>
      </c>
      <c r="E2498" s="65">
        <v>54.17</v>
      </c>
      <c r="F2498" s="8">
        <v>4.078</v>
      </c>
      <c r="G2498" s="66">
        <v>134.5143667</v>
      </c>
      <c r="H2498" s="8">
        <v>8.975</v>
      </c>
      <c r="J2498" s="26"/>
      <c r="K2498"/>
    </row>
    <row r="2499" spans="1:11">
      <c r="A2499">
        <v>18</v>
      </c>
      <c r="B2499" s="64">
        <v>40676</v>
      </c>
      <c r="C2499" s="2">
        <v>993172.98</v>
      </c>
      <c r="D2499">
        <v>0</v>
      </c>
      <c r="E2499" s="65">
        <v>58.48</v>
      </c>
      <c r="F2499" s="8">
        <v>4.095</v>
      </c>
      <c r="G2499" s="66">
        <v>134.593</v>
      </c>
      <c r="H2499" s="8">
        <v>8.975</v>
      </c>
      <c r="J2499" s="26"/>
      <c r="K2499"/>
    </row>
    <row r="2500" spans="1:11">
      <c r="A2500">
        <v>18</v>
      </c>
      <c r="B2500" s="64">
        <v>40683</v>
      </c>
      <c r="C2500" s="2">
        <v>994610.43</v>
      </c>
      <c r="D2500">
        <v>0</v>
      </c>
      <c r="E2500" s="65">
        <v>57.55</v>
      </c>
      <c r="F2500" s="8">
        <v>4.101</v>
      </c>
      <c r="G2500" s="66">
        <v>134.6803871</v>
      </c>
      <c r="H2500" s="8">
        <v>8.975</v>
      </c>
      <c r="J2500" s="26"/>
      <c r="K2500"/>
    </row>
    <row r="2501" spans="1:11">
      <c r="A2501">
        <v>18</v>
      </c>
      <c r="B2501" s="64">
        <v>40690</v>
      </c>
      <c r="C2501" s="2">
        <v>1065214.14</v>
      </c>
      <c r="D2501">
        <v>0</v>
      </c>
      <c r="E2501" s="65">
        <v>64.6</v>
      </c>
      <c r="F2501" s="8">
        <v>4.034</v>
      </c>
      <c r="G2501" s="66">
        <v>134.7677742</v>
      </c>
      <c r="H2501" s="8">
        <v>8.975</v>
      </c>
      <c r="J2501" s="26"/>
      <c r="K2501"/>
    </row>
    <row r="2502" spans="1:11">
      <c r="A2502">
        <v>18</v>
      </c>
      <c r="B2502" s="64">
        <v>40697</v>
      </c>
      <c r="C2502" s="2">
        <v>1178039</v>
      </c>
      <c r="D2502">
        <v>0</v>
      </c>
      <c r="E2502" s="65">
        <v>70.9</v>
      </c>
      <c r="F2502" s="8">
        <v>3.973</v>
      </c>
      <c r="G2502" s="66">
        <v>134.8551613</v>
      </c>
      <c r="H2502" s="8">
        <v>8.975</v>
      </c>
      <c r="J2502" s="26"/>
      <c r="K2502"/>
    </row>
    <row r="2503" spans="1:11">
      <c r="A2503">
        <v>18</v>
      </c>
      <c r="B2503" s="64">
        <v>40704</v>
      </c>
      <c r="C2503" s="2">
        <v>1044079.2</v>
      </c>
      <c r="D2503">
        <v>0</v>
      </c>
      <c r="E2503" s="65">
        <v>69.49</v>
      </c>
      <c r="F2503" s="8">
        <v>3.924</v>
      </c>
      <c r="G2503" s="66">
        <v>134.9425484</v>
      </c>
      <c r="H2503" s="8">
        <v>8.975</v>
      </c>
      <c r="J2503" s="26"/>
      <c r="K2503"/>
    </row>
    <row r="2504" spans="1:11">
      <c r="A2504">
        <v>18</v>
      </c>
      <c r="B2504" s="64">
        <v>40711</v>
      </c>
      <c r="C2504" s="2">
        <v>1045859.39</v>
      </c>
      <c r="D2504">
        <v>0</v>
      </c>
      <c r="E2504" s="65">
        <v>63.23</v>
      </c>
      <c r="F2504" s="8">
        <v>3.873</v>
      </c>
      <c r="G2504" s="66">
        <v>135.0837333</v>
      </c>
      <c r="H2504" s="8">
        <v>8.975</v>
      </c>
      <c r="J2504" s="26"/>
      <c r="K2504"/>
    </row>
    <row r="2505" spans="1:11">
      <c r="A2505">
        <v>18</v>
      </c>
      <c r="B2505" s="64">
        <v>40718</v>
      </c>
      <c r="C2505" s="2">
        <v>1056478.65</v>
      </c>
      <c r="D2505">
        <v>0</v>
      </c>
      <c r="E2505" s="65">
        <v>67.41</v>
      </c>
      <c r="F2505" s="8">
        <v>3.851</v>
      </c>
      <c r="G2505" s="66">
        <v>135.2652667</v>
      </c>
      <c r="H2505" s="8">
        <v>8.975</v>
      </c>
      <c r="J2505" s="26"/>
      <c r="K2505"/>
    </row>
    <row r="2506" spans="1:11">
      <c r="A2506">
        <v>18</v>
      </c>
      <c r="B2506" s="64">
        <v>40725</v>
      </c>
      <c r="C2506" s="2">
        <v>1087051.26</v>
      </c>
      <c r="D2506">
        <v>0</v>
      </c>
      <c r="E2506" s="65">
        <v>69.75</v>
      </c>
      <c r="F2506" s="8">
        <v>3.815</v>
      </c>
      <c r="G2506" s="66">
        <v>135.4468</v>
      </c>
      <c r="H2506" s="8">
        <v>8.89</v>
      </c>
      <c r="J2506" s="26"/>
      <c r="K2506"/>
    </row>
    <row r="2507" spans="1:11">
      <c r="A2507">
        <v>18</v>
      </c>
      <c r="B2507" s="64">
        <v>40732</v>
      </c>
      <c r="C2507" s="2">
        <v>1048802.62</v>
      </c>
      <c r="D2507">
        <v>0</v>
      </c>
      <c r="E2507" s="65">
        <v>73.12</v>
      </c>
      <c r="F2507" s="8">
        <v>3.784</v>
      </c>
      <c r="G2507" s="66">
        <v>135.6283333</v>
      </c>
      <c r="H2507" s="8">
        <v>8.89</v>
      </c>
      <c r="J2507" s="26"/>
      <c r="K2507"/>
    </row>
    <row r="2508" spans="1:11">
      <c r="A2508">
        <v>18</v>
      </c>
      <c r="B2508" s="64">
        <v>40739</v>
      </c>
      <c r="C2508" s="2">
        <v>974916.13</v>
      </c>
      <c r="D2508">
        <v>0</v>
      </c>
      <c r="E2508" s="65">
        <v>74.36</v>
      </c>
      <c r="F2508" s="8">
        <v>3.827</v>
      </c>
      <c r="G2508" s="66">
        <v>135.7837419</v>
      </c>
      <c r="H2508" s="8">
        <v>8.89</v>
      </c>
      <c r="J2508" s="26"/>
      <c r="K2508"/>
    </row>
    <row r="2509" spans="1:11">
      <c r="A2509">
        <v>18</v>
      </c>
      <c r="B2509" s="64">
        <v>40746</v>
      </c>
      <c r="C2509" s="2">
        <v>991262.46</v>
      </c>
      <c r="D2509">
        <v>0</v>
      </c>
      <c r="E2509" s="65">
        <v>78.68</v>
      </c>
      <c r="F2509" s="8">
        <v>3.882</v>
      </c>
      <c r="G2509" s="66">
        <v>135.8738387</v>
      </c>
      <c r="H2509" s="8">
        <v>8.89</v>
      </c>
      <c r="J2509" s="26"/>
      <c r="K2509"/>
    </row>
    <row r="2510" spans="1:11">
      <c r="A2510">
        <v>18</v>
      </c>
      <c r="B2510" s="64">
        <v>40753</v>
      </c>
      <c r="C2510" s="2">
        <v>954148.64</v>
      </c>
      <c r="D2510">
        <v>0</v>
      </c>
      <c r="E2510" s="65">
        <v>73.85</v>
      </c>
      <c r="F2510" s="8">
        <v>3.898</v>
      </c>
      <c r="G2510" s="66">
        <v>135.9639355</v>
      </c>
      <c r="H2510" s="8">
        <v>8.89</v>
      </c>
      <c r="J2510" s="26"/>
      <c r="K2510"/>
    </row>
    <row r="2511" spans="1:11">
      <c r="A2511">
        <v>18</v>
      </c>
      <c r="B2511" s="64">
        <v>40760</v>
      </c>
      <c r="C2511" s="2">
        <v>1002806.39</v>
      </c>
      <c r="D2511">
        <v>0</v>
      </c>
      <c r="E2511" s="65">
        <v>74.58</v>
      </c>
      <c r="F2511" s="8">
        <v>3.903</v>
      </c>
      <c r="G2511" s="66">
        <v>136.0540323</v>
      </c>
      <c r="H2511" s="8">
        <v>8.89</v>
      </c>
      <c r="J2511" s="26"/>
      <c r="K2511"/>
    </row>
    <row r="2512" spans="1:11">
      <c r="A2512">
        <v>18</v>
      </c>
      <c r="B2512" s="64">
        <v>40767</v>
      </c>
      <c r="C2512" s="2">
        <v>928470.83</v>
      </c>
      <c r="D2512">
        <v>0</v>
      </c>
      <c r="E2512" s="65">
        <v>73.57</v>
      </c>
      <c r="F2512" s="8">
        <v>3.88</v>
      </c>
      <c r="G2512" s="66">
        <v>136.144129</v>
      </c>
      <c r="H2512" s="8">
        <v>8.89</v>
      </c>
      <c r="J2512" s="26"/>
      <c r="K2512"/>
    </row>
    <row r="2513" spans="1:11">
      <c r="A2513">
        <v>18</v>
      </c>
      <c r="B2513" s="64">
        <v>40774</v>
      </c>
      <c r="C2513" s="2">
        <v>932679.79</v>
      </c>
      <c r="D2513">
        <v>0</v>
      </c>
      <c r="E2513" s="65">
        <v>69.24</v>
      </c>
      <c r="F2513" s="8">
        <v>3.82</v>
      </c>
      <c r="G2513" s="66">
        <v>136.183129</v>
      </c>
      <c r="H2513" s="8">
        <v>8.89</v>
      </c>
      <c r="J2513" s="26"/>
      <c r="K2513"/>
    </row>
    <row r="2514" spans="1:11">
      <c r="A2514">
        <v>18</v>
      </c>
      <c r="B2514" s="64">
        <v>40781</v>
      </c>
      <c r="C2514" s="2">
        <v>1147906.46</v>
      </c>
      <c r="D2514">
        <v>0</v>
      </c>
      <c r="E2514" s="65">
        <v>70.32</v>
      </c>
      <c r="F2514" s="8">
        <v>3.796</v>
      </c>
      <c r="G2514" s="66">
        <v>136.2136129</v>
      </c>
      <c r="H2514" s="8">
        <v>8.89</v>
      </c>
      <c r="J2514" s="26"/>
      <c r="K2514"/>
    </row>
    <row r="2515" spans="1:11">
      <c r="A2515">
        <v>18</v>
      </c>
      <c r="B2515" s="64">
        <v>40788</v>
      </c>
      <c r="C2515" s="2">
        <v>540922.94</v>
      </c>
      <c r="D2515">
        <v>0</v>
      </c>
      <c r="E2515" s="65">
        <v>68.23</v>
      </c>
      <c r="F2515" s="8">
        <v>3.784</v>
      </c>
      <c r="G2515" s="66">
        <v>136.2440968</v>
      </c>
      <c r="H2515" s="8">
        <v>8.89</v>
      </c>
      <c r="J2515" s="26"/>
      <c r="K2515"/>
    </row>
    <row r="2516" spans="1:11">
      <c r="A2516">
        <v>18</v>
      </c>
      <c r="B2516" s="64">
        <v>40795</v>
      </c>
      <c r="C2516" s="2">
        <v>951549.61</v>
      </c>
      <c r="D2516">
        <v>1</v>
      </c>
      <c r="E2516" s="65">
        <v>68.11</v>
      </c>
      <c r="F2516" s="8">
        <v>3.809</v>
      </c>
      <c r="G2516" s="66">
        <v>136.2745806</v>
      </c>
      <c r="H2516" s="8">
        <v>8.89</v>
      </c>
      <c r="J2516" s="26"/>
      <c r="K2516"/>
    </row>
    <row r="2517" spans="1:11">
      <c r="A2517">
        <v>18</v>
      </c>
      <c r="B2517" s="64">
        <v>40802</v>
      </c>
      <c r="C2517" s="2">
        <v>845715.37</v>
      </c>
      <c r="D2517">
        <v>0</v>
      </c>
      <c r="E2517" s="65">
        <v>66.23</v>
      </c>
      <c r="F2517" s="8">
        <v>3.809</v>
      </c>
      <c r="G2517" s="66">
        <v>136.3145</v>
      </c>
      <c r="H2517" s="8">
        <v>8.89</v>
      </c>
      <c r="J2517" s="26"/>
      <c r="K2517"/>
    </row>
    <row r="2518" spans="1:11">
      <c r="A2518">
        <v>18</v>
      </c>
      <c r="B2518" s="64">
        <v>40809</v>
      </c>
      <c r="C2518" s="2">
        <v>853073.17</v>
      </c>
      <c r="D2518">
        <v>0</v>
      </c>
      <c r="E2518" s="65">
        <v>60.44</v>
      </c>
      <c r="F2518" s="8">
        <v>3.758</v>
      </c>
      <c r="G2518" s="66">
        <v>136.367</v>
      </c>
      <c r="H2518" s="8">
        <v>8.89</v>
      </c>
      <c r="J2518" s="26"/>
      <c r="K2518"/>
    </row>
    <row r="2519" spans="1:11">
      <c r="A2519">
        <v>18</v>
      </c>
      <c r="B2519" s="64">
        <v>40816</v>
      </c>
      <c r="C2519" s="2">
        <v>847348.08</v>
      </c>
      <c r="D2519">
        <v>0</v>
      </c>
      <c r="E2519" s="65">
        <v>69.01</v>
      </c>
      <c r="F2519" s="8">
        <v>3.684</v>
      </c>
      <c r="G2519" s="66">
        <v>136.4195</v>
      </c>
      <c r="H2519" s="8">
        <v>8.89</v>
      </c>
      <c r="J2519" s="26"/>
      <c r="K2519"/>
    </row>
    <row r="2520" spans="1:11">
      <c r="A2520">
        <v>18</v>
      </c>
      <c r="B2520" s="64">
        <v>40823</v>
      </c>
      <c r="C2520" s="2">
        <v>1019741.1</v>
      </c>
      <c r="D2520">
        <v>0</v>
      </c>
      <c r="E2520" s="65">
        <v>54.65</v>
      </c>
      <c r="F2520" s="8">
        <v>3.633</v>
      </c>
      <c r="G2520" s="66">
        <v>136.472</v>
      </c>
      <c r="H2520" s="8">
        <v>8.471</v>
      </c>
      <c r="J2520" s="26"/>
      <c r="K2520"/>
    </row>
    <row r="2521" spans="1:11">
      <c r="A2521">
        <v>18</v>
      </c>
      <c r="B2521" s="64">
        <v>40830</v>
      </c>
      <c r="C2521" s="2">
        <v>953533.95</v>
      </c>
      <c r="D2521">
        <v>0</v>
      </c>
      <c r="E2521" s="65">
        <v>60.26</v>
      </c>
      <c r="F2521" s="8">
        <v>3.583</v>
      </c>
      <c r="G2521" s="66">
        <v>136.5150968</v>
      </c>
      <c r="H2521" s="8">
        <v>8.471</v>
      </c>
      <c r="J2521" s="26"/>
      <c r="K2521"/>
    </row>
    <row r="2522" spans="1:11">
      <c r="A2522">
        <v>18</v>
      </c>
      <c r="B2522" s="64">
        <v>40837</v>
      </c>
      <c r="C2522" s="2">
        <v>1048212.62</v>
      </c>
      <c r="D2522">
        <v>0</v>
      </c>
      <c r="E2522" s="65">
        <v>55.83</v>
      </c>
      <c r="F2522" s="8">
        <v>3.618</v>
      </c>
      <c r="G2522" s="66">
        <v>136.5017742</v>
      </c>
      <c r="H2522" s="8">
        <v>8.471</v>
      </c>
      <c r="J2522" s="26"/>
      <c r="K2522"/>
    </row>
    <row r="2523" spans="1:11">
      <c r="A2523">
        <v>18</v>
      </c>
      <c r="B2523" s="64">
        <v>40844</v>
      </c>
      <c r="C2523" s="2">
        <v>1106642.63</v>
      </c>
      <c r="D2523">
        <v>0</v>
      </c>
      <c r="E2523" s="65">
        <v>45.61</v>
      </c>
      <c r="F2523" s="8">
        <v>3.604</v>
      </c>
      <c r="G2523" s="66">
        <v>136.4884516</v>
      </c>
      <c r="H2523" s="8">
        <v>8.471</v>
      </c>
      <c r="J2523" s="26"/>
      <c r="K2523"/>
    </row>
    <row r="2524" spans="1:11">
      <c r="A2524">
        <v>18</v>
      </c>
      <c r="B2524" s="64">
        <v>40851</v>
      </c>
      <c r="C2524" s="2">
        <v>1100625.06</v>
      </c>
      <c r="D2524">
        <v>0</v>
      </c>
      <c r="E2524" s="65">
        <v>38.29</v>
      </c>
      <c r="F2524" s="8">
        <v>3.586</v>
      </c>
      <c r="G2524" s="66">
        <v>136.475129</v>
      </c>
      <c r="H2524" s="8">
        <v>8.471</v>
      </c>
      <c r="J2524" s="26"/>
      <c r="K2524"/>
    </row>
    <row r="2525" spans="1:11">
      <c r="A2525">
        <v>18</v>
      </c>
      <c r="B2525" s="64">
        <v>40858</v>
      </c>
      <c r="C2525" s="2">
        <v>1079931.63</v>
      </c>
      <c r="D2525">
        <v>0</v>
      </c>
      <c r="E2525" s="65">
        <v>45.69</v>
      </c>
      <c r="F2525" s="8">
        <v>3.57</v>
      </c>
      <c r="G2525" s="66">
        <v>136.4618065</v>
      </c>
      <c r="H2525" s="8">
        <v>8.471</v>
      </c>
      <c r="J2525" s="26"/>
      <c r="K2525"/>
    </row>
    <row r="2526" spans="1:11">
      <c r="A2526">
        <v>18</v>
      </c>
      <c r="B2526" s="64">
        <v>40865</v>
      </c>
      <c r="C2526" s="2">
        <v>1056992.18</v>
      </c>
      <c r="D2526">
        <v>0</v>
      </c>
      <c r="E2526" s="65">
        <v>47.88</v>
      </c>
      <c r="F2526" s="8">
        <v>3.571</v>
      </c>
      <c r="G2526" s="66">
        <v>136.4666667</v>
      </c>
      <c r="H2526" s="8">
        <v>8.471</v>
      </c>
      <c r="J2526" s="26"/>
      <c r="K2526"/>
    </row>
    <row r="2527" spans="1:11">
      <c r="A2527">
        <v>18</v>
      </c>
      <c r="B2527" s="64">
        <v>40872</v>
      </c>
      <c r="C2527" s="2">
        <v>1624170.99</v>
      </c>
      <c r="D2527">
        <v>1</v>
      </c>
      <c r="E2527" s="65">
        <v>41.97</v>
      </c>
      <c r="F2527" s="8">
        <v>3.536</v>
      </c>
      <c r="G2527" s="66">
        <v>136.4788</v>
      </c>
      <c r="H2527" s="8">
        <v>8.471</v>
      </c>
      <c r="J2527" s="26"/>
      <c r="K2527"/>
    </row>
    <row r="2528" spans="1:11">
      <c r="A2528">
        <v>18</v>
      </c>
      <c r="B2528" s="64">
        <v>40879</v>
      </c>
      <c r="C2528" s="2">
        <v>1188047.61</v>
      </c>
      <c r="D2528">
        <v>0</v>
      </c>
      <c r="E2528" s="65">
        <v>46.25</v>
      </c>
      <c r="F2528" s="8">
        <v>3.501</v>
      </c>
      <c r="G2528" s="66">
        <v>136.4909333</v>
      </c>
      <c r="H2528" s="8">
        <v>8.471</v>
      </c>
      <c r="J2528" s="26"/>
      <c r="K2528"/>
    </row>
    <row r="2529" spans="1:11">
      <c r="A2529">
        <v>18</v>
      </c>
      <c r="B2529" s="64">
        <v>40886</v>
      </c>
      <c r="C2529" s="2">
        <v>1368471.23</v>
      </c>
      <c r="D2529">
        <v>0</v>
      </c>
      <c r="E2529" s="65">
        <v>42.36</v>
      </c>
      <c r="F2529" s="8">
        <v>3.47</v>
      </c>
      <c r="G2529" s="66">
        <v>136.5030667</v>
      </c>
      <c r="H2529" s="8">
        <v>8.471</v>
      </c>
      <c r="J2529" s="26"/>
      <c r="K2529"/>
    </row>
    <row r="2530" spans="1:11">
      <c r="A2530">
        <v>18</v>
      </c>
      <c r="B2530" s="64">
        <v>40893</v>
      </c>
      <c r="C2530" s="2">
        <v>1516924.23</v>
      </c>
      <c r="D2530">
        <v>0</v>
      </c>
      <c r="E2530" s="65">
        <v>35.52</v>
      </c>
      <c r="F2530" s="8">
        <v>3.445</v>
      </c>
      <c r="G2530" s="66">
        <v>136.5335161</v>
      </c>
      <c r="H2530" s="8">
        <v>8.471</v>
      </c>
      <c r="J2530" s="26"/>
      <c r="K2530"/>
    </row>
    <row r="2531" spans="1:11">
      <c r="A2531">
        <v>18</v>
      </c>
      <c r="B2531" s="64">
        <v>40900</v>
      </c>
      <c r="C2531" s="2">
        <v>1882393.4</v>
      </c>
      <c r="D2531">
        <v>0</v>
      </c>
      <c r="E2531" s="65">
        <v>35.78</v>
      </c>
      <c r="F2531" s="8">
        <v>3.413</v>
      </c>
      <c r="G2531" s="66">
        <v>136.5883871</v>
      </c>
      <c r="H2531" s="8">
        <v>8.471</v>
      </c>
      <c r="J2531" s="26"/>
      <c r="K2531"/>
    </row>
    <row r="2532" spans="1:11">
      <c r="A2532">
        <v>18</v>
      </c>
      <c r="B2532" s="64">
        <v>40907</v>
      </c>
      <c r="C2532" s="2">
        <v>1010562.49</v>
      </c>
      <c r="D2532">
        <v>1</v>
      </c>
      <c r="E2532" s="65">
        <v>32.36</v>
      </c>
      <c r="F2532" s="8">
        <v>3.402</v>
      </c>
      <c r="G2532" s="66">
        <v>136.6432581</v>
      </c>
      <c r="H2532" s="8">
        <v>8.471</v>
      </c>
      <c r="J2532" s="26"/>
      <c r="K2532"/>
    </row>
    <row r="2533" spans="1:11">
      <c r="A2533">
        <v>18</v>
      </c>
      <c r="B2533" s="64">
        <v>40914</v>
      </c>
      <c r="C2533" s="2">
        <v>977286.07</v>
      </c>
      <c r="D2533">
        <v>0</v>
      </c>
      <c r="E2533" s="65">
        <v>31.27</v>
      </c>
      <c r="F2533" s="8">
        <v>3.439</v>
      </c>
      <c r="G2533" s="66">
        <v>136.698129</v>
      </c>
      <c r="H2533" s="8">
        <v>8.075</v>
      </c>
      <c r="J2533" s="26"/>
      <c r="K2533"/>
    </row>
    <row r="2534" spans="1:11">
      <c r="A2534">
        <v>18</v>
      </c>
      <c r="B2534" s="64">
        <v>40921</v>
      </c>
      <c r="C2534" s="2">
        <v>890130.25</v>
      </c>
      <c r="D2534">
        <v>0</v>
      </c>
      <c r="E2534" s="65">
        <v>35.25</v>
      </c>
      <c r="F2534" s="8">
        <v>3.523</v>
      </c>
      <c r="G2534" s="66">
        <v>136.753</v>
      </c>
      <c r="H2534" s="8">
        <v>8.075</v>
      </c>
      <c r="J2534" s="26"/>
      <c r="K2534"/>
    </row>
    <row r="2535" spans="1:11">
      <c r="A2535">
        <v>18</v>
      </c>
      <c r="B2535" s="64">
        <v>40928</v>
      </c>
      <c r="C2535" s="2">
        <v>937522.77</v>
      </c>
      <c r="D2535">
        <v>0</v>
      </c>
      <c r="E2535" s="65">
        <v>24.2</v>
      </c>
      <c r="F2535" s="8">
        <v>3.542</v>
      </c>
      <c r="G2535" s="66">
        <v>136.8564194</v>
      </c>
      <c r="H2535" s="8">
        <v>8.075</v>
      </c>
      <c r="J2535" s="26"/>
      <c r="K2535"/>
    </row>
    <row r="2536" spans="1:11">
      <c r="A2536">
        <v>18</v>
      </c>
      <c r="B2536" s="64">
        <v>40935</v>
      </c>
      <c r="C2536" s="2">
        <v>825584.22</v>
      </c>
      <c r="D2536">
        <v>0</v>
      </c>
      <c r="E2536" s="65">
        <v>30.44</v>
      </c>
      <c r="F2536" s="8">
        <v>3.568</v>
      </c>
      <c r="G2536" s="66">
        <v>136.9598387</v>
      </c>
      <c r="H2536" s="8">
        <v>8.075</v>
      </c>
      <c r="J2536" s="26"/>
      <c r="K2536"/>
    </row>
    <row r="2537" spans="1:11">
      <c r="A2537">
        <v>18</v>
      </c>
      <c r="B2537" s="64">
        <v>40942</v>
      </c>
      <c r="C2537" s="2">
        <v>1049772.04</v>
      </c>
      <c r="D2537">
        <v>0</v>
      </c>
      <c r="E2537" s="65">
        <v>37.62</v>
      </c>
      <c r="F2537" s="8">
        <v>3.633</v>
      </c>
      <c r="G2537" s="66">
        <v>137.0632581</v>
      </c>
      <c r="H2537" s="8">
        <v>8.075</v>
      </c>
      <c r="J2537" s="26"/>
      <c r="K2537"/>
    </row>
    <row r="2538" spans="1:11">
      <c r="A2538">
        <v>18</v>
      </c>
      <c r="B2538" s="64">
        <v>40949</v>
      </c>
      <c r="C2538" s="2">
        <v>1161615.51</v>
      </c>
      <c r="D2538">
        <v>1</v>
      </c>
      <c r="E2538" s="65">
        <v>32.83</v>
      </c>
      <c r="F2538" s="8">
        <v>3.655</v>
      </c>
      <c r="G2538" s="66">
        <v>137.1666774</v>
      </c>
      <c r="H2538" s="8">
        <v>8.075</v>
      </c>
      <c r="J2538" s="26"/>
      <c r="K2538"/>
    </row>
    <row r="2539" spans="1:11">
      <c r="A2539">
        <v>18</v>
      </c>
      <c r="B2539" s="64">
        <v>40956</v>
      </c>
      <c r="C2539" s="2">
        <v>1115985.81</v>
      </c>
      <c r="D2539">
        <v>0</v>
      </c>
      <c r="E2539" s="65">
        <v>32.87</v>
      </c>
      <c r="F2539" s="8">
        <v>3.703</v>
      </c>
      <c r="G2539" s="66">
        <v>137.2583103</v>
      </c>
      <c r="H2539" s="8">
        <v>8.075</v>
      </c>
      <c r="J2539" s="26"/>
      <c r="K2539"/>
    </row>
    <row r="2540" spans="1:11">
      <c r="A2540">
        <v>18</v>
      </c>
      <c r="B2540" s="64">
        <v>40963</v>
      </c>
      <c r="C2540" s="2">
        <v>1037861.11</v>
      </c>
      <c r="D2540">
        <v>0</v>
      </c>
      <c r="E2540" s="65">
        <v>36.34</v>
      </c>
      <c r="F2540" s="8">
        <v>3.751</v>
      </c>
      <c r="G2540" s="66">
        <v>137.3411034</v>
      </c>
      <c r="H2540" s="8">
        <v>8.075</v>
      </c>
      <c r="J2540" s="26"/>
      <c r="K2540"/>
    </row>
    <row r="2541" spans="1:11">
      <c r="A2541">
        <v>18</v>
      </c>
      <c r="B2541" s="64">
        <v>40970</v>
      </c>
      <c r="C2541" s="2">
        <v>1047178.91</v>
      </c>
      <c r="D2541">
        <v>0</v>
      </c>
      <c r="E2541" s="65">
        <v>33.59</v>
      </c>
      <c r="F2541" s="8">
        <v>3.827</v>
      </c>
      <c r="G2541" s="66">
        <v>137.4238966</v>
      </c>
      <c r="H2541" s="8">
        <v>8.075</v>
      </c>
      <c r="J2541" s="26"/>
      <c r="K2541"/>
    </row>
    <row r="2542" spans="1:11">
      <c r="A2542">
        <v>18</v>
      </c>
      <c r="B2542" s="64">
        <v>40977</v>
      </c>
      <c r="C2542" s="2">
        <v>1084894.47</v>
      </c>
      <c r="D2542">
        <v>0</v>
      </c>
      <c r="E2542" s="65">
        <v>38.1</v>
      </c>
      <c r="F2542" s="8">
        <v>3.876</v>
      </c>
      <c r="G2542" s="66">
        <v>137.5066897</v>
      </c>
      <c r="H2542" s="8">
        <v>8.075</v>
      </c>
      <c r="J2542" s="26"/>
      <c r="K2542"/>
    </row>
    <row r="2543" spans="1:11">
      <c r="A2543">
        <v>18</v>
      </c>
      <c r="B2543" s="64">
        <v>40984</v>
      </c>
      <c r="C2543" s="2">
        <v>1022018.43</v>
      </c>
      <c r="D2543">
        <v>0</v>
      </c>
      <c r="E2543" s="65">
        <v>45.84</v>
      </c>
      <c r="F2543" s="8">
        <v>3.867</v>
      </c>
      <c r="G2543" s="66">
        <v>137.5843871</v>
      </c>
      <c r="H2543" s="8">
        <v>8.075</v>
      </c>
      <c r="J2543" s="26"/>
      <c r="K2543"/>
    </row>
    <row r="2544" spans="1:11">
      <c r="A2544">
        <v>18</v>
      </c>
      <c r="B2544" s="64">
        <v>40991</v>
      </c>
      <c r="C2544" s="2">
        <v>1031139.3</v>
      </c>
      <c r="D2544">
        <v>0</v>
      </c>
      <c r="E2544" s="65">
        <v>58.06</v>
      </c>
      <c r="F2544" s="8">
        <v>3.889</v>
      </c>
      <c r="G2544" s="66">
        <v>137.6552903</v>
      </c>
      <c r="H2544" s="8">
        <v>8.075</v>
      </c>
      <c r="J2544" s="26"/>
      <c r="K2544"/>
    </row>
    <row r="2545" spans="1:11">
      <c r="A2545">
        <v>18</v>
      </c>
      <c r="B2545" s="64">
        <v>40998</v>
      </c>
      <c r="C2545" s="2">
        <v>1009121.2</v>
      </c>
      <c r="D2545">
        <v>0</v>
      </c>
      <c r="E2545" s="65">
        <v>45.35</v>
      </c>
      <c r="F2545" s="8">
        <v>3.921</v>
      </c>
      <c r="G2545" s="66">
        <v>137.7261935</v>
      </c>
      <c r="H2545" s="8">
        <v>8.075</v>
      </c>
      <c r="J2545" s="26"/>
      <c r="K2545"/>
    </row>
    <row r="2546" spans="1:11">
      <c r="A2546">
        <v>18</v>
      </c>
      <c r="B2546" s="64">
        <v>41005</v>
      </c>
      <c r="C2546" s="2">
        <v>1200815.3</v>
      </c>
      <c r="D2546">
        <v>0</v>
      </c>
      <c r="E2546" s="65">
        <v>43.8</v>
      </c>
      <c r="F2546" s="8">
        <v>3.957</v>
      </c>
      <c r="G2546" s="66">
        <v>137.7970968</v>
      </c>
      <c r="H2546" s="8">
        <v>8.304</v>
      </c>
      <c r="J2546" s="26"/>
      <c r="K2546"/>
    </row>
    <row r="2547" spans="1:11">
      <c r="A2547">
        <v>18</v>
      </c>
      <c r="B2547" s="64">
        <v>41012</v>
      </c>
      <c r="C2547" s="2">
        <v>998443.5</v>
      </c>
      <c r="D2547">
        <v>0</v>
      </c>
      <c r="E2547" s="65">
        <v>47.75</v>
      </c>
      <c r="F2547" s="8">
        <v>4.025</v>
      </c>
      <c r="G2547" s="66">
        <v>137.868</v>
      </c>
      <c r="H2547" s="8">
        <v>8.304</v>
      </c>
      <c r="J2547" s="26"/>
      <c r="K2547"/>
    </row>
    <row r="2548" spans="1:11">
      <c r="A2548">
        <v>18</v>
      </c>
      <c r="B2548" s="64">
        <v>41019</v>
      </c>
      <c r="C2548" s="2">
        <v>1025813.8</v>
      </c>
      <c r="D2548">
        <v>0</v>
      </c>
      <c r="E2548" s="65">
        <v>60.88</v>
      </c>
      <c r="F2548" s="8">
        <v>4.046</v>
      </c>
      <c r="G2548" s="66">
        <v>137.9230667</v>
      </c>
      <c r="H2548" s="8">
        <v>8.304</v>
      </c>
      <c r="J2548" s="26"/>
      <c r="K2548"/>
    </row>
    <row r="2549" spans="1:11">
      <c r="A2549">
        <v>18</v>
      </c>
      <c r="B2549" s="64">
        <v>41026</v>
      </c>
      <c r="C2549" s="2">
        <v>961186.23</v>
      </c>
      <c r="D2549">
        <v>0</v>
      </c>
      <c r="E2549" s="65">
        <v>50.43</v>
      </c>
      <c r="F2549" s="8">
        <v>4.023</v>
      </c>
      <c r="G2549" s="66">
        <v>137.9781333</v>
      </c>
      <c r="H2549" s="8">
        <v>8.304</v>
      </c>
      <c r="J2549" s="26"/>
      <c r="K2549"/>
    </row>
    <row r="2550" spans="1:11">
      <c r="A2550">
        <v>18</v>
      </c>
      <c r="B2550" s="64">
        <v>41033</v>
      </c>
      <c r="C2550" s="2">
        <v>1050027.89</v>
      </c>
      <c r="D2550">
        <v>0</v>
      </c>
      <c r="E2550" s="65">
        <v>49.66</v>
      </c>
      <c r="F2550" s="8">
        <v>3.991</v>
      </c>
      <c r="G2550" s="66">
        <v>138.0332</v>
      </c>
      <c r="H2550" s="8">
        <v>8.304</v>
      </c>
      <c r="J2550" s="26"/>
      <c r="K2550"/>
    </row>
    <row r="2551" spans="1:11">
      <c r="A2551">
        <v>18</v>
      </c>
      <c r="B2551" s="64">
        <v>41040</v>
      </c>
      <c r="C2551" s="2">
        <v>1060433.1</v>
      </c>
      <c r="D2551">
        <v>0</v>
      </c>
      <c r="E2551" s="65">
        <v>57.44</v>
      </c>
      <c r="F2551" s="8">
        <v>3.947</v>
      </c>
      <c r="G2551" s="66">
        <v>138.0882667</v>
      </c>
      <c r="H2551" s="8">
        <v>8.304</v>
      </c>
      <c r="J2551" s="26"/>
      <c r="K2551"/>
    </row>
    <row r="2552" spans="1:11">
      <c r="A2552">
        <v>18</v>
      </c>
      <c r="B2552" s="64">
        <v>41047</v>
      </c>
      <c r="C2552" s="2">
        <v>1047444.59</v>
      </c>
      <c r="D2552">
        <v>0</v>
      </c>
      <c r="E2552" s="65">
        <v>62.31</v>
      </c>
      <c r="F2552" s="8">
        <v>3.899</v>
      </c>
      <c r="G2552" s="66">
        <v>138.1065806</v>
      </c>
      <c r="H2552" s="8">
        <v>8.304</v>
      </c>
      <c r="J2552" s="26"/>
      <c r="K2552"/>
    </row>
    <row r="2553" spans="1:11">
      <c r="A2553">
        <v>18</v>
      </c>
      <c r="B2553" s="64">
        <v>41054</v>
      </c>
      <c r="C2553" s="2">
        <v>1088446.58</v>
      </c>
      <c r="D2553">
        <v>0</v>
      </c>
      <c r="E2553" s="65">
        <v>65.48</v>
      </c>
      <c r="F2553" s="8">
        <v>3.85</v>
      </c>
      <c r="G2553" s="66">
        <v>138.1101935</v>
      </c>
      <c r="H2553" s="8">
        <v>8.304</v>
      </c>
      <c r="J2553" s="26"/>
      <c r="K2553"/>
    </row>
    <row r="2554" spans="1:11">
      <c r="A2554">
        <v>18</v>
      </c>
      <c r="B2554" s="64">
        <v>41061</v>
      </c>
      <c r="C2554" s="2">
        <v>1118313.7</v>
      </c>
      <c r="D2554">
        <v>0</v>
      </c>
      <c r="E2554" s="65">
        <v>71.42</v>
      </c>
      <c r="F2554" s="8">
        <v>3.798</v>
      </c>
      <c r="G2554" s="66">
        <v>138.1138065</v>
      </c>
      <c r="H2554" s="8">
        <v>8.304</v>
      </c>
      <c r="J2554" s="26"/>
      <c r="K2554"/>
    </row>
    <row r="2555" spans="1:11">
      <c r="A2555">
        <v>18</v>
      </c>
      <c r="B2555" s="64">
        <v>41068</v>
      </c>
      <c r="C2555" s="2">
        <v>1110479.94</v>
      </c>
      <c r="D2555">
        <v>0</v>
      </c>
      <c r="E2555" s="65">
        <v>59.1</v>
      </c>
      <c r="F2555" s="8">
        <v>3.746</v>
      </c>
      <c r="G2555" s="66">
        <v>138.1174194</v>
      </c>
      <c r="H2555" s="8">
        <v>8.304</v>
      </c>
      <c r="J2555" s="26"/>
      <c r="K2555"/>
    </row>
    <row r="2556" spans="1:11">
      <c r="A2556">
        <v>18</v>
      </c>
      <c r="B2556" s="64">
        <v>41075</v>
      </c>
      <c r="C2556" s="2">
        <v>1057425.83</v>
      </c>
      <c r="D2556">
        <v>0</v>
      </c>
      <c r="E2556" s="65">
        <v>66.58</v>
      </c>
      <c r="F2556" s="8">
        <v>3.683</v>
      </c>
      <c r="G2556" s="66">
        <v>138.1295333</v>
      </c>
      <c r="H2556" s="8">
        <v>8.304</v>
      </c>
      <c r="J2556" s="26"/>
      <c r="K2556"/>
    </row>
    <row r="2557" spans="1:11">
      <c r="A2557">
        <v>18</v>
      </c>
      <c r="B2557" s="64">
        <v>41082</v>
      </c>
      <c r="C2557" s="2">
        <v>1080357.89</v>
      </c>
      <c r="D2557">
        <v>0</v>
      </c>
      <c r="E2557" s="65">
        <v>70.92</v>
      </c>
      <c r="F2557" s="8">
        <v>3.629</v>
      </c>
      <c r="G2557" s="66">
        <v>138.1629</v>
      </c>
      <c r="H2557" s="8">
        <v>8.304</v>
      </c>
      <c r="J2557" s="26"/>
      <c r="K2557"/>
    </row>
    <row r="2558" spans="1:11">
      <c r="A2558">
        <v>18</v>
      </c>
      <c r="B2558" s="64">
        <v>41089</v>
      </c>
      <c r="C2558" s="2">
        <v>1097006.3</v>
      </c>
      <c r="D2558">
        <v>0</v>
      </c>
      <c r="E2558" s="65">
        <v>70.17</v>
      </c>
      <c r="F2558" s="8">
        <v>3.577</v>
      </c>
      <c r="G2558" s="66">
        <v>138.1962667</v>
      </c>
      <c r="H2558" s="8">
        <v>8.304</v>
      </c>
      <c r="J2558" s="26"/>
      <c r="K2558"/>
    </row>
    <row r="2559" spans="1:11">
      <c r="A2559">
        <v>18</v>
      </c>
      <c r="B2559" s="64">
        <v>41096</v>
      </c>
      <c r="C2559" s="2">
        <v>1158247.31</v>
      </c>
      <c r="D2559">
        <v>0</v>
      </c>
      <c r="E2559" s="65">
        <v>76.08</v>
      </c>
      <c r="F2559" s="8">
        <v>3.538</v>
      </c>
      <c r="G2559" s="66">
        <v>138.2296333</v>
      </c>
      <c r="H2559" s="8">
        <v>8.535</v>
      </c>
      <c r="J2559" s="26"/>
      <c r="K2559"/>
    </row>
    <row r="2560" spans="1:11">
      <c r="A2560">
        <v>18</v>
      </c>
      <c r="B2560" s="64">
        <v>41103</v>
      </c>
      <c r="C2560" s="2">
        <v>1024784.92</v>
      </c>
      <c r="D2560">
        <v>0</v>
      </c>
      <c r="E2560" s="65">
        <v>75.09</v>
      </c>
      <c r="F2560" s="8">
        <v>3.561</v>
      </c>
      <c r="G2560" s="66">
        <v>138.263</v>
      </c>
      <c r="H2560" s="8">
        <v>8.535</v>
      </c>
      <c r="J2560" s="26"/>
      <c r="K2560"/>
    </row>
    <row r="2561" spans="1:11">
      <c r="A2561">
        <v>18</v>
      </c>
      <c r="B2561" s="64">
        <v>41110</v>
      </c>
      <c r="C2561" s="2">
        <v>1033543.56</v>
      </c>
      <c r="D2561">
        <v>0</v>
      </c>
      <c r="E2561" s="65">
        <v>77.43</v>
      </c>
      <c r="F2561" s="8">
        <v>3.61</v>
      </c>
      <c r="G2561" s="66">
        <v>138.2331935</v>
      </c>
      <c r="H2561" s="8">
        <v>8.535</v>
      </c>
      <c r="J2561" s="26"/>
      <c r="K2561"/>
    </row>
    <row r="2562" spans="1:11">
      <c r="A2562">
        <v>18</v>
      </c>
      <c r="B2562" s="64">
        <v>41117</v>
      </c>
      <c r="C2562" s="2">
        <v>924506.26</v>
      </c>
      <c r="D2562">
        <v>0</v>
      </c>
      <c r="E2562" s="65">
        <v>72.97</v>
      </c>
      <c r="F2562" s="8">
        <v>3.701</v>
      </c>
      <c r="G2562" s="66">
        <v>138.2033871</v>
      </c>
      <c r="H2562" s="8">
        <v>8.535</v>
      </c>
      <c r="J2562" s="26"/>
      <c r="K2562"/>
    </row>
    <row r="2563" spans="1:11">
      <c r="A2563">
        <v>18</v>
      </c>
      <c r="B2563" s="64">
        <v>41124</v>
      </c>
      <c r="C2563" s="2">
        <v>1052066.58</v>
      </c>
      <c r="D2563">
        <v>0</v>
      </c>
      <c r="E2563" s="65">
        <v>72.67</v>
      </c>
      <c r="F2563" s="8">
        <v>3.698</v>
      </c>
      <c r="G2563" s="66">
        <v>138.1735806</v>
      </c>
      <c r="H2563" s="8">
        <v>8.535</v>
      </c>
      <c r="J2563" s="26"/>
      <c r="K2563"/>
    </row>
    <row r="2564" spans="1:11">
      <c r="A2564">
        <v>18</v>
      </c>
      <c r="B2564" s="64">
        <v>41131</v>
      </c>
      <c r="C2564" s="2">
        <v>967304.07</v>
      </c>
      <c r="D2564">
        <v>0</v>
      </c>
      <c r="E2564" s="65">
        <v>75.7</v>
      </c>
      <c r="F2564" s="8">
        <v>3.772</v>
      </c>
      <c r="G2564" s="66">
        <v>138.1437742</v>
      </c>
      <c r="H2564" s="8">
        <v>8.535</v>
      </c>
      <c r="J2564" s="26"/>
      <c r="K2564"/>
    </row>
    <row r="2565" spans="1:11">
      <c r="A2565">
        <v>18</v>
      </c>
      <c r="B2565" s="64">
        <v>41138</v>
      </c>
      <c r="C2565" s="2">
        <v>1048134.24</v>
      </c>
      <c r="D2565">
        <v>0</v>
      </c>
      <c r="E2565" s="65">
        <v>73.25</v>
      </c>
      <c r="F2565" s="8">
        <v>3.84</v>
      </c>
      <c r="G2565" s="66">
        <v>138.1857097</v>
      </c>
      <c r="H2565" s="8">
        <v>8.535</v>
      </c>
      <c r="J2565" s="26"/>
      <c r="K2565"/>
    </row>
    <row r="2566" spans="1:11">
      <c r="A2566">
        <v>18</v>
      </c>
      <c r="B2566" s="64">
        <v>41145</v>
      </c>
      <c r="C2566" s="2">
        <v>1145840.91</v>
      </c>
      <c r="D2566">
        <v>0</v>
      </c>
      <c r="E2566" s="65">
        <v>68.52</v>
      </c>
      <c r="F2566" s="8">
        <v>3.874</v>
      </c>
      <c r="G2566" s="66">
        <v>138.2814516</v>
      </c>
      <c r="H2566" s="8">
        <v>8.535</v>
      </c>
      <c r="J2566" s="26"/>
      <c r="K2566"/>
    </row>
    <row r="2567" spans="1:11">
      <c r="A2567">
        <v>18</v>
      </c>
      <c r="B2567" s="64">
        <v>41152</v>
      </c>
      <c r="C2567" s="2">
        <v>1117097.23</v>
      </c>
      <c r="D2567">
        <v>0</v>
      </c>
      <c r="E2567" s="65">
        <v>70.09</v>
      </c>
      <c r="F2567" s="8">
        <v>3.884</v>
      </c>
      <c r="G2567" s="66">
        <v>138.3771935</v>
      </c>
      <c r="H2567" s="8">
        <v>8.535</v>
      </c>
      <c r="J2567" s="26"/>
      <c r="K2567"/>
    </row>
    <row r="2568" spans="1:11">
      <c r="A2568">
        <v>18</v>
      </c>
      <c r="B2568" s="64">
        <v>41159</v>
      </c>
      <c r="C2568" s="2">
        <v>1083521.24</v>
      </c>
      <c r="D2568">
        <v>1</v>
      </c>
      <c r="E2568" s="65">
        <v>71.85</v>
      </c>
      <c r="F2568" s="8">
        <v>3.921</v>
      </c>
      <c r="G2568" s="66">
        <v>138.4729355</v>
      </c>
      <c r="H2568" s="8">
        <v>8.535</v>
      </c>
      <c r="J2568" s="26"/>
      <c r="K2568"/>
    </row>
    <row r="2569" spans="1:11">
      <c r="A2569">
        <v>18</v>
      </c>
      <c r="B2569" s="64">
        <v>41166</v>
      </c>
      <c r="C2569" s="2">
        <v>960476.1</v>
      </c>
      <c r="D2569">
        <v>0</v>
      </c>
      <c r="E2569" s="65">
        <v>64.45</v>
      </c>
      <c r="F2569" s="8">
        <v>3.988</v>
      </c>
      <c r="G2569" s="66">
        <v>138.5673</v>
      </c>
      <c r="H2569" s="8">
        <v>8.535</v>
      </c>
      <c r="J2569" s="26"/>
      <c r="K2569"/>
    </row>
    <row r="2570" spans="1:11">
      <c r="A2570">
        <v>18</v>
      </c>
      <c r="B2570" s="64">
        <v>41173</v>
      </c>
      <c r="C2570" s="2">
        <v>971386.65</v>
      </c>
      <c r="D2570">
        <v>0</v>
      </c>
      <c r="E2570" s="65">
        <v>60.23</v>
      </c>
      <c r="F2570" s="8">
        <v>4.056</v>
      </c>
      <c r="G2570" s="66">
        <v>138.6534</v>
      </c>
      <c r="H2570" s="8">
        <v>8.535</v>
      </c>
      <c r="J2570" s="26"/>
      <c r="K2570"/>
    </row>
    <row r="2571" spans="1:11">
      <c r="A2571">
        <v>18</v>
      </c>
      <c r="B2571" s="64">
        <v>41180</v>
      </c>
      <c r="C2571" s="2">
        <v>1002856.2</v>
      </c>
      <c r="D2571">
        <v>0</v>
      </c>
      <c r="E2571" s="65">
        <v>58.24</v>
      </c>
      <c r="F2571" s="8">
        <v>4.018</v>
      </c>
      <c r="G2571" s="66">
        <v>138.7395</v>
      </c>
      <c r="H2571" s="8">
        <v>8.535</v>
      </c>
      <c r="J2571" s="26"/>
      <c r="K2571"/>
    </row>
    <row r="2572" spans="1:11">
      <c r="A2572">
        <v>18</v>
      </c>
      <c r="B2572" s="64">
        <v>41187</v>
      </c>
      <c r="C2572" s="2">
        <v>1092204.79</v>
      </c>
      <c r="D2572">
        <v>0</v>
      </c>
      <c r="E2572" s="65">
        <v>59.68</v>
      </c>
      <c r="F2572" s="8">
        <v>4.027</v>
      </c>
      <c r="G2572" s="66">
        <v>138.8256</v>
      </c>
      <c r="H2572" s="8">
        <v>8.243</v>
      </c>
      <c r="J2572" s="26"/>
      <c r="K2572"/>
    </row>
    <row r="2573" spans="1:11">
      <c r="A2573">
        <v>18</v>
      </c>
      <c r="B2573" s="64">
        <v>41194</v>
      </c>
      <c r="C2573" s="2">
        <v>1074079</v>
      </c>
      <c r="D2573">
        <v>0</v>
      </c>
      <c r="E2573" s="65">
        <v>50.97</v>
      </c>
      <c r="F2573" s="8">
        <v>4.029</v>
      </c>
      <c r="G2573" s="66">
        <v>138.9117</v>
      </c>
      <c r="H2573" s="8">
        <v>8.243</v>
      </c>
      <c r="J2573" s="26"/>
      <c r="K2573"/>
    </row>
    <row r="2574" spans="1:11">
      <c r="A2574">
        <v>18</v>
      </c>
      <c r="B2574" s="64">
        <v>41201</v>
      </c>
      <c r="C2574" s="2">
        <v>1048706.75</v>
      </c>
      <c r="D2574">
        <v>0</v>
      </c>
      <c r="E2574" s="65">
        <v>51.96</v>
      </c>
      <c r="F2574" s="8">
        <v>4</v>
      </c>
      <c r="G2574" s="66">
        <v>138.8336129</v>
      </c>
      <c r="H2574" s="8">
        <v>8.243</v>
      </c>
      <c r="J2574" s="26"/>
      <c r="K2574"/>
    </row>
    <row r="2575" spans="1:11">
      <c r="A2575">
        <v>18</v>
      </c>
      <c r="B2575" s="64">
        <v>41208</v>
      </c>
      <c r="C2575" s="2">
        <v>1127516.25</v>
      </c>
      <c r="D2575">
        <v>0</v>
      </c>
      <c r="E2575" s="65">
        <v>56.09</v>
      </c>
      <c r="F2575" s="8">
        <v>3.917</v>
      </c>
      <c r="G2575" s="66">
        <v>138.7281613</v>
      </c>
      <c r="H2575" s="8">
        <v>8.243</v>
      </c>
      <c r="J2575" s="26"/>
      <c r="K2575"/>
    </row>
    <row r="2576" spans="1:11">
      <c r="A2576">
        <v>19</v>
      </c>
      <c r="B2576" s="64">
        <v>40214</v>
      </c>
      <c r="C2576" s="2">
        <v>1507637.17</v>
      </c>
      <c r="D2576">
        <v>0</v>
      </c>
      <c r="E2576" s="65">
        <v>20.96</v>
      </c>
      <c r="F2576" s="8">
        <v>2.954</v>
      </c>
      <c r="G2576" s="66">
        <v>131.5279032</v>
      </c>
      <c r="H2576" s="8">
        <v>8.35</v>
      </c>
      <c r="J2576" s="26"/>
      <c r="K2576"/>
    </row>
    <row r="2577" spans="1:11">
      <c r="A2577">
        <v>19</v>
      </c>
      <c r="B2577" s="64">
        <v>40221</v>
      </c>
      <c r="C2577" s="2">
        <v>1536549.95</v>
      </c>
      <c r="D2577">
        <v>1</v>
      </c>
      <c r="E2577" s="65">
        <v>23.22</v>
      </c>
      <c r="F2577" s="8">
        <v>2.94</v>
      </c>
      <c r="G2577" s="66">
        <v>131.5866129</v>
      </c>
      <c r="H2577" s="8">
        <v>8.35</v>
      </c>
      <c r="J2577" s="26"/>
      <c r="K2577"/>
    </row>
    <row r="2578" spans="1:11">
      <c r="A2578">
        <v>19</v>
      </c>
      <c r="B2578" s="64">
        <v>40228</v>
      </c>
      <c r="C2578" s="2">
        <v>1515976.11</v>
      </c>
      <c r="D2578">
        <v>0</v>
      </c>
      <c r="E2578" s="65">
        <v>28.57</v>
      </c>
      <c r="F2578" s="8">
        <v>2.909</v>
      </c>
      <c r="G2578" s="66">
        <v>131.637</v>
      </c>
      <c r="H2578" s="8">
        <v>8.35</v>
      </c>
      <c r="J2578" s="26"/>
      <c r="K2578"/>
    </row>
    <row r="2579" spans="1:11">
      <c r="A2579">
        <v>19</v>
      </c>
      <c r="B2579" s="64">
        <v>40235</v>
      </c>
      <c r="C2579" s="2">
        <v>1373270.06</v>
      </c>
      <c r="D2579">
        <v>0</v>
      </c>
      <c r="E2579" s="65">
        <v>30.33</v>
      </c>
      <c r="F2579" s="8">
        <v>2.91</v>
      </c>
      <c r="G2579" s="66">
        <v>131.686</v>
      </c>
      <c r="H2579" s="8">
        <v>8.35</v>
      </c>
      <c r="J2579" s="26"/>
      <c r="K2579"/>
    </row>
    <row r="2580" spans="1:11">
      <c r="A2580">
        <v>19</v>
      </c>
      <c r="B2580" s="64">
        <v>40242</v>
      </c>
      <c r="C2580" s="2">
        <v>1495844.57</v>
      </c>
      <c r="D2580">
        <v>0</v>
      </c>
      <c r="E2580" s="65">
        <v>32.92</v>
      </c>
      <c r="F2580" s="8">
        <v>2.919</v>
      </c>
      <c r="G2580" s="66">
        <v>131.735</v>
      </c>
      <c r="H2580" s="8">
        <v>8.35</v>
      </c>
      <c r="J2580" s="26"/>
      <c r="K2580"/>
    </row>
    <row r="2581" spans="1:11">
      <c r="A2581">
        <v>19</v>
      </c>
      <c r="B2581" s="64">
        <v>40249</v>
      </c>
      <c r="C2581" s="2">
        <v>1467889.2</v>
      </c>
      <c r="D2581">
        <v>0</v>
      </c>
      <c r="E2581" s="65">
        <v>39.06</v>
      </c>
      <c r="F2581" s="8">
        <v>2.938</v>
      </c>
      <c r="G2581" s="66">
        <v>131.784</v>
      </c>
      <c r="H2581" s="8">
        <v>8.35</v>
      </c>
      <c r="J2581" s="26"/>
      <c r="K2581"/>
    </row>
    <row r="2582" spans="1:11">
      <c r="A2582">
        <v>19</v>
      </c>
      <c r="B2582" s="64">
        <v>40256</v>
      </c>
      <c r="C2582" s="2">
        <v>1332940.35</v>
      </c>
      <c r="D2582">
        <v>0</v>
      </c>
      <c r="E2582" s="65">
        <v>43.74</v>
      </c>
      <c r="F2582" s="8">
        <v>2.96</v>
      </c>
      <c r="G2582" s="66">
        <v>131.8242903</v>
      </c>
      <c r="H2582" s="8">
        <v>8.35</v>
      </c>
      <c r="J2582" s="26"/>
      <c r="K2582"/>
    </row>
    <row r="2583" spans="1:11">
      <c r="A2583">
        <v>19</v>
      </c>
      <c r="B2583" s="64">
        <v>40263</v>
      </c>
      <c r="C2583" s="2">
        <v>1427023.45</v>
      </c>
      <c r="D2583">
        <v>0</v>
      </c>
      <c r="E2583" s="65">
        <v>39.07</v>
      </c>
      <c r="F2583" s="8">
        <v>2.963</v>
      </c>
      <c r="G2583" s="66">
        <v>131.863129</v>
      </c>
      <c r="H2583" s="8">
        <v>8.35</v>
      </c>
      <c r="J2583" s="26"/>
      <c r="K2583"/>
    </row>
    <row r="2584" spans="1:11">
      <c r="A2584">
        <v>19</v>
      </c>
      <c r="B2584" s="64">
        <v>40270</v>
      </c>
      <c r="C2584" s="2">
        <v>1642970.27</v>
      </c>
      <c r="D2584">
        <v>0</v>
      </c>
      <c r="E2584" s="65">
        <v>45.26</v>
      </c>
      <c r="F2584" s="8">
        <v>2.957</v>
      </c>
      <c r="G2584" s="66">
        <v>131.9019677</v>
      </c>
      <c r="H2584" s="8">
        <v>8.185</v>
      </c>
      <c r="J2584" s="26"/>
      <c r="K2584"/>
    </row>
    <row r="2585" spans="1:11">
      <c r="A2585">
        <v>19</v>
      </c>
      <c r="B2585" s="64">
        <v>40277</v>
      </c>
      <c r="C2585" s="2">
        <v>1489613.32</v>
      </c>
      <c r="D2585">
        <v>0</v>
      </c>
      <c r="E2585" s="65">
        <v>55.66</v>
      </c>
      <c r="F2585" s="8">
        <v>2.992</v>
      </c>
      <c r="G2585" s="66">
        <v>131.9408065</v>
      </c>
      <c r="H2585" s="8">
        <v>8.185</v>
      </c>
      <c r="J2585" s="26"/>
      <c r="K2585"/>
    </row>
    <row r="2586" spans="1:11">
      <c r="A2586">
        <v>19</v>
      </c>
      <c r="B2586" s="64">
        <v>40284</v>
      </c>
      <c r="C2586" s="2">
        <v>1460354.67</v>
      </c>
      <c r="D2586">
        <v>0</v>
      </c>
      <c r="E2586" s="65">
        <v>49.67</v>
      </c>
      <c r="F2586" s="8">
        <v>3.01</v>
      </c>
      <c r="G2586" s="66">
        <v>131.9809</v>
      </c>
      <c r="H2586" s="8">
        <v>8.185</v>
      </c>
      <c r="J2586" s="26"/>
      <c r="K2586"/>
    </row>
    <row r="2587" spans="1:11">
      <c r="A2587">
        <v>19</v>
      </c>
      <c r="B2587" s="64">
        <v>40291</v>
      </c>
      <c r="C2587" s="2">
        <v>1456793.33</v>
      </c>
      <c r="D2587">
        <v>0</v>
      </c>
      <c r="E2587" s="65">
        <v>46.87</v>
      </c>
      <c r="F2587" s="8">
        <v>3.021</v>
      </c>
      <c r="G2587" s="66">
        <v>132.0226667</v>
      </c>
      <c r="H2587" s="8">
        <v>8.185</v>
      </c>
      <c r="J2587" s="26"/>
      <c r="K2587"/>
    </row>
    <row r="2588" spans="1:11">
      <c r="A2588">
        <v>19</v>
      </c>
      <c r="B2588" s="64">
        <v>40298</v>
      </c>
      <c r="C2588" s="2">
        <v>1405065.57</v>
      </c>
      <c r="D2588">
        <v>0</v>
      </c>
      <c r="E2588" s="65">
        <v>49.89</v>
      </c>
      <c r="F2588" s="8">
        <v>3.042</v>
      </c>
      <c r="G2588" s="66">
        <v>132.0644333</v>
      </c>
      <c r="H2588" s="8">
        <v>8.185</v>
      </c>
      <c r="J2588" s="26"/>
      <c r="K2588"/>
    </row>
    <row r="2589" spans="1:11">
      <c r="A2589">
        <v>19</v>
      </c>
      <c r="B2589" s="64">
        <v>40305</v>
      </c>
      <c r="C2589" s="2">
        <v>1566219.77</v>
      </c>
      <c r="D2589">
        <v>0</v>
      </c>
      <c r="E2589" s="65">
        <v>62.54</v>
      </c>
      <c r="F2589" s="8">
        <v>3.095</v>
      </c>
      <c r="G2589" s="66">
        <v>132.1062</v>
      </c>
      <c r="H2589" s="8">
        <v>8.185</v>
      </c>
      <c r="J2589" s="26"/>
      <c r="K2589"/>
    </row>
    <row r="2590" spans="1:11">
      <c r="A2590">
        <v>19</v>
      </c>
      <c r="B2590" s="64">
        <v>40312</v>
      </c>
      <c r="C2590" s="2">
        <v>1437319.45</v>
      </c>
      <c r="D2590">
        <v>0</v>
      </c>
      <c r="E2590" s="65">
        <v>46.53</v>
      </c>
      <c r="F2590" s="8">
        <v>3.112</v>
      </c>
      <c r="G2590" s="66">
        <v>132.152129</v>
      </c>
      <c r="H2590" s="8">
        <v>8.185</v>
      </c>
      <c r="J2590" s="26"/>
      <c r="K2590"/>
    </row>
    <row r="2591" spans="1:11">
      <c r="A2591">
        <v>19</v>
      </c>
      <c r="B2591" s="64">
        <v>40319</v>
      </c>
      <c r="C2591" s="2">
        <v>1377716.17</v>
      </c>
      <c r="D2591">
        <v>0</v>
      </c>
      <c r="E2591" s="65">
        <v>57.53</v>
      </c>
      <c r="F2591" s="8">
        <v>3.096</v>
      </c>
      <c r="G2591" s="66">
        <v>132.2230323</v>
      </c>
      <c r="H2591" s="8">
        <v>8.185</v>
      </c>
      <c r="J2591" s="26"/>
      <c r="K2591"/>
    </row>
    <row r="2592" spans="1:11">
      <c r="A2592">
        <v>19</v>
      </c>
      <c r="B2592" s="64">
        <v>40326</v>
      </c>
      <c r="C2592" s="2">
        <v>1648882.62</v>
      </c>
      <c r="D2592">
        <v>0</v>
      </c>
      <c r="E2592" s="65">
        <v>68.85</v>
      </c>
      <c r="F2592" s="8">
        <v>3.046</v>
      </c>
      <c r="G2592" s="66">
        <v>132.2939355</v>
      </c>
      <c r="H2592" s="8">
        <v>8.185</v>
      </c>
      <c r="J2592" s="26"/>
      <c r="K2592"/>
    </row>
    <row r="2593" spans="1:11">
      <c r="A2593">
        <v>19</v>
      </c>
      <c r="B2593" s="64">
        <v>40333</v>
      </c>
      <c r="C2593" s="2">
        <v>1519013.49</v>
      </c>
      <c r="D2593">
        <v>0</v>
      </c>
      <c r="E2593" s="65">
        <v>68.88</v>
      </c>
      <c r="F2593" s="8">
        <v>3.006</v>
      </c>
      <c r="G2593" s="66">
        <v>132.3648387</v>
      </c>
      <c r="H2593" s="8">
        <v>8.185</v>
      </c>
      <c r="J2593" s="26"/>
      <c r="K2593"/>
    </row>
    <row r="2594" spans="1:11">
      <c r="A2594">
        <v>19</v>
      </c>
      <c r="B2594" s="64">
        <v>40340</v>
      </c>
      <c r="C2594" s="2">
        <v>1410683.94</v>
      </c>
      <c r="D2594">
        <v>0</v>
      </c>
      <c r="E2594" s="65">
        <v>61.64</v>
      </c>
      <c r="F2594" s="8">
        <v>2.972</v>
      </c>
      <c r="G2594" s="66">
        <v>132.4357419</v>
      </c>
      <c r="H2594" s="8">
        <v>8.185</v>
      </c>
      <c r="J2594" s="26"/>
      <c r="K2594"/>
    </row>
    <row r="2595" spans="1:11">
      <c r="A2595">
        <v>19</v>
      </c>
      <c r="B2595" s="64">
        <v>40347</v>
      </c>
      <c r="C2595" s="2">
        <v>1457314.39</v>
      </c>
      <c r="D2595">
        <v>0</v>
      </c>
      <c r="E2595" s="65">
        <v>66.25</v>
      </c>
      <c r="F2595" s="8">
        <v>2.942</v>
      </c>
      <c r="G2595" s="66">
        <v>132.4733333</v>
      </c>
      <c r="H2595" s="8">
        <v>8.185</v>
      </c>
      <c r="J2595" s="26"/>
      <c r="K2595"/>
    </row>
    <row r="2596" spans="1:11">
      <c r="A2596">
        <v>19</v>
      </c>
      <c r="B2596" s="64">
        <v>40354</v>
      </c>
      <c r="C2596" s="2">
        <v>1450407.32</v>
      </c>
      <c r="D2596">
        <v>0</v>
      </c>
      <c r="E2596" s="65">
        <v>72.3</v>
      </c>
      <c r="F2596" s="8">
        <v>2.958</v>
      </c>
      <c r="G2596" s="66">
        <v>132.4976</v>
      </c>
      <c r="H2596" s="8">
        <v>8.185</v>
      </c>
      <c r="J2596" s="26"/>
      <c r="K2596"/>
    </row>
    <row r="2597" spans="1:11">
      <c r="A2597">
        <v>19</v>
      </c>
      <c r="B2597" s="64">
        <v>40361</v>
      </c>
      <c r="C2597" s="2">
        <v>1549018.68</v>
      </c>
      <c r="D2597">
        <v>0</v>
      </c>
      <c r="E2597" s="65">
        <v>66.25</v>
      </c>
      <c r="F2597" s="8">
        <v>2.958</v>
      </c>
      <c r="G2597" s="66">
        <v>132.5218667</v>
      </c>
      <c r="H2597" s="8">
        <v>8.099</v>
      </c>
      <c r="J2597" s="26"/>
      <c r="K2597"/>
    </row>
    <row r="2598" spans="1:11">
      <c r="A2598">
        <v>19</v>
      </c>
      <c r="B2598" s="64">
        <v>40368</v>
      </c>
      <c r="C2598" s="2">
        <v>1577541.24</v>
      </c>
      <c r="D2598">
        <v>0</v>
      </c>
      <c r="E2598" s="65">
        <v>78.22</v>
      </c>
      <c r="F2598" s="8">
        <v>2.94</v>
      </c>
      <c r="G2598" s="66">
        <v>132.5461333</v>
      </c>
      <c r="H2598" s="8">
        <v>8.099</v>
      </c>
      <c r="J2598" s="26"/>
      <c r="K2598"/>
    </row>
    <row r="2599" spans="1:11">
      <c r="A2599">
        <v>19</v>
      </c>
      <c r="B2599" s="64">
        <v>40375</v>
      </c>
      <c r="C2599" s="2">
        <v>1412157.02</v>
      </c>
      <c r="D2599">
        <v>0</v>
      </c>
      <c r="E2599" s="65">
        <v>74.6</v>
      </c>
      <c r="F2599" s="8">
        <v>2.933</v>
      </c>
      <c r="G2599" s="66">
        <v>132.5667742</v>
      </c>
      <c r="H2599" s="8">
        <v>8.099</v>
      </c>
      <c r="J2599" s="26"/>
      <c r="K2599"/>
    </row>
    <row r="2600" spans="1:11">
      <c r="A2600">
        <v>19</v>
      </c>
      <c r="B2600" s="64">
        <v>40382</v>
      </c>
      <c r="C2600" s="2">
        <v>1372043.71</v>
      </c>
      <c r="D2600">
        <v>0</v>
      </c>
      <c r="E2600" s="65">
        <v>74.68</v>
      </c>
      <c r="F2600" s="8">
        <v>2.924</v>
      </c>
      <c r="G2600" s="66">
        <v>132.5825806</v>
      </c>
      <c r="H2600" s="8">
        <v>8.099</v>
      </c>
      <c r="J2600" s="26"/>
      <c r="K2600"/>
    </row>
    <row r="2601" spans="1:11">
      <c r="A2601">
        <v>19</v>
      </c>
      <c r="B2601" s="64">
        <v>40389</v>
      </c>
      <c r="C2601" s="2">
        <v>1366395.96</v>
      </c>
      <c r="D2601">
        <v>0</v>
      </c>
      <c r="E2601" s="65">
        <v>72.83</v>
      </c>
      <c r="F2601" s="8">
        <v>2.932</v>
      </c>
      <c r="G2601" s="66">
        <v>132.5983871</v>
      </c>
      <c r="H2601" s="8">
        <v>8.099</v>
      </c>
      <c r="J2601" s="26"/>
      <c r="K2601"/>
    </row>
    <row r="2602" spans="1:11">
      <c r="A2602">
        <v>19</v>
      </c>
      <c r="B2602" s="64">
        <v>40396</v>
      </c>
      <c r="C2602" s="2">
        <v>1492060.89</v>
      </c>
      <c r="D2602">
        <v>0</v>
      </c>
      <c r="E2602" s="65">
        <v>74.2</v>
      </c>
      <c r="F2602" s="8">
        <v>2.942</v>
      </c>
      <c r="G2602" s="66">
        <v>132.6141935</v>
      </c>
      <c r="H2602" s="8">
        <v>8.099</v>
      </c>
      <c r="J2602" s="26"/>
      <c r="K2602"/>
    </row>
    <row r="2603" spans="1:11">
      <c r="A2603">
        <v>19</v>
      </c>
      <c r="B2603" s="64">
        <v>40403</v>
      </c>
      <c r="C2603" s="2">
        <v>1418027.08</v>
      </c>
      <c r="D2603">
        <v>0</v>
      </c>
      <c r="E2603" s="65">
        <v>72.71</v>
      </c>
      <c r="F2603" s="8">
        <v>2.923</v>
      </c>
      <c r="G2603" s="66">
        <v>132.63</v>
      </c>
      <c r="H2603" s="8">
        <v>8.099</v>
      </c>
      <c r="J2603" s="26"/>
      <c r="K2603"/>
    </row>
    <row r="2604" spans="1:11">
      <c r="A2604">
        <v>19</v>
      </c>
      <c r="B2604" s="64">
        <v>40410</v>
      </c>
      <c r="C2604" s="2">
        <v>1419383.19</v>
      </c>
      <c r="D2604">
        <v>0</v>
      </c>
      <c r="E2604" s="65">
        <v>72.22</v>
      </c>
      <c r="F2604" s="8">
        <v>2.913</v>
      </c>
      <c r="G2604" s="66">
        <v>132.6616129</v>
      </c>
      <c r="H2604" s="8">
        <v>8.099</v>
      </c>
      <c r="J2604" s="26"/>
      <c r="K2604"/>
    </row>
    <row r="2605" spans="1:11">
      <c r="A2605">
        <v>19</v>
      </c>
      <c r="B2605" s="64">
        <v>40417</v>
      </c>
      <c r="C2605" s="2">
        <v>1557888.16</v>
      </c>
      <c r="D2605">
        <v>0</v>
      </c>
      <c r="E2605" s="65">
        <v>66.4</v>
      </c>
      <c r="F2605" s="8">
        <v>2.885</v>
      </c>
      <c r="G2605" s="66">
        <v>132.6932258</v>
      </c>
      <c r="H2605" s="8">
        <v>8.099</v>
      </c>
      <c r="J2605" s="26"/>
      <c r="K2605"/>
    </row>
    <row r="2606" spans="1:11">
      <c r="A2606">
        <v>19</v>
      </c>
      <c r="B2606" s="64">
        <v>40424</v>
      </c>
      <c r="C2606" s="2">
        <v>1623519.64</v>
      </c>
      <c r="D2606">
        <v>0</v>
      </c>
      <c r="E2606" s="65">
        <v>74.69</v>
      </c>
      <c r="F2606" s="8">
        <v>2.86</v>
      </c>
      <c r="G2606" s="66">
        <v>132.7248387</v>
      </c>
      <c r="H2606" s="8">
        <v>8.099</v>
      </c>
      <c r="J2606" s="26"/>
      <c r="K2606"/>
    </row>
    <row r="2607" spans="1:11">
      <c r="A2607">
        <v>19</v>
      </c>
      <c r="B2607" s="64">
        <v>40431</v>
      </c>
      <c r="C2607" s="2">
        <v>1591453.39</v>
      </c>
      <c r="D2607">
        <v>1</v>
      </c>
      <c r="E2607" s="65">
        <v>63.36</v>
      </c>
      <c r="F2607" s="8">
        <v>2.837</v>
      </c>
      <c r="G2607" s="66">
        <v>132.7564516</v>
      </c>
      <c r="H2607" s="8">
        <v>8.099</v>
      </c>
      <c r="J2607" s="26"/>
      <c r="K2607"/>
    </row>
    <row r="2608" spans="1:11">
      <c r="A2608">
        <v>19</v>
      </c>
      <c r="B2608" s="64">
        <v>40438</v>
      </c>
      <c r="C2608" s="2">
        <v>1386789.31</v>
      </c>
      <c r="D2608">
        <v>0</v>
      </c>
      <c r="E2608" s="65">
        <v>58.68</v>
      </c>
      <c r="F2608" s="8">
        <v>2.846</v>
      </c>
      <c r="G2608" s="66">
        <v>132.7670667</v>
      </c>
      <c r="H2608" s="8">
        <v>8.099</v>
      </c>
      <c r="J2608" s="26"/>
      <c r="K2608"/>
    </row>
    <row r="2609" spans="1:11">
      <c r="A2609">
        <v>19</v>
      </c>
      <c r="B2609" s="64">
        <v>40445</v>
      </c>
      <c r="C2609" s="2">
        <v>1318343.58</v>
      </c>
      <c r="D2609">
        <v>0</v>
      </c>
      <c r="E2609" s="65">
        <v>63.43</v>
      </c>
      <c r="F2609" s="8">
        <v>2.837</v>
      </c>
      <c r="G2609" s="66">
        <v>132.7619333</v>
      </c>
      <c r="H2609" s="8">
        <v>8.099</v>
      </c>
      <c r="J2609" s="26"/>
      <c r="K2609"/>
    </row>
    <row r="2610" spans="1:11">
      <c r="A2610">
        <v>19</v>
      </c>
      <c r="B2610" s="64">
        <v>40452</v>
      </c>
      <c r="C2610" s="2">
        <v>1379456.3</v>
      </c>
      <c r="D2610">
        <v>0</v>
      </c>
      <c r="E2610" s="65">
        <v>59.91</v>
      </c>
      <c r="F2610" s="8">
        <v>2.84</v>
      </c>
      <c r="G2610" s="66">
        <v>132.7568</v>
      </c>
      <c r="H2610" s="8">
        <v>8.067</v>
      </c>
      <c r="J2610" s="26"/>
      <c r="K2610"/>
    </row>
    <row r="2611" spans="1:11">
      <c r="A2611">
        <v>19</v>
      </c>
      <c r="B2611" s="64">
        <v>40459</v>
      </c>
      <c r="C2611" s="2">
        <v>1428960.72</v>
      </c>
      <c r="D2611">
        <v>0</v>
      </c>
      <c r="E2611" s="65">
        <v>53.74</v>
      </c>
      <c r="F2611" s="8">
        <v>2.903</v>
      </c>
      <c r="G2611" s="66">
        <v>132.7516667</v>
      </c>
      <c r="H2611" s="8">
        <v>8.067</v>
      </c>
      <c r="J2611" s="26"/>
      <c r="K2611"/>
    </row>
    <row r="2612" spans="1:11">
      <c r="A2612">
        <v>19</v>
      </c>
      <c r="B2612" s="64">
        <v>40466</v>
      </c>
      <c r="C2612" s="2">
        <v>1369317.63</v>
      </c>
      <c r="D2612">
        <v>0</v>
      </c>
      <c r="E2612" s="65">
        <v>51.32</v>
      </c>
      <c r="F2612" s="8">
        <v>2.999</v>
      </c>
      <c r="G2612" s="66">
        <v>132.7633548</v>
      </c>
      <c r="H2612" s="8">
        <v>8.067</v>
      </c>
      <c r="J2612" s="26"/>
      <c r="K2612"/>
    </row>
    <row r="2613" spans="1:11">
      <c r="A2613">
        <v>19</v>
      </c>
      <c r="B2613" s="64">
        <v>40473</v>
      </c>
      <c r="C2613" s="2">
        <v>1357154.71</v>
      </c>
      <c r="D2613">
        <v>0</v>
      </c>
      <c r="E2613" s="65">
        <v>48.45</v>
      </c>
      <c r="F2613" s="8">
        <v>3.049</v>
      </c>
      <c r="G2613" s="66">
        <v>132.8170968</v>
      </c>
      <c r="H2613" s="8">
        <v>8.067</v>
      </c>
      <c r="J2613" s="26"/>
      <c r="K2613"/>
    </row>
    <row r="2614" spans="1:11">
      <c r="A2614">
        <v>19</v>
      </c>
      <c r="B2614" s="64">
        <v>40480</v>
      </c>
      <c r="C2614" s="2">
        <v>1404576.48</v>
      </c>
      <c r="D2614">
        <v>0</v>
      </c>
      <c r="E2614" s="65">
        <v>56.11</v>
      </c>
      <c r="F2614" s="8">
        <v>3.055</v>
      </c>
      <c r="G2614" s="66">
        <v>132.8708387</v>
      </c>
      <c r="H2614" s="8">
        <v>8.067</v>
      </c>
      <c r="J2614" s="26"/>
      <c r="K2614"/>
    </row>
    <row r="2615" spans="1:11">
      <c r="A2615">
        <v>19</v>
      </c>
      <c r="B2615" s="64">
        <v>40487</v>
      </c>
      <c r="C2615" s="2">
        <v>1435379.25</v>
      </c>
      <c r="D2615">
        <v>0</v>
      </c>
      <c r="E2615" s="65">
        <v>41.78</v>
      </c>
      <c r="F2615" s="8">
        <v>3.049</v>
      </c>
      <c r="G2615" s="66">
        <v>132.9245806</v>
      </c>
      <c r="H2615" s="8">
        <v>8.067</v>
      </c>
      <c r="J2615" s="26"/>
      <c r="K2615"/>
    </row>
    <row r="2616" spans="1:11">
      <c r="A2616">
        <v>19</v>
      </c>
      <c r="B2616" s="64">
        <v>40494</v>
      </c>
      <c r="C2616" s="2">
        <v>1490235.86</v>
      </c>
      <c r="D2616">
        <v>0</v>
      </c>
      <c r="E2616" s="65">
        <v>40.3</v>
      </c>
      <c r="F2616" s="8">
        <v>3.065</v>
      </c>
      <c r="G2616" s="66">
        <v>132.9783226</v>
      </c>
      <c r="H2616" s="8">
        <v>8.067</v>
      </c>
      <c r="J2616" s="26"/>
      <c r="K2616"/>
    </row>
    <row r="2617" spans="1:11">
      <c r="A2617">
        <v>19</v>
      </c>
      <c r="B2617" s="64">
        <v>40501</v>
      </c>
      <c r="C2617" s="2">
        <v>1377593.1</v>
      </c>
      <c r="D2617">
        <v>0</v>
      </c>
      <c r="E2617" s="65">
        <v>44.22</v>
      </c>
      <c r="F2617" s="8">
        <v>3.138</v>
      </c>
      <c r="G2617" s="66">
        <v>132.9172</v>
      </c>
      <c r="H2617" s="8">
        <v>8.067</v>
      </c>
      <c r="J2617" s="26"/>
      <c r="K2617"/>
    </row>
    <row r="2618" spans="1:11">
      <c r="A2618">
        <v>19</v>
      </c>
      <c r="B2618" s="64">
        <v>40508</v>
      </c>
      <c r="C2618" s="2">
        <v>1993367.83</v>
      </c>
      <c r="D2618">
        <v>1</v>
      </c>
      <c r="E2618" s="65">
        <v>42.62</v>
      </c>
      <c r="F2618" s="8">
        <v>3.186</v>
      </c>
      <c r="G2618" s="66">
        <v>132.8369333</v>
      </c>
      <c r="H2618" s="8">
        <v>8.067</v>
      </c>
      <c r="J2618" s="26"/>
      <c r="K2618"/>
    </row>
    <row r="2619" spans="1:11">
      <c r="A2619">
        <v>19</v>
      </c>
      <c r="B2619" s="64">
        <v>40515</v>
      </c>
      <c r="C2619" s="2">
        <v>1615987.96</v>
      </c>
      <c r="D2619">
        <v>0</v>
      </c>
      <c r="E2619" s="65">
        <v>36.64</v>
      </c>
      <c r="F2619" s="8">
        <v>3.2</v>
      </c>
      <c r="G2619" s="66">
        <v>132.7566667</v>
      </c>
      <c r="H2619" s="8">
        <v>8.067</v>
      </c>
      <c r="J2619" s="26"/>
      <c r="K2619"/>
    </row>
    <row r="2620" spans="1:11">
      <c r="A2620">
        <v>19</v>
      </c>
      <c r="B2620" s="64">
        <v>40522</v>
      </c>
      <c r="C2620" s="2">
        <v>1799070.98</v>
      </c>
      <c r="D2620">
        <v>0</v>
      </c>
      <c r="E2620" s="65">
        <v>25.12</v>
      </c>
      <c r="F2620" s="8">
        <v>3.255</v>
      </c>
      <c r="G2620" s="66">
        <v>132.6764</v>
      </c>
      <c r="H2620" s="8">
        <v>8.067</v>
      </c>
      <c r="J2620" s="26"/>
      <c r="K2620"/>
    </row>
    <row r="2621" spans="1:11">
      <c r="A2621">
        <v>19</v>
      </c>
      <c r="B2621" s="64">
        <v>40529</v>
      </c>
      <c r="C2621" s="2">
        <v>1911967.44</v>
      </c>
      <c r="D2621">
        <v>0</v>
      </c>
      <c r="E2621" s="65">
        <v>26.83</v>
      </c>
      <c r="F2621" s="8">
        <v>3.301</v>
      </c>
      <c r="G2621" s="66">
        <v>132.6804516</v>
      </c>
      <c r="H2621" s="8">
        <v>8.067</v>
      </c>
      <c r="J2621" s="26"/>
      <c r="K2621"/>
    </row>
    <row r="2622" spans="1:11">
      <c r="A2622">
        <v>19</v>
      </c>
      <c r="B2622" s="64">
        <v>40536</v>
      </c>
      <c r="C2622" s="2">
        <v>2678206.42</v>
      </c>
      <c r="D2622">
        <v>0</v>
      </c>
      <c r="E2622" s="65">
        <v>26.05</v>
      </c>
      <c r="F2622" s="8">
        <v>3.309</v>
      </c>
      <c r="G2622" s="66">
        <v>132.7477419</v>
      </c>
      <c r="H2622" s="8">
        <v>8.067</v>
      </c>
      <c r="J2622" s="26"/>
      <c r="K2622"/>
    </row>
    <row r="2623" spans="1:11">
      <c r="A2623">
        <v>19</v>
      </c>
      <c r="B2623" s="64">
        <v>40543</v>
      </c>
      <c r="C2623" s="2">
        <v>1275146.94</v>
      </c>
      <c r="D2623">
        <v>1</v>
      </c>
      <c r="E2623" s="65">
        <v>28.65</v>
      </c>
      <c r="F2623" s="8">
        <v>3.336</v>
      </c>
      <c r="G2623" s="66">
        <v>132.8150323</v>
      </c>
      <c r="H2623" s="8">
        <v>8.067</v>
      </c>
      <c r="J2623" s="26"/>
      <c r="K2623"/>
    </row>
    <row r="2624" spans="1:11">
      <c r="A2624">
        <v>19</v>
      </c>
      <c r="B2624" s="64">
        <v>40550</v>
      </c>
      <c r="C2624" s="2">
        <v>1224175.99</v>
      </c>
      <c r="D2624">
        <v>0</v>
      </c>
      <c r="E2624" s="65">
        <v>31.34</v>
      </c>
      <c r="F2624" s="8">
        <v>3.351</v>
      </c>
      <c r="G2624" s="66">
        <v>132.8823226</v>
      </c>
      <c r="H2624" s="8">
        <v>7.771</v>
      </c>
      <c r="J2624" s="26"/>
      <c r="K2624"/>
    </row>
    <row r="2625" spans="1:11">
      <c r="A2625">
        <v>19</v>
      </c>
      <c r="B2625" s="64">
        <v>40557</v>
      </c>
      <c r="C2625" s="2">
        <v>1181204.53</v>
      </c>
      <c r="D2625">
        <v>0</v>
      </c>
      <c r="E2625" s="65">
        <v>21.68</v>
      </c>
      <c r="F2625" s="8">
        <v>3.367</v>
      </c>
      <c r="G2625" s="66">
        <v>132.9510645</v>
      </c>
      <c r="H2625" s="8">
        <v>7.771</v>
      </c>
      <c r="J2625" s="26"/>
      <c r="K2625"/>
    </row>
    <row r="2626" spans="1:11">
      <c r="A2626">
        <v>19</v>
      </c>
      <c r="B2626" s="64">
        <v>40564</v>
      </c>
      <c r="C2626" s="2">
        <v>1212967.84</v>
      </c>
      <c r="D2626">
        <v>0</v>
      </c>
      <c r="E2626" s="65">
        <v>22.8</v>
      </c>
      <c r="F2626" s="8">
        <v>3.391</v>
      </c>
      <c r="G2626" s="66">
        <v>133.0285161</v>
      </c>
      <c r="H2626" s="8">
        <v>7.771</v>
      </c>
      <c r="J2626" s="26"/>
      <c r="K2626"/>
    </row>
    <row r="2627" spans="1:11">
      <c r="A2627">
        <v>19</v>
      </c>
      <c r="B2627" s="64">
        <v>40571</v>
      </c>
      <c r="C2627" s="2">
        <v>1284185.49</v>
      </c>
      <c r="D2627">
        <v>0</v>
      </c>
      <c r="E2627" s="65">
        <v>20.66</v>
      </c>
      <c r="F2627" s="8">
        <v>3.402</v>
      </c>
      <c r="G2627" s="66">
        <v>133.1059677</v>
      </c>
      <c r="H2627" s="8">
        <v>7.771</v>
      </c>
      <c r="J2627" s="26"/>
      <c r="K2627"/>
    </row>
    <row r="2628" spans="1:11">
      <c r="A2628">
        <v>19</v>
      </c>
      <c r="B2628" s="64">
        <v>40578</v>
      </c>
      <c r="C2628" s="2">
        <v>1370562.11</v>
      </c>
      <c r="D2628">
        <v>0</v>
      </c>
      <c r="E2628" s="65">
        <v>21.02</v>
      </c>
      <c r="F2628" s="8">
        <v>3.4</v>
      </c>
      <c r="G2628" s="66">
        <v>133.1834194</v>
      </c>
      <c r="H2628" s="8">
        <v>7.771</v>
      </c>
      <c r="J2628" s="26"/>
      <c r="K2628"/>
    </row>
    <row r="2629" spans="1:11">
      <c r="A2629">
        <v>19</v>
      </c>
      <c r="B2629" s="64">
        <v>40585</v>
      </c>
      <c r="C2629" s="2">
        <v>1430851.11</v>
      </c>
      <c r="D2629">
        <v>1</v>
      </c>
      <c r="E2629" s="65">
        <v>21.79</v>
      </c>
      <c r="F2629" s="8">
        <v>3.416</v>
      </c>
      <c r="G2629" s="66">
        <v>133.260871</v>
      </c>
      <c r="H2629" s="8">
        <v>7.771</v>
      </c>
      <c r="J2629" s="26"/>
      <c r="K2629"/>
    </row>
    <row r="2630" spans="1:11">
      <c r="A2630">
        <v>19</v>
      </c>
      <c r="B2630" s="64">
        <v>40592</v>
      </c>
      <c r="C2630" s="2">
        <v>1457270.16</v>
      </c>
      <c r="D2630">
        <v>0</v>
      </c>
      <c r="E2630" s="65">
        <v>34.74</v>
      </c>
      <c r="F2630" s="8">
        <v>3.42</v>
      </c>
      <c r="G2630" s="66">
        <v>133.3701429</v>
      </c>
      <c r="H2630" s="8">
        <v>7.771</v>
      </c>
      <c r="J2630" s="26"/>
      <c r="K2630"/>
    </row>
    <row r="2631" spans="1:11">
      <c r="A2631">
        <v>19</v>
      </c>
      <c r="B2631" s="64">
        <v>40599</v>
      </c>
      <c r="C2631" s="2">
        <v>1296658.47</v>
      </c>
      <c r="D2631">
        <v>0</v>
      </c>
      <c r="E2631" s="65">
        <v>23.24</v>
      </c>
      <c r="F2631" s="8">
        <v>3.452</v>
      </c>
      <c r="G2631" s="66">
        <v>133.4921429</v>
      </c>
      <c r="H2631" s="8">
        <v>7.771</v>
      </c>
      <c r="J2631" s="26"/>
      <c r="K2631"/>
    </row>
    <row r="2632" spans="1:11">
      <c r="A2632">
        <v>19</v>
      </c>
      <c r="B2632" s="64">
        <v>40606</v>
      </c>
      <c r="C2632" s="2">
        <v>1433569.44</v>
      </c>
      <c r="D2632">
        <v>0</v>
      </c>
      <c r="E2632" s="65">
        <v>29.28</v>
      </c>
      <c r="F2632" s="8">
        <v>3.605</v>
      </c>
      <c r="G2632" s="66">
        <v>133.6141429</v>
      </c>
      <c r="H2632" s="8">
        <v>7.771</v>
      </c>
      <c r="J2632" s="26"/>
      <c r="K2632"/>
    </row>
    <row r="2633" spans="1:11">
      <c r="A2633">
        <v>19</v>
      </c>
      <c r="B2633" s="64">
        <v>40613</v>
      </c>
      <c r="C2633" s="2">
        <v>1351450.43</v>
      </c>
      <c r="D2633">
        <v>0</v>
      </c>
      <c r="E2633" s="65">
        <v>35.59</v>
      </c>
      <c r="F2633" s="8">
        <v>3.752</v>
      </c>
      <c r="G2633" s="66">
        <v>133.7361429</v>
      </c>
      <c r="H2633" s="8">
        <v>7.771</v>
      </c>
      <c r="J2633" s="26"/>
      <c r="K2633"/>
    </row>
    <row r="2634" spans="1:11">
      <c r="A2634">
        <v>19</v>
      </c>
      <c r="B2634" s="64">
        <v>40620</v>
      </c>
      <c r="C2634" s="2">
        <v>1257972.37</v>
      </c>
      <c r="D2634">
        <v>0</v>
      </c>
      <c r="E2634" s="65">
        <v>40.32</v>
      </c>
      <c r="F2634" s="8">
        <v>3.796</v>
      </c>
      <c r="G2634" s="66">
        <v>133.8492258</v>
      </c>
      <c r="H2634" s="8">
        <v>7.771</v>
      </c>
      <c r="J2634" s="26"/>
      <c r="K2634"/>
    </row>
    <row r="2635" spans="1:11">
      <c r="A2635">
        <v>19</v>
      </c>
      <c r="B2635" s="64">
        <v>40627</v>
      </c>
      <c r="C2635" s="2">
        <v>1266564.94</v>
      </c>
      <c r="D2635">
        <v>0</v>
      </c>
      <c r="E2635" s="65">
        <v>33.26</v>
      </c>
      <c r="F2635" s="8">
        <v>3.789</v>
      </c>
      <c r="G2635" s="66">
        <v>133.9587419</v>
      </c>
      <c r="H2635" s="8">
        <v>7.771</v>
      </c>
      <c r="J2635" s="26"/>
      <c r="K2635"/>
    </row>
    <row r="2636" spans="1:11">
      <c r="A2636">
        <v>19</v>
      </c>
      <c r="B2636" s="64">
        <v>40634</v>
      </c>
      <c r="C2636" s="2">
        <v>1305950.22</v>
      </c>
      <c r="D2636">
        <v>0</v>
      </c>
      <c r="E2636" s="65">
        <v>30.68</v>
      </c>
      <c r="F2636" s="8">
        <v>3.811</v>
      </c>
      <c r="G2636" s="66">
        <v>134.0682581</v>
      </c>
      <c r="H2636" s="8">
        <v>7.658</v>
      </c>
      <c r="J2636" s="26"/>
      <c r="K2636"/>
    </row>
    <row r="2637" spans="1:11">
      <c r="A2637">
        <v>19</v>
      </c>
      <c r="B2637" s="64">
        <v>40641</v>
      </c>
      <c r="C2637" s="2">
        <v>1419911.91</v>
      </c>
      <c r="D2637">
        <v>0</v>
      </c>
      <c r="E2637" s="65">
        <v>41.26</v>
      </c>
      <c r="F2637" s="8">
        <v>3.895</v>
      </c>
      <c r="G2637" s="66">
        <v>134.1777742</v>
      </c>
      <c r="H2637" s="8">
        <v>7.658</v>
      </c>
      <c r="J2637" s="26"/>
      <c r="K2637"/>
    </row>
    <row r="2638" spans="1:11">
      <c r="A2638">
        <v>19</v>
      </c>
      <c r="B2638" s="64">
        <v>40648</v>
      </c>
      <c r="C2638" s="2">
        <v>1392093.04</v>
      </c>
      <c r="D2638">
        <v>0</v>
      </c>
      <c r="E2638" s="65">
        <v>48.67</v>
      </c>
      <c r="F2638" s="8">
        <v>3.981</v>
      </c>
      <c r="G2638" s="66">
        <v>134.2784667</v>
      </c>
      <c r="H2638" s="8">
        <v>7.658</v>
      </c>
      <c r="J2638" s="26"/>
      <c r="K2638"/>
    </row>
    <row r="2639" spans="1:11">
      <c r="A2639">
        <v>19</v>
      </c>
      <c r="B2639" s="64">
        <v>40655</v>
      </c>
      <c r="C2639" s="2">
        <v>1514288.82</v>
      </c>
      <c r="D2639">
        <v>0</v>
      </c>
      <c r="E2639" s="65">
        <v>41.66</v>
      </c>
      <c r="F2639" s="8">
        <v>4.061</v>
      </c>
      <c r="G2639" s="66">
        <v>134.3571</v>
      </c>
      <c r="H2639" s="8">
        <v>7.658</v>
      </c>
      <c r="J2639" s="26"/>
      <c r="K2639"/>
    </row>
    <row r="2640" spans="1:11">
      <c r="A2640">
        <v>19</v>
      </c>
      <c r="B2640" s="64">
        <v>40662</v>
      </c>
      <c r="C2640" s="2">
        <v>1297237.7</v>
      </c>
      <c r="D2640">
        <v>0</v>
      </c>
      <c r="E2640" s="65">
        <v>54.23</v>
      </c>
      <c r="F2640" s="8">
        <v>4.117</v>
      </c>
      <c r="G2640" s="66">
        <v>134.4357333</v>
      </c>
      <c r="H2640" s="8">
        <v>7.658</v>
      </c>
      <c r="J2640" s="26"/>
      <c r="K2640"/>
    </row>
    <row r="2641" spans="1:11">
      <c r="A2641">
        <v>19</v>
      </c>
      <c r="B2641" s="64">
        <v>40669</v>
      </c>
      <c r="C2641" s="2">
        <v>1451953.95</v>
      </c>
      <c r="D2641">
        <v>0</v>
      </c>
      <c r="E2641" s="65">
        <v>50.43</v>
      </c>
      <c r="F2641" s="8">
        <v>4.192</v>
      </c>
      <c r="G2641" s="66">
        <v>134.5143667</v>
      </c>
      <c r="H2641" s="8">
        <v>7.658</v>
      </c>
      <c r="J2641" s="26"/>
      <c r="K2641"/>
    </row>
    <row r="2642" spans="1:11">
      <c r="A2642">
        <v>19</v>
      </c>
      <c r="B2642" s="64">
        <v>40676</v>
      </c>
      <c r="C2642" s="2">
        <v>1429143.06</v>
      </c>
      <c r="D2642">
        <v>0</v>
      </c>
      <c r="E2642" s="65">
        <v>54.2</v>
      </c>
      <c r="F2642" s="8">
        <v>4.211</v>
      </c>
      <c r="G2642" s="66">
        <v>134.593</v>
      </c>
      <c r="H2642" s="8">
        <v>7.658</v>
      </c>
      <c r="J2642" s="26"/>
      <c r="K2642"/>
    </row>
    <row r="2643" spans="1:11">
      <c r="A2643">
        <v>19</v>
      </c>
      <c r="B2643" s="64">
        <v>40683</v>
      </c>
      <c r="C2643" s="2">
        <v>1355234.3</v>
      </c>
      <c r="D2643">
        <v>0</v>
      </c>
      <c r="E2643" s="65">
        <v>52.8</v>
      </c>
      <c r="F2643" s="8">
        <v>4.202</v>
      </c>
      <c r="G2643" s="66">
        <v>134.6803871</v>
      </c>
      <c r="H2643" s="8">
        <v>7.658</v>
      </c>
      <c r="J2643" s="26"/>
      <c r="K2643"/>
    </row>
    <row r="2644" spans="1:11">
      <c r="A2644">
        <v>19</v>
      </c>
      <c r="B2644" s="64">
        <v>40690</v>
      </c>
      <c r="C2644" s="2">
        <v>1388553.11</v>
      </c>
      <c r="D2644">
        <v>0</v>
      </c>
      <c r="E2644" s="65">
        <v>63.2</v>
      </c>
      <c r="F2644" s="8">
        <v>4.134</v>
      </c>
      <c r="G2644" s="66">
        <v>134.7677742</v>
      </c>
      <c r="H2644" s="8">
        <v>7.658</v>
      </c>
      <c r="J2644" s="26"/>
      <c r="K2644"/>
    </row>
    <row r="2645" spans="1:11">
      <c r="A2645">
        <v>19</v>
      </c>
      <c r="B2645" s="64">
        <v>40697</v>
      </c>
      <c r="C2645" s="2">
        <v>1457345.75</v>
      </c>
      <c r="D2645">
        <v>0</v>
      </c>
      <c r="E2645" s="65">
        <v>66.01</v>
      </c>
      <c r="F2645" s="8">
        <v>4.069</v>
      </c>
      <c r="G2645" s="66">
        <v>134.8551613</v>
      </c>
      <c r="H2645" s="8">
        <v>7.658</v>
      </c>
      <c r="J2645" s="26"/>
      <c r="K2645"/>
    </row>
    <row r="2646" spans="1:11">
      <c r="A2646">
        <v>19</v>
      </c>
      <c r="B2646" s="64">
        <v>40704</v>
      </c>
      <c r="C2646" s="2">
        <v>1467473.63</v>
      </c>
      <c r="D2646">
        <v>0</v>
      </c>
      <c r="E2646" s="65">
        <v>68.26</v>
      </c>
      <c r="F2646" s="8">
        <v>4.025</v>
      </c>
      <c r="G2646" s="66">
        <v>134.9425484</v>
      </c>
      <c r="H2646" s="8">
        <v>7.658</v>
      </c>
      <c r="J2646" s="26"/>
      <c r="K2646"/>
    </row>
    <row r="2647" spans="1:11">
      <c r="A2647">
        <v>19</v>
      </c>
      <c r="B2647" s="64">
        <v>40711</v>
      </c>
      <c r="C2647" s="2">
        <v>1418973.62</v>
      </c>
      <c r="D2647">
        <v>0</v>
      </c>
      <c r="E2647" s="65">
        <v>64.02</v>
      </c>
      <c r="F2647" s="8">
        <v>3.989</v>
      </c>
      <c r="G2647" s="66">
        <v>135.0837333</v>
      </c>
      <c r="H2647" s="8">
        <v>7.658</v>
      </c>
      <c r="J2647" s="26"/>
      <c r="K2647"/>
    </row>
    <row r="2648" spans="1:11">
      <c r="A2648">
        <v>19</v>
      </c>
      <c r="B2648" s="64">
        <v>40718</v>
      </c>
      <c r="C2648" s="2">
        <v>1440785.7</v>
      </c>
      <c r="D2648">
        <v>0</v>
      </c>
      <c r="E2648" s="65">
        <v>68.4</v>
      </c>
      <c r="F2648" s="8">
        <v>3.964</v>
      </c>
      <c r="G2648" s="66">
        <v>135.2652667</v>
      </c>
      <c r="H2648" s="8">
        <v>7.658</v>
      </c>
      <c r="J2648" s="26"/>
      <c r="K2648"/>
    </row>
    <row r="2649" spans="1:11">
      <c r="A2649">
        <v>19</v>
      </c>
      <c r="B2649" s="64">
        <v>40725</v>
      </c>
      <c r="C2649" s="2">
        <v>1462731.93</v>
      </c>
      <c r="D2649">
        <v>0</v>
      </c>
      <c r="E2649" s="65">
        <v>67.64</v>
      </c>
      <c r="F2649" s="8">
        <v>3.916</v>
      </c>
      <c r="G2649" s="66">
        <v>135.4468</v>
      </c>
      <c r="H2649" s="8">
        <v>7.806</v>
      </c>
      <c r="J2649" s="26"/>
      <c r="K2649"/>
    </row>
    <row r="2650" spans="1:11">
      <c r="A2650">
        <v>19</v>
      </c>
      <c r="B2650" s="64">
        <v>40732</v>
      </c>
      <c r="C2650" s="2">
        <v>1465489.75</v>
      </c>
      <c r="D2650">
        <v>0</v>
      </c>
      <c r="E2650" s="65">
        <v>73.2</v>
      </c>
      <c r="F2650" s="8">
        <v>3.886</v>
      </c>
      <c r="G2650" s="66">
        <v>135.6283333</v>
      </c>
      <c r="H2650" s="8">
        <v>7.806</v>
      </c>
      <c r="J2650" s="26"/>
      <c r="K2650"/>
    </row>
    <row r="2651" spans="1:11">
      <c r="A2651">
        <v>19</v>
      </c>
      <c r="B2651" s="64">
        <v>40739</v>
      </c>
      <c r="C2651" s="2">
        <v>1391580.41</v>
      </c>
      <c r="D2651">
        <v>0</v>
      </c>
      <c r="E2651" s="65">
        <v>73.7</v>
      </c>
      <c r="F2651" s="8">
        <v>3.915</v>
      </c>
      <c r="G2651" s="66">
        <v>135.7837419</v>
      </c>
      <c r="H2651" s="8">
        <v>7.806</v>
      </c>
      <c r="J2651" s="26"/>
      <c r="K2651"/>
    </row>
    <row r="2652" spans="1:11">
      <c r="A2652">
        <v>19</v>
      </c>
      <c r="B2652" s="64">
        <v>40746</v>
      </c>
      <c r="C2652" s="2">
        <v>1377119.45</v>
      </c>
      <c r="D2652">
        <v>0</v>
      </c>
      <c r="E2652" s="65">
        <v>79.37</v>
      </c>
      <c r="F2652" s="8">
        <v>3.972</v>
      </c>
      <c r="G2652" s="66">
        <v>135.8738387</v>
      </c>
      <c r="H2652" s="8">
        <v>7.806</v>
      </c>
      <c r="J2652" s="26"/>
      <c r="K2652"/>
    </row>
    <row r="2653" spans="1:11">
      <c r="A2653">
        <v>19</v>
      </c>
      <c r="B2653" s="64">
        <v>40753</v>
      </c>
      <c r="C2653" s="2">
        <v>1298775.8</v>
      </c>
      <c r="D2653">
        <v>0</v>
      </c>
      <c r="E2653" s="65">
        <v>74.86</v>
      </c>
      <c r="F2653" s="8">
        <v>4.004</v>
      </c>
      <c r="G2653" s="66">
        <v>135.9639355</v>
      </c>
      <c r="H2653" s="8">
        <v>7.806</v>
      </c>
      <c r="J2653" s="26"/>
      <c r="K2653"/>
    </row>
    <row r="2654" spans="1:11">
      <c r="A2654">
        <v>19</v>
      </c>
      <c r="B2654" s="64">
        <v>40760</v>
      </c>
      <c r="C2654" s="2">
        <v>1408968.55</v>
      </c>
      <c r="D2654">
        <v>0</v>
      </c>
      <c r="E2654" s="65">
        <v>73.84</v>
      </c>
      <c r="F2654" s="8">
        <v>4.02</v>
      </c>
      <c r="G2654" s="66">
        <v>136.0540323</v>
      </c>
      <c r="H2654" s="8">
        <v>7.806</v>
      </c>
      <c r="J2654" s="26"/>
      <c r="K2654"/>
    </row>
    <row r="2655" spans="1:11">
      <c r="A2655">
        <v>19</v>
      </c>
      <c r="B2655" s="64">
        <v>40767</v>
      </c>
      <c r="C2655" s="2">
        <v>1360969.45</v>
      </c>
      <c r="D2655">
        <v>0</v>
      </c>
      <c r="E2655" s="65">
        <v>70.92</v>
      </c>
      <c r="F2655" s="8">
        <v>3.995</v>
      </c>
      <c r="G2655" s="66">
        <v>136.144129</v>
      </c>
      <c r="H2655" s="8">
        <v>7.806</v>
      </c>
      <c r="J2655" s="26"/>
      <c r="K2655"/>
    </row>
    <row r="2656" spans="1:11">
      <c r="A2656">
        <v>19</v>
      </c>
      <c r="B2656" s="64">
        <v>40774</v>
      </c>
      <c r="C2656" s="2">
        <v>1391792.69</v>
      </c>
      <c r="D2656">
        <v>0</v>
      </c>
      <c r="E2656" s="65">
        <v>71.14</v>
      </c>
      <c r="F2656" s="8">
        <v>3.942</v>
      </c>
      <c r="G2656" s="66">
        <v>136.183129</v>
      </c>
      <c r="H2656" s="8">
        <v>7.806</v>
      </c>
      <c r="J2656" s="26"/>
      <c r="K2656"/>
    </row>
    <row r="2657" spans="1:11">
      <c r="A2657">
        <v>19</v>
      </c>
      <c r="B2657" s="64">
        <v>40781</v>
      </c>
      <c r="C2657" s="2">
        <v>1547729.24</v>
      </c>
      <c r="D2657">
        <v>0</v>
      </c>
      <c r="E2657" s="65">
        <v>69.34</v>
      </c>
      <c r="F2657" s="8">
        <v>3.906</v>
      </c>
      <c r="G2657" s="66">
        <v>136.2136129</v>
      </c>
      <c r="H2657" s="8">
        <v>7.806</v>
      </c>
      <c r="J2657" s="26"/>
      <c r="K2657"/>
    </row>
    <row r="2658" spans="1:11">
      <c r="A2658">
        <v>19</v>
      </c>
      <c r="B2658" s="64">
        <v>40788</v>
      </c>
      <c r="C2658" s="2">
        <v>1609951.02</v>
      </c>
      <c r="D2658">
        <v>0</v>
      </c>
      <c r="E2658" s="65">
        <v>69.27</v>
      </c>
      <c r="F2658" s="8">
        <v>3.879</v>
      </c>
      <c r="G2658" s="66">
        <v>136.2440968</v>
      </c>
      <c r="H2658" s="8">
        <v>7.806</v>
      </c>
      <c r="J2658" s="26"/>
      <c r="K2658"/>
    </row>
    <row r="2659" spans="1:11">
      <c r="A2659">
        <v>19</v>
      </c>
      <c r="B2659" s="64">
        <v>40795</v>
      </c>
      <c r="C2659" s="2">
        <v>1566712.79</v>
      </c>
      <c r="D2659">
        <v>1</v>
      </c>
      <c r="E2659" s="65">
        <v>68.28</v>
      </c>
      <c r="F2659" s="8">
        <v>3.93</v>
      </c>
      <c r="G2659" s="66">
        <v>136.2745806</v>
      </c>
      <c r="H2659" s="8">
        <v>7.806</v>
      </c>
      <c r="J2659" s="26"/>
      <c r="K2659"/>
    </row>
    <row r="2660" spans="1:11">
      <c r="A2660">
        <v>19</v>
      </c>
      <c r="B2660" s="64">
        <v>40802</v>
      </c>
      <c r="C2660" s="2">
        <v>1365633.53</v>
      </c>
      <c r="D2660">
        <v>0</v>
      </c>
      <c r="E2660" s="65">
        <v>62.76</v>
      </c>
      <c r="F2660" s="8">
        <v>3.937</v>
      </c>
      <c r="G2660" s="66">
        <v>136.3145</v>
      </c>
      <c r="H2660" s="8">
        <v>7.806</v>
      </c>
      <c r="J2660" s="26"/>
      <c r="K2660"/>
    </row>
    <row r="2661" spans="1:11">
      <c r="A2661">
        <v>19</v>
      </c>
      <c r="B2661" s="64">
        <v>40809</v>
      </c>
      <c r="C2661" s="2">
        <v>1300375.76</v>
      </c>
      <c r="D2661">
        <v>0</v>
      </c>
      <c r="E2661" s="65">
        <v>61.32</v>
      </c>
      <c r="F2661" s="8">
        <v>3.899</v>
      </c>
      <c r="G2661" s="66">
        <v>136.367</v>
      </c>
      <c r="H2661" s="8">
        <v>7.806</v>
      </c>
      <c r="J2661" s="26"/>
      <c r="K2661"/>
    </row>
    <row r="2662" spans="1:11">
      <c r="A2662">
        <v>19</v>
      </c>
      <c r="B2662" s="64">
        <v>40816</v>
      </c>
      <c r="C2662" s="2">
        <v>1330757.22</v>
      </c>
      <c r="D2662">
        <v>0</v>
      </c>
      <c r="E2662" s="65">
        <v>64.99</v>
      </c>
      <c r="F2662" s="8">
        <v>3.858</v>
      </c>
      <c r="G2662" s="66">
        <v>136.4195</v>
      </c>
      <c r="H2662" s="8">
        <v>7.806</v>
      </c>
      <c r="J2662" s="26"/>
      <c r="K2662"/>
    </row>
    <row r="2663" spans="1:11">
      <c r="A2663">
        <v>19</v>
      </c>
      <c r="B2663" s="64">
        <v>40823</v>
      </c>
      <c r="C2663" s="2">
        <v>1461718.87</v>
      </c>
      <c r="D2663">
        <v>0</v>
      </c>
      <c r="E2663" s="65">
        <v>53.1</v>
      </c>
      <c r="F2663" s="8">
        <v>3.775</v>
      </c>
      <c r="G2663" s="66">
        <v>136.472</v>
      </c>
      <c r="H2663" s="8">
        <v>7.866</v>
      </c>
      <c r="J2663" s="26"/>
      <c r="K2663"/>
    </row>
    <row r="2664" spans="1:11">
      <c r="A2664">
        <v>19</v>
      </c>
      <c r="B2664" s="64">
        <v>40830</v>
      </c>
      <c r="C2664" s="2">
        <v>1318905.53</v>
      </c>
      <c r="D2664">
        <v>0</v>
      </c>
      <c r="E2664" s="65">
        <v>61.86</v>
      </c>
      <c r="F2664" s="8">
        <v>3.744</v>
      </c>
      <c r="G2664" s="66">
        <v>136.5150968</v>
      </c>
      <c r="H2664" s="8">
        <v>7.866</v>
      </c>
      <c r="J2664" s="26"/>
      <c r="K2664"/>
    </row>
    <row r="2665" spans="1:11">
      <c r="A2665">
        <v>19</v>
      </c>
      <c r="B2665" s="64">
        <v>40837</v>
      </c>
      <c r="C2665" s="2">
        <v>1374863.1</v>
      </c>
      <c r="D2665">
        <v>0</v>
      </c>
      <c r="E2665" s="65">
        <v>52.05</v>
      </c>
      <c r="F2665" s="8">
        <v>3.757</v>
      </c>
      <c r="G2665" s="66">
        <v>136.5017742</v>
      </c>
      <c r="H2665" s="8">
        <v>7.866</v>
      </c>
      <c r="J2665" s="26"/>
      <c r="K2665"/>
    </row>
    <row r="2666" spans="1:11">
      <c r="A2666">
        <v>19</v>
      </c>
      <c r="B2666" s="64">
        <v>40844</v>
      </c>
      <c r="C2666" s="2">
        <v>1396612.36</v>
      </c>
      <c r="D2666">
        <v>0</v>
      </c>
      <c r="E2666" s="65">
        <v>46.49</v>
      </c>
      <c r="F2666" s="8">
        <v>3.757</v>
      </c>
      <c r="G2666" s="66">
        <v>136.4884516</v>
      </c>
      <c r="H2666" s="8">
        <v>7.866</v>
      </c>
      <c r="J2666" s="26"/>
      <c r="K2666"/>
    </row>
    <row r="2667" spans="1:11">
      <c r="A2667">
        <v>19</v>
      </c>
      <c r="B2667" s="64">
        <v>40851</v>
      </c>
      <c r="C2667" s="2">
        <v>1480289.64</v>
      </c>
      <c r="D2667">
        <v>0</v>
      </c>
      <c r="E2667" s="65">
        <v>44.97</v>
      </c>
      <c r="F2667" s="8">
        <v>3.738</v>
      </c>
      <c r="G2667" s="66">
        <v>136.475129</v>
      </c>
      <c r="H2667" s="8">
        <v>7.866</v>
      </c>
      <c r="J2667" s="26"/>
      <c r="K2667"/>
    </row>
    <row r="2668" spans="1:11">
      <c r="A2668">
        <v>19</v>
      </c>
      <c r="B2668" s="64">
        <v>40858</v>
      </c>
      <c r="C2668" s="2">
        <v>1502078.93</v>
      </c>
      <c r="D2668">
        <v>0</v>
      </c>
      <c r="E2668" s="65">
        <v>48.22</v>
      </c>
      <c r="F2668" s="8">
        <v>3.719</v>
      </c>
      <c r="G2668" s="66">
        <v>136.4618065</v>
      </c>
      <c r="H2668" s="8">
        <v>7.866</v>
      </c>
      <c r="J2668" s="26"/>
      <c r="K2668"/>
    </row>
    <row r="2669" spans="1:11">
      <c r="A2669">
        <v>19</v>
      </c>
      <c r="B2669" s="64">
        <v>40865</v>
      </c>
      <c r="C2669" s="2">
        <v>1411835.57</v>
      </c>
      <c r="D2669">
        <v>0</v>
      </c>
      <c r="E2669" s="65">
        <v>48.21</v>
      </c>
      <c r="F2669" s="8">
        <v>3.717</v>
      </c>
      <c r="G2669" s="66">
        <v>136.4666667</v>
      </c>
      <c r="H2669" s="8">
        <v>7.866</v>
      </c>
      <c r="J2669" s="26"/>
      <c r="K2669"/>
    </row>
    <row r="2670" spans="1:11">
      <c r="A2670">
        <v>19</v>
      </c>
      <c r="B2670" s="64">
        <v>40872</v>
      </c>
      <c r="C2670" s="2">
        <v>1974646.78</v>
      </c>
      <c r="D2670">
        <v>1</v>
      </c>
      <c r="E2670" s="65">
        <v>42.75</v>
      </c>
      <c r="F2670" s="8">
        <v>3.689</v>
      </c>
      <c r="G2670" s="66">
        <v>136.4788</v>
      </c>
      <c r="H2670" s="8">
        <v>7.866</v>
      </c>
      <c r="J2670" s="26"/>
      <c r="K2670"/>
    </row>
    <row r="2671" spans="1:11">
      <c r="A2671">
        <v>19</v>
      </c>
      <c r="B2671" s="64">
        <v>40879</v>
      </c>
      <c r="C2671" s="2">
        <v>1484708.38</v>
      </c>
      <c r="D2671">
        <v>0</v>
      </c>
      <c r="E2671" s="65">
        <v>45.67</v>
      </c>
      <c r="F2671" s="8">
        <v>3.666</v>
      </c>
      <c r="G2671" s="66">
        <v>136.4909333</v>
      </c>
      <c r="H2671" s="8">
        <v>7.866</v>
      </c>
      <c r="J2671" s="26"/>
      <c r="K2671"/>
    </row>
    <row r="2672" spans="1:11">
      <c r="A2672">
        <v>19</v>
      </c>
      <c r="B2672" s="64">
        <v>40886</v>
      </c>
      <c r="C2672" s="2">
        <v>1713769.06</v>
      </c>
      <c r="D2672">
        <v>0</v>
      </c>
      <c r="E2672" s="65">
        <v>40.18</v>
      </c>
      <c r="F2672" s="8">
        <v>3.627</v>
      </c>
      <c r="G2672" s="66">
        <v>136.5030667</v>
      </c>
      <c r="H2672" s="8">
        <v>7.866</v>
      </c>
      <c r="J2672" s="26"/>
      <c r="K2672"/>
    </row>
    <row r="2673" spans="1:11">
      <c r="A2673">
        <v>19</v>
      </c>
      <c r="B2673" s="64">
        <v>40893</v>
      </c>
      <c r="C2673" s="2">
        <v>1852179.15</v>
      </c>
      <c r="D2673">
        <v>0</v>
      </c>
      <c r="E2673" s="65">
        <v>37.07</v>
      </c>
      <c r="F2673" s="8">
        <v>3.611</v>
      </c>
      <c r="G2673" s="66">
        <v>136.5335161</v>
      </c>
      <c r="H2673" s="8">
        <v>7.866</v>
      </c>
      <c r="J2673" s="26"/>
      <c r="K2673"/>
    </row>
    <row r="2674" spans="1:11">
      <c r="A2674">
        <v>19</v>
      </c>
      <c r="B2674" s="64">
        <v>40900</v>
      </c>
      <c r="C2674" s="2">
        <v>2480159.47</v>
      </c>
      <c r="D2674">
        <v>0</v>
      </c>
      <c r="E2674" s="65">
        <v>36.09</v>
      </c>
      <c r="F2674" s="8">
        <v>3.587</v>
      </c>
      <c r="G2674" s="66">
        <v>136.5883871</v>
      </c>
      <c r="H2674" s="8">
        <v>7.866</v>
      </c>
      <c r="J2674" s="26"/>
      <c r="K2674"/>
    </row>
    <row r="2675" spans="1:11">
      <c r="A2675">
        <v>19</v>
      </c>
      <c r="B2675" s="64">
        <v>40907</v>
      </c>
      <c r="C2675" s="2">
        <v>1405168.06</v>
      </c>
      <c r="D2675">
        <v>1</v>
      </c>
      <c r="E2675" s="65">
        <v>31.65</v>
      </c>
      <c r="F2675" s="8">
        <v>3.566</v>
      </c>
      <c r="G2675" s="66">
        <v>136.6432581</v>
      </c>
      <c r="H2675" s="8">
        <v>7.866</v>
      </c>
      <c r="J2675" s="26"/>
      <c r="K2675"/>
    </row>
    <row r="2676" spans="1:11">
      <c r="A2676">
        <v>19</v>
      </c>
      <c r="B2676" s="64">
        <v>40914</v>
      </c>
      <c r="C2676" s="2">
        <v>1266570.4</v>
      </c>
      <c r="D2676">
        <v>0</v>
      </c>
      <c r="E2676" s="65">
        <v>31.84</v>
      </c>
      <c r="F2676" s="8">
        <v>3.585</v>
      </c>
      <c r="G2676" s="66">
        <v>136.698129</v>
      </c>
      <c r="H2676" s="8">
        <v>7.943</v>
      </c>
      <c r="J2676" s="26"/>
      <c r="K2676"/>
    </row>
    <row r="2677" spans="1:11">
      <c r="A2677">
        <v>19</v>
      </c>
      <c r="B2677" s="64">
        <v>40921</v>
      </c>
      <c r="C2677" s="2">
        <v>1182198.7</v>
      </c>
      <c r="D2677">
        <v>0</v>
      </c>
      <c r="E2677" s="65">
        <v>37.08</v>
      </c>
      <c r="F2677" s="8">
        <v>3.666</v>
      </c>
      <c r="G2677" s="66">
        <v>136.753</v>
      </c>
      <c r="H2677" s="8">
        <v>7.943</v>
      </c>
      <c r="J2677" s="26"/>
      <c r="K2677"/>
    </row>
    <row r="2678" spans="1:11">
      <c r="A2678">
        <v>19</v>
      </c>
      <c r="B2678" s="64">
        <v>40928</v>
      </c>
      <c r="C2678" s="2">
        <v>1237104.73</v>
      </c>
      <c r="D2678">
        <v>0</v>
      </c>
      <c r="E2678" s="65">
        <v>23.44</v>
      </c>
      <c r="F2678" s="8">
        <v>3.705</v>
      </c>
      <c r="G2678" s="66">
        <v>136.8564194</v>
      </c>
      <c r="H2678" s="8">
        <v>7.943</v>
      </c>
      <c r="J2678" s="26"/>
      <c r="K2678"/>
    </row>
    <row r="2679" spans="1:11">
      <c r="A2679">
        <v>19</v>
      </c>
      <c r="B2679" s="64">
        <v>40935</v>
      </c>
      <c r="C2679" s="2">
        <v>1279623.26</v>
      </c>
      <c r="D2679">
        <v>0</v>
      </c>
      <c r="E2679" s="65">
        <v>32.41</v>
      </c>
      <c r="F2679" s="8">
        <v>3.737</v>
      </c>
      <c r="G2679" s="66">
        <v>136.9598387</v>
      </c>
      <c r="H2679" s="8">
        <v>7.943</v>
      </c>
      <c r="J2679" s="26"/>
      <c r="K2679"/>
    </row>
    <row r="2680" spans="1:11">
      <c r="A2680">
        <v>19</v>
      </c>
      <c r="B2680" s="64">
        <v>40942</v>
      </c>
      <c r="C2680" s="2">
        <v>1345311.65</v>
      </c>
      <c r="D2680">
        <v>0</v>
      </c>
      <c r="E2680" s="65">
        <v>36.22</v>
      </c>
      <c r="F2680" s="8">
        <v>3.796</v>
      </c>
      <c r="G2680" s="66">
        <v>137.0632581</v>
      </c>
      <c r="H2680" s="8">
        <v>7.943</v>
      </c>
      <c r="J2680" s="26"/>
      <c r="K2680"/>
    </row>
    <row r="2681" spans="1:11">
      <c r="A2681">
        <v>19</v>
      </c>
      <c r="B2681" s="64">
        <v>40949</v>
      </c>
      <c r="C2681" s="2">
        <v>1499496.67</v>
      </c>
      <c r="D2681">
        <v>1</v>
      </c>
      <c r="E2681" s="65">
        <v>32.61</v>
      </c>
      <c r="F2681" s="8">
        <v>3.826</v>
      </c>
      <c r="G2681" s="66">
        <v>137.1666774</v>
      </c>
      <c r="H2681" s="8">
        <v>7.943</v>
      </c>
      <c r="J2681" s="26"/>
      <c r="K2681"/>
    </row>
    <row r="2682" spans="1:11">
      <c r="A2682">
        <v>19</v>
      </c>
      <c r="B2682" s="64">
        <v>40956</v>
      </c>
      <c r="C2682" s="2">
        <v>1424720.27</v>
      </c>
      <c r="D2682">
        <v>0</v>
      </c>
      <c r="E2682" s="65">
        <v>30.95</v>
      </c>
      <c r="F2682" s="8">
        <v>3.874</v>
      </c>
      <c r="G2682" s="66">
        <v>137.2583103</v>
      </c>
      <c r="H2682" s="8">
        <v>7.943</v>
      </c>
      <c r="J2682" s="26"/>
      <c r="K2682"/>
    </row>
    <row r="2683" spans="1:11">
      <c r="A2683">
        <v>19</v>
      </c>
      <c r="B2683" s="64">
        <v>40963</v>
      </c>
      <c r="C2683" s="2">
        <v>1352470.09</v>
      </c>
      <c r="D2683">
        <v>0</v>
      </c>
      <c r="E2683" s="65">
        <v>33.91</v>
      </c>
      <c r="F2683" s="8">
        <v>3.917</v>
      </c>
      <c r="G2683" s="66">
        <v>137.3411034</v>
      </c>
      <c r="H2683" s="8">
        <v>7.943</v>
      </c>
      <c r="J2683" s="26"/>
      <c r="K2683"/>
    </row>
    <row r="2684" spans="1:11">
      <c r="A2684">
        <v>19</v>
      </c>
      <c r="B2684" s="64">
        <v>40970</v>
      </c>
      <c r="C2684" s="2">
        <v>1308977.05</v>
      </c>
      <c r="D2684">
        <v>0</v>
      </c>
      <c r="E2684" s="65">
        <v>34.83</v>
      </c>
      <c r="F2684" s="8">
        <v>3.983</v>
      </c>
      <c r="G2684" s="66">
        <v>137.4238966</v>
      </c>
      <c r="H2684" s="8">
        <v>7.943</v>
      </c>
      <c r="J2684" s="26"/>
      <c r="K2684"/>
    </row>
    <row r="2685" spans="1:11">
      <c r="A2685">
        <v>19</v>
      </c>
      <c r="B2685" s="64">
        <v>40977</v>
      </c>
      <c r="C2685" s="2">
        <v>1358816.46</v>
      </c>
      <c r="D2685">
        <v>0</v>
      </c>
      <c r="E2685" s="65">
        <v>38.15</v>
      </c>
      <c r="F2685" s="8">
        <v>4.021</v>
      </c>
      <c r="G2685" s="66">
        <v>137.5066897</v>
      </c>
      <c r="H2685" s="8">
        <v>7.943</v>
      </c>
      <c r="J2685" s="26"/>
      <c r="K2685"/>
    </row>
    <row r="2686" spans="1:11">
      <c r="A2686">
        <v>19</v>
      </c>
      <c r="B2686" s="64">
        <v>40984</v>
      </c>
      <c r="C2686" s="2">
        <v>1312849.1</v>
      </c>
      <c r="D2686">
        <v>0</v>
      </c>
      <c r="E2686" s="65">
        <v>48.2</v>
      </c>
      <c r="F2686" s="8">
        <v>4.021</v>
      </c>
      <c r="G2686" s="66">
        <v>137.5843871</v>
      </c>
      <c r="H2686" s="8">
        <v>7.943</v>
      </c>
      <c r="J2686" s="26"/>
      <c r="K2686"/>
    </row>
    <row r="2687" spans="1:11">
      <c r="A2687">
        <v>19</v>
      </c>
      <c r="B2687" s="64">
        <v>40991</v>
      </c>
      <c r="C2687" s="2">
        <v>1342254.55</v>
      </c>
      <c r="D2687">
        <v>0</v>
      </c>
      <c r="E2687" s="65">
        <v>56.72</v>
      </c>
      <c r="F2687" s="8">
        <v>4.054</v>
      </c>
      <c r="G2687" s="66">
        <v>137.6552903</v>
      </c>
      <c r="H2687" s="8">
        <v>7.943</v>
      </c>
      <c r="J2687" s="26"/>
      <c r="K2687"/>
    </row>
    <row r="2688" spans="1:11">
      <c r="A2688">
        <v>19</v>
      </c>
      <c r="B2688" s="64">
        <v>40998</v>
      </c>
      <c r="C2688" s="2">
        <v>1327139.35</v>
      </c>
      <c r="D2688">
        <v>0</v>
      </c>
      <c r="E2688" s="65">
        <v>43.47</v>
      </c>
      <c r="F2688" s="8">
        <v>4.098</v>
      </c>
      <c r="G2688" s="66">
        <v>137.7261935</v>
      </c>
      <c r="H2688" s="8">
        <v>7.943</v>
      </c>
      <c r="J2688" s="26"/>
      <c r="K2688"/>
    </row>
    <row r="2689" spans="1:11">
      <c r="A2689">
        <v>19</v>
      </c>
      <c r="B2689" s="64">
        <v>41005</v>
      </c>
      <c r="C2689" s="2">
        <v>1631737.68</v>
      </c>
      <c r="D2689">
        <v>0</v>
      </c>
      <c r="E2689" s="65">
        <v>40.23</v>
      </c>
      <c r="F2689" s="8">
        <v>4.143</v>
      </c>
      <c r="G2689" s="66">
        <v>137.7970968</v>
      </c>
      <c r="H2689" s="8">
        <v>8.15</v>
      </c>
      <c r="J2689" s="26"/>
      <c r="K2689"/>
    </row>
    <row r="2690" spans="1:11">
      <c r="A2690">
        <v>19</v>
      </c>
      <c r="B2690" s="64">
        <v>41012</v>
      </c>
      <c r="C2690" s="2">
        <v>1365098.46</v>
      </c>
      <c r="D2690">
        <v>0</v>
      </c>
      <c r="E2690" s="65">
        <v>44.42</v>
      </c>
      <c r="F2690" s="8">
        <v>4.187</v>
      </c>
      <c r="G2690" s="66">
        <v>137.868</v>
      </c>
      <c r="H2690" s="8">
        <v>8.15</v>
      </c>
      <c r="J2690" s="26"/>
      <c r="K2690"/>
    </row>
    <row r="2691" spans="1:11">
      <c r="A2691">
        <v>19</v>
      </c>
      <c r="B2691" s="64">
        <v>41019</v>
      </c>
      <c r="C2691" s="2">
        <v>1255087.26</v>
      </c>
      <c r="D2691">
        <v>0</v>
      </c>
      <c r="E2691" s="65">
        <v>55.2</v>
      </c>
      <c r="F2691" s="8">
        <v>4.17</v>
      </c>
      <c r="G2691" s="66">
        <v>137.9230667</v>
      </c>
      <c r="H2691" s="8">
        <v>8.15</v>
      </c>
      <c r="J2691" s="26"/>
      <c r="K2691"/>
    </row>
    <row r="2692" spans="1:11">
      <c r="A2692">
        <v>19</v>
      </c>
      <c r="B2692" s="64">
        <v>41026</v>
      </c>
      <c r="C2692" s="2">
        <v>1285897.24</v>
      </c>
      <c r="D2692">
        <v>0</v>
      </c>
      <c r="E2692" s="65">
        <v>42.45</v>
      </c>
      <c r="F2692" s="8">
        <v>4.163</v>
      </c>
      <c r="G2692" s="66">
        <v>137.9781333</v>
      </c>
      <c r="H2692" s="8">
        <v>8.15</v>
      </c>
      <c r="J2692" s="26"/>
      <c r="K2692"/>
    </row>
    <row r="2693" spans="1:11">
      <c r="A2693">
        <v>19</v>
      </c>
      <c r="B2693" s="64">
        <v>41033</v>
      </c>
      <c r="C2693" s="2">
        <v>1405007.44</v>
      </c>
      <c r="D2693">
        <v>0</v>
      </c>
      <c r="E2693" s="65">
        <v>50.76</v>
      </c>
      <c r="F2693" s="8">
        <v>4.124</v>
      </c>
      <c r="G2693" s="66">
        <v>138.0332</v>
      </c>
      <c r="H2693" s="8">
        <v>8.15</v>
      </c>
      <c r="J2693" s="26"/>
      <c r="K2693"/>
    </row>
    <row r="2694" spans="1:11">
      <c r="A2694">
        <v>19</v>
      </c>
      <c r="B2694" s="64">
        <v>41040</v>
      </c>
      <c r="C2694" s="2">
        <v>1442873.22</v>
      </c>
      <c r="D2694">
        <v>0</v>
      </c>
      <c r="E2694" s="65">
        <v>55.33</v>
      </c>
      <c r="F2694" s="8">
        <v>4.055</v>
      </c>
      <c r="G2694" s="66">
        <v>138.0882667</v>
      </c>
      <c r="H2694" s="8">
        <v>8.15</v>
      </c>
      <c r="J2694" s="26"/>
      <c r="K2694"/>
    </row>
    <row r="2695" spans="1:11">
      <c r="A2695">
        <v>19</v>
      </c>
      <c r="B2695" s="64">
        <v>41047</v>
      </c>
      <c r="C2695" s="2">
        <v>1366937.1</v>
      </c>
      <c r="D2695">
        <v>0</v>
      </c>
      <c r="E2695" s="65">
        <v>58.81</v>
      </c>
      <c r="F2695" s="8">
        <v>4.029</v>
      </c>
      <c r="G2695" s="66">
        <v>138.1065806</v>
      </c>
      <c r="H2695" s="8">
        <v>8.15</v>
      </c>
      <c r="J2695" s="26"/>
      <c r="K2695"/>
    </row>
    <row r="2696" spans="1:11">
      <c r="A2696">
        <v>19</v>
      </c>
      <c r="B2696" s="64">
        <v>41054</v>
      </c>
      <c r="C2696" s="2">
        <v>1485540.28</v>
      </c>
      <c r="D2696">
        <v>0</v>
      </c>
      <c r="E2696" s="65">
        <v>67.79</v>
      </c>
      <c r="F2696" s="8">
        <v>3.979</v>
      </c>
      <c r="G2696" s="66">
        <v>138.1101935</v>
      </c>
      <c r="H2696" s="8">
        <v>8.15</v>
      </c>
      <c r="J2696" s="26"/>
      <c r="K2696"/>
    </row>
    <row r="2697" spans="1:11">
      <c r="A2697">
        <v>19</v>
      </c>
      <c r="B2697" s="64">
        <v>41061</v>
      </c>
      <c r="C2697" s="2">
        <v>1450733.29</v>
      </c>
      <c r="D2697">
        <v>0</v>
      </c>
      <c r="E2697" s="65">
        <v>68.18</v>
      </c>
      <c r="F2697" s="8">
        <v>3.915</v>
      </c>
      <c r="G2697" s="66">
        <v>138.1138065</v>
      </c>
      <c r="H2697" s="8">
        <v>8.15</v>
      </c>
      <c r="J2697" s="26"/>
      <c r="K2697"/>
    </row>
    <row r="2698" spans="1:11">
      <c r="A2698">
        <v>19</v>
      </c>
      <c r="B2698" s="64">
        <v>41068</v>
      </c>
      <c r="C2698" s="2">
        <v>1390122.11</v>
      </c>
      <c r="D2698">
        <v>0</v>
      </c>
      <c r="E2698" s="65">
        <v>60.19</v>
      </c>
      <c r="F2698" s="8">
        <v>3.871</v>
      </c>
      <c r="G2698" s="66">
        <v>138.1174194</v>
      </c>
      <c r="H2698" s="8">
        <v>8.15</v>
      </c>
      <c r="J2698" s="26"/>
      <c r="K2698"/>
    </row>
    <row r="2699" spans="1:11">
      <c r="A2699">
        <v>19</v>
      </c>
      <c r="B2699" s="64">
        <v>41075</v>
      </c>
      <c r="C2699" s="2">
        <v>1440263.15</v>
      </c>
      <c r="D2699">
        <v>0</v>
      </c>
      <c r="E2699" s="65">
        <v>68.19</v>
      </c>
      <c r="F2699" s="8">
        <v>3.786</v>
      </c>
      <c r="G2699" s="66">
        <v>138.1295333</v>
      </c>
      <c r="H2699" s="8">
        <v>8.15</v>
      </c>
      <c r="J2699" s="26"/>
      <c r="K2699"/>
    </row>
    <row r="2700" spans="1:11">
      <c r="A2700">
        <v>19</v>
      </c>
      <c r="B2700" s="64">
        <v>41082</v>
      </c>
      <c r="C2700" s="2">
        <v>1468350.36</v>
      </c>
      <c r="D2700">
        <v>0</v>
      </c>
      <c r="E2700" s="65">
        <v>75.83</v>
      </c>
      <c r="F2700" s="8">
        <v>3.722</v>
      </c>
      <c r="G2700" s="66">
        <v>138.1629</v>
      </c>
      <c r="H2700" s="8">
        <v>8.15</v>
      </c>
      <c r="J2700" s="26"/>
      <c r="K2700"/>
    </row>
    <row r="2701" spans="1:11">
      <c r="A2701">
        <v>19</v>
      </c>
      <c r="B2701" s="64">
        <v>41089</v>
      </c>
      <c r="C2701" s="2">
        <v>1379652.65</v>
      </c>
      <c r="D2701">
        <v>0</v>
      </c>
      <c r="E2701" s="65">
        <v>69.92</v>
      </c>
      <c r="F2701" s="8">
        <v>3.667</v>
      </c>
      <c r="G2701" s="66">
        <v>138.1962667</v>
      </c>
      <c r="H2701" s="8">
        <v>8.15</v>
      </c>
      <c r="J2701" s="26"/>
      <c r="K2701"/>
    </row>
    <row r="2702" spans="1:11">
      <c r="A2702">
        <v>19</v>
      </c>
      <c r="B2702" s="64">
        <v>41096</v>
      </c>
      <c r="C2702" s="2">
        <v>1557120.44</v>
      </c>
      <c r="D2702">
        <v>0</v>
      </c>
      <c r="E2702" s="65">
        <v>76.07</v>
      </c>
      <c r="F2702" s="8">
        <v>3.646</v>
      </c>
      <c r="G2702" s="66">
        <v>138.2296333</v>
      </c>
      <c r="H2702" s="8">
        <v>8.193</v>
      </c>
      <c r="J2702" s="26"/>
      <c r="K2702"/>
    </row>
    <row r="2703" spans="1:11">
      <c r="A2703">
        <v>19</v>
      </c>
      <c r="B2703" s="64">
        <v>41103</v>
      </c>
      <c r="C2703" s="2">
        <v>1321741.35</v>
      </c>
      <c r="D2703">
        <v>0</v>
      </c>
      <c r="E2703" s="65">
        <v>73.17</v>
      </c>
      <c r="F2703" s="8">
        <v>3.689</v>
      </c>
      <c r="G2703" s="66">
        <v>138.263</v>
      </c>
      <c r="H2703" s="8">
        <v>8.193</v>
      </c>
      <c r="J2703" s="26"/>
      <c r="K2703"/>
    </row>
    <row r="2704" spans="1:11">
      <c r="A2704">
        <v>19</v>
      </c>
      <c r="B2704" s="64">
        <v>41110</v>
      </c>
      <c r="C2704" s="2">
        <v>1317672.92</v>
      </c>
      <c r="D2704">
        <v>0</v>
      </c>
      <c r="E2704" s="65">
        <v>76.17</v>
      </c>
      <c r="F2704" s="8">
        <v>3.732</v>
      </c>
      <c r="G2704" s="66">
        <v>138.2331935</v>
      </c>
      <c r="H2704" s="8">
        <v>8.193</v>
      </c>
      <c r="J2704" s="26"/>
      <c r="K2704"/>
    </row>
    <row r="2705" spans="1:11">
      <c r="A2705">
        <v>19</v>
      </c>
      <c r="B2705" s="64">
        <v>41117</v>
      </c>
      <c r="C2705" s="2">
        <v>1248915.43</v>
      </c>
      <c r="D2705">
        <v>0</v>
      </c>
      <c r="E2705" s="65">
        <v>74.43</v>
      </c>
      <c r="F2705" s="8">
        <v>3.82</v>
      </c>
      <c r="G2705" s="66">
        <v>138.2033871</v>
      </c>
      <c r="H2705" s="8">
        <v>8.193</v>
      </c>
      <c r="J2705" s="26"/>
      <c r="K2705"/>
    </row>
    <row r="2706" spans="1:11">
      <c r="A2706">
        <v>19</v>
      </c>
      <c r="B2706" s="64">
        <v>41124</v>
      </c>
      <c r="C2706" s="2">
        <v>1342123.78</v>
      </c>
      <c r="D2706">
        <v>0</v>
      </c>
      <c r="E2706" s="65">
        <v>73.41</v>
      </c>
      <c r="F2706" s="8">
        <v>3.819</v>
      </c>
      <c r="G2706" s="66">
        <v>138.1735806</v>
      </c>
      <c r="H2706" s="8">
        <v>8.193</v>
      </c>
      <c r="J2706" s="26"/>
      <c r="K2706"/>
    </row>
    <row r="2707" spans="1:11">
      <c r="A2707">
        <v>19</v>
      </c>
      <c r="B2707" s="64">
        <v>41131</v>
      </c>
      <c r="C2707" s="2">
        <v>1408907.89</v>
      </c>
      <c r="D2707">
        <v>0</v>
      </c>
      <c r="E2707" s="65">
        <v>74.45</v>
      </c>
      <c r="F2707" s="8">
        <v>3.863</v>
      </c>
      <c r="G2707" s="66">
        <v>138.1437742</v>
      </c>
      <c r="H2707" s="8">
        <v>8.193</v>
      </c>
      <c r="J2707" s="26"/>
      <c r="K2707"/>
    </row>
    <row r="2708" spans="1:11">
      <c r="A2708">
        <v>19</v>
      </c>
      <c r="B2708" s="64">
        <v>41138</v>
      </c>
      <c r="C2708" s="2">
        <v>1375101.26</v>
      </c>
      <c r="D2708">
        <v>0</v>
      </c>
      <c r="E2708" s="65">
        <v>69.83</v>
      </c>
      <c r="F2708" s="8">
        <v>3.963</v>
      </c>
      <c r="G2708" s="66">
        <v>138.1857097</v>
      </c>
      <c r="H2708" s="8">
        <v>8.193</v>
      </c>
      <c r="J2708" s="26"/>
      <c r="K2708"/>
    </row>
    <row r="2709" spans="1:11">
      <c r="A2709">
        <v>19</v>
      </c>
      <c r="B2709" s="64">
        <v>41145</v>
      </c>
      <c r="C2709" s="2">
        <v>1544653.37</v>
      </c>
      <c r="D2709">
        <v>0</v>
      </c>
      <c r="E2709" s="65">
        <v>66.66</v>
      </c>
      <c r="F2709" s="8">
        <v>3.997</v>
      </c>
      <c r="G2709" s="66">
        <v>138.2814516</v>
      </c>
      <c r="H2709" s="8">
        <v>8.193</v>
      </c>
      <c r="J2709" s="26"/>
      <c r="K2709"/>
    </row>
    <row r="2710" spans="1:11">
      <c r="A2710">
        <v>19</v>
      </c>
      <c r="B2710" s="64">
        <v>41152</v>
      </c>
      <c r="C2710" s="2">
        <v>1542719.87</v>
      </c>
      <c r="D2710">
        <v>0</v>
      </c>
      <c r="E2710" s="65">
        <v>71.85</v>
      </c>
      <c r="F2710" s="8">
        <v>4.026</v>
      </c>
      <c r="G2710" s="66">
        <v>138.3771935</v>
      </c>
      <c r="H2710" s="8">
        <v>8.193</v>
      </c>
      <c r="J2710" s="26"/>
      <c r="K2710"/>
    </row>
    <row r="2711" spans="1:11">
      <c r="A2711">
        <v>19</v>
      </c>
      <c r="B2711" s="64">
        <v>41159</v>
      </c>
      <c r="C2711" s="2">
        <v>1497073.82</v>
      </c>
      <c r="D2711">
        <v>1</v>
      </c>
      <c r="E2711" s="65">
        <v>72.2</v>
      </c>
      <c r="F2711" s="8">
        <v>4.076</v>
      </c>
      <c r="G2711" s="66">
        <v>138.4729355</v>
      </c>
      <c r="H2711" s="8">
        <v>8.193</v>
      </c>
      <c r="J2711" s="26"/>
      <c r="K2711"/>
    </row>
    <row r="2712" spans="1:11">
      <c r="A2712">
        <v>19</v>
      </c>
      <c r="B2712" s="64">
        <v>41166</v>
      </c>
      <c r="C2712" s="2">
        <v>1370653.41</v>
      </c>
      <c r="D2712">
        <v>0</v>
      </c>
      <c r="E2712" s="65">
        <v>65.08</v>
      </c>
      <c r="F2712" s="8">
        <v>4.088</v>
      </c>
      <c r="G2712" s="66">
        <v>138.5673</v>
      </c>
      <c r="H2712" s="8">
        <v>8.193</v>
      </c>
      <c r="J2712" s="26"/>
      <c r="K2712"/>
    </row>
    <row r="2713" spans="1:11">
      <c r="A2713">
        <v>19</v>
      </c>
      <c r="B2713" s="64">
        <v>41173</v>
      </c>
      <c r="C2713" s="2">
        <v>1338572.29</v>
      </c>
      <c r="D2713">
        <v>0</v>
      </c>
      <c r="E2713" s="65">
        <v>60.62</v>
      </c>
      <c r="F2713" s="8">
        <v>4.203</v>
      </c>
      <c r="G2713" s="66">
        <v>138.6534</v>
      </c>
      <c r="H2713" s="8">
        <v>8.193</v>
      </c>
      <c r="J2713" s="26"/>
      <c r="K2713"/>
    </row>
    <row r="2714" spans="1:11">
      <c r="A2714">
        <v>19</v>
      </c>
      <c r="B2714" s="64">
        <v>41180</v>
      </c>
      <c r="C2714" s="2">
        <v>1338299.02</v>
      </c>
      <c r="D2714">
        <v>0</v>
      </c>
      <c r="E2714" s="65">
        <v>56.81</v>
      </c>
      <c r="F2714" s="8">
        <v>4.158</v>
      </c>
      <c r="G2714" s="66">
        <v>138.7395</v>
      </c>
      <c r="H2714" s="8">
        <v>8.193</v>
      </c>
      <c r="J2714" s="26"/>
      <c r="K2714"/>
    </row>
    <row r="2715" spans="1:11">
      <c r="A2715">
        <v>19</v>
      </c>
      <c r="B2715" s="64">
        <v>41187</v>
      </c>
      <c r="C2715" s="2">
        <v>1408016.1</v>
      </c>
      <c r="D2715">
        <v>0</v>
      </c>
      <c r="E2715" s="65">
        <v>59.86</v>
      </c>
      <c r="F2715" s="8">
        <v>4.151</v>
      </c>
      <c r="G2715" s="66">
        <v>138.8256</v>
      </c>
      <c r="H2715" s="8">
        <v>7.992</v>
      </c>
      <c r="J2715" s="26"/>
      <c r="K2715"/>
    </row>
    <row r="2716" spans="1:11">
      <c r="A2716">
        <v>19</v>
      </c>
      <c r="B2716" s="64">
        <v>41194</v>
      </c>
      <c r="C2716" s="2">
        <v>1352809.5</v>
      </c>
      <c r="D2716">
        <v>0</v>
      </c>
      <c r="E2716" s="65">
        <v>48.29</v>
      </c>
      <c r="F2716" s="8">
        <v>4.186</v>
      </c>
      <c r="G2716" s="66">
        <v>138.9117</v>
      </c>
      <c r="H2716" s="8">
        <v>7.992</v>
      </c>
      <c r="J2716" s="26"/>
      <c r="K2716"/>
    </row>
    <row r="2717" spans="1:11">
      <c r="A2717">
        <v>19</v>
      </c>
      <c r="B2717" s="64">
        <v>41201</v>
      </c>
      <c r="C2717" s="2">
        <v>1321102.35</v>
      </c>
      <c r="D2717">
        <v>0</v>
      </c>
      <c r="E2717" s="65">
        <v>53.44</v>
      </c>
      <c r="F2717" s="8">
        <v>4.153</v>
      </c>
      <c r="G2717" s="66">
        <v>138.8336129</v>
      </c>
      <c r="H2717" s="8">
        <v>7.992</v>
      </c>
      <c r="J2717" s="26"/>
      <c r="K2717"/>
    </row>
    <row r="2718" spans="1:11">
      <c r="A2718">
        <v>19</v>
      </c>
      <c r="B2718" s="64">
        <v>41208</v>
      </c>
      <c r="C2718" s="2">
        <v>1322117.96</v>
      </c>
      <c r="D2718">
        <v>0</v>
      </c>
      <c r="E2718" s="65">
        <v>56.49</v>
      </c>
      <c r="F2718" s="8">
        <v>4.071</v>
      </c>
      <c r="G2718" s="66">
        <v>138.7281613</v>
      </c>
      <c r="H2718" s="8">
        <v>7.992</v>
      </c>
      <c r="J2718" s="26"/>
      <c r="K2718"/>
    </row>
    <row r="2719" spans="1:11">
      <c r="A2719">
        <v>20</v>
      </c>
      <c r="B2719" s="64">
        <v>40214</v>
      </c>
      <c r="C2719" s="2">
        <v>2401395.47</v>
      </c>
      <c r="D2719">
        <v>0</v>
      </c>
      <c r="E2719" s="65">
        <v>25.92</v>
      </c>
      <c r="F2719" s="8">
        <v>2.784</v>
      </c>
      <c r="G2719" s="66">
        <v>204.2471935</v>
      </c>
      <c r="H2719" s="8">
        <v>8.187</v>
      </c>
      <c r="J2719" s="26"/>
      <c r="K2719"/>
    </row>
    <row r="2720" spans="1:11">
      <c r="A2720">
        <v>20</v>
      </c>
      <c r="B2720" s="64">
        <v>40221</v>
      </c>
      <c r="C2720" s="2">
        <v>2109107.9</v>
      </c>
      <c r="D2720">
        <v>1</v>
      </c>
      <c r="E2720" s="65">
        <v>22.12</v>
      </c>
      <c r="F2720" s="8">
        <v>2.773</v>
      </c>
      <c r="G2720" s="66">
        <v>204.3857472</v>
      </c>
      <c r="H2720" s="8">
        <v>8.187</v>
      </c>
      <c r="J2720" s="26"/>
      <c r="K2720"/>
    </row>
    <row r="2721" spans="1:11">
      <c r="A2721">
        <v>20</v>
      </c>
      <c r="B2721" s="64">
        <v>40228</v>
      </c>
      <c r="C2721" s="2">
        <v>2161549.76</v>
      </c>
      <c r="D2721">
        <v>0</v>
      </c>
      <c r="E2721" s="65">
        <v>25.43</v>
      </c>
      <c r="F2721" s="8">
        <v>2.745</v>
      </c>
      <c r="G2721" s="66">
        <v>204.4321004</v>
      </c>
      <c r="H2721" s="8">
        <v>8.187</v>
      </c>
      <c r="J2721" s="26"/>
      <c r="K2721"/>
    </row>
    <row r="2722" spans="1:11">
      <c r="A2722">
        <v>20</v>
      </c>
      <c r="B2722" s="64">
        <v>40235</v>
      </c>
      <c r="C2722" s="2">
        <v>1898193.95</v>
      </c>
      <c r="D2722">
        <v>0</v>
      </c>
      <c r="E2722" s="65">
        <v>32.32</v>
      </c>
      <c r="F2722" s="8">
        <v>2.754</v>
      </c>
      <c r="G2722" s="66">
        <v>204.4630869</v>
      </c>
      <c r="H2722" s="8">
        <v>8.187</v>
      </c>
      <c r="J2722" s="26"/>
      <c r="K2722"/>
    </row>
    <row r="2723" spans="1:11">
      <c r="A2723">
        <v>20</v>
      </c>
      <c r="B2723" s="64">
        <v>40242</v>
      </c>
      <c r="C2723" s="2">
        <v>2119213.72</v>
      </c>
      <c r="D2723">
        <v>0</v>
      </c>
      <c r="E2723" s="65">
        <v>31.75</v>
      </c>
      <c r="F2723" s="8">
        <v>2.777</v>
      </c>
      <c r="G2723" s="66">
        <v>204.4940734</v>
      </c>
      <c r="H2723" s="8">
        <v>8.187</v>
      </c>
      <c r="J2723" s="26"/>
      <c r="K2723"/>
    </row>
    <row r="2724" spans="1:11">
      <c r="A2724">
        <v>20</v>
      </c>
      <c r="B2724" s="64">
        <v>40249</v>
      </c>
      <c r="C2724" s="2">
        <v>2010974.84</v>
      </c>
      <c r="D2724">
        <v>0</v>
      </c>
      <c r="E2724" s="65">
        <v>43.82</v>
      </c>
      <c r="F2724" s="8">
        <v>2.818</v>
      </c>
      <c r="G2724" s="66">
        <v>204.5250598</v>
      </c>
      <c r="H2724" s="8">
        <v>8.187</v>
      </c>
      <c r="J2724" s="26"/>
      <c r="K2724"/>
    </row>
    <row r="2725" spans="1:11">
      <c r="A2725">
        <v>20</v>
      </c>
      <c r="B2725" s="64">
        <v>40256</v>
      </c>
      <c r="C2725" s="2">
        <v>1951848.43</v>
      </c>
      <c r="D2725">
        <v>0</v>
      </c>
      <c r="E2725" s="65">
        <v>47.32</v>
      </c>
      <c r="F2725" s="8">
        <v>2.844</v>
      </c>
      <c r="G2725" s="66">
        <v>204.3782258</v>
      </c>
      <c r="H2725" s="8">
        <v>8.187</v>
      </c>
      <c r="J2725" s="26"/>
      <c r="K2725"/>
    </row>
    <row r="2726" spans="1:11">
      <c r="A2726">
        <v>20</v>
      </c>
      <c r="B2726" s="64">
        <v>40263</v>
      </c>
      <c r="C2726" s="2">
        <v>1894742.95</v>
      </c>
      <c r="D2726">
        <v>0</v>
      </c>
      <c r="E2726" s="65">
        <v>50.49</v>
      </c>
      <c r="F2726" s="8">
        <v>2.854</v>
      </c>
      <c r="G2726" s="66">
        <v>204.201755</v>
      </c>
      <c r="H2726" s="8">
        <v>8.187</v>
      </c>
      <c r="J2726" s="26"/>
      <c r="K2726"/>
    </row>
    <row r="2727" spans="1:11">
      <c r="A2727">
        <v>20</v>
      </c>
      <c r="B2727" s="64">
        <v>40270</v>
      </c>
      <c r="C2727" s="2">
        <v>2405395.22</v>
      </c>
      <c r="D2727">
        <v>0</v>
      </c>
      <c r="E2727" s="65">
        <v>51</v>
      </c>
      <c r="F2727" s="8">
        <v>2.85</v>
      </c>
      <c r="G2727" s="66">
        <v>204.0252842</v>
      </c>
      <c r="H2727" s="8">
        <v>7.856</v>
      </c>
      <c r="J2727" s="26"/>
      <c r="K2727"/>
    </row>
    <row r="2728" spans="1:11">
      <c r="A2728">
        <v>20</v>
      </c>
      <c r="B2728" s="64">
        <v>40277</v>
      </c>
      <c r="C2728" s="2">
        <v>2007796.26</v>
      </c>
      <c r="D2728">
        <v>0</v>
      </c>
      <c r="E2728" s="65">
        <v>65.1</v>
      </c>
      <c r="F2728" s="8">
        <v>2.869</v>
      </c>
      <c r="G2728" s="66">
        <v>203.8488134</v>
      </c>
      <c r="H2728" s="8">
        <v>7.856</v>
      </c>
      <c r="J2728" s="26"/>
      <c r="K2728"/>
    </row>
    <row r="2729" spans="1:11">
      <c r="A2729">
        <v>20</v>
      </c>
      <c r="B2729" s="64">
        <v>40284</v>
      </c>
      <c r="C2729" s="2">
        <v>1985784.59</v>
      </c>
      <c r="D2729">
        <v>0</v>
      </c>
      <c r="E2729" s="65">
        <v>55.43</v>
      </c>
      <c r="F2729" s="8">
        <v>2.899</v>
      </c>
      <c r="G2729" s="66">
        <v>203.7307486</v>
      </c>
      <c r="H2729" s="8">
        <v>7.856</v>
      </c>
      <c r="J2729" s="26"/>
      <c r="K2729"/>
    </row>
    <row r="2730" spans="1:11">
      <c r="A2730">
        <v>20</v>
      </c>
      <c r="B2730" s="64">
        <v>40291</v>
      </c>
      <c r="C2730" s="2">
        <v>1878862.42</v>
      </c>
      <c r="D2730">
        <v>0</v>
      </c>
      <c r="E2730" s="65">
        <v>50.65</v>
      </c>
      <c r="F2730" s="8">
        <v>2.902</v>
      </c>
      <c r="G2730" s="66">
        <v>203.6905586</v>
      </c>
      <c r="H2730" s="8">
        <v>7.856</v>
      </c>
      <c r="J2730" s="26"/>
      <c r="K2730"/>
    </row>
    <row r="2731" spans="1:11">
      <c r="A2731">
        <v>20</v>
      </c>
      <c r="B2731" s="64">
        <v>40298</v>
      </c>
      <c r="C2731" s="2">
        <v>1919053.21</v>
      </c>
      <c r="D2731">
        <v>0</v>
      </c>
      <c r="E2731" s="65">
        <v>54.75</v>
      </c>
      <c r="F2731" s="8">
        <v>2.921</v>
      </c>
      <c r="G2731" s="66">
        <v>203.6503685</v>
      </c>
      <c r="H2731" s="8">
        <v>7.856</v>
      </c>
      <c r="J2731" s="26"/>
      <c r="K2731"/>
    </row>
    <row r="2732" spans="1:11">
      <c r="A2732">
        <v>20</v>
      </c>
      <c r="B2732" s="64">
        <v>40305</v>
      </c>
      <c r="C2732" s="2">
        <v>2137202.38</v>
      </c>
      <c r="D2732">
        <v>0</v>
      </c>
      <c r="E2732" s="65">
        <v>66.74</v>
      </c>
      <c r="F2732" s="8">
        <v>2.966</v>
      </c>
      <c r="G2732" s="66">
        <v>203.6101784</v>
      </c>
      <c r="H2732" s="8">
        <v>7.856</v>
      </c>
      <c r="J2732" s="26"/>
      <c r="K2732"/>
    </row>
    <row r="2733" spans="1:11">
      <c r="A2733">
        <v>20</v>
      </c>
      <c r="B2733" s="64">
        <v>40312</v>
      </c>
      <c r="C2733" s="2">
        <v>2033211.62</v>
      </c>
      <c r="D2733">
        <v>0</v>
      </c>
      <c r="E2733" s="65">
        <v>55.91</v>
      </c>
      <c r="F2733" s="8">
        <v>2.982</v>
      </c>
      <c r="G2733" s="66">
        <v>203.6133915</v>
      </c>
      <c r="H2733" s="8">
        <v>7.856</v>
      </c>
      <c r="J2733" s="26"/>
      <c r="K2733"/>
    </row>
    <row r="2734" spans="1:11">
      <c r="A2734">
        <v>20</v>
      </c>
      <c r="B2734" s="64">
        <v>40319</v>
      </c>
      <c r="C2734" s="2">
        <v>1893736.9</v>
      </c>
      <c r="D2734">
        <v>0</v>
      </c>
      <c r="E2734" s="65">
        <v>60.38</v>
      </c>
      <c r="F2734" s="8">
        <v>2.958</v>
      </c>
      <c r="G2734" s="66">
        <v>203.8770235</v>
      </c>
      <c r="H2734" s="8">
        <v>7.856</v>
      </c>
      <c r="J2734" s="26"/>
      <c r="K2734"/>
    </row>
    <row r="2735" spans="1:11">
      <c r="A2735">
        <v>20</v>
      </c>
      <c r="B2735" s="64">
        <v>40326</v>
      </c>
      <c r="C2735" s="2">
        <v>2065984.95</v>
      </c>
      <c r="D2735">
        <v>0</v>
      </c>
      <c r="E2735" s="65">
        <v>70.97</v>
      </c>
      <c r="F2735" s="8">
        <v>2.899</v>
      </c>
      <c r="G2735" s="66">
        <v>204.1406556</v>
      </c>
      <c r="H2735" s="8">
        <v>7.856</v>
      </c>
      <c r="J2735" s="26"/>
      <c r="K2735"/>
    </row>
    <row r="2736" spans="1:11">
      <c r="A2736">
        <v>20</v>
      </c>
      <c r="B2736" s="64">
        <v>40333</v>
      </c>
      <c r="C2736" s="2">
        <v>2203619.35</v>
      </c>
      <c r="D2736">
        <v>0</v>
      </c>
      <c r="E2736" s="65">
        <v>72.52</v>
      </c>
      <c r="F2736" s="8">
        <v>2.847</v>
      </c>
      <c r="G2736" s="66">
        <v>204.4042877</v>
      </c>
      <c r="H2736" s="8">
        <v>7.856</v>
      </c>
      <c r="J2736" s="26"/>
      <c r="K2736"/>
    </row>
    <row r="2737" spans="1:11">
      <c r="A2737">
        <v>20</v>
      </c>
      <c r="B2737" s="64">
        <v>40340</v>
      </c>
      <c r="C2737" s="2">
        <v>2100489.79</v>
      </c>
      <c r="D2737">
        <v>0</v>
      </c>
      <c r="E2737" s="65">
        <v>67.32</v>
      </c>
      <c r="F2737" s="8">
        <v>2.809</v>
      </c>
      <c r="G2737" s="66">
        <v>204.6679198</v>
      </c>
      <c r="H2737" s="8">
        <v>7.856</v>
      </c>
      <c r="J2737" s="26"/>
      <c r="K2737"/>
    </row>
    <row r="2738" spans="1:11">
      <c r="A2738">
        <v>20</v>
      </c>
      <c r="B2738" s="64">
        <v>40347</v>
      </c>
      <c r="C2738" s="2">
        <v>2091903.63</v>
      </c>
      <c r="D2738">
        <v>0</v>
      </c>
      <c r="E2738" s="65">
        <v>72.62</v>
      </c>
      <c r="F2738" s="8">
        <v>2.78</v>
      </c>
      <c r="G2738" s="66">
        <v>204.670036</v>
      </c>
      <c r="H2738" s="8">
        <v>7.856</v>
      </c>
      <c r="J2738" s="26"/>
      <c r="K2738"/>
    </row>
    <row r="2739" spans="1:11">
      <c r="A2739">
        <v>20</v>
      </c>
      <c r="B2739" s="64">
        <v>40354</v>
      </c>
      <c r="C2739" s="2">
        <v>1973135.87</v>
      </c>
      <c r="D2739">
        <v>0</v>
      </c>
      <c r="E2739" s="65">
        <v>75.17</v>
      </c>
      <c r="F2739" s="8">
        <v>2.808</v>
      </c>
      <c r="G2739" s="66">
        <v>204.5675459</v>
      </c>
      <c r="H2739" s="8">
        <v>7.856</v>
      </c>
      <c r="J2739" s="26"/>
      <c r="K2739"/>
    </row>
    <row r="2740" spans="1:11">
      <c r="A2740">
        <v>20</v>
      </c>
      <c r="B2740" s="64">
        <v>40361</v>
      </c>
      <c r="C2740" s="2">
        <v>2143676.77</v>
      </c>
      <c r="D2740">
        <v>0</v>
      </c>
      <c r="E2740" s="65">
        <v>70.1</v>
      </c>
      <c r="F2740" s="8">
        <v>2.815</v>
      </c>
      <c r="G2740" s="66">
        <v>204.4650559</v>
      </c>
      <c r="H2740" s="8">
        <v>7.527</v>
      </c>
      <c r="J2740" s="26"/>
      <c r="K2740"/>
    </row>
    <row r="2741" spans="1:11">
      <c r="A2741">
        <v>20</v>
      </c>
      <c r="B2741" s="64">
        <v>40368</v>
      </c>
      <c r="C2741" s="2">
        <v>2107285.85</v>
      </c>
      <c r="D2741">
        <v>0</v>
      </c>
      <c r="E2741" s="65">
        <v>78.09</v>
      </c>
      <c r="F2741" s="8">
        <v>2.793</v>
      </c>
      <c r="G2741" s="66">
        <v>204.3625658</v>
      </c>
      <c r="H2741" s="8">
        <v>7.527</v>
      </c>
      <c r="J2741" s="26"/>
      <c r="K2741"/>
    </row>
    <row r="2742" spans="1:11">
      <c r="A2742">
        <v>20</v>
      </c>
      <c r="B2742" s="64">
        <v>40375</v>
      </c>
      <c r="C2742" s="2">
        <v>2031852.16</v>
      </c>
      <c r="D2742">
        <v>0</v>
      </c>
      <c r="E2742" s="65">
        <v>75.14</v>
      </c>
      <c r="F2742" s="8">
        <v>2.783</v>
      </c>
      <c r="G2742" s="66">
        <v>204.3571656</v>
      </c>
      <c r="H2742" s="8">
        <v>7.527</v>
      </c>
      <c r="J2742" s="26"/>
      <c r="K2742"/>
    </row>
    <row r="2743" spans="1:11">
      <c r="A2743">
        <v>20</v>
      </c>
      <c r="B2743" s="64">
        <v>40382</v>
      </c>
      <c r="C2743" s="2">
        <v>1900535.9</v>
      </c>
      <c r="D2743">
        <v>0</v>
      </c>
      <c r="E2743" s="65">
        <v>77.75</v>
      </c>
      <c r="F2743" s="8">
        <v>2.771</v>
      </c>
      <c r="G2743" s="66">
        <v>204.4812188</v>
      </c>
      <c r="H2743" s="8">
        <v>7.527</v>
      </c>
      <c r="J2743" s="26"/>
      <c r="K2743"/>
    </row>
    <row r="2744" spans="1:11">
      <c r="A2744">
        <v>20</v>
      </c>
      <c r="B2744" s="64">
        <v>40389</v>
      </c>
      <c r="C2744" s="2">
        <v>1955896.59</v>
      </c>
      <c r="D2744">
        <v>0</v>
      </c>
      <c r="E2744" s="65">
        <v>76.03</v>
      </c>
      <c r="F2744" s="8">
        <v>2.781</v>
      </c>
      <c r="G2744" s="66">
        <v>204.605272</v>
      </c>
      <c r="H2744" s="8">
        <v>7.527</v>
      </c>
      <c r="J2744" s="26"/>
      <c r="K2744"/>
    </row>
    <row r="2745" spans="1:11">
      <c r="A2745">
        <v>20</v>
      </c>
      <c r="B2745" s="64">
        <v>40396</v>
      </c>
      <c r="C2745" s="2">
        <v>1910177.38</v>
      </c>
      <c r="D2745">
        <v>0</v>
      </c>
      <c r="E2745" s="65">
        <v>74.57</v>
      </c>
      <c r="F2745" s="8">
        <v>2.784</v>
      </c>
      <c r="G2745" s="66">
        <v>204.7293252</v>
      </c>
      <c r="H2745" s="8">
        <v>7.527</v>
      </c>
      <c r="J2745" s="26"/>
      <c r="K2745"/>
    </row>
    <row r="2746" spans="1:11">
      <c r="A2746">
        <v>20</v>
      </c>
      <c r="B2746" s="64">
        <v>40403</v>
      </c>
      <c r="C2746" s="2">
        <v>2071022.45</v>
      </c>
      <c r="D2746">
        <v>0</v>
      </c>
      <c r="E2746" s="65">
        <v>75.98</v>
      </c>
      <c r="F2746" s="8">
        <v>2.805</v>
      </c>
      <c r="G2746" s="66">
        <v>204.8533784</v>
      </c>
      <c r="H2746" s="8">
        <v>7.527</v>
      </c>
      <c r="J2746" s="26"/>
      <c r="K2746"/>
    </row>
    <row r="2747" spans="1:11">
      <c r="A2747">
        <v>20</v>
      </c>
      <c r="B2747" s="64">
        <v>40410</v>
      </c>
      <c r="C2747" s="2">
        <v>1975374.56</v>
      </c>
      <c r="D2747">
        <v>0</v>
      </c>
      <c r="E2747" s="65">
        <v>75.34</v>
      </c>
      <c r="F2747" s="8">
        <v>2.779</v>
      </c>
      <c r="G2747" s="66">
        <v>204.8217044</v>
      </c>
      <c r="H2747" s="8">
        <v>7.527</v>
      </c>
      <c r="J2747" s="26"/>
      <c r="K2747"/>
    </row>
    <row r="2748" spans="1:11">
      <c r="A2748">
        <v>20</v>
      </c>
      <c r="B2748" s="64">
        <v>40417</v>
      </c>
      <c r="C2748" s="2">
        <v>1946369.57</v>
      </c>
      <c r="D2748">
        <v>0</v>
      </c>
      <c r="E2748" s="65">
        <v>70.51</v>
      </c>
      <c r="F2748" s="8">
        <v>2.755</v>
      </c>
      <c r="G2748" s="66">
        <v>204.7900305</v>
      </c>
      <c r="H2748" s="8">
        <v>7.527</v>
      </c>
      <c r="J2748" s="26"/>
      <c r="K2748"/>
    </row>
    <row r="2749" spans="1:11">
      <c r="A2749">
        <v>20</v>
      </c>
      <c r="B2749" s="64">
        <v>40424</v>
      </c>
      <c r="C2749" s="2">
        <v>2121561.41</v>
      </c>
      <c r="D2749">
        <v>0</v>
      </c>
      <c r="E2749" s="65">
        <v>75.5</v>
      </c>
      <c r="F2749" s="8">
        <v>2.715</v>
      </c>
      <c r="G2749" s="66">
        <v>204.7583566</v>
      </c>
      <c r="H2749" s="8">
        <v>7.527</v>
      </c>
      <c r="J2749" s="26"/>
      <c r="K2749"/>
    </row>
    <row r="2750" spans="1:11">
      <c r="A2750">
        <v>20</v>
      </c>
      <c r="B2750" s="64">
        <v>40431</v>
      </c>
      <c r="C2750" s="2">
        <v>2014954.79</v>
      </c>
      <c r="D2750">
        <v>1</v>
      </c>
      <c r="E2750" s="65">
        <v>65.02</v>
      </c>
      <c r="F2750" s="8">
        <v>2.699</v>
      </c>
      <c r="G2750" s="66">
        <v>204.7266827</v>
      </c>
      <c r="H2750" s="8">
        <v>7.527</v>
      </c>
      <c r="J2750" s="26"/>
      <c r="K2750"/>
    </row>
    <row r="2751" spans="1:11">
      <c r="A2751">
        <v>20</v>
      </c>
      <c r="B2751" s="64">
        <v>40438</v>
      </c>
      <c r="C2751" s="2">
        <v>1948359.78</v>
      </c>
      <c r="D2751">
        <v>0</v>
      </c>
      <c r="E2751" s="65">
        <v>65.28</v>
      </c>
      <c r="F2751" s="8">
        <v>2.706</v>
      </c>
      <c r="G2751" s="66">
        <v>204.7513279</v>
      </c>
      <c r="H2751" s="8">
        <v>7.527</v>
      </c>
      <c r="J2751" s="26"/>
      <c r="K2751"/>
    </row>
    <row r="2752" spans="1:11">
      <c r="A2752">
        <v>20</v>
      </c>
      <c r="B2752" s="64">
        <v>40445</v>
      </c>
      <c r="C2752" s="2">
        <v>1789687.65</v>
      </c>
      <c r="D2752">
        <v>0</v>
      </c>
      <c r="E2752" s="65">
        <v>69.37</v>
      </c>
      <c r="F2752" s="8">
        <v>2.713</v>
      </c>
      <c r="G2752" s="66">
        <v>204.8182126</v>
      </c>
      <c r="H2752" s="8">
        <v>7.527</v>
      </c>
      <c r="J2752" s="26"/>
      <c r="K2752"/>
    </row>
    <row r="2753" spans="1:11">
      <c r="A2753">
        <v>20</v>
      </c>
      <c r="B2753" s="64">
        <v>40452</v>
      </c>
      <c r="C2753" s="2">
        <v>1933719.21</v>
      </c>
      <c r="D2753">
        <v>0</v>
      </c>
      <c r="E2753" s="65">
        <v>61.08</v>
      </c>
      <c r="F2753" s="8">
        <v>2.707</v>
      </c>
      <c r="G2753" s="66">
        <v>204.8850973</v>
      </c>
      <c r="H2753" s="8">
        <v>7.484</v>
      </c>
      <c r="J2753" s="26"/>
      <c r="K2753"/>
    </row>
    <row r="2754" spans="1:11">
      <c r="A2754">
        <v>20</v>
      </c>
      <c r="B2754" s="64">
        <v>40459</v>
      </c>
      <c r="C2754" s="2">
        <v>2060389.27</v>
      </c>
      <c r="D2754">
        <v>0</v>
      </c>
      <c r="E2754" s="65">
        <v>51.5</v>
      </c>
      <c r="F2754" s="8">
        <v>2.764</v>
      </c>
      <c r="G2754" s="66">
        <v>204.951982</v>
      </c>
      <c r="H2754" s="8">
        <v>7.484</v>
      </c>
      <c r="J2754" s="26"/>
      <c r="K2754"/>
    </row>
    <row r="2755" spans="1:11">
      <c r="A2755">
        <v>20</v>
      </c>
      <c r="B2755" s="64">
        <v>40466</v>
      </c>
      <c r="C2755" s="2">
        <v>1950676.39</v>
      </c>
      <c r="D2755">
        <v>0</v>
      </c>
      <c r="E2755" s="65">
        <v>59.17</v>
      </c>
      <c r="F2755" s="8">
        <v>2.868</v>
      </c>
      <c r="G2755" s="66">
        <v>205.0137637</v>
      </c>
      <c r="H2755" s="8">
        <v>7.484</v>
      </c>
      <c r="J2755" s="26"/>
      <c r="K2755"/>
    </row>
    <row r="2756" spans="1:11">
      <c r="A2756">
        <v>20</v>
      </c>
      <c r="B2756" s="64">
        <v>40473</v>
      </c>
      <c r="C2756" s="2">
        <v>1893955.27</v>
      </c>
      <c r="D2756">
        <v>0</v>
      </c>
      <c r="E2756" s="65">
        <v>50.52</v>
      </c>
      <c r="F2756" s="8">
        <v>2.917</v>
      </c>
      <c r="G2756" s="66">
        <v>205.0627881</v>
      </c>
      <c r="H2756" s="8">
        <v>7.484</v>
      </c>
      <c r="J2756" s="26"/>
      <c r="K2756"/>
    </row>
    <row r="2757" spans="1:11">
      <c r="A2757">
        <v>20</v>
      </c>
      <c r="B2757" s="64">
        <v>40480</v>
      </c>
      <c r="C2757" s="2">
        <v>1891816</v>
      </c>
      <c r="D2757">
        <v>0</v>
      </c>
      <c r="E2757" s="65">
        <v>57.56</v>
      </c>
      <c r="F2757" s="8">
        <v>2.921</v>
      </c>
      <c r="G2757" s="66">
        <v>205.1118126</v>
      </c>
      <c r="H2757" s="8">
        <v>7.484</v>
      </c>
      <c r="J2757" s="26"/>
      <c r="K2757"/>
    </row>
    <row r="2758" spans="1:11">
      <c r="A2758">
        <v>20</v>
      </c>
      <c r="B2758" s="64">
        <v>40487</v>
      </c>
      <c r="C2758" s="2">
        <v>2184316.64</v>
      </c>
      <c r="D2758">
        <v>0</v>
      </c>
      <c r="E2758" s="65">
        <v>42.78</v>
      </c>
      <c r="F2758" s="8">
        <v>2.917</v>
      </c>
      <c r="G2758" s="66">
        <v>205.160837</v>
      </c>
      <c r="H2758" s="8">
        <v>7.484</v>
      </c>
      <c r="J2758" s="26"/>
      <c r="K2758"/>
    </row>
    <row r="2759" spans="1:11">
      <c r="A2759">
        <v>20</v>
      </c>
      <c r="B2759" s="64">
        <v>40494</v>
      </c>
      <c r="C2759" s="2">
        <v>2187765.28</v>
      </c>
      <c r="D2759">
        <v>0</v>
      </c>
      <c r="E2759" s="65">
        <v>42.38</v>
      </c>
      <c r="F2759" s="8">
        <v>2.931</v>
      </c>
      <c r="G2759" s="66">
        <v>205.2098614</v>
      </c>
      <c r="H2759" s="8">
        <v>7.484</v>
      </c>
      <c r="J2759" s="26"/>
      <c r="K2759"/>
    </row>
    <row r="2760" spans="1:11">
      <c r="A2760">
        <v>20</v>
      </c>
      <c r="B2760" s="64">
        <v>40501</v>
      </c>
      <c r="C2760" s="2">
        <v>2105058.91</v>
      </c>
      <c r="D2760">
        <v>0</v>
      </c>
      <c r="E2760" s="65">
        <v>45.88</v>
      </c>
      <c r="F2760" s="8">
        <v>3</v>
      </c>
      <c r="G2760" s="66">
        <v>205.0992811</v>
      </c>
      <c r="H2760" s="8">
        <v>7.484</v>
      </c>
      <c r="J2760" s="26"/>
      <c r="K2760"/>
    </row>
    <row r="2761" spans="1:11">
      <c r="A2761">
        <v>20</v>
      </c>
      <c r="B2761" s="64">
        <v>40508</v>
      </c>
      <c r="C2761" s="2">
        <v>2811634.04</v>
      </c>
      <c r="D2761">
        <v>1</v>
      </c>
      <c r="E2761" s="65">
        <v>46.66</v>
      </c>
      <c r="F2761" s="8">
        <v>3.039</v>
      </c>
      <c r="G2761" s="66">
        <v>204.9621</v>
      </c>
      <c r="H2761" s="8">
        <v>7.484</v>
      </c>
      <c r="J2761" s="26"/>
      <c r="K2761"/>
    </row>
    <row r="2762" spans="1:11">
      <c r="A2762">
        <v>20</v>
      </c>
      <c r="B2762" s="64">
        <v>40515</v>
      </c>
      <c r="C2762" s="2">
        <v>2416051.17</v>
      </c>
      <c r="D2762">
        <v>0</v>
      </c>
      <c r="E2762" s="65">
        <v>35.47</v>
      </c>
      <c r="F2762" s="8">
        <v>3.046</v>
      </c>
      <c r="G2762" s="66">
        <v>204.8249189</v>
      </c>
      <c r="H2762" s="8">
        <v>7.484</v>
      </c>
      <c r="J2762" s="26"/>
      <c r="K2762"/>
    </row>
    <row r="2763" spans="1:11">
      <c r="A2763">
        <v>20</v>
      </c>
      <c r="B2763" s="64">
        <v>40522</v>
      </c>
      <c r="C2763" s="2">
        <v>2752122.08</v>
      </c>
      <c r="D2763">
        <v>0</v>
      </c>
      <c r="E2763" s="65">
        <v>24.27</v>
      </c>
      <c r="F2763" s="8">
        <v>3.109</v>
      </c>
      <c r="G2763" s="66">
        <v>204.6877378</v>
      </c>
      <c r="H2763" s="8">
        <v>7.484</v>
      </c>
      <c r="J2763" s="26"/>
      <c r="K2763"/>
    </row>
    <row r="2764" spans="1:11">
      <c r="A2764">
        <v>20</v>
      </c>
      <c r="B2764" s="64">
        <v>40529</v>
      </c>
      <c r="C2764" s="2">
        <v>2819193.17</v>
      </c>
      <c r="D2764">
        <v>0</v>
      </c>
      <c r="E2764" s="65">
        <v>24.07</v>
      </c>
      <c r="F2764" s="8">
        <v>3.14</v>
      </c>
      <c r="G2764" s="66">
        <v>204.6321194</v>
      </c>
      <c r="H2764" s="8">
        <v>7.484</v>
      </c>
      <c r="J2764" s="26"/>
      <c r="K2764"/>
    </row>
    <row r="2765" spans="1:11">
      <c r="A2765">
        <v>20</v>
      </c>
      <c r="B2765" s="64">
        <v>40536</v>
      </c>
      <c r="C2765" s="2">
        <v>3766687.43</v>
      </c>
      <c r="D2765">
        <v>0</v>
      </c>
      <c r="E2765" s="65">
        <v>25.17</v>
      </c>
      <c r="F2765" s="8">
        <v>3.141</v>
      </c>
      <c r="G2765" s="66">
        <v>204.6376731</v>
      </c>
      <c r="H2765" s="8">
        <v>7.484</v>
      </c>
      <c r="J2765" s="26"/>
      <c r="K2765"/>
    </row>
    <row r="2766" spans="1:11">
      <c r="A2766">
        <v>20</v>
      </c>
      <c r="B2766" s="64">
        <v>40543</v>
      </c>
      <c r="C2766" s="2">
        <v>1799737.79</v>
      </c>
      <c r="D2766">
        <v>1</v>
      </c>
      <c r="E2766" s="65">
        <v>28.85</v>
      </c>
      <c r="F2766" s="8">
        <v>3.179</v>
      </c>
      <c r="G2766" s="66">
        <v>204.6432267</v>
      </c>
      <c r="H2766" s="8">
        <v>7.484</v>
      </c>
      <c r="J2766" s="26"/>
      <c r="K2766"/>
    </row>
    <row r="2767" spans="1:11">
      <c r="A2767">
        <v>20</v>
      </c>
      <c r="B2767" s="64">
        <v>40550</v>
      </c>
      <c r="C2767" s="2">
        <v>1843030.95</v>
      </c>
      <c r="D2767">
        <v>0</v>
      </c>
      <c r="E2767" s="65">
        <v>31.43</v>
      </c>
      <c r="F2767" s="8">
        <v>3.193</v>
      </c>
      <c r="G2767" s="66">
        <v>204.6487803</v>
      </c>
      <c r="H2767" s="8">
        <v>7.343</v>
      </c>
      <c r="J2767" s="26"/>
      <c r="K2767"/>
    </row>
    <row r="2768" spans="1:11">
      <c r="A2768">
        <v>20</v>
      </c>
      <c r="B2768" s="64">
        <v>40557</v>
      </c>
      <c r="C2768" s="2">
        <v>1884345.01</v>
      </c>
      <c r="D2768">
        <v>0</v>
      </c>
      <c r="E2768" s="65">
        <v>20.39</v>
      </c>
      <c r="F2768" s="8">
        <v>3.205</v>
      </c>
      <c r="G2768" s="66">
        <v>204.7026042</v>
      </c>
      <c r="H2768" s="8">
        <v>7.343</v>
      </c>
      <c r="J2768" s="26"/>
      <c r="K2768"/>
    </row>
    <row r="2769" spans="1:11">
      <c r="A2769">
        <v>20</v>
      </c>
      <c r="B2769" s="64">
        <v>40564</v>
      </c>
      <c r="C2769" s="2">
        <v>1781805.66</v>
      </c>
      <c r="D2769">
        <v>0</v>
      </c>
      <c r="E2769" s="65">
        <v>27.43</v>
      </c>
      <c r="F2769" s="8">
        <v>3.229</v>
      </c>
      <c r="G2769" s="66">
        <v>205.0460497</v>
      </c>
      <c r="H2769" s="8">
        <v>7.343</v>
      </c>
      <c r="J2769" s="26"/>
      <c r="K2769"/>
    </row>
    <row r="2770" spans="1:11">
      <c r="A2770">
        <v>20</v>
      </c>
      <c r="B2770" s="64">
        <v>40571</v>
      </c>
      <c r="C2770" s="2">
        <v>1761506.68</v>
      </c>
      <c r="D2770">
        <v>0</v>
      </c>
      <c r="E2770" s="65">
        <v>23.21</v>
      </c>
      <c r="F2770" s="8">
        <v>3.237</v>
      </c>
      <c r="G2770" s="66">
        <v>205.3894952</v>
      </c>
      <c r="H2770" s="8">
        <v>7.343</v>
      </c>
      <c r="J2770" s="26"/>
      <c r="K2770"/>
    </row>
    <row r="2771" spans="1:11">
      <c r="A2771">
        <v>20</v>
      </c>
      <c r="B2771" s="64">
        <v>40578</v>
      </c>
      <c r="C2771" s="2">
        <v>2351143.07</v>
      </c>
      <c r="D2771">
        <v>0</v>
      </c>
      <c r="E2771" s="65">
        <v>28.58</v>
      </c>
      <c r="F2771" s="8">
        <v>3.231</v>
      </c>
      <c r="G2771" s="66">
        <v>205.7329407</v>
      </c>
      <c r="H2771" s="8">
        <v>7.343</v>
      </c>
      <c r="J2771" s="26"/>
      <c r="K2771"/>
    </row>
    <row r="2772" spans="1:11">
      <c r="A2772">
        <v>20</v>
      </c>
      <c r="B2772" s="64">
        <v>40585</v>
      </c>
      <c r="C2772" s="2">
        <v>2211388.14</v>
      </c>
      <c r="D2772">
        <v>1</v>
      </c>
      <c r="E2772" s="65">
        <v>25.38</v>
      </c>
      <c r="F2772" s="8">
        <v>3.239</v>
      </c>
      <c r="G2772" s="66">
        <v>206.0763862</v>
      </c>
      <c r="H2772" s="8">
        <v>7.343</v>
      </c>
      <c r="J2772" s="26"/>
      <c r="K2772"/>
    </row>
    <row r="2773" spans="1:11">
      <c r="A2773">
        <v>20</v>
      </c>
      <c r="B2773" s="64">
        <v>40592</v>
      </c>
      <c r="C2773" s="2">
        <v>2258616.24</v>
      </c>
      <c r="D2773">
        <v>0</v>
      </c>
      <c r="E2773" s="65">
        <v>42.95</v>
      </c>
      <c r="F2773" s="8">
        <v>3.245</v>
      </c>
      <c r="G2773" s="66">
        <v>206.3694701</v>
      </c>
      <c r="H2773" s="8">
        <v>7.343</v>
      </c>
      <c r="J2773" s="26"/>
      <c r="K2773"/>
    </row>
    <row r="2774" spans="1:11">
      <c r="A2774">
        <v>20</v>
      </c>
      <c r="B2774" s="64">
        <v>40599</v>
      </c>
      <c r="C2774" s="2">
        <v>1938608.52</v>
      </c>
      <c r="D2774">
        <v>0</v>
      </c>
      <c r="E2774" s="65">
        <v>33.2</v>
      </c>
      <c r="F2774" s="8">
        <v>3.274</v>
      </c>
      <c r="G2774" s="66">
        <v>206.6424093</v>
      </c>
      <c r="H2774" s="8">
        <v>7.343</v>
      </c>
      <c r="J2774" s="26"/>
      <c r="K2774"/>
    </row>
    <row r="2775" spans="1:11">
      <c r="A2775">
        <v>20</v>
      </c>
      <c r="B2775" s="64">
        <v>40606</v>
      </c>
      <c r="C2775" s="2">
        <v>2143424.61</v>
      </c>
      <c r="D2775">
        <v>0</v>
      </c>
      <c r="E2775" s="65">
        <v>37.33</v>
      </c>
      <c r="F2775" s="8">
        <v>3.433</v>
      </c>
      <c r="G2775" s="66">
        <v>206.9153485</v>
      </c>
      <c r="H2775" s="8">
        <v>7.343</v>
      </c>
      <c r="J2775" s="26"/>
      <c r="K2775"/>
    </row>
    <row r="2776" spans="1:11">
      <c r="A2776">
        <v>20</v>
      </c>
      <c r="B2776" s="64">
        <v>40613</v>
      </c>
      <c r="C2776" s="2">
        <v>1990932.77</v>
      </c>
      <c r="D2776">
        <v>0</v>
      </c>
      <c r="E2776" s="65">
        <v>39.53</v>
      </c>
      <c r="F2776" s="8">
        <v>3.582</v>
      </c>
      <c r="G2776" s="66">
        <v>207.1882876</v>
      </c>
      <c r="H2776" s="8">
        <v>7.343</v>
      </c>
      <c r="J2776" s="26"/>
      <c r="K2776"/>
    </row>
    <row r="2777" spans="1:11">
      <c r="A2777">
        <v>20</v>
      </c>
      <c r="B2777" s="64">
        <v>40620</v>
      </c>
      <c r="C2777" s="2">
        <v>1931668.64</v>
      </c>
      <c r="D2777">
        <v>0</v>
      </c>
      <c r="E2777" s="65">
        <v>44.8</v>
      </c>
      <c r="F2777" s="8">
        <v>3.631</v>
      </c>
      <c r="G2777" s="66">
        <v>207.4283845</v>
      </c>
      <c r="H2777" s="8">
        <v>7.343</v>
      </c>
      <c r="J2777" s="26"/>
      <c r="K2777"/>
    </row>
    <row r="2778" spans="1:11">
      <c r="A2778">
        <v>20</v>
      </c>
      <c r="B2778" s="64">
        <v>40627</v>
      </c>
      <c r="C2778" s="2">
        <v>1824711.21</v>
      </c>
      <c r="D2778">
        <v>0</v>
      </c>
      <c r="E2778" s="65">
        <v>44.83</v>
      </c>
      <c r="F2778" s="8">
        <v>3.625</v>
      </c>
      <c r="G2778" s="66">
        <v>207.6553444</v>
      </c>
      <c r="H2778" s="8">
        <v>7.343</v>
      </c>
      <c r="J2778" s="26"/>
      <c r="K2778"/>
    </row>
    <row r="2779" spans="1:11">
      <c r="A2779">
        <v>20</v>
      </c>
      <c r="B2779" s="64">
        <v>40634</v>
      </c>
      <c r="C2779" s="2">
        <v>1927993.09</v>
      </c>
      <c r="D2779">
        <v>0</v>
      </c>
      <c r="E2779" s="65">
        <v>32.43</v>
      </c>
      <c r="F2779" s="8">
        <v>3.638</v>
      </c>
      <c r="G2779" s="66">
        <v>207.8823043</v>
      </c>
      <c r="H2779" s="8">
        <v>7.287</v>
      </c>
      <c r="J2779" s="26"/>
      <c r="K2779"/>
    </row>
    <row r="2780" spans="1:11">
      <c r="A2780">
        <v>20</v>
      </c>
      <c r="B2780" s="64">
        <v>40641</v>
      </c>
      <c r="C2780" s="2">
        <v>2027056.39</v>
      </c>
      <c r="D2780">
        <v>0</v>
      </c>
      <c r="E2780" s="65">
        <v>47.09</v>
      </c>
      <c r="F2780" s="8">
        <v>3.72</v>
      </c>
      <c r="G2780" s="66">
        <v>208.1092642</v>
      </c>
      <c r="H2780" s="8">
        <v>7.287</v>
      </c>
      <c r="J2780" s="26"/>
      <c r="K2780"/>
    </row>
    <row r="2781" spans="1:11">
      <c r="A2781">
        <v>20</v>
      </c>
      <c r="B2781" s="64">
        <v>40648</v>
      </c>
      <c r="C2781" s="2">
        <v>2057406.33</v>
      </c>
      <c r="D2781">
        <v>0</v>
      </c>
      <c r="E2781" s="65">
        <v>55</v>
      </c>
      <c r="F2781" s="8">
        <v>3.821</v>
      </c>
      <c r="G2781" s="66">
        <v>208.3172811</v>
      </c>
      <c r="H2781" s="8">
        <v>7.287</v>
      </c>
      <c r="J2781" s="26"/>
      <c r="K2781"/>
    </row>
    <row r="2782" spans="1:11">
      <c r="A2782">
        <v>20</v>
      </c>
      <c r="B2782" s="64">
        <v>40655</v>
      </c>
      <c r="C2782" s="2">
        <v>2313861.81</v>
      </c>
      <c r="D2782">
        <v>0</v>
      </c>
      <c r="E2782" s="65">
        <v>52.56</v>
      </c>
      <c r="F2782" s="8">
        <v>3.892</v>
      </c>
      <c r="G2782" s="66">
        <v>208.4779405</v>
      </c>
      <c r="H2782" s="8">
        <v>7.287</v>
      </c>
      <c r="J2782" s="26"/>
      <c r="K2782"/>
    </row>
    <row r="2783" spans="1:11">
      <c r="A2783">
        <v>20</v>
      </c>
      <c r="B2783" s="64">
        <v>40662</v>
      </c>
      <c r="C2783" s="2">
        <v>1881788.19</v>
      </c>
      <c r="D2783">
        <v>0</v>
      </c>
      <c r="E2783" s="65">
        <v>62.97</v>
      </c>
      <c r="F2783" s="8">
        <v>3.962</v>
      </c>
      <c r="G2783" s="66">
        <v>208.6386</v>
      </c>
      <c r="H2783" s="8">
        <v>7.287</v>
      </c>
      <c r="J2783" s="26"/>
      <c r="K2783"/>
    </row>
    <row r="2784" spans="1:11">
      <c r="A2784">
        <v>20</v>
      </c>
      <c r="B2784" s="64">
        <v>40669</v>
      </c>
      <c r="C2784" s="2">
        <v>2090838.44</v>
      </c>
      <c r="D2784">
        <v>0</v>
      </c>
      <c r="E2784" s="65">
        <v>53.41</v>
      </c>
      <c r="F2784" s="8">
        <v>4.046</v>
      </c>
      <c r="G2784" s="66">
        <v>208.7992595</v>
      </c>
      <c r="H2784" s="8">
        <v>7.287</v>
      </c>
      <c r="J2784" s="26"/>
      <c r="K2784"/>
    </row>
    <row r="2785" spans="1:11">
      <c r="A2785">
        <v>20</v>
      </c>
      <c r="B2785" s="64">
        <v>40676</v>
      </c>
      <c r="C2785" s="2">
        <v>2036748.53</v>
      </c>
      <c r="D2785">
        <v>0</v>
      </c>
      <c r="E2785" s="65">
        <v>62.26</v>
      </c>
      <c r="F2785" s="8">
        <v>4.066</v>
      </c>
      <c r="G2785" s="66">
        <v>208.9599189</v>
      </c>
      <c r="H2785" s="8">
        <v>7.287</v>
      </c>
      <c r="J2785" s="26"/>
      <c r="K2785"/>
    </row>
    <row r="2786" spans="1:11">
      <c r="A2786">
        <v>20</v>
      </c>
      <c r="B2786" s="64">
        <v>40683</v>
      </c>
      <c r="C2786" s="2">
        <v>1953416.06</v>
      </c>
      <c r="D2786">
        <v>0</v>
      </c>
      <c r="E2786" s="65">
        <v>59.01</v>
      </c>
      <c r="F2786" s="8">
        <v>4.062</v>
      </c>
      <c r="G2786" s="66">
        <v>208.7583165</v>
      </c>
      <c r="H2786" s="8">
        <v>7.287</v>
      </c>
      <c r="J2786" s="26"/>
      <c r="K2786"/>
    </row>
    <row r="2787" spans="1:11">
      <c r="A2787">
        <v>20</v>
      </c>
      <c r="B2787" s="64">
        <v>40690</v>
      </c>
      <c r="C2787" s="2">
        <v>1944433.17</v>
      </c>
      <c r="D2787">
        <v>0</v>
      </c>
      <c r="E2787" s="65">
        <v>69.12</v>
      </c>
      <c r="F2787" s="8">
        <v>3.985</v>
      </c>
      <c r="G2787" s="66">
        <v>208.556714</v>
      </c>
      <c r="H2787" s="8">
        <v>7.287</v>
      </c>
      <c r="J2787" s="26"/>
      <c r="K2787"/>
    </row>
    <row r="2788" spans="1:11">
      <c r="A2788">
        <v>20</v>
      </c>
      <c r="B2788" s="64">
        <v>40697</v>
      </c>
      <c r="C2788" s="2">
        <v>2182246.69</v>
      </c>
      <c r="D2788">
        <v>0</v>
      </c>
      <c r="E2788" s="65">
        <v>73.51</v>
      </c>
      <c r="F2788" s="8">
        <v>3.922</v>
      </c>
      <c r="G2788" s="66">
        <v>208.3551116</v>
      </c>
      <c r="H2788" s="8">
        <v>7.287</v>
      </c>
      <c r="J2788" s="26"/>
      <c r="K2788"/>
    </row>
    <row r="2789" spans="1:11">
      <c r="A2789">
        <v>20</v>
      </c>
      <c r="B2789" s="64">
        <v>40704</v>
      </c>
      <c r="C2789" s="2">
        <v>2135062.04</v>
      </c>
      <c r="D2789">
        <v>0</v>
      </c>
      <c r="E2789" s="65">
        <v>73.64</v>
      </c>
      <c r="F2789" s="8">
        <v>3.881</v>
      </c>
      <c r="G2789" s="66">
        <v>208.1535092</v>
      </c>
      <c r="H2789" s="8">
        <v>7.287</v>
      </c>
      <c r="J2789" s="26"/>
      <c r="K2789"/>
    </row>
    <row r="2790" spans="1:11">
      <c r="A2790">
        <v>20</v>
      </c>
      <c r="B2790" s="64">
        <v>40711</v>
      </c>
      <c r="C2790" s="2">
        <v>2065191.27</v>
      </c>
      <c r="D2790">
        <v>0</v>
      </c>
      <c r="E2790" s="65">
        <v>66.41</v>
      </c>
      <c r="F2790" s="8">
        <v>3.842</v>
      </c>
      <c r="G2790" s="66">
        <v>208.1265604</v>
      </c>
      <c r="H2790" s="8">
        <v>7.287</v>
      </c>
      <c r="J2790" s="26"/>
      <c r="K2790"/>
    </row>
    <row r="2791" spans="1:11">
      <c r="A2791">
        <v>20</v>
      </c>
      <c r="B2791" s="64">
        <v>40718</v>
      </c>
      <c r="C2791" s="2">
        <v>1950826.32</v>
      </c>
      <c r="D2791">
        <v>0</v>
      </c>
      <c r="E2791" s="65">
        <v>72.4</v>
      </c>
      <c r="F2791" s="8">
        <v>3.804</v>
      </c>
      <c r="G2791" s="66">
        <v>208.2306018</v>
      </c>
      <c r="H2791" s="8">
        <v>7.287</v>
      </c>
      <c r="J2791" s="26"/>
      <c r="K2791"/>
    </row>
    <row r="2792" spans="1:11">
      <c r="A2792">
        <v>20</v>
      </c>
      <c r="B2792" s="64">
        <v>40725</v>
      </c>
      <c r="C2792" s="2">
        <v>2053165.41</v>
      </c>
      <c r="D2792">
        <v>0</v>
      </c>
      <c r="E2792" s="65">
        <v>69.66</v>
      </c>
      <c r="F2792" s="8">
        <v>3.748</v>
      </c>
      <c r="G2792" s="66">
        <v>208.3346432</v>
      </c>
      <c r="H2792" s="8">
        <v>7.274</v>
      </c>
      <c r="J2792" s="26"/>
      <c r="K2792"/>
    </row>
    <row r="2793" spans="1:11">
      <c r="A2793">
        <v>20</v>
      </c>
      <c r="B2793" s="64">
        <v>40732</v>
      </c>
      <c r="C2793" s="2">
        <v>2123787.79</v>
      </c>
      <c r="D2793">
        <v>0</v>
      </c>
      <c r="E2793" s="65">
        <v>74.69</v>
      </c>
      <c r="F2793" s="8">
        <v>3.711</v>
      </c>
      <c r="G2793" s="66">
        <v>208.4386847</v>
      </c>
      <c r="H2793" s="8">
        <v>7.274</v>
      </c>
      <c r="J2793" s="26"/>
      <c r="K2793"/>
    </row>
    <row r="2794" spans="1:11">
      <c r="A2794">
        <v>20</v>
      </c>
      <c r="B2794" s="64">
        <v>40739</v>
      </c>
      <c r="C2794" s="2">
        <v>2039875.75</v>
      </c>
      <c r="D2794">
        <v>0</v>
      </c>
      <c r="E2794" s="65">
        <v>74.88</v>
      </c>
      <c r="F2794" s="8">
        <v>3.76</v>
      </c>
      <c r="G2794" s="66">
        <v>208.5309337</v>
      </c>
      <c r="H2794" s="8">
        <v>7.274</v>
      </c>
      <c r="J2794" s="26"/>
      <c r="K2794"/>
    </row>
    <row r="2795" spans="1:11">
      <c r="A2795">
        <v>20</v>
      </c>
      <c r="B2795" s="64">
        <v>40746</v>
      </c>
      <c r="C2795" s="2">
        <v>1950904.84</v>
      </c>
      <c r="D2795">
        <v>0</v>
      </c>
      <c r="E2795" s="65">
        <v>78.89</v>
      </c>
      <c r="F2795" s="8">
        <v>3.811</v>
      </c>
      <c r="G2795" s="66">
        <v>208.5937018</v>
      </c>
      <c r="H2795" s="8">
        <v>7.274</v>
      </c>
      <c r="J2795" s="26"/>
      <c r="K2795"/>
    </row>
    <row r="2796" spans="1:11">
      <c r="A2796">
        <v>20</v>
      </c>
      <c r="B2796" s="64">
        <v>40753</v>
      </c>
      <c r="C2796" s="2">
        <v>1858440.92</v>
      </c>
      <c r="D2796">
        <v>0</v>
      </c>
      <c r="E2796" s="65">
        <v>77.47</v>
      </c>
      <c r="F2796" s="8">
        <v>3.829</v>
      </c>
      <c r="G2796" s="66">
        <v>208.6564699</v>
      </c>
      <c r="H2796" s="8">
        <v>7.274</v>
      </c>
      <c r="J2796" s="26"/>
      <c r="K2796"/>
    </row>
    <row r="2797" spans="1:11">
      <c r="A2797">
        <v>20</v>
      </c>
      <c r="B2797" s="64">
        <v>40760</v>
      </c>
      <c r="C2797" s="2">
        <v>2189353.63</v>
      </c>
      <c r="D2797">
        <v>0</v>
      </c>
      <c r="E2797" s="65">
        <v>77.8</v>
      </c>
      <c r="F2797" s="8">
        <v>3.842</v>
      </c>
      <c r="G2797" s="66">
        <v>208.719238</v>
      </c>
      <c r="H2797" s="8">
        <v>7.274</v>
      </c>
      <c r="J2797" s="26"/>
      <c r="K2797"/>
    </row>
    <row r="2798" spans="1:11">
      <c r="A2798">
        <v>20</v>
      </c>
      <c r="B2798" s="64">
        <v>40767</v>
      </c>
      <c r="C2798" s="2">
        <v>2052246.4</v>
      </c>
      <c r="D2798">
        <v>0</v>
      </c>
      <c r="E2798" s="65">
        <v>73.52</v>
      </c>
      <c r="F2798" s="8">
        <v>3.812</v>
      </c>
      <c r="G2798" s="66">
        <v>208.7820061</v>
      </c>
      <c r="H2798" s="8">
        <v>7.274</v>
      </c>
      <c r="J2798" s="26"/>
      <c r="K2798"/>
    </row>
    <row r="2799" spans="1:11">
      <c r="A2799">
        <v>20</v>
      </c>
      <c r="B2799" s="64">
        <v>40774</v>
      </c>
      <c r="C2799" s="2">
        <v>1990017.93</v>
      </c>
      <c r="D2799">
        <v>0</v>
      </c>
      <c r="E2799" s="65">
        <v>71.25</v>
      </c>
      <c r="F2799" s="8">
        <v>3.747</v>
      </c>
      <c r="G2799" s="66">
        <v>208.8424359</v>
      </c>
      <c r="H2799" s="8">
        <v>7.274</v>
      </c>
      <c r="J2799" s="26"/>
      <c r="K2799"/>
    </row>
    <row r="2800" spans="1:11">
      <c r="A2800">
        <v>20</v>
      </c>
      <c r="B2800" s="64">
        <v>40781</v>
      </c>
      <c r="C2800" s="2">
        <v>1933577.2</v>
      </c>
      <c r="D2800">
        <v>0</v>
      </c>
      <c r="E2800" s="65">
        <v>70.15</v>
      </c>
      <c r="F2800" s="8">
        <v>3.704</v>
      </c>
      <c r="G2800" s="66">
        <v>208.902476</v>
      </c>
      <c r="H2800" s="8">
        <v>7.274</v>
      </c>
      <c r="J2800" s="26"/>
      <c r="K2800"/>
    </row>
    <row r="2801" spans="1:11">
      <c r="A2801">
        <v>20</v>
      </c>
      <c r="B2801" s="64">
        <v>40788</v>
      </c>
      <c r="C2801" s="2">
        <v>2141765.98</v>
      </c>
      <c r="D2801">
        <v>0</v>
      </c>
      <c r="E2801" s="65">
        <v>70.82</v>
      </c>
      <c r="F2801" s="8">
        <v>3.703</v>
      </c>
      <c r="G2801" s="66">
        <v>208.9625161</v>
      </c>
      <c r="H2801" s="8">
        <v>7.274</v>
      </c>
      <c r="J2801" s="26"/>
      <c r="K2801"/>
    </row>
    <row r="2802" spans="1:11">
      <c r="A2802">
        <v>20</v>
      </c>
      <c r="B2802" s="64">
        <v>40795</v>
      </c>
      <c r="C2802" s="2">
        <v>2050542.56</v>
      </c>
      <c r="D2802">
        <v>1</v>
      </c>
      <c r="E2802" s="65">
        <v>68.74</v>
      </c>
      <c r="F2802" s="8">
        <v>3.738</v>
      </c>
      <c r="G2802" s="66">
        <v>209.0225562</v>
      </c>
      <c r="H2802" s="8">
        <v>7.274</v>
      </c>
      <c r="J2802" s="26"/>
      <c r="K2802"/>
    </row>
    <row r="2803" spans="1:11">
      <c r="A2803">
        <v>20</v>
      </c>
      <c r="B2803" s="64">
        <v>40802</v>
      </c>
      <c r="C2803" s="2">
        <v>1979009.46</v>
      </c>
      <c r="D2803">
        <v>0</v>
      </c>
      <c r="E2803" s="65">
        <v>64.02</v>
      </c>
      <c r="F2803" s="8">
        <v>3.742</v>
      </c>
      <c r="G2803" s="66">
        <v>209.1893892</v>
      </c>
      <c r="H2803" s="8">
        <v>7.274</v>
      </c>
      <c r="J2803" s="26"/>
      <c r="K2803"/>
    </row>
    <row r="2804" spans="1:11">
      <c r="A2804">
        <v>20</v>
      </c>
      <c r="B2804" s="64">
        <v>40809</v>
      </c>
      <c r="C2804" s="2">
        <v>1888119.7</v>
      </c>
      <c r="D2804">
        <v>0</v>
      </c>
      <c r="E2804" s="65">
        <v>62.15</v>
      </c>
      <c r="F2804" s="8">
        <v>3.711</v>
      </c>
      <c r="G2804" s="66">
        <v>209.4986126</v>
      </c>
      <c r="H2804" s="8">
        <v>7.274</v>
      </c>
      <c r="J2804" s="26"/>
      <c r="K2804"/>
    </row>
    <row r="2805" spans="1:11">
      <c r="A2805">
        <v>20</v>
      </c>
      <c r="B2805" s="64">
        <v>40816</v>
      </c>
      <c r="C2805" s="2">
        <v>1945808.26</v>
      </c>
      <c r="D2805">
        <v>0</v>
      </c>
      <c r="E2805" s="65">
        <v>63.44</v>
      </c>
      <c r="F2805" s="8">
        <v>3.645</v>
      </c>
      <c r="G2805" s="66">
        <v>209.807836</v>
      </c>
      <c r="H2805" s="8">
        <v>7.274</v>
      </c>
      <c r="J2805" s="26"/>
      <c r="K2805"/>
    </row>
    <row r="2806" spans="1:11">
      <c r="A2806">
        <v>20</v>
      </c>
      <c r="B2806" s="64">
        <v>40823</v>
      </c>
      <c r="C2806" s="2">
        <v>2135982.79</v>
      </c>
      <c r="D2806">
        <v>0</v>
      </c>
      <c r="E2806" s="65">
        <v>52.42</v>
      </c>
      <c r="F2806" s="8">
        <v>3.583</v>
      </c>
      <c r="G2806" s="66">
        <v>210.1170595</v>
      </c>
      <c r="H2806" s="8">
        <v>7.082</v>
      </c>
      <c r="J2806" s="26"/>
      <c r="K2806"/>
    </row>
    <row r="2807" spans="1:11">
      <c r="A2807">
        <v>20</v>
      </c>
      <c r="B2807" s="64">
        <v>40830</v>
      </c>
      <c r="C2807" s="2">
        <v>2010107.68</v>
      </c>
      <c r="D2807">
        <v>0</v>
      </c>
      <c r="E2807" s="65">
        <v>62.54</v>
      </c>
      <c r="F2807" s="8">
        <v>3.541</v>
      </c>
      <c r="G2807" s="66">
        <v>210.4027602</v>
      </c>
      <c r="H2807" s="8">
        <v>7.082</v>
      </c>
      <c r="J2807" s="26"/>
      <c r="K2807"/>
    </row>
    <row r="2808" spans="1:11">
      <c r="A2808">
        <v>20</v>
      </c>
      <c r="B2808" s="64">
        <v>40837</v>
      </c>
      <c r="C2808" s="2">
        <v>2104241.9</v>
      </c>
      <c r="D2808">
        <v>0</v>
      </c>
      <c r="E2808" s="65">
        <v>53.69</v>
      </c>
      <c r="F2808" s="8">
        <v>3.57</v>
      </c>
      <c r="G2808" s="66">
        <v>210.5473252</v>
      </c>
      <c r="H2808" s="8">
        <v>7.082</v>
      </c>
      <c r="J2808" s="26"/>
      <c r="K2808"/>
    </row>
    <row r="2809" spans="1:11">
      <c r="A2809">
        <v>20</v>
      </c>
      <c r="B2809" s="64">
        <v>40844</v>
      </c>
      <c r="C2809" s="2">
        <v>2065421.52</v>
      </c>
      <c r="D2809">
        <v>0</v>
      </c>
      <c r="E2809" s="65">
        <v>49.36</v>
      </c>
      <c r="F2809" s="8">
        <v>3.569</v>
      </c>
      <c r="G2809" s="66">
        <v>210.6918901</v>
      </c>
      <c r="H2809" s="8">
        <v>7.082</v>
      </c>
      <c r="J2809" s="26"/>
      <c r="K2809"/>
    </row>
    <row r="2810" spans="1:11">
      <c r="A2810">
        <v>20</v>
      </c>
      <c r="B2810" s="64">
        <v>40851</v>
      </c>
      <c r="C2810" s="2">
        <v>2284106.6</v>
      </c>
      <c r="D2810">
        <v>0</v>
      </c>
      <c r="E2810" s="65">
        <v>43.88</v>
      </c>
      <c r="F2810" s="8">
        <v>3.551</v>
      </c>
      <c r="G2810" s="66">
        <v>210.8364551</v>
      </c>
      <c r="H2810" s="8">
        <v>7.082</v>
      </c>
      <c r="J2810" s="26"/>
      <c r="K2810"/>
    </row>
    <row r="2811" spans="1:11">
      <c r="A2811">
        <v>20</v>
      </c>
      <c r="B2811" s="64">
        <v>40858</v>
      </c>
      <c r="C2811" s="2">
        <v>2269975.85</v>
      </c>
      <c r="D2811">
        <v>0</v>
      </c>
      <c r="E2811" s="65">
        <v>47.27</v>
      </c>
      <c r="F2811" s="8">
        <v>3.53</v>
      </c>
      <c r="G2811" s="66">
        <v>210.9810201</v>
      </c>
      <c r="H2811" s="8">
        <v>7.082</v>
      </c>
      <c r="J2811" s="26"/>
      <c r="K2811"/>
    </row>
    <row r="2812" spans="1:11">
      <c r="A2812">
        <v>20</v>
      </c>
      <c r="B2812" s="64">
        <v>40865</v>
      </c>
      <c r="C2812" s="2">
        <v>2169933.82</v>
      </c>
      <c r="D2812">
        <v>0</v>
      </c>
      <c r="E2812" s="65">
        <v>49.3</v>
      </c>
      <c r="F2812" s="8">
        <v>3.53</v>
      </c>
      <c r="G2812" s="66">
        <v>211.1847207</v>
      </c>
      <c r="H2812" s="8">
        <v>7.082</v>
      </c>
      <c r="J2812" s="26"/>
      <c r="K2812"/>
    </row>
    <row r="2813" spans="1:11">
      <c r="A2813">
        <v>20</v>
      </c>
      <c r="B2813" s="64">
        <v>40872</v>
      </c>
      <c r="C2813" s="2">
        <v>2906233.25</v>
      </c>
      <c r="D2813">
        <v>1</v>
      </c>
      <c r="E2813" s="65">
        <v>46.38</v>
      </c>
      <c r="F2813" s="8">
        <v>3.492</v>
      </c>
      <c r="G2813" s="66">
        <v>211.4120757</v>
      </c>
      <c r="H2813" s="8">
        <v>7.082</v>
      </c>
      <c r="J2813" s="26"/>
      <c r="K2813"/>
    </row>
    <row r="2814" spans="1:11">
      <c r="A2814">
        <v>20</v>
      </c>
      <c r="B2814" s="64">
        <v>40879</v>
      </c>
      <c r="C2814" s="2">
        <v>2298776.83</v>
      </c>
      <c r="D2814">
        <v>0</v>
      </c>
      <c r="E2814" s="65">
        <v>46.32</v>
      </c>
      <c r="F2814" s="8">
        <v>3.452</v>
      </c>
      <c r="G2814" s="66">
        <v>211.6394306</v>
      </c>
      <c r="H2814" s="8">
        <v>7.082</v>
      </c>
      <c r="J2814" s="26"/>
      <c r="K2814"/>
    </row>
    <row r="2815" spans="1:11">
      <c r="A2815">
        <v>20</v>
      </c>
      <c r="B2815" s="64">
        <v>40886</v>
      </c>
      <c r="C2815" s="2">
        <v>2546123.78</v>
      </c>
      <c r="D2815">
        <v>0</v>
      </c>
      <c r="E2815" s="65">
        <v>41.64</v>
      </c>
      <c r="F2815" s="8">
        <v>3.415</v>
      </c>
      <c r="G2815" s="66">
        <v>211.8667856</v>
      </c>
      <c r="H2815" s="8">
        <v>7.082</v>
      </c>
      <c r="J2815" s="26"/>
      <c r="K2815"/>
    </row>
    <row r="2816" spans="1:11">
      <c r="A2816">
        <v>20</v>
      </c>
      <c r="B2816" s="64">
        <v>40893</v>
      </c>
      <c r="C2816" s="2">
        <v>2762816.65</v>
      </c>
      <c r="D2816">
        <v>0</v>
      </c>
      <c r="E2816" s="65">
        <v>37.16</v>
      </c>
      <c r="F2816" s="8">
        <v>3.413</v>
      </c>
      <c r="G2816" s="66">
        <v>212.0685039</v>
      </c>
      <c r="H2816" s="8">
        <v>7.082</v>
      </c>
      <c r="J2816" s="26"/>
      <c r="K2816"/>
    </row>
    <row r="2817" spans="1:11">
      <c r="A2817">
        <v>20</v>
      </c>
      <c r="B2817" s="64">
        <v>40900</v>
      </c>
      <c r="C2817" s="2">
        <v>3555371.03</v>
      </c>
      <c r="D2817">
        <v>0</v>
      </c>
      <c r="E2817" s="65">
        <v>40.19</v>
      </c>
      <c r="F2817" s="8">
        <v>3.389</v>
      </c>
      <c r="G2817" s="66">
        <v>212.2360401</v>
      </c>
      <c r="H2817" s="8">
        <v>7.082</v>
      </c>
      <c r="J2817" s="26"/>
      <c r="K2817"/>
    </row>
    <row r="2818" spans="1:11">
      <c r="A2818">
        <v>20</v>
      </c>
      <c r="B2818" s="64">
        <v>40907</v>
      </c>
      <c r="C2818" s="2">
        <v>2043245</v>
      </c>
      <c r="D2818">
        <v>1</v>
      </c>
      <c r="E2818" s="65">
        <v>36.35</v>
      </c>
      <c r="F2818" s="8">
        <v>3.389</v>
      </c>
      <c r="G2818" s="66">
        <v>212.4035763</v>
      </c>
      <c r="H2818" s="8">
        <v>7.082</v>
      </c>
      <c r="J2818" s="26"/>
      <c r="K2818"/>
    </row>
    <row r="2819" spans="1:11">
      <c r="A2819">
        <v>20</v>
      </c>
      <c r="B2819" s="64">
        <v>40914</v>
      </c>
      <c r="C2819" s="2">
        <v>1964701.94</v>
      </c>
      <c r="D2819">
        <v>0</v>
      </c>
      <c r="E2819" s="65">
        <v>33.42</v>
      </c>
      <c r="F2819" s="8">
        <v>3.422</v>
      </c>
      <c r="G2819" s="66">
        <v>212.5711125</v>
      </c>
      <c r="H2819" s="8">
        <v>6.961</v>
      </c>
      <c r="J2819" s="26"/>
      <c r="K2819"/>
    </row>
    <row r="2820" spans="1:11">
      <c r="A2820">
        <v>20</v>
      </c>
      <c r="B2820" s="64">
        <v>40921</v>
      </c>
      <c r="C2820" s="2">
        <v>1911510.64</v>
      </c>
      <c r="D2820">
        <v>0</v>
      </c>
      <c r="E2820" s="65">
        <v>37.79</v>
      </c>
      <c r="F2820" s="8">
        <v>3.513</v>
      </c>
      <c r="G2820" s="66">
        <v>212.7386486</v>
      </c>
      <c r="H2820" s="8">
        <v>6.961</v>
      </c>
      <c r="J2820" s="26"/>
      <c r="K2820"/>
    </row>
    <row r="2821" spans="1:11">
      <c r="A2821">
        <v>20</v>
      </c>
      <c r="B2821" s="64">
        <v>40928</v>
      </c>
      <c r="C2821" s="2">
        <v>1892775.94</v>
      </c>
      <c r="D2821">
        <v>0</v>
      </c>
      <c r="E2821" s="65">
        <v>27.65</v>
      </c>
      <c r="F2821" s="8">
        <v>3.533</v>
      </c>
      <c r="G2821" s="66">
        <v>212.8336399</v>
      </c>
      <c r="H2821" s="8">
        <v>6.961</v>
      </c>
      <c r="J2821" s="26"/>
      <c r="K2821"/>
    </row>
    <row r="2822" spans="1:11">
      <c r="A2822">
        <v>20</v>
      </c>
      <c r="B2822" s="64">
        <v>40935</v>
      </c>
      <c r="C2822" s="2">
        <v>1761016.51</v>
      </c>
      <c r="D2822">
        <v>0</v>
      </c>
      <c r="E2822" s="65">
        <v>37.19</v>
      </c>
      <c r="F2822" s="8">
        <v>3.567</v>
      </c>
      <c r="G2822" s="66">
        <v>212.9286312</v>
      </c>
      <c r="H2822" s="8">
        <v>6.961</v>
      </c>
      <c r="J2822" s="26"/>
      <c r="K2822"/>
    </row>
    <row r="2823" spans="1:11">
      <c r="A2823">
        <v>20</v>
      </c>
      <c r="B2823" s="64">
        <v>40942</v>
      </c>
      <c r="C2823" s="2">
        <v>2203523.2</v>
      </c>
      <c r="D2823">
        <v>0</v>
      </c>
      <c r="E2823" s="65">
        <v>39.93</v>
      </c>
      <c r="F2823" s="8">
        <v>3.617</v>
      </c>
      <c r="G2823" s="66">
        <v>213.0236225</v>
      </c>
      <c r="H2823" s="8">
        <v>6.961</v>
      </c>
      <c r="J2823" s="26"/>
      <c r="K2823"/>
    </row>
    <row r="2824" spans="1:11">
      <c r="A2824">
        <v>20</v>
      </c>
      <c r="B2824" s="64">
        <v>40949</v>
      </c>
      <c r="C2824" s="2">
        <v>2462978.28</v>
      </c>
      <c r="D2824">
        <v>1</v>
      </c>
      <c r="E2824" s="65">
        <v>33.47</v>
      </c>
      <c r="F2824" s="8">
        <v>3.64</v>
      </c>
      <c r="G2824" s="66">
        <v>213.1186138</v>
      </c>
      <c r="H2824" s="8">
        <v>6.961</v>
      </c>
      <c r="J2824" s="26"/>
      <c r="K2824"/>
    </row>
    <row r="2825" spans="1:11">
      <c r="A2825">
        <v>20</v>
      </c>
      <c r="B2825" s="64">
        <v>40956</v>
      </c>
      <c r="C2825" s="2">
        <v>2309025.16</v>
      </c>
      <c r="D2825">
        <v>0</v>
      </c>
      <c r="E2825" s="65">
        <v>31.11</v>
      </c>
      <c r="F2825" s="8">
        <v>3.695</v>
      </c>
      <c r="G2825" s="66">
        <v>213.2732106</v>
      </c>
      <c r="H2825" s="8">
        <v>6.961</v>
      </c>
      <c r="J2825" s="26"/>
      <c r="K2825"/>
    </row>
    <row r="2826" spans="1:11">
      <c r="A2826">
        <v>20</v>
      </c>
      <c r="B2826" s="64">
        <v>40963</v>
      </c>
      <c r="C2826" s="2">
        <v>2045837.55</v>
      </c>
      <c r="D2826">
        <v>0</v>
      </c>
      <c r="E2826" s="65">
        <v>39.79</v>
      </c>
      <c r="F2826" s="8">
        <v>3.739</v>
      </c>
      <c r="G2826" s="66">
        <v>213.4725116</v>
      </c>
      <c r="H2826" s="8">
        <v>6.961</v>
      </c>
      <c r="J2826" s="26"/>
      <c r="K2826"/>
    </row>
    <row r="2827" spans="1:11">
      <c r="A2827">
        <v>20</v>
      </c>
      <c r="B2827" s="64">
        <v>40970</v>
      </c>
      <c r="C2827" s="2">
        <v>2148822.76</v>
      </c>
      <c r="D2827">
        <v>0</v>
      </c>
      <c r="E2827" s="65">
        <v>39.98</v>
      </c>
      <c r="F2827" s="8">
        <v>3.816</v>
      </c>
      <c r="G2827" s="66">
        <v>213.6718127</v>
      </c>
      <c r="H2827" s="8">
        <v>6.961</v>
      </c>
      <c r="J2827" s="26"/>
      <c r="K2827"/>
    </row>
    <row r="2828" spans="1:11">
      <c r="A2828">
        <v>20</v>
      </c>
      <c r="B2828" s="64">
        <v>40977</v>
      </c>
      <c r="C2828" s="2">
        <v>2139265.4</v>
      </c>
      <c r="D2828">
        <v>0</v>
      </c>
      <c r="E2828" s="65">
        <v>41.14</v>
      </c>
      <c r="F2828" s="8">
        <v>3.848</v>
      </c>
      <c r="G2828" s="66">
        <v>213.8711137</v>
      </c>
      <c r="H2828" s="8">
        <v>6.961</v>
      </c>
      <c r="J2828" s="26"/>
      <c r="K2828"/>
    </row>
    <row r="2829" spans="1:11">
      <c r="A2829">
        <v>20</v>
      </c>
      <c r="B2829" s="64">
        <v>40984</v>
      </c>
      <c r="C2829" s="2">
        <v>2064991.71</v>
      </c>
      <c r="D2829">
        <v>0</v>
      </c>
      <c r="E2829" s="65">
        <v>53.73</v>
      </c>
      <c r="F2829" s="8">
        <v>3.862</v>
      </c>
      <c r="G2829" s="66">
        <v>214.0167132</v>
      </c>
      <c r="H2829" s="8">
        <v>6.961</v>
      </c>
      <c r="J2829" s="26"/>
      <c r="K2829"/>
    </row>
    <row r="2830" spans="1:11">
      <c r="A2830">
        <v>20</v>
      </c>
      <c r="B2830" s="64">
        <v>40991</v>
      </c>
      <c r="C2830" s="2">
        <v>1992436.96</v>
      </c>
      <c r="D2830">
        <v>0</v>
      </c>
      <c r="E2830" s="65">
        <v>66.11</v>
      </c>
      <c r="F2830" s="8">
        <v>3.9</v>
      </c>
      <c r="G2830" s="66">
        <v>214.0907105</v>
      </c>
      <c r="H2830" s="8">
        <v>6.961</v>
      </c>
      <c r="J2830" s="26"/>
      <c r="K2830"/>
    </row>
    <row r="2831" spans="1:11">
      <c r="A2831">
        <v>20</v>
      </c>
      <c r="B2831" s="64">
        <v>40998</v>
      </c>
      <c r="C2831" s="2">
        <v>2074721.74</v>
      </c>
      <c r="D2831">
        <v>0</v>
      </c>
      <c r="E2831" s="65">
        <v>51.52</v>
      </c>
      <c r="F2831" s="8">
        <v>3.953</v>
      </c>
      <c r="G2831" s="66">
        <v>214.1647079</v>
      </c>
      <c r="H2831" s="8">
        <v>6.961</v>
      </c>
      <c r="J2831" s="26"/>
      <c r="K2831"/>
    </row>
    <row r="2832" spans="1:11">
      <c r="A2832">
        <v>20</v>
      </c>
      <c r="B2832" s="64">
        <v>41005</v>
      </c>
      <c r="C2832" s="2">
        <v>2565259.92</v>
      </c>
      <c r="D2832">
        <v>0</v>
      </c>
      <c r="E2832" s="65">
        <v>50.06</v>
      </c>
      <c r="F2832" s="8">
        <v>3.996</v>
      </c>
      <c r="G2832" s="66">
        <v>214.2387053</v>
      </c>
      <c r="H2832" s="8">
        <v>7.139</v>
      </c>
      <c r="J2832" s="26"/>
      <c r="K2832"/>
    </row>
    <row r="2833" spans="1:11">
      <c r="A2833">
        <v>20</v>
      </c>
      <c r="B2833" s="64">
        <v>41012</v>
      </c>
      <c r="C2833" s="2">
        <v>2045396.06</v>
      </c>
      <c r="D2833">
        <v>0</v>
      </c>
      <c r="E2833" s="65">
        <v>45.68</v>
      </c>
      <c r="F2833" s="8">
        <v>4.044</v>
      </c>
      <c r="G2833" s="66">
        <v>214.3127027</v>
      </c>
      <c r="H2833" s="8">
        <v>7.139</v>
      </c>
      <c r="J2833" s="26"/>
      <c r="K2833"/>
    </row>
    <row r="2834" spans="1:11">
      <c r="A2834">
        <v>20</v>
      </c>
      <c r="B2834" s="64">
        <v>41019</v>
      </c>
      <c r="C2834" s="2">
        <v>1884427.84</v>
      </c>
      <c r="D2834">
        <v>0</v>
      </c>
      <c r="E2834" s="65">
        <v>60.11</v>
      </c>
      <c r="F2834" s="8">
        <v>4.027</v>
      </c>
      <c r="G2834" s="66">
        <v>214.3675045</v>
      </c>
      <c r="H2834" s="8">
        <v>7.139</v>
      </c>
      <c r="J2834" s="26"/>
      <c r="K2834"/>
    </row>
    <row r="2835" spans="1:11">
      <c r="A2835">
        <v>20</v>
      </c>
      <c r="B2835" s="64">
        <v>41026</v>
      </c>
      <c r="C2835" s="2">
        <v>1886503.93</v>
      </c>
      <c r="D2835">
        <v>0</v>
      </c>
      <c r="E2835" s="65">
        <v>47.64</v>
      </c>
      <c r="F2835" s="8">
        <v>4.004</v>
      </c>
      <c r="G2835" s="66">
        <v>214.4223063</v>
      </c>
      <c r="H2835" s="8">
        <v>7.139</v>
      </c>
      <c r="J2835" s="26"/>
      <c r="K2835"/>
    </row>
    <row r="2836" spans="1:11">
      <c r="A2836">
        <v>20</v>
      </c>
      <c r="B2836" s="64">
        <v>41033</v>
      </c>
      <c r="C2836" s="2">
        <v>2163510.89</v>
      </c>
      <c r="D2836">
        <v>0</v>
      </c>
      <c r="E2836" s="65">
        <v>62.74</v>
      </c>
      <c r="F2836" s="8">
        <v>3.951</v>
      </c>
      <c r="G2836" s="66">
        <v>214.4771081</v>
      </c>
      <c r="H2836" s="8">
        <v>7.139</v>
      </c>
      <c r="J2836" s="26"/>
      <c r="K2836"/>
    </row>
    <row r="2837" spans="1:11">
      <c r="A2837">
        <v>20</v>
      </c>
      <c r="B2837" s="64">
        <v>41040</v>
      </c>
      <c r="C2837" s="2">
        <v>2168097.11</v>
      </c>
      <c r="D2837">
        <v>0</v>
      </c>
      <c r="E2837" s="65">
        <v>63.19</v>
      </c>
      <c r="F2837" s="8">
        <v>3.889</v>
      </c>
      <c r="G2837" s="66">
        <v>214.5319099</v>
      </c>
      <c r="H2837" s="8">
        <v>7.139</v>
      </c>
      <c r="J2837" s="26"/>
      <c r="K2837"/>
    </row>
    <row r="2838" spans="1:11">
      <c r="A2838">
        <v>20</v>
      </c>
      <c r="B2838" s="64">
        <v>41047</v>
      </c>
      <c r="C2838" s="2">
        <v>2039222.26</v>
      </c>
      <c r="D2838">
        <v>0</v>
      </c>
      <c r="E2838" s="65">
        <v>60.99</v>
      </c>
      <c r="F2838" s="8">
        <v>3.848</v>
      </c>
      <c r="G2838" s="66">
        <v>214.5485571</v>
      </c>
      <c r="H2838" s="8">
        <v>7.139</v>
      </c>
      <c r="J2838" s="26"/>
      <c r="K2838"/>
    </row>
    <row r="2839" spans="1:11">
      <c r="A2839">
        <v>20</v>
      </c>
      <c r="B2839" s="64">
        <v>41054</v>
      </c>
      <c r="C2839" s="2">
        <v>2114989</v>
      </c>
      <c r="D2839">
        <v>0</v>
      </c>
      <c r="E2839" s="65">
        <v>70.04</v>
      </c>
      <c r="F2839" s="8">
        <v>3.798</v>
      </c>
      <c r="G2839" s="66">
        <v>214.5499425</v>
      </c>
      <c r="H2839" s="8">
        <v>7.139</v>
      </c>
      <c r="J2839" s="26"/>
      <c r="K2839"/>
    </row>
    <row r="2840" spans="1:11">
      <c r="A2840">
        <v>20</v>
      </c>
      <c r="B2840" s="64">
        <v>41061</v>
      </c>
      <c r="C2840" s="2">
        <v>2143126.59</v>
      </c>
      <c r="D2840">
        <v>0</v>
      </c>
      <c r="E2840" s="65">
        <v>73.67</v>
      </c>
      <c r="F2840" s="8">
        <v>3.742</v>
      </c>
      <c r="G2840" s="66">
        <v>214.5513278</v>
      </c>
      <c r="H2840" s="8">
        <v>7.139</v>
      </c>
      <c r="J2840" s="26"/>
      <c r="K2840"/>
    </row>
    <row r="2841" spans="1:11">
      <c r="A2841">
        <v>20</v>
      </c>
      <c r="B2841" s="64">
        <v>41068</v>
      </c>
      <c r="C2841" s="2">
        <v>2231962.13</v>
      </c>
      <c r="D2841">
        <v>0</v>
      </c>
      <c r="E2841" s="65">
        <v>62.01</v>
      </c>
      <c r="F2841" s="8">
        <v>3.689</v>
      </c>
      <c r="G2841" s="66">
        <v>214.5527132</v>
      </c>
      <c r="H2841" s="8">
        <v>7.139</v>
      </c>
      <c r="J2841" s="26"/>
      <c r="K2841"/>
    </row>
    <row r="2842" spans="1:11">
      <c r="A2842">
        <v>20</v>
      </c>
      <c r="B2842" s="64">
        <v>41075</v>
      </c>
      <c r="C2842" s="2">
        <v>2165160.29</v>
      </c>
      <c r="D2842">
        <v>0</v>
      </c>
      <c r="E2842" s="65">
        <v>71.51</v>
      </c>
      <c r="F2842" s="8">
        <v>3.62</v>
      </c>
      <c r="G2842" s="66">
        <v>214.5653243</v>
      </c>
      <c r="H2842" s="8">
        <v>7.139</v>
      </c>
      <c r="J2842" s="26"/>
      <c r="K2842"/>
    </row>
    <row r="2843" spans="1:11">
      <c r="A2843">
        <v>20</v>
      </c>
      <c r="B2843" s="64">
        <v>41082</v>
      </c>
      <c r="C2843" s="2">
        <v>2060588.69</v>
      </c>
      <c r="D2843">
        <v>0</v>
      </c>
      <c r="E2843" s="65">
        <v>76.51</v>
      </c>
      <c r="F2843" s="8">
        <v>3.564</v>
      </c>
      <c r="G2843" s="66">
        <v>214.606</v>
      </c>
      <c r="H2843" s="8">
        <v>7.139</v>
      </c>
      <c r="J2843" s="26"/>
      <c r="K2843"/>
    </row>
    <row r="2844" spans="1:11">
      <c r="A2844">
        <v>20</v>
      </c>
      <c r="B2844" s="64">
        <v>41089</v>
      </c>
      <c r="C2844" s="2">
        <v>2055952.61</v>
      </c>
      <c r="D2844">
        <v>0</v>
      </c>
      <c r="E2844" s="65">
        <v>74.15</v>
      </c>
      <c r="F2844" s="8">
        <v>3.506</v>
      </c>
      <c r="G2844" s="66">
        <v>214.6466757</v>
      </c>
      <c r="H2844" s="8">
        <v>7.139</v>
      </c>
      <c r="J2844" s="26"/>
      <c r="K2844"/>
    </row>
    <row r="2845" spans="1:11">
      <c r="A2845">
        <v>20</v>
      </c>
      <c r="B2845" s="64">
        <v>41096</v>
      </c>
      <c r="C2845" s="2">
        <v>2358055.3</v>
      </c>
      <c r="D2845">
        <v>0</v>
      </c>
      <c r="E2845" s="65">
        <v>79.2</v>
      </c>
      <c r="F2845" s="8">
        <v>3.475</v>
      </c>
      <c r="G2845" s="66">
        <v>214.6873514</v>
      </c>
      <c r="H2845" s="8">
        <v>7.28</v>
      </c>
      <c r="J2845" s="26"/>
      <c r="K2845"/>
    </row>
    <row r="2846" spans="1:11">
      <c r="A2846">
        <v>20</v>
      </c>
      <c r="B2846" s="64">
        <v>41103</v>
      </c>
      <c r="C2846" s="2">
        <v>2134680.12</v>
      </c>
      <c r="D2846">
        <v>0</v>
      </c>
      <c r="E2846" s="65">
        <v>78.27</v>
      </c>
      <c r="F2846" s="8">
        <v>3.523</v>
      </c>
      <c r="G2846" s="66">
        <v>214.728027</v>
      </c>
      <c r="H2846" s="8">
        <v>7.28</v>
      </c>
      <c r="J2846" s="26"/>
      <c r="K2846"/>
    </row>
    <row r="2847" spans="1:11">
      <c r="A2847">
        <v>20</v>
      </c>
      <c r="B2847" s="64">
        <v>41110</v>
      </c>
      <c r="C2847" s="2">
        <v>1970170.29</v>
      </c>
      <c r="D2847">
        <v>0</v>
      </c>
      <c r="E2847" s="65">
        <v>76.04</v>
      </c>
      <c r="F2847" s="8">
        <v>3.567</v>
      </c>
      <c r="G2847" s="66">
        <v>214.7331351</v>
      </c>
      <c r="H2847" s="8">
        <v>7.28</v>
      </c>
      <c r="J2847" s="26"/>
      <c r="K2847"/>
    </row>
    <row r="2848" spans="1:11">
      <c r="A2848">
        <v>20</v>
      </c>
      <c r="B2848" s="64">
        <v>41117</v>
      </c>
      <c r="C2848" s="2">
        <v>1911559.1</v>
      </c>
      <c r="D2848">
        <v>0</v>
      </c>
      <c r="E2848" s="65">
        <v>74.6</v>
      </c>
      <c r="F2848" s="8">
        <v>3.647</v>
      </c>
      <c r="G2848" s="66">
        <v>214.7382432</v>
      </c>
      <c r="H2848" s="8">
        <v>7.28</v>
      </c>
      <c r="J2848" s="26"/>
      <c r="K2848"/>
    </row>
    <row r="2849" spans="1:11">
      <c r="A2849">
        <v>20</v>
      </c>
      <c r="B2849" s="64">
        <v>41124</v>
      </c>
      <c r="C2849" s="2">
        <v>2094515.71</v>
      </c>
      <c r="D2849">
        <v>0</v>
      </c>
      <c r="E2849" s="65">
        <v>74.73</v>
      </c>
      <c r="F2849" s="8">
        <v>3.654</v>
      </c>
      <c r="G2849" s="66">
        <v>214.7433514</v>
      </c>
      <c r="H2849" s="8">
        <v>7.28</v>
      </c>
      <c r="J2849" s="26"/>
      <c r="K2849"/>
    </row>
    <row r="2850" spans="1:11">
      <c r="A2850">
        <v>20</v>
      </c>
      <c r="B2850" s="64">
        <v>41131</v>
      </c>
      <c r="C2850" s="2">
        <v>2144245.39</v>
      </c>
      <c r="D2850">
        <v>0</v>
      </c>
      <c r="E2850" s="65">
        <v>75.4</v>
      </c>
      <c r="F2850" s="8">
        <v>3.722</v>
      </c>
      <c r="G2850" s="66">
        <v>214.7484595</v>
      </c>
      <c r="H2850" s="8">
        <v>7.28</v>
      </c>
      <c r="J2850" s="26"/>
      <c r="K2850"/>
    </row>
    <row r="2851" spans="1:11">
      <c r="A2851">
        <v>20</v>
      </c>
      <c r="B2851" s="64">
        <v>41138</v>
      </c>
      <c r="C2851" s="2">
        <v>2045061.22</v>
      </c>
      <c r="D2851">
        <v>0</v>
      </c>
      <c r="E2851" s="65">
        <v>69.57</v>
      </c>
      <c r="F2851" s="8">
        <v>3.807</v>
      </c>
      <c r="G2851" s="66">
        <v>214.825578</v>
      </c>
      <c r="H2851" s="8">
        <v>7.28</v>
      </c>
      <c r="J2851" s="26"/>
      <c r="K2851"/>
    </row>
    <row r="2852" spans="1:11">
      <c r="A2852">
        <v>20</v>
      </c>
      <c r="B2852" s="64">
        <v>41145</v>
      </c>
      <c r="C2852" s="2">
        <v>2005341.43</v>
      </c>
      <c r="D2852">
        <v>0</v>
      </c>
      <c r="E2852" s="65">
        <v>68.27</v>
      </c>
      <c r="F2852" s="8">
        <v>3.834</v>
      </c>
      <c r="G2852" s="66">
        <v>214.9567044</v>
      </c>
      <c r="H2852" s="8">
        <v>7.28</v>
      </c>
      <c r="J2852" s="26"/>
      <c r="K2852"/>
    </row>
    <row r="2853" spans="1:11">
      <c r="A2853">
        <v>20</v>
      </c>
      <c r="B2853" s="64">
        <v>41152</v>
      </c>
      <c r="C2853" s="2">
        <v>2062481.56</v>
      </c>
      <c r="D2853">
        <v>0</v>
      </c>
      <c r="E2853" s="65">
        <v>72.66</v>
      </c>
      <c r="F2853" s="8">
        <v>3.867</v>
      </c>
      <c r="G2853" s="66">
        <v>215.0878309</v>
      </c>
      <c r="H2853" s="8">
        <v>7.28</v>
      </c>
      <c r="J2853" s="26"/>
      <c r="K2853"/>
    </row>
    <row r="2854" spans="1:11">
      <c r="A2854">
        <v>20</v>
      </c>
      <c r="B2854" s="64">
        <v>41159</v>
      </c>
      <c r="C2854" s="2">
        <v>2080529.06</v>
      </c>
      <c r="D2854">
        <v>1</v>
      </c>
      <c r="E2854" s="65">
        <v>76.36</v>
      </c>
      <c r="F2854" s="8">
        <v>3.911</v>
      </c>
      <c r="G2854" s="66">
        <v>215.2189573</v>
      </c>
      <c r="H2854" s="8">
        <v>7.28</v>
      </c>
      <c r="J2854" s="26"/>
      <c r="K2854"/>
    </row>
    <row r="2855" spans="1:11">
      <c r="A2855">
        <v>20</v>
      </c>
      <c r="B2855" s="64">
        <v>41166</v>
      </c>
      <c r="C2855" s="2">
        <v>2047949.98</v>
      </c>
      <c r="D2855">
        <v>0</v>
      </c>
      <c r="E2855" s="65">
        <v>64.84</v>
      </c>
      <c r="F2855" s="8">
        <v>3.948</v>
      </c>
      <c r="G2855" s="66">
        <v>215.3583757</v>
      </c>
      <c r="H2855" s="8">
        <v>7.28</v>
      </c>
      <c r="J2855" s="26"/>
      <c r="K2855"/>
    </row>
    <row r="2856" spans="1:11">
      <c r="A2856">
        <v>20</v>
      </c>
      <c r="B2856" s="64">
        <v>41173</v>
      </c>
      <c r="C2856" s="2">
        <v>2028587.24</v>
      </c>
      <c r="D2856">
        <v>0</v>
      </c>
      <c r="E2856" s="65">
        <v>60.94</v>
      </c>
      <c r="F2856" s="8">
        <v>4.038</v>
      </c>
      <c r="G2856" s="66">
        <v>215.5475459</v>
      </c>
      <c r="H2856" s="8">
        <v>7.28</v>
      </c>
      <c r="J2856" s="26"/>
      <c r="K2856"/>
    </row>
    <row r="2857" spans="1:11">
      <c r="A2857">
        <v>20</v>
      </c>
      <c r="B2857" s="64">
        <v>41180</v>
      </c>
      <c r="C2857" s="2">
        <v>2008350.58</v>
      </c>
      <c r="D2857">
        <v>0</v>
      </c>
      <c r="E2857" s="65">
        <v>58.65</v>
      </c>
      <c r="F2857" s="8">
        <v>3.997</v>
      </c>
      <c r="G2857" s="66">
        <v>215.7367162</v>
      </c>
      <c r="H2857" s="8">
        <v>7.28</v>
      </c>
      <c r="J2857" s="26"/>
      <c r="K2857"/>
    </row>
    <row r="2858" spans="1:11">
      <c r="A2858">
        <v>20</v>
      </c>
      <c r="B2858" s="64">
        <v>41187</v>
      </c>
      <c r="C2858" s="2">
        <v>2246411.89</v>
      </c>
      <c r="D2858">
        <v>0</v>
      </c>
      <c r="E2858" s="65">
        <v>60.77</v>
      </c>
      <c r="F2858" s="8">
        <v>3.985</v>
      </c>
      <c r="G2858" s="66">
        <v>215.9258865</v>
      </c>
      <c r="H2858" s="8">
        <v>7.293</v>
      </c>
      <c r="J2858" s="26"/>
      <c r="K2858"/>
    </row>
    <row r="2859" spans="1:11">
      <c r="A2859">
        <v>20</v>
      </c>
      <c r="B2859" s="64">
        <v>41194</v>
      </c>
      <c r="C2859" s="2">
        <v>2162951.36</v>
      </c>
      <c r="D2859">
        <v>0</v>
      </c>
      <c r="E2859" s="65">
        <v>47.2</v>
      </c>
      <c r="F2859" s="8">
        <v>4</v>
      </c>
      <c r="G2859" s="66">
        <v>216.1150568</v>
      </c>
      <c r="H2859" s="8">
        <v>7.293</v>
      </c>
      <c r="J2859" s="26"/>
      <c r="K2859"/>
    </row>
    <row r="2860" spans="1:11">
      <c r="A2860">
        <v>20</v>
      </c>
      <c r="B2860" s="64">
        <v>41201</v>
      </c>
      <c r="C2860" s="2">
        <v>1999363.49</v>
      </c>
      <c r="D2860">
        <v>0</v>
      </c>
      <c r="E2860" s="65">
        <v>56.26</v>
      </c>
      <c r="F2860" s="8">
        <v>3.969</v>
      </c>
      <c r="G2860" s="66">
        <v>216.1464699</v>
      </c>
      <c r="H2860" s="8">
        <v>7.293</v>
      </c>
      <c r="J2860" s="26"/>
      <c r="K2860"/>
    </row>
    <row r="2861" spans="1:11">
      <c r="A2861">
        <v>20</v>
      </c>
      <c r="B2861" s="64">
        <v>41208</v>
      </c>
      <c r="C2861" s="2">
        <v>2031650.55</v>
      </c>
      <c r="D2861">
        <v>0</v>
      </c>
      <c r="E2861" s="65">
        <v>60.04</v>
      </c>
      <c r="F2861" s="8">
        <v>3.882</v>
      </c>
      <c r="G2861" s="66">
        <v>216.1515902</v>
      </c>
      <c r="H2861" s="8">
        <v>7.293</v>
      </c>
      <c r="J2861" s="26"/>
      <c r="K2861"/>
    </row>
    <row r="2862" spans="1:11">
      <c r="A2862">
        <v>21</v>
      </c>
      <c r="B2862" s="64">
        <v>40214</v>
      </c>
      <c r="C2862" s="2">
        <v>798593.88</v>
      </c>
      <c r="D2862">
        <v>0</v>
      </c>
      <c r="E2862" s="65">
        <v>39.05</v>
      </c>
      <c r="F2862" s="8">
        <v>2.572</v>
      </c>
      <c r="G2862" s="66">
        <v>210.7526053</v>
      </c>
      <c r="H2862" s="8">
        <v>8.324</v>
      </c>
      <c r="J2862" s="26"/>
      <c r="K2862"/>
    </row>
    <row r="2863" spans="1:11">
      <c r="A2863">
        <v>21</v>
      </c>
      <c r="B2863" s="64">
        <v>40221</v>
      </c>
      <c r="C2863" s="2">
        <v>809321.44</v>
      </c>
      <c r="D2863">
        <v>1</v>
      </c>
      <c r="E2863" s="65">
        <v>37.77</v>
      </c>
      <c r="F2863" s="8">
        <v>2.548</v>
      </c>
      <c r="G2863" s="66">
        <v>210.8979935</v>
      </c>
      <c r="H2863" s="8">
        <v>8.324</v>
      </c>
      <c r="J2863" s="26"/>
      <c r="K2863"/>
    </row>
    <row r="2864" spans="1:11">
      <c r="A2864">
        <v>21</v>
      </c>
      <c r="B2864" s="64">
        <v>40228</v>
      </c>
      <c r="C2864" s="2">
        <v>867283.25</v>
      </c>
      <c r="D2864">
        <v>0</v>
      </c>
      <c r="E2864" s="65">
        <v>39.75</v>
      </c>
      <c r="F2864" s="8">
        <v>2.514</v>
      </c>
      <c r="G2864" s="66">
        <v>210.9451605</v>
      </c>
      <c r="H2864" s="8">
        <v>8.324</v>
      </c>
      <c r="J2864" s="26"/>
      <c r="K2864"/>
    </row>
    <row r="2865" spans="1:11">
      <c r="A2865">
        <v>21</v>
      </c>
      <c r="B2865" s="64">
        <v>40235</v>
      </c>
      <c r="C2865" s="2">
        <v>749597.24</v>
      </c>
      <c r="D2865">
        <v>0</v>
      </c>
      <c r="E2865" s="65">
        <v>45.31</v>
      </c>
      <c r="F2865" s="8">
        <v>2.561</v>
      </c>
      <c r="G2865" s="66">
        <v>210.9759573</v>
      </c>
      <c r="H2865" s="8">
        <v>8.324</v>
      </c>
      <c r="J2865" s="26"/>
      <c r="K2865"/>
    </row>
    <row r="2866" spans="1:11">
      <c r="A2866">
        <v>21</v>
      </c>
      <c r="B2866" s="64">
        <v>40242</v>
      </c>
      <c r="C2866" s="2">
        <v>747444.32</v>
      </c>
      <c r="D2866">
        <v>0</v>
      </c>
      <c r="E2866" s="65">
        <v>48.61</v>
      </c>
      <c r="F2866" s="8">
        <v>2.625</v>
      </c>
      <c r="G2866" s="66">
        <v>211.0067542</v>
      </c>
      <c r="H2866" s="8">
        <v>8.324</v>
      </c>
      <c r="J2866" s="26"/>
      <c r="K2866"/>
    </row>
    <row r="2867" spans="1:11">
      <c r="A2867">
        <v>21</v>
      </c>
      <c r="B2867" s="64">
        <v>40249</v>
      </c>
      <c r="C2867" s="2">
        <v>712312.89</v>
      </c>
      <c r="D2867">
        <v>0</v>
      </c>
      <c r="E2867" s="65">
        <v>57.1</v>
      </c>
      <c r="F2867" s="8">
        <v>2.667</v>
      </c>
      <c r="G2867" s="66">
        <v>211.037551</v>
      </c>
      <c r="H2867" s="8">
        <v>8.324</v>
      </c>
      <c r="J2867" s="26"/>
      <c r="K2867"/>
    </row>
    <row r="2868" spans="1:11">
      <c r="A2868">
        <v>21</v>
      </c>
      <c r="B2868" s="64">
        <v>40256</v>
      </c>
      <c r="C2868" s="2">
        <v>727070</v>
      </c>
      <c r="D2868">
        <v>0</v>
      </c>
      <c r="E2868" s="65">
        <v>54.68</v>
      </c>
      <c r="F2868" s="8">
        <v>2.72</v>
      </c>
      <c r="G2868" s="66">
        <v>210.8733316</v>
      </c>
      <c r="H2868" s="8">
        <v>8.324</v>
      </c>
      <c r="J2868" s="26"/>
      <c r="K2868"/>
    </row>
    <row r="2869" spans="1:11">
      <c r="A2869">
        <v>21</v>
      </c>
      <c r="B2869" s="64">
        <v>40263</v>
      </c>
      <c r="C2869" s="2">
        <v>686497.53</v>
      </c>
      <c r="D2869">
        <v>0</v>
      </c>
      <c r="E2869" s="65">
        <v>51.66</v>
      </c>
      <c r="F2869" s="8">
        <v>2.732</v>
      </c>
      <c r="G2869" s="66">
        <v>210.6766095</v>
      </c>
      <c r="H2869" s="8">
        <v>8.324</v>
      </c>
      <c r="J2869" s="26"/>
      <c r="K2869"/>
    </row>
    <row r="2870" spans="1:11">
      <c r="A2870">
        <v>21</v>
      </c>
      <c r="B2870" s="64">
        <v>40270</v>
      </c>
      <c r="C2870" s="2">
        <v>753664.12</v>
      </c>
      <c r="D2870">
        <v>0</v>
      </c>
      <c r="E2870" s="65">
        <v>64.12</v>
      </c>
      <c r="F2870" s="8">
        <v>2.719</v>
      </c>
      <c r="G2870" s="66">
        <v>210.4798874</v>
      </c>
      <c r="H2870" s="8">
        <v>8.2</v>
      </c>
      <c r="J2870" s="26"/>
      <c r="K2870"/>
    </row>
    <row r="2871" spans="1:11">
      <c r="A2871">
        <v>21</v>
      </c>
      <c r="B2871" s="64">
        <v>40277</v>
      </c>
      <c r="C2871" s="2">
        <v>751181.4</v>
      </c>
      <c r="D2871">
        <v>0</v>
      </c>
      <c r="E2871" s="65">
        <v>65.74</v>
      </c>
      <c r="F2871" s="8">
        <v>2.77</v>
      </c>
      <c r="G2871" s="66">
        <v>210.2831653</v>
      </c>
      <c r="H2871" s="8">
        <v>8.2</v>
      </c>
      <c r="J2871" s="26"/>
      <c r="K2871"/>
    </row>
    <row r="2872" spans="1:11">
      <c r="A2872">
        <v>21</v>
      </c>
      <c r="B2872" s="64">
        <v>40284</v>
      </c>
      <c r="C2872" s="2">
        <v>716026.51</v>
      </c>
      <c r="D2872">
        <v>0</v>
      </c>
      <c r="E2872" s="65">
        <v>67.87</v>
      </c>
      <c r="F2872" s="8">
        <v>2.808</v>
      </c>
      <c r="G2872" s="66">
        <v>210.1495463</v>
      </c>
      <c r="H2872" s="8">
        <v>8.2</v>
      </c>
      <c r="J2872" s="26"/>
      <c r="K2872"/>
    </row>
    <row r="2873" spans="1:11">
      <c r="A2873">
        <v>21</v>
      </c>
      <c r="B2873" s="64">
        <v>40291</v>
      </c>
      <c r="C2873" s="2">
        <v>718780.59</v>
      </c>
      <c r="D2873">
        <v>0</v>
      </c>
      <c r="E2873" s="65">
        <v>64.21</v>
      </c>
      <c r="F2873" s="8">
        <v>2.795</v>
      </c>
      <c r="G2873" s="66">
        <v>210.1000648</v>
      </c>
      <c r="H2873" s="8">
        <v>8.2</v>
      </c>
      <c r="J2873" s="26"/>
      <c r="K2873"/>
    </row>
    <row r="2874" spans="1:11">
      <c r="A2874">
        <v>21</v>
      </c>
      <c r="B2874" s="64">
        <v>40298</v>
      </c>
      <c r="C2874" s="2">
        <v>680532.69</v>
      </c>
      <c r="D2874">
        <v>0</v>
      </c>
      <c r="E2874" s="65">
        <v>66.93</v>
      </c>
      <c r="F2874" s="8">
        <v>2.78</v>
      </c>
      <c r="G2874" s="66">
        <v>210.0505833</v>
      </c>
      <c r="H2874" s="8">
        <v>8.2</v>
      </c>
      <c r="J2874" s="26"/>
      <c r="K2874"/>
    </row>
    <row r="2875" spans="1:11">
      <c r="A2875">
        <v>21</v>
      </c>
      <c r="B2875" s="64">
        <v>40305</v>
      </c>
      <c r="C2875" s="2">
        <v>744969.42</v>
      </c>
      <c r="D2875">
        <v>0</v>
      </c>
      <c r="E2875" s="65">
        <v>70.87</v>
      </c>
      <c r="F2875" s="8">
        <v>2.835</v>
      </c>
      <c r="G2875" s="66">
        <v>210.0011018</v>
      </c>
      <c r="H2875" s="8">
        <v>8.2</v>
      </c>
      <c r="J2875" s="26"/>
      <c r="K2875"/>
    </row>
    <row r="2876" spans="1:11">
      <c r="A2876">
        <v>21</v>
      </c>
      <c r="B2876" s="64">
        <v>40312</v>
      </c>
      <c r="C2876" s="2">
        <v>723559.88</v>
      </c>
      <c r="D2876">
        <v>0</v>
      </c>
      <c r="E2876" s="65">
        <v>73.08</v>
      </c>
      <c r="F2876" s="8">
        <v>2.854</v>
      </c>
      <c r="G2876" s="66">
        <v>209.9984585</v>
      </c>
      <c r="H2876" s="8">
        <v>8.2</v>
      </c>
      <c r="J2876" s="26"/>
      <c r="K2876"/>
    </row>
    <row r="2877" spans="1:11">
      <c r="A2877">
        <v>21</v>
      </c>
      <c r="B2877" s="64">
        <v>40319</v>
      </c>
      <c r="C2877" s="2">
        <v>753361.72</v>
      </c>
      <c r="D2877">
        <v>0</v>
      </c>
      <c r="E2877" s="65">
        <v>74.24</v>
      </c>
      <c r="F2877" s="8">
        <v>2.826</v>
      </c>
      <c r="G2877" s="66">
        <v>210.2768443</v>
      </c>
      <c r="H2877" s="8">
        <v>8.2</v>
      </c>
      <c r="J2877" s="26"/>
      <c r="K2877"/>
    </row>
    <row r="2878" spans="1:11">
      <c r="A2878">
        <v>21</v>
      </c>
      <c r="B2878" s="64">
        <v>40326</v>
      </c>
      <c r="C2878" s="2">
        <v>755214.26</v>
      </c>
      <c r="D2878">
        <v>0</v>
      </c>
      <c r="E2878" s="65">
        <v>80.94</v>
      </c>
      <c r="F2878" s="8">
        <v>2.759</v>
      </c>
      <c r="G2878" s="66">
        <v>210.5552301</v>
      </c>
      <c r="H2878" s="8">
        <v>8.2</v>
      </c>
      <c r="J2878" s="26"/>
      <c r="K2878"/>
    </row>
    <row r="2879" spans="1:11">
      <c r="A2879">
        <v>21</v>
      </c>
      <c r="B2879" s="64">
        <v>40333</v>
      </c>
      <c r="C2879" s="2">
        <v>806012.48</v>
      </c>
      <c r="D2879">
        <v>0</v>
      </c>
      <c r="E2879" s="65">
        <v>82.68</v>
      </c>
      <c r="F2879" s="8">
        <v>2.705</v>
      </c>
      <c r="G2879" s="66">
        <v>210.833616</v>
      </c>
      <c r="H2879" s="8">
        <v>8.2</v>
      </c>
      <c r="J2879" s="26"/>
      <c r="K2879"/>
    </row>
    <row r="2880" spans="1:11">
      <c r="A2880">
        <v>21</v>
      </c>
      <c r="B2880" s="64">
        <v>40340</v>
      </c>
      <c r="C2880" s="2">
        <v>784305.55</v>
      </c>
      <c r="D2880">
        <v>0</v>
      </c>
      <c r="E2880" s="65">
        <v>83.51</v>
      </c>
      <c r="F2880" s="8">
        <v>2.668</v>
      </c>
      <c r="G2880" s="66">
        <v>211.1120018</v>
      </c>
      <c r="H2880" s="8">
        <v>8.2</v>
      </c>
      <c r="J2880" s="26"/>
      <c r="K2880"/>
    </row>
    <row r="2881" spans="1:11">
      <c r="A2881">
        <v>21</v>
      </c>
      <c r="B2881" s="64">
        <v>40347</v>
      </c>
      <c r="C2881" s="2">
        <v>785104.29</v>
      </c>
      <c r="D2881">
        <v>0</v>
      </c>
      <c r="E2881" s="65">
        <v>86.18</v>
      </c>
      <c r="F2881" s="8">
        <v>2.637</v>
      </c>
      <c r="G2881" s="66">
        <v>211.1096543</v>
      </c>
      <c r="H2881" s="8">
        <v>8.2</v>
      </c>
      <c r="J2881" s="26"/>
      <c r="K2881"/>
    </row>
    <row r="2882" spans="1:11">
      <c r="A2882">
        <v>21</v>
      </c>
      <c r="B2882" s="64">
        <v>40354</v>
      </c>
      <c r="C2882" s="2">
        <v>769848.75</v>
      </c>
      <c r="D2882">
        <v>0</v>
      </c>
      <c r="E2882" s="65">
        <v>87.01</v>
      </c>
      <c r="F2882" s="8">
        <v>2.653</v>
      </c>
      <c r="G2882" s="66">
        <v>210.9950134</v>
      </c>
      <c r="H2882" s="8">
        <v>8.2</v>
      </c>
      <c r="J2882" s="26"/>
      <c r="K2882"/>
    </row>
    <row r="2883" spans="1:11">
      <c r="A2883">
        <v>21</v>
      </c>
      <c r="B2883" s="64">
        <v>40361</v>
      </c>
      <c r="C2883" s="2">
        <v>711470.8</v>
      </c>
      <c r="D2883">
        <v>0</v>
      </c>
      <c r="E2883" s="65">
        <v>82.29</v>
      </c>
      <c r="F2883" s="8">
        <v>2.669</v>
      </c>
      <c r="G2883" s="66">
        <v>210.8803726</v>
      </c>
      <c r="H2883" s="8">
        <v>8.099</v>
      </c>
      <c r="J2883" s="26"/>
      <c r="K2883"/>
    </row>
    <row r="2884" spans="1:11">
      <c r="A2884">
        <v>21</v>
      </c>
      <c r="B2884" s="64">
        <v>40368</v>
      </c>
      <c r="C2884" s="2">
        <v>714677.47</v>
      </c>
      <c r="D2884">
        <v>0</v>
      </c>
      <c r="E2884" s="65">
        <v>81.67</v>
      </c>
      <c r="F2884" s="8">
        <v>2.642</v>
      </c>
      <c r="G2884" s="66">
        <v>210.7657317</v>
      </c>
      <c r="H2884" s="8">
        <v>8.099</v>
      </c>
      <c r="J2884" s="26"/>
      <c r="K2884"/>
    </row>
    <row r="2885" spans="1:11">
      <c r="A2885">
        <v>21</v>
      </c>
      <c r="B2885" s="64">
        <v>40375</v>
      </c>
      <c r="C2885" s="2">
        <v>755098.41</v>
      </c>
      <c r="D2885">
        <v>0</v>
      </c>
      <c r="E2885" s="65">
        <v>85.61</v>
      </c>
      <c r="F2885" s="8">
        <v>2.623</v>
      </c>
      <c r="G2885" s="66">
        <v>210.7577954</v>
      </c>
      <c r="H2885" s="8">
        <v>8.099</v>
      </c>
      <c r="J2885" s="26"/>
      <c r="K2885"/>
    </row>
    <row r="2886" spans="1:11">
      <c r="A2886">
        <v>21</v>
      </c>
      <c r="B2886" s="64">
        <v>40382</v>
      </c>
      <c r="C2886" s="2">
        <v>765823.48</v>
      </c>
      <c r="D2886">
        <v>0</v>
      </c>
      <c r="E2886" s="65">
        <v>87.17</v>
      </c>
      <c r="F2886" s="8">
        <v>2.608</v>
      </c>
      <c r="G2886" s="66">
        <v>210.8921319</v>
      </c>
      <c r="H2886" s="8">
        <v>8.099</v>
      </c>
      <c r="J2886" s="26"/>
      <c r="K2886"/>
    </row>
    <row r="2887" spans="1:11">
      <c r="A2887">
        <v>21</v>
      </c>
      <c r="B2887" s="64">
        <v>40389</v>
      </c>
      <c r="C2887" s="2">
        <v>715876.27</v>
      </c>
      <c r="D2887">
        <v>0</v>
      </c>
      <c r="E2887" s="65">
        <v>83.59</v>
      </c>
      <c r="F2887" s="8">
        <v>2.64</v>
      </c>
      <c r="G2887" s="66">
        <v>211.0264684</v>
      </c>
      <c r="H2887" s="8">
        <v>8.099</v>
      </c>
      <c r="J2887" s="26"/>
      <c r="K2887"/>
    </row>
    <row r="2888" spans="1:11">
      <c r="A2888">
        <v>21</v>
      </c>
      <c r="B2888" s="64">
        <v>40396</v>
      </c>
      <c r="C2888" s="2">
        <v>739279.19</v>
      </c>
      <c r="D2888">
        <v>0</v>
      </c>
      <c r="E2888" s="65">
        <v>90.3</v>
      </c>
      <c r="F2888" s="8">
        <v>2.627</v>
      </c>
      <c r="G2888" s="66">
        <v>211.1608049</v>
      </c>
      <c r="H2888" s="8">
        <v>8.099</v>
      </c>
      <c r="J2888" s="26"/>
      <c r="K2888"/>
    </row>
    <row r="2889" spans="1:11">
      <c r="A2889">
        <v>21</v>
      </c>
      <c r="B2889" s="64">
        <v>40403</v>
      </c>
      <c r="C2889" s="2">
        <v>793589.18</v>
      </c>
      <c r="D2889">
        <v>0</v>
      </c>
      <c r="E2889" s="65">
        <v>89.65</v>
      </c>
      <c r="F2889" s="8">
        <v>2.692</v>
      </c>
      <c r="G2889" s="66">
        <v>211.2951413</v>
      </c>
      <c r="H2889" s="8">
        <v>8.099</v>
      </c>
      <c r="J2889" s="26"/>
      <c r="K2889"/>
    </row>
    <row r="2890" spans="1:11">
      <c r="A2890">
        <v>21</v>
      </c>
      <c r="B2890" s="64">
        <v>40410</v>
      </c>
      <c r="C2890" s="2">
        <v>848873.28</v>
      </c>
      <c r="D2890">
        <v>0</v>
      </c>
      <c r="E2890" s="65">
        <v>89.58</v>
      </c>
      <c r="F2890" s="8">
        <v>2.664</v>
      </c>
      <c r="G2890" s="66">
        <v>211.2596586</v>
      </c>
      <c r="H2890" s="8">
        <v>8.099</v>
      </c>
      <c r="J2890" s="26"/>
      <c r="K2890"/>
    </row>
    <row r="2891" spans="1:11">
      <c r="A2891">
        <v>21</v>
      </c>
      <c r="B2891" s="64">
        <v>40417</v>
      </c>
      <c r="C2891" s="2">
        <v>855882.57</v>
      </c>
      <c r="D2891">
        <v>0</v>
      </c>
      <c r="E2891" s="65">
        <v>86.2</v>
      </c>
      <c r="F2891" s="8">
        <v>2.619</v>
      </c>
      <c r="G2891" s="66">
        <v>211.2241759</v>
      </c>
      <c r="H2891" s="8">
        <v>8.099</v>
      </c>
      <c r="J2891" s="26"/>
      <c r="K2891"/>
    </row>
    <row r="2892" spans="1:11">
      <c r="A2892">
        <v>21</v>
      </c>
      <c r="B2892" s="64">
        <v>40424</v>
      </c>
      <c r="C2892" s="2">
        <v>727772.8</v>
      </c>
      <c r="D2892">
        <v>0</v>
      </c>
      <c r="E2892" s="65">
        <v>82.57</v>
      </c>
      <c r="F2892" s="8">
        <v>2.577</v>
      </c>
      <c r="G2892" s="66">
        <v>211.1886931</v>
      </c>
      <c r="H2892" s="8">
        <v>8.099</v>
      </c>
      <c r="J2892" s="26"/>
      <c r="K2892"/>
    </row>
    <row r="2893" spans="1:11">
      <c r="A2893">
        <v>21</v>
      </c>
      <c r="B2893" s="64">
        <v>40431</v>
      </c>
      <c r="C2893" s="2">
        <v>674055.81</v>
      </c>
      <c r="D2893">
        <v>1</v>
      </c>
      <c r="E2893" s="65">
        <v>79.3</v>
      </c>
      <c r="F2893" s="8">
        <v>2.565</v>
      </c>
      <c r="G2893" s="66">
        <v>211.1532104</v>
      </c>
      <c r="H2893" s="8">
        <v>8.099</v>
      </c>
      <c r="J2893" s="26"/>
      <c r="K2893"/>
    </row>
    <row r="2894" spans="1:11">
      <c r="A2894">
        <v>21</v>
      </c>
      <c r="B2894" s="64">
        <v>40438</v>
      </c>
      <c r="C2894" s="2">
        <v>684340.86</v>
      </c>
      <c r="D2894">
        <v>0</v>
      </c>
      <c r="E2894" s="65">
        <v>83.03</v>
      </c>
      <c r="F2894" s="8">
        <v>2.582</v>
      </c>
      <c r="G2894" s="66">
        <v>211.1806415</v>
      </c>
      <c r="H2894" s="8">
        <v>8.099</v>
      </c>
      <c r="J2894" s="26"/>
      <c r="K2894"/>
    </row>
    <row r="2895" spans="1:11">
      <c r="A2895">
        <v>21</v>
      </c>
      <c r="B2895" s="64">
        <v>40445</v>
      </c>
      <c r="C2895" s="2">
        <v>671688.06</v>
      </c>
      <c r="D2895">
        <v>0</v>
      </c>
      <c r="E2895" s="65">
        <v>80.79</v>
      </c>
      <c r="F2895" s="8">
        <v>2.624</v>
      </c>
      <c r="G2895" s="66">
        <v>211.2552578</v>
      </c>
      <c r="H2895" s="8">
        <v>8.099</v>
      </c>
      <c r="J2895" s="26"/>
      <c r="K2895"/>
    </row>
    <row r="2896" spans="1:11">
      <c r="A2896">
        <v>21</v>
      </c>
      <c r="B2896" s="64">
        <v>40452</v>
      </c>
      <c r="C2896" s="2">
        <v>677158.39</v>
      </c>
      <c r="D2896">
        <v>0</v>
      </c>
      <c r="E2896" s="65">
        <v>70.28</v>
      </c>
      <c r="F2896" s="8">
        <v>2.603</v>
      </c>
      <c r="G2896" s="66">
        <v>211.3298742</v>
      </c>
      <c r="H2896" s="8">
        <v>8.163</v>
      </c>
      <c r="J2896" s="26"/>
      <c r="K2896"/>
    </row>
    <row r="2897" spans="1:11">
      <c r="A2897">
        <v>21</v>
      </c>
      <c r="B2897" s="64">
        <v>40459</v>
      </c>
      <c r="C2897" s="2">
        <v>680579.49</v>
      </c>
      <c r="D2897">
        <v>0</v>
      </c>
      <c r="E2897" s="65">
        <v>65.76</v>
      </c>
      <c r="F2897" s="8">
        <v>2.633</v>
      </c>
      <c r="G2897" s="66">
        <v>211.4044906</v>
      </c>
      <c r="H2897" s="8">
        <v>8.163</v>
      </c>
      <c r="J2897" s="26"/>
      <c r="K2897"/>
    </row>
    <row r="2898" spans="1:11">
      <c r="A2898">
        <v>21</v>
      </c>
      <c r="B2898" s="64">
        <v>40466</v>
      </c>
      <c r="C2898" s="2">
        <v>693412.05</v>
      </c>
      <c r="D2898">
        <v>0</v>
      </c>
      <c r="E2898" s="65">
        <v>68.61</v>
      </c>
      <c r="F2898" s="8">
        <v>2.72</v>
      </c>
      <c r="G2898" s="66">
        <v>211.4713286</v>
      </c>
      <c r="H2898" s="8">
        <v>8.163</v>
      </c>
      <c r="J2898" s="26"/>
      <c r="K2898"/>
    </row>
    <row r="2899" spans="1:11">
      <c r="A2899">
        <v>21</v>
      </c>
      <c r="B2899" s="64">
        <v>40473</v>
      </c>
      <c r="C2899" s="2">
        <v>710668.45</v>
      </c>
      <c r="D2899">
        <v>0</v>
      </c>
      <c r="E2899" s="65">
        <v>70.72</v>
      </c>
      <c r="F2899" s="8">
        <v>2.725</v>
      </c>
      <c r="G2899" s="66">
        <v>211.5187208</v>
      </c>
      <c r="H2899" s="8">
        <v>8.163</v>
      </c>
      <c r="J2899" s="26"/>
      <c r="K2899"/>
    </row>
    <row r="2900" spans="1:11">
      <c r="A2900">
        <v>21</v>
      </c>
      <c r="B2900" s="64">
        <v>40480</v>
      </c>
      <c r="C2900" s="2">
        <v>731756.65</v>
      </c>
      <c r="D2900">
        <v>0</v>
      </c>
      <c r="E2900" s="65">
        <v>67.51</v>
      </c>
      <c r="F2900" s="8">
        <v>2.716</v>
      </c>
      <c r="G2900" s="66">
        <v>211.5661131</v>
      </c>
      <c r="H2900" s="8">
        <v>8.163</v>
      </c>
      <c r="J2900" s="26"/>
      <c r="K2900"/>
    </row>
    <row r="2901" spans="1:11">
      <c r="A2901">
        <v>21</v>
      </c>
      <c r="B2901" s="64">
        <v>40487</v>
      </c>
      <c r="C2901" s="2">
        <v>719888.76</v>
      </c>
      <c r="D2901">
        <v>0</v>
      </c>
      <c r="E2901" s="65">
        <v>58.71</v>
      </c>
      <c r="F2901" s="8">
        <v>2.689</v>
      </c>
      <c r="G2901" s="66">
        <v>211.6135053</v>
      </c>
      <c r="H2901" s="8">
        <v>8.163</v>
      </c>
      <c r="J2901" s="26"/>
      <c r="K2901"/>
    </row>
    <row r="2902" spans="1:11">
      <c r="A2902">
        <v>21</v>
      </c>
      <c r="B2902" s="64">
        <v>40494</v>
      </c>
      <c r="C2902" s="2">
        <v>735796.38</v>
      </c>
      <c r="D2902">
        <v>0</v>
      </c>
      <c r="E2902" s="65">
        <v>60.95</v>
      </c>
      <c r="F2902" s="8">
        <v>2.728</v>
      </c>
      <c r="G2902" s="66">
        <v>211.6608975</v>
      </c>
      <c r="H2902" s="8">
        <v>8.163</v>
      </c>
      <c r="J2902" s="26"/>
      <c r="K2902"/>
    </row>
    <row r="2903" spans="1:11">
      <c r="A2903">
        <v>21</v>
      </c>
      <c r="B2903" s="64">
        <v>40501</v>
      </c>
      <c r="C2903" s="2">
        <v>756288.89</v>
      </c>
      <c r="D2903">
        <v>0</v>
      </c>
      <c r="E2903" s="65">
        <v>51.71</v>
      </c>
      <c r="F2903" s="8">
        <v>2.771</v>
      </c>
      <c r="G2903" s="66">
        <v>211.5470304</v>
      </c>
      <c r="H2903" s="8">
        <v>8.163</v>
      </c>
      <c r="J2903" s="26"/>
      <c r="K2903"/>
    </row>
    <row r="2904" spans="1:11">
      <c r="A2904">
        <v>21</v>
      </c>
      <c r="B2904" s="64">
        <v>40508</v>
      </c>
      <c r="C2904" s="2">
        <v>1245628.61</v>
      </c>
      <c r="D2904">
        <v>1</v>
      </c>
      <c r="E2904" s="65">
        <v>62.96</v>
      </c>
      <c r="F2904" s="8">
        <v>2.735</v>
      </c>
      <c r="G2904" s="66">
        <v>211.4062867</v>
      </c>
      <c r="H2904" s="8">
        <v>8.163</v>
      </c>
      <c r="J2904" s="26"/>
      <c r="K2904"/>
    </row>
    <row r="2905" spans="1:11">
      <c r="A2905">
        <v>21</v>
      </c>
      <c r="B2905" s="64">
        <v>40515</v>
      </c>
      <c r="C2905" s="2">
        <v>829210.73</v>
      </c>
      <c r="D2905">
        <v>0</v>
      </c>
      <c r="E2905" s="65">
        <v>50.43</v>
      </c>
      <c r="F2905" s="8">
        <v>2.708</v>
      </c>
      <c r="G2905" s="66">
        <v>211.265543</v>
      </c>
      <c r="H2905" s="8">
        <v>8.163</v>
      </c>
      <c r="J2905" s="26"/>
      <c r="K2905"/>
    </row>
    <row r="2906" spans="1:11">
      <c r="A2906">
        <v>21</v>
      </c>
      <c r="B2906" s="64">
        <v>40522</v>
      </c>
      <c r="C2906" s="2">
        <v>943891.64</v>
      </c>
      <c r="D2906">
        <v>0</v>
      </c>
      <c r="E2906" s="65">
        <v>46.35</v>
      </c>
      <c r="F2906" s="8">
        <v>2.843</v>
      </c>
      <c r="G2906" s="66">
        <v>211.1247993</v>
      </c>
      <c r="H2906" s="8">
        <v>8.163</v>
      </c>
      <c r="J2906" s="26"/>
      <c r="K2906"/>
    </row>
    <row r="2907" spans="1:11">
      <c r="A2907">
        <v>21</v>
      </c>
      <c r="B2907" s="64">
        <v>40529</v>
      </c>
      <c r="C2907" s="2">
        <v>1147556.83</v>
      </c>
      <c r="D2907">
        <v>0</v>
      </c>
      <c r="E2907" s="65">
        <v>48.63</v>
      </c>
      <c r="F2907" s="8">
        <v>2.869</v>
      </c>
      <c r="G2907" s="66">
        <v>211.0645458</v>
      </c>
      <c r="H2907" s="8">
        <v>8.163</v>
      </c>
      <c r="J2907" s="26"/>
      <c r="K2907"/>
    </row>
    <row r="2908" spans="1:11">
      <c r="A2908">
        <v>21</v>
      </c>
      <c r="B2908" s="64">
        <v>40536</v>
      </c>
      <c r="C2908" s="2">
        <v>1587257.78</v>
      </c>
      <c r="D2908">
        <v>0</v>
      </c>
      <c r="E2908" s="65">
        <v>51.29</v>
      </c>
      <c r="F2908" s="8">
        <v>2.886</v>
      </c>
      <c r="G2908" s="66">
        <v>211.0646599</v>
      </c>
      <c r="H2908" s="8">
        <v>8.163</v>
      </c>
      <c r="J2908" s="26"/>
      <c r="K2908"/>
    </row>
    <row r="2909" spans="1:11">
      <c r="A2909">
        <v>21</v>
      </c>
      <c r="B2909" s="64">
        <v>40543</v>
      </c>
      <c r="C2909" s="2">
        <v>672903.23</v>
      </c>
      <c r="D2909">
        <v>1</v>
      </c>
      <c r="E2909" s="65">
        <v>47.19</v>
      </c>
      <c r="F2909" s="8">
        <v>2.943</v>
      </c>
      <c r="G2909" s="66">
        <v>211.064774</v>
      </c>
      <c r="H2909" s="8">
        <v>8.163</v>
      </c>
      <c r="J2909" s="26"/>
      <c r="K2909"/>
    </row>
    <row r="2910" spans="1:11">
      <c r="A2910">
        <v>21</v>
      </c>
      <c r="B2910" s="64">
        <v>40550</v>
      </c>
      <c r="C2910" s="2">
        <v>629152.06</v>
      </c>
      <c r="D2910">
        <v>0</v>
      </c>
      <c r="E2910" s="65">
        <v>44.24</v>
      </c>
      <c r="F2910" s="8">
        <v>2.976</v>
      </c>
      <c r="G2910" s="66">
        <v>211.0648881</v>
      </c>
      <c r="H2910" s="8">
        <v>8.028</v>
      </c>
      <c r="J2910" s="26"/>
      <c r="K2910"/>
    </row>
    <row r="2911" spans="1:11">
      <c r="A2911">
        <v>21</v>
      </c>
      <c r="B2911" s="64">
        <v>40557</v>
      </c>
      <c r="C2911" s="2">
        <v>650789.13</v>
      </c>
      <c r="D2911">
        <v>0</v>
      </c>
      <c r="E2911" s="65">
        <v>34.14</v>
      </c>
      <c r="F2911" s="8">
        <v>2.983</v>
      </c>
      <c r="G2911" s="66">
        <v>211.1176713</v>
      </c>
      <c r="H2911" s="8">
        <v>8.028</v>
      </c>
      <c r="J2911" s="26"/>
      <c r="K2911"/>
    </row>
    <row r="2912" spans="1:11">
      <c r="A2912">
        <v>21</v>
      </c>
      <c r="B2912" s="64">
        <v>40564</v>
      </c>
      <c r="C2912" s="2">
        <v>663941.73</v>
      </c>
      <c r="D2912">
        <v>0</v>
      </c>
      <c r="E2912" s="65">
        <v>42.72</v>
      </c>
      <c r="F2912" s="8">
        <v>3.016</v>
      </c>
      <c r="G2912" s="66">
        <v>211.4864691</v>
      </c>
      <c r="H2912" s="8">
        <v>8.028</v>
      </c>
      <c r="J2912" s="26"/>
      <c r="K2912"/>
    </row>
    <row r="2913" spans="1:11">
      <c r="A2913">
        <v>21</v>
      </c>
      <c r="B2913" s="64">
        <v>40571</v>
      </c>
      <c r="C2913" s="2">
        <v>649878.29</v>
      </c>
      <c r="D2913">
        <v>0</v>
      </c>
      <c r="E2913" s="65">
        <v>44.04</v>
      </c>
      <c r="F2913" s="8">
        <v>3.01</v>
      </c>
      <c r="G2913" s="66">
        <v>211.8552668</v>
      </c>
      <c r="H2913" s="8">
        <v>8.028</v>
      </c>
      <c r="J2913" s="26"/>
      <c r="K2913"/>
    </row>
    <row r="2914" spans="1:11">
      <c r="A2914">
        <v>21</v>
      </c>
      <c r="B2914" s="64">
        <v>40578</v>
      </c>
      <c r="C2914" s="2">
        <v>596218.24</v>
      </c>
      <c r="D2914">
        <v>0</v>
      </c>
      <c r="E2914" s="65">
        <v>36.33</v>
      </c>
      <c r="F2914" s="8">
        <v>2.989</v>
      </c>
      <c r="G2914" s="66">
        <v>212.2240646</v>
      </c>
      <c r="H2914" s="8">
        <v>8.028</v>
      </c>
      <c r="J2914" s="26"/>
      <c r="K2914"/>
    </row>
    <row r="2915" spans="1:11">
      <c r="A2915">
        <v>21</v>
      </c>
      <c r="B2915" s="64">
        <v>40585</v>
      </c>
      <c r="C2915" s="2">
        <v>771908.51</v>
      </c>
      <c r="D2915">
        <v>1</v>
      </c>
      <c r="E2915" s="65">
        <v>34.61</v>
      </c>
      <c r="F2915" s="8">
        <v>3.022</v>
      </c>
      <c r="G2915" s="66">
        <v>212.5928624</v>
      </c>
      <c r="H2915" s="8">
        <v>8.028</v>
      </c>
      <c r="J2915" s="26"/>
      <c r="K2915"/>
    </row>
    <row r="2916" spans="1:11">
      <c r="A2916">
        <v>21</v>
      </c>
      <c r="B2916" s="64">
        <v>40592</v>
      </c>
      <c r="C2916" s="2">
        <v>884701.92</v>
      </c>
      <c r="D2916">
        <v>0</v>
      </c>
      <c r="E2916" s="65">
        <v>59.87</v>
      </c>
      <c r="F2916" s="8">
        <v>3.045</v>
      </c>
      <c r="G2916" s="66">
        <v>212.9033115</v>
      </c>
      <c r="H2916" s="8">
        <v>8.028</v>
      </c>
      <c r="J2916" s="26"/>
      <c r="K2916"/>
    </row>
    <row r="2917" spans="1:11">
      <c r="A2917">
        <v>21</v>
      </c>
      <c r="B2917" s="64">
        <v>40599</v>
      </c>
      <c r="C2917" s="2">
        <v>768313.85</v>
      </c>
      <c r="D2917">
        <v>0</v>
      </c>
      <c r="E2917" s="65">
        <v>61.27</v>
      </c>
      <c r="F2917" s="8">
        <v>3.065</v>
      </c>
      <c r="G2917" s="66">
        <v>213.190421</v>
      </c>
      <c r="H2917" s="8">
        <v>8.028</v>
      </c>
      <c r="J2917" s="26"/>
      <c r="K2917"/>
    </row>
    <row r="2918" spans="1:11">
      <c r="A2918">
        <v>21</v>
      </c>
      <c r="B2918" s="64">
        <v>40606</v>
      </c>
      <c r="C2918" s="2">
        <v>796277.72</v>
      </c>
      <c r="D2918">
        <v>0</v>
      </c>
      <c r="E2918" s="65">
        <v>59.52</v>
      </c>
      <c r="F2918" s="8">
        <v>3.288</v>
      </c>
      <c r="G2918" s="66">
        <v>213.4775305</v>
      </c>
      <c r="H2918" s="8">
        <v>8.028</v>
      </c>
      <c r="J2918" s="26"/>
      <c r="K2918"/>
    </row>
    <row r="2919" spans="1:11">
      <c r="A2919">
        <v>21</v>
      </c>
      <c r="B2919" s="64">
        <v>40613</v>
      </c>
      <c r="C2919" s="2">
        <v>763479.9</v>
      </c>
      <c r="D2919">
        <v>0</v>
      </c>
      <c r="E2919" s="65">
        <v>54.69</v>
      </c>
      <c r="F2919" s="8">
        <v>3.459</v>
      </c>
      <c r="G2919" s="66">
        <v>213.7646401</v>
      </c>
      <c r="H2919" s="8">
        <v>8.028</v>
      </c>
      <c r="J2919" s="26"/>
      <c r="K2919"/>
    </row>
    <row r="2920" spans="1:11">
      <c r="A2920">
        <v>21</v>
      </c>
      <c r="B2920" s="64">
        <v>40620</v>
      </c>
      <c r="C2920" s="2">
        <v>793569</v>
      </c>
      <c r="D2920">
        <v>0</v>
      </c>
      <c r="E2920" s="65">
        <v>63.26</v>
      </c>
      <c r="F2920" s="8">
        <v>3.488</v>
      </c>
      <c r="G2920" s="66">
        <v>214.0156238</v>
      </c>
      <c r="H2920" s="8">
        <v>8.028</v>
      </c>
      <c r="J2920" s="26"/>
      <c r="K2920"/>
    </row>
    <row r="2921" spans="1:11">
      <c r="A2921">
        <v>21</v>
      </c>
      <c r="B2921" s="64">
        <v>40627</v>
      </c>
      <c r="C2921" s="2">
        <v>753711.32</v>
      </c>
      <c r="D2921">
        <v>0</v>
      </c>
      <c r="E2921" s="65">
        <v>70.33</v>
      </c>
      <c r="F2921" s="8">
        <v>3.473</v>
      </c>
      <c r="G2921" s="66">
        <v>214.2521573</v>
      </c>
      <c r="H2921" s="8">
        <v>8.028</v>
      </c>
      <c r="J2921" s="26"/>
      <c r="K2921"/>
    </row>
    <row r="2922" spans="1:11">
      <c r="A2922">
        <v>21</v>
      </c>
      <c r="B2922" s="64">
        <v>40634</v>
      </c>
      <c r="C2922" s="2">
        <v>732056.37</v>
      </c>
      <c r="D2922">
        <v>0</v>
      </c>
      <c r="E2922" s="65">
        <v>56.36</v>
      </c>
      <c r="F2922" s="8">
        <v>3.524</v>
      </c>
      <c r="G2922" s="66">
        <v>214.4886908</v>
      </c>
      <c r="H2922" s="8">
        <v>7.931</v>
      </c>
      <c r="J2922" s="26"/>
      <c r="K2922"/>
    </row>
    <row r="2923" spans="1:11">
      <c r="A2923">
        <v>21</v>
      </c>
      <c r="B2923" s="64">
        <v>40641</v>
      </c>
      <c r="C2923" s="2">
        <v>744782.89</v>
      </c>
      <c r="D2923">
        <v>0</v>
      </c>
      <c r="E2923" s="65">
        <v>68.62</v>
      </c>
      <c r="F2923" s="8">
        <v>3.622</v>
      </c>
      <c r="G2923" s="66">
        <v>214.7252242</v>
      </c>
      <c r="H2923" s="8">
        <v>7.931</v>
      </c>
      <c r="J2923" s="26"/>
      <c r="K2923"/>
    </row>
    <row r="2924" spans="1:11">
      <c r="A2924">
        <v>21</v>
      </c>
      <c r="B2924" s="64">
        <v>40648</v>
      </c>
      <c r="C2924" s="2">
        <v>768390.05</v>
      </c>
      <c r="D2924">
        <v>0</v>
      </c>
      <c r="E2924" s="65">
        <v>71.01</v>
      </c>
      <c r="F2924" s="8">
        <v>3.743</v>
      </c>
      <c r="G2924" s="66">
        <v>214.9420631</v>
      </c>
      <c r="H2924" s="8">
        <v>7.931</v>
      </c>
      <c r="J2924" s="26"/>
      <c r="K2924"/>
    </row>
    <row r="2925" spans="1:11">
      <c r="A2925">
        <v>21</v>
      </c>
      <c r="B2925" s="64">
        <v>40655</v>
      </c>
      <c r="C2925" s="2">
        <v>801302.01</v>
      </c>
      <c r="D2925">
        <v>0</v>
      </c>
      <c r="E2925" s="65">
        <v>70.79</v>
      </c>
      <c r="F2925" s="8">
        <v>3.807</v>
      </c>
      <c r="G2925" s="66">
        <v>215.1096657</v>
      </c>
      <c r="H2925" s="8">
        <v>7.931</v>
      </c>
      <c r="J2925" s="26"/>
      <c r="K2925"/>
    </row>
    <row r="2926" spans="1:11">
      <c r="A2926">
        <v>21</v>
      </c>
      <c r="B2926" s="64">
        <v>40662</v>
      </c>
      <c r="C2926" s="2">
        <v>783250.75</v>
      </c>
      <c r="D2926">
        <v>0</v>
      </c>
      <c r="E2926" s="65">
        <v>70.19</v>
      </c>
      <c r="F2926" s="8">
        <v>3.81</v>
      </c>
      <c r="G2926" s="66">
        <v>215.2772683</v>
      </c>
      <c r="H2926" s="8">
        <v>7.931</v>
      </c>
      <c r="J2926" s="26"/>
      <c r="K2926"/>
    </row>
    <row r="2927" spans="1:11">
      <c r="A2927">
        <v>21</v>
      </c>
      <c r="B2927" s="64">
        <v>40669</v>
      </c>
      <c r="C2927" s="2">
        <v>718898.33</v>
      </c>
      <c r="D2927">
        <v>0</v>
      </c>
      <c r="E2927" s="65">
        <v>61.87</v>
      </c>
      <c r="F2927" s="8">
        <v>3.906</v>
      </c>
      <c r="G2927" s="66">
        <v>215.4448709</v>
      </c>
      <c r="H2927" s="8">
        <v>7.931</v>
      </c>
      <c r="J2927" s="26"/>
      <c r="K2927"/>
    </row>
    <row r="2928" spans="1:11">
      <c r="A2928">
        <v>21</v>
      </c>
      <c r="B2928" s="64">
        <v>40676</v>
      </c>
      <c r="C2928" s="2">
        <v>754236.7</v>
      </c>
      <c r="D2928">
        <v>0</v>
      </c>
      <c r="E2928" s="65">
        <v>75.04</v>
      </c>
      <c r="F2928" s="8">
        <v>3.899</v>
      </c>
      <c r="G2928" s="66">
        <v>215.6124735</v>
      </c>
      <c r="H2928" s="8">
        <v>7.931</v>
      </c>
      <c r="J2928" s="26"/>
      <c r="K2928"/>
    </row>
    <row r="2929" spans="1:11">
      <c r="A2929">
        <v>21</v>
      </c>
      <c r="B2929" s="64">
        <v>40683</v>
      </c>
      <c r="C2929" s="2">
        <v>744836.56</v>
      </c>
      <c r="D2929">
        <v>0</v>
      </c>
      <c r="E2929" s="65">
        <v>68.36</v>
      </c>
      <c r="F2929" s="8">
        <v>3.907</v>
      </c>
      <c r="G2929" s="66">
        <v>215.3834778</v>
      </c>
      <c r="H2929" s="8">
        <v>7.931</v>
      </c>
      <c r="J2929" s="26"/>
      <c r="K2929"/>
    </row>
    <row r="2930" spans="1:11">
      <c r="A2930">
        <v>21</v>
      </c>
      <c r="B2930" s="64">
        <v>40690</v>
      </c>
      <c r="C2930" s="2">
        <v>744389.81</v>
      </c>
      <c r="D2930">
        <v>0</v>
      </c>
      <c r="E2930" s="65">
        <v>76.86</v>
      </c>
      <c r="F2930" s="8">
        <v>3.786</v>
      </c>
      <c r="G2930" s="66">
        <v>215.1544822</v>
      </c>
      <c r="H2930" s="8">
        <v>7.931</v>
      </c>
      <c r="J2930" s="26"/>
      <c r="K2930"/>
    </row>
    <row r="2931" spans="1:11">
      <c r="A2931">
        <v>21</v>
      </c>
      <c r="B2931" s="64">
        <v>40697</v>
      </c>
      <c r="C2931" s="2">
        <v>773878.58</v>
      </c>
      <c r="D2931">
        <v>0</v>
      </c>
      <c r="E2931" s="65">
        <v>83.82</v>
      </c>
      <c r="F2931" s="8">
        <v>3.699</v>
      </c>
      <c r="G2931" s="66">
        <v>214.9254865</v>
      </c>
      <c r="H2931" s="8">
        <v>7.931</v>
      </c>
      <c r="J2931" s="26"/>
      <c r="K2931"/>
    </row>
    <row r="2932" spans="1:11">
      <c r="A2932">
        <v>21</v>
      </c>
      <c r="B2932" s="64">
        <v>40704</v>
      </c>
      <c r="C2932" s="2">
        <v>794397.89</v>
      </c>
      <c r="D2932">
        <v>0</v>
      </c>
      <c r="E2932" s="65">
        <v>84.71</v>
      </c>
      <c r="F2932" s="8">
        <v>3.648</v>
      </c>
      <c r="G2932" s="66">
        <v>214.6964908</v>
      </c>
      <c r="H2932" s="8">
        <v>7.931</v>
      </c>
      <c r="J2932" s="26"/>
      <c r="K2932"/>
    </row>
    <row r="2933" spans="1:11">
      <c r="A2933">
        <v>21</v>
      </c>
      <c r="B2933" s="64">
        <v>40711</v>
      </c>
      <c r="C2933" s="2">
        <v>823220.43</v>
      </c>
      <c r="D2933">
        <v>0</v>
      </c>
      <c r="E2933" s="65">
        <v>87.54</v>
      </c>
      <c r="F2933" s="8">
        <v>3.637</v>
      </c>
      <c r="G2933" s="66">
        <v>214.6513538</v>
      </c>
      <c r="H2933" s="8">
        <v>7.931</v>
      </c>
      <c r="J2933" s="26"/>
      <c r="K2933"/>
    </row>
    <row r="2934" spans="1:11">
      <c r="A2934">
        <v>21</v>
      </c>
      <c r="B2934" s="64">
        <v>40718</v>
      </c>
      <c r="C2934" s="2">
        <v>771298.98</v>
      </c>
      <c r="D2934">
        <v>0</v>
      </c>
      <c r="E2934" s="65">
        <v>85.72</v>
      </c>
      <c r="F2934" s="8">
        <v>3.594</v>
      </c>
      <c r="G2934" s="66">
        <v>214.7441108</v>
      </c>
      <c r="H2934" s="8">
        <v>7.931</v>
      </c>
      <c r="J2934" s="26"/>
      <c r="K2934"/>
    </row>
    <row r="2935" spans="1:11">
      <c r="A2935">
        <v>21</v>
      </c>
      <c r="B2935" s="64">
        <v>40725</v>
      </c>
      <c r="C2935" s="2">
        <v>784639.12</v>
      </c>
      <c r="D2935">
        <v>0</v>
      </c>
      <c r="E2935" s="65">
        <v>87.57</v>
      </c>
      <c r="F2935" s="8">
        <v>3.524</v>
      </c>
      <c r="G2935" s="66">
        <v>214.8368678</v>
      </c>
      <c r="H2935" s="8">
        <v>7.852</v>
      </c>
      <c r="J2935" s="26"/>
      <c r="K2935"/>
    </row>
    <row r="2936" spans="1:11">
      <c r="A2936">
        <v>21</v>
      </c>
      <c r="B2936" s="64">
        <v>40732</v>
      </c>
      <c r="C2936" s="2">
        <v>734099.4</v>
      </c>
      <c r="D2936">
        <v>0</v>
      </c>
      <c r="E2936" s="65">
        <v>89.16</v>
      </c>
      <c r="F2936" s="8">
        <v>3.48</v>
      </c>
      <c r="G2936" s="66">
        <v>214.9296249</v>
      </c>
      <c r="H2936" s="8">
        <v>7.852</v>
      </c>
      <c r="J2936" s="26"/>
      <c r="K2936"/>
    </row>
    <row r="2937" spans="1:11">
      <c r="A2937">
        <v>21</v>
      </c>
      <c r="B2937" s="64">
        <v>40739</v>
      </c>
      <c r="C2937" s="2">
        <v>728311.15</v>
      </c>
      <c r="D2937">
        <v>0</v>
      </c>
      <c r="E2937" s="65">
        <v>91.05</v>
      </c>
      <c r="F2937" s="8">
        <v>3.575</v>
      </c>
      <c r="G2937" s="66">
        <v>215.0134426</v>
      </c>
      <c r="H2937" s="8">
        <v>7.852</v>
      </c>
      <c r="J2937" s="26"/>
      <c r="K2937"/>
    </row>
    <row r="2938" spans="1:11">
      <c r="A2938">
        <v>21</v>
      </c>
      <c r="B2938" s="64">
        <v>40746</v>
      </c>
      <c r="C2938" s="2">
        <v>784490.67</v>
      </c>
      <c r="D2938">
        <v>0</v>
      </c>
      <c r="E2938" s="65">
        <v>90.27</v>
      </c>
      <c r="F2938" s="8">
        <v>3.651</v>
      </c>
      <c r="G2938" s="66">
        <v>215.0749122</v>
      </c>
      <c r="H2938" s="8">
        <v>7.852</v>
      </c>
      <c r="J2938" s="26"/>
      <c r="K2938"/>
    </row>
    <row r="2939" spans="1:11">
      <c r="A2939">
        <v>21</v>
      </c>
      <c r="B2939" s="64">
        <v>40753</v>
      </c>
      <c r="C2939" s="2">
        <v>751167.12</v>
      </c>
      <c r="D2939">
        <v>0</v>
      </c>
      <c r="E2939" s="65">
        <v>91.56</v>
      </c>
      <c r="F2939" s="8">
        <v>3.682</v>
      </c>
      <c r="G2939" s="66">
        <v>215.1363819</v>
      </c>
      <c r="H2939" s="8">
        <v>7.852</v>
      </c>
      <c r="J2939" s="26"/>
      <c r="K2939"/>
    </row>
    <row r="2940" spans="1:11">
      <c r="A2940">
        <v>21</v>
      </c>
      <c r="B2940" s="64">
        <v>40760</v>
      </c>
      <c r="C2940" s="2">
        <v>783614.89</v>
      </c>
      <c r="D2940">
        <v>0</v>
      </c>
      <c r="E2940" s="65">
        <v>94.22</v>
      </c>
      <c r="F2940" s="8">
        <v>3.684</v>
      </c>
      <c r="G2940" s="66">
        <v>215.1978515</v>
      </c>
      <c r="H2940" s="8">
        <v>7.852</v>
      </c>
      <c r="J2940" s="26"/>
      <c r="K2940"/>
    </row>
    <row r="2941" spans="1:11">
      <c r="A2941">
        <v>21</v>
      </c>
      <c r="B2941" s="64">
        <v>40767</v>
      </c>
      <c r="C2941" s="2">
        <v>776933.37</v>
      </c>
      <c r="D2941">
        <v>0</v>
      </c>
      <c r="E2941" s="65">
        <v>92.32</v>
      </c>
      <c r="F2941" s="8">
        <v>3.638</v>
      </c>
      <c r="G2941" s="66">
        <v>215.2593211</v>
      </c>
      <c r="H2941" s="8">
        <v>7.852</v>
      </c>
      <c r="J2941" s="26"/>
      <c r="K2941"/>
    </row>
    <row r="2942" spans="1:11">
      <c r="A2942">
        <v>21</v>
      </c>
      <c r="B2942" s="64">
        <v>40774</v>
      </c>
      <c r="C2942" s="2">
        <v>855546.5</v>
      </c>
      <c r="D2942">
        <v>0</v>
      </c>
      <c r="E2942" s="65">
        <v>90.11</v>
      </c>
      <c r="F2942" s="8">
        <v>3.554</v>
      </c>
      <c r="G2942" s="66">
        <v>215.3229307</v>
      </c>
      <c r="H2942" s="8">
        <v>7.852</v>
      </c>
      <c r="J2942" s="26"/>
      <c r="K2942"/>
    </row>
    <row r="2943" spans="1:11">
      <c r="A2943">
        <v>21</v>
      </c>
      <c r="B2943" s="64">
        <v>40781</v>
      </c>
      <c r="C2943" s="2">
        <v>821127.53</v>
      </c>
      <c r="D2943">
        <v>0</v>
      </c>
      <c r="E2943" s="65">
        <v>92.07</v>
      </c>
      <c r="F2943" s="8">
        <v>3.523</v>
      </c>
      <c r="G2943" s="66">
        <v>215.386897</v>
      </c>
      <c r="H2943" s="8">
        <v>7.852</v>
      </c>
      <c r="J2943" s="26"/>
      <c r="K2943"/>
    </row>
    <row r="2944" spans="1:11">
      <c r="A2944">
        <v>21</v>
      </c>
      <c r="B2944" s="64">
        <v>40788</v>
      </c>
      <c r="C2944" s="2">
        <v>705557.8</v>
      </c>
      <c r="D2944">
        <v>0</v>
      </c>
      <c r="E2944" s="65">
        <v>91.94</v>
      </c>
      <c r="F2944" s="8">
        <v>3.533</v>
      </c>
      <c r="G2944" s="66">
        <v>215.4508632</v>
      </c>
      <c r="H2944" s="8">
        <v>7.852</v>
      </c>
      <c r="J2944" s="26"/>
      <c r="K2944"/>
    </row>
    <row r="2945" spans="1:11">
      <c r="A2945">
        <v>21</v>
      </c>
      <c r="B2945" s="64">
        <v>40795</v>
      </c>
      <c r="C2945" s="2">
        <v>653989.65</v>
      </c>
      <c r="D2945">
        <v>1</v>
      </c>
      <c r="E2945" s="65">
        <v>78.87</v>
      </c>
      <c r="F2945" s="8">
        <v>3.546</v>
      </c>
      <c r="G2945" s="66">
        <v>215.5148295</v>
      </c>
      <c r="H2945" s="8">
        <v>7.852</v>
      </c>
      <c r="J2945" s="26"/>
      <c r="K2945"/>
    </row>
    <row r="2946" spans="1:11">
      <c r="A2946">
        <v>21</v>
      </c>
      <c r="B2946" s="64">
        <v>40802</v>
      </c>
      <c r="C2946" s="2">
        <v>653525.84</v>
      </c>
      <c r="D2946">
        <v>0</v>
      </c>
      <c r="E2946" s="65">
        <v>80.62</v>
      </c>
      <c r="F2946" s="8">
        <v>3.526</v>
      </c>
      <c r="G2946" s="66">
        <v>215.6944378</v>
      </c>
      <c r="H2946" s="8">
        <v>7.852</v>
      </c>
      <c r="J2946" s="26"/>
      <c r="K2946"/>
    </row>
    <row r="2947" spans="1:11">
      <c r="A2947">
        <v>21</v>
      </c>
      <c r="B2947" s="64">
        <v>40809</v>
      </c>
      <c r="C2947" s="2">
        <v>681913.29</v>
      </c>
      <c r="D2947">
        <v>0</v>
      </c>
      <c r="E2947" s="65">
        <v>75.68</v>
      </c>
      <c r="F2947" s="8">
        <v>3.467</v>
      </c>
      <c r="G2947" s="66">
        <v>216.0282356</v>
      </c>
      <c r="H2947" s="8">
        <v>7.852</v>
      </c>
      <c r="J2947" s="26"/>
      <c r="K2947"/>
    </row>
    <row r="2948" spans="1:11">
      <c r="A2948">
        <v>21</v>
      </c>
      <c r="B2948" s="64">
        <v>40816</v>
      </c>
      <c r="C2948" s="2">
        <v>651970.48</v>
      </c>
      <c r="D2948">
        <v>0</v>
      </c>
      <c r="E2948" s="65">
        <v>78.91</v>
      </c>
      <c r="F2948" s="8">
        <v>3.355</v>
      </c>
      <c r="G2948" s="66">
        <v>216.3620333</v>
      </c>
      <c r="H2948" s="8">
        <v>7.852</v>
      </c>
      <c r="J2948" s="26"/>
      <c r="K2948"/>
    </row>
    <row r="2949" spans="1:11">
      <c r="A2949">
        <v>21</v>
      </c>
      <c r="B2949" s="64">
        <v>40823</v>
      </c>
      <c r="C2949" s="2">
        <v>663452.46</v>
      </c>
      <c r="D2949">
        <v>0</v>
      </c>
      <c r="E2949" s="65">
        <v>71.64</v>
      </c>
      <c r="F2949" s="8">
        <v>3.285</v>
      </c>
      <c r="G2949" s="66">
        <v>216.6958311</v>
      </c>
      <c r="H2949" s="8">
        <v>7.441</v>
      </c>
      <c r="J2949" s="26"/>
      <c r="K2949"/>
    </row>
    <row r="2950" spans="1:11">
      <c r="A2950">
        <v>21</v>
      </c>
      <c r="B2950" s="64">
        <v>40830</v>
      </c>
      <c r="C2950" s="2">
        <v>671379.44</v>
      </c>
      <c r="D2950">
        <v>0</v>
      </c>
      <c r="E2950" s="65">
        <v>69.79</v>
      </c>
      <c r="F2950" s="8">
        <v>3.274</v>
      </c>
      <c r="G2950" s="66">
        <v>217.0048261</v>
      </c>
      <c r="H2950" s="8">
        <v>7.441</v>
      </c>
      <c r="J2950" s="26"/>
      <c r="K2950"/>
    </row>
    <row r="2951" spans="1:11">
      <c r="A2951">
        <v>21</v>
      </c>
      <c r="B2951" s="64">
        <v>40837</v>
      </c>
      <c r="C2951" s="2">
        <v>729036.06</v>
      </c>
      <c r="D2951">
        <v>0</v>
      </c>
      <c r="E2951" s="65">
        <v>65.16</v>
      </c>
      <c r="F2951" s="8">
        <v>3.353</v>
      </c>
      <c r="G2951" s="66">
        <v>217.1650042</v>
      </c>
      <c r="H2951" s="8">
        <v>7.441</v>
      </c>
      <c r="J2951" s="26"/>
      <c r="K2951"/>
    </row>
    <row r="2952" spans="1:11">
      <c r="A2952">
        <v>21</v>
      </c>
      <c r="B2952" s="64">
        <v>40844</v>
      </c>
      <c r="C2952" s="2">
        <v>738812</v>
      </c>
      <c r="D2952">
        <v>0</v>
      </c>
      <c r="E2952" s="65">
        <v>65.46</v>
      </c>
      <c r="F2952" s="8">
        <v>3.372</v>
      </c>
      <c r="G2952" s="66">
        <v>217.3251824</v>
      </c>
      <c r="H2952" s="8">
        <v>7.441</v>
      </c>
      <c r="J2952" s="26"/>
      <c r="K2952"/>
    </row>
    <row r="2953" spans="1:11">
      <c r="A2953">
        <v>21</v>
      </c>
      <c r="B2953" s="64">
        <v>40851</v>
      </c>
      <c r="C2953" s="2">
        <v>767358.37</v>
      </c>
      <c r="D2953">
        <v>0</v>
      </c>
      <c r="E2953" s="65">
        <v>56.01</v>
      </c>
      <c r="F2953" s="8">
        <v>3.332</v>
      </c>
      <c r="G2953" s="66">
        <v>217.4853605</v>
      </c>
      <c r="H2953" s="8">
        <v>7.441</v>
      </c>
      <c r="J2953" s="26"/>
      <c r="K2953"/>
    </row>
    <row r="2954" spans="1:11">
      <c r="A2954">
        <v>21</v>
      </c>
      <c r="B2954" s="64">
        <v>40858</v>
      </c>
      <c r="C2954" s="2">
        <v>757369.87</v>
      </c>
      <c r="D2954">
        <v>0</v>
      </c>
      <c r="E2954" s="65">
        <v>59.8</v>
      </c>
      <c r="F2954" s="8">
        <v>3.297</v>
      </c>
      <c r="G2954" s="66">
        <v>217.6455387</v>
      </c>
      <c r="H2954" s="8">
        <v>7.441</v>
      </c>
      <c r="J2954" s="26"/>
      <c r="K2954"/>
    </row>
    <row r="2955" spans="1:11">
      <c r="A2955">
        <v>21</v>
      </c>
      <c r="B2955" s="64">
        <v>40865</v>
      </c>
      <c r="C2955" s="2">
        <v>737014.09</v>
      </c>
      <c r="D2955">
        <v>0</v>
      </c>
      <c r="E2955" s="65">
        <v>61.9</v>
      </c>
      <c r="F2955" s="8">
        <v>3.308</v>
      </c>
      <c r="G2955" s="66">
        <v>217.8670218</v>
      </c>
      <c r="H2955" s="8">
        <v>7.441</v>
      </c>
      <c r="J2955" s="26"/>
      <c r="K2955"/>
    </row>
    <row r="2956" spans="1:11">
      <c r="A2956">
        <v>21</v>
      </c>
      <c r="B2956" s="64">
        <v>40872</v>
      </c>
      <c r="C2956" s="2">
        <v>1219263.4</v>
      </c>
      <c r="D2956">
        <v>1</v>
      </c>
      <c r="E2956" s="65">
        <v>56.43</v>
      </c>
      <c r="F2956" s="8">
        <v>3.236</v>
      </c>
      <c r="G2956" s="66">
        <v>218.1130269</v>
      </c>
      <c r="H2956" s="8">
        <v>7.441</v>
      </c>
      <c r="J2956" s="26"/>
      <c r="K2956"/>
    </row>
    <row r="2957" spans="1:11">
      <c r="A2957">
        <v>21</v>
      </c>
      <c r="B2957" s="64">
        <v>40879</v>
      </c>
      <c r="C2957" s="2">
        <v>793184.25</v>
      </c>
      <c r="D2957">
        <v>0</v>
      </c>
      <c r="E2957" s="65">
        <v>48.72</v>
      </c>
      <c r="F2957" s="8">
        <v>3.172</v>
      </c>
      <c r="G2957" s="66">
        <v>218.3590319</v>
      </c>
      <c r="H2957" s="8">
        <v>7.441</v>
      </c>
      <c r="J2957" s="26"/>
      <c r="K2957"/>
    </row>
    <row r="2958" spans="1:11">
      <c r="A2958">
        <v>21</v>
      </c>
      <c r="B2958" s="64">
        <v>40886</v>
      </c>
      <c r="C2958" s="2">
        <v>897747.13</v>
      </c>
      <c r="D2958">
        <v>0</v>
      </c>
      <c r="E2958" s="65">
        <v>41.44</v>
      </c>
      <c r="F2958" s="8">
        <v>3.158</v>
      </c>
      <c r="G2958" s="66">
        <v>218.605037</v>
      </c>
      <c r="H2958" s="8">
        <v>7.441</v>
      </c>
      <c r="J2958" s="26"/>
      <c r="K2958"/>
    </row>
    <row r="2959" spans="1:11">
      <c r="A2959">
        <v>21</v>
      </c>
      <c r="B2959" s="64">
        <v>40893</v>
      </c>
      <c r="C2959" s="2">
        <v>1027584.51</v>
      </c>
      <c r="D2959">
        <v>0</v>
      </c>
      <c r="E2959" s="65">
        <v>50.56</v>
      </c>
      <c r="F2959" s="8">
        <v>3.159</v>
      </c>
      <c r="G2959" s="66">
        <v>218.8217928</v>
      </c>
      <c r="H2959" s="8">
        <v>7.441</v>
      </c>
      <c r="J2959" s="26"/>
      <c r="K2959"/>
    </row>
    <row r="2960" spans="1:11">
      <c r="A2960">
        <v>21</v>
      </c>
      <c r="B2960" s="64">
        <v>40900</v>
      </c>
      <c r="C2960" s="2">
        <v>1384552.17</v>
      </c>
      <c r="D2960">
        <v>0</v>
      </c>
      <c r="E2960" s="65">
        <v>46.54</v>
      </c>
      <c r="F2960" s="8">
        <v>3.112</v>
      </c>
      <c r="G2960" s="66">
        <v>218.9995495</v>
      </c>
      <c r="H2960" s="8">
        <v>7.441</v>
      </c>
      <c r="J2960" s="26"/>
      <c r="K2960"/>
    </row>
    <row r="2961" spans="1:11">
      <c r="A2961">
        <v>21</v>
      </c>
      <c r="B2961" s="64">
        <v>40907</v>
      </c>
      <c r="C2961" s="2">
        <v>804362.36</v>
      </c>
      <c r="D2961">
        <v>1</v>
      </c>
      <c r="E2961" s="65">
        <v>45.16</v>
      </c>
      <c r="F2961" s="8">
        <v>3.129</v>
      </c>
      <c r="G2961" s="66">
        <v>219.1773063</v>
      </c>
      <c r="H2961" s="8">
        <v>7.441</v>
      </c>
      <c r="J2961" s="26"/>
      <c r="K2961"/>
    </row>
    <row r="2962" spans="1:11">
      <c r="A2962">
        <v>21</v>
      </c>
      <c r="B2962" s="64">
        <v>40914</v>
      </c>
      <c r="C2962" s="2">
        <v>640181.86</v>
      </c>
      <c r="D2962">
        <v>0</v>
      </c>
      <c r="E2962" s="65">
        <v>48.1</v>
      </c>
      <c r="F2962" s="8">
        <v>3.157</v>
      </c>
      <c r="G2962" s="66">
        <v>219.355063</v>
      </c>
      <c r="H2962" s="8">
        <v>7.057</v>
      </c>
      <c r="J2962" s="26"/>
      <c r="K2962"/>
    </row>
    <row r="2963" spans="1:11">
      <c r="A2963">
        <v>21</v>
      </c>
      <c r="B2963" s="64">
        <v>40921</v>
      </c>
      <c r="C2963" s="2">
        <v>631181.25</v>
      </c>
      <c r="D2963">
        <v>0</v>
      </c>
      <c r="E2963" s="65">
        <v>45</v>
      </c>
      <c r="F2963" s="8">
        <v>3.261</v>
      </c>
      <c r="G2963" s="66">
        <v>219.5328198</v>
      </c>
      <c r="H2963" s="8">
        <v>7.057</v>
      </c>
      <c r="J2963" s="26"/>
      <c r="K2963"/>
    </row>
    <row r="2964" spans="1:11">
      <c r="A2964">
        <v>21</v>
      </c>
      <c r="B2964" s="64">
        <v>40928</v>
      </c>
      <c r="C2964" s="2">
        <v>651178.2</v>
      </c>
      <c r="D2964">
        <v>0</v>
      </c>
      <c r="E2964" s="65">
        <v>52.21</v>
      </c>
      <c r="F2964" s="8">
        <v>3.268</v>
      </c>
      <c r="G2964" s="66">
        <v>219.6258417</v>
      </c>
      <c r="H2964" s="8">
        <v>7.057</v>
      </c>
      <c r="J2964" s="26"/>
      <c r="K2964"/>
    </row>
    <row r="2965" spans="1:11">
      <c r="A2965">
        <v>21</v>
      </c>
      <c r="B2965" s="64">
        <v>40935</v>
      </c>
      <c r="C2965" s="2">
        <v>611258.71</v>
      </c>
      <c r="D2965">
        <v>0</v>
      </c>
      <c r="E2965" s="65">
        <v>50.79</v>
      </c>
      <c r="F2965" s="8">
        <v>3.29</v>
      </c>
      <c r="G2965" s="66">
        <v>219.7188636</v>
      </c>
      <c r="H2965" s="8">
        <v>7.057</v>
      </c>
      <c r="J2965" s="26"/>
      <c r="K2965"/>
    </row>
    <row r="2966" spans="1:11">
      <c r="A2966">
        <v>21</v>
      </c>
      <c r="B2966" s="64">
        <v>40942</v>
      </c>
      <c r="C2966" s="2">
        <v>680725.43</v>
      </c>
      <c r="D2966">
        <v>0</v>
      </c>
      <c r="E2966" s="65">
        <v>55.83</v>
      </c>
      <c r="F2966" s="8">
        <v>3.36</v>
      </c>
      <c r="G2966" s="66">
        <v>219.8118854</v>
      </c>
      <c r="H2966" s="8">
        <v>7.057</v>
      </c>
      <c r="J2966" s="26"/>
      <c r="K2966"/>
    </row>
    <row r="2967" spans="1:11">
      <c r="A2967">
        <v>21</v>
      </c>
      <c r="B2967" s="64">
        <v>40949</v>
      </c>
      <c r="C2967" s="2">
        <v>770652.79</v>
      </c>
      <c r="D2967">
        <v>1</v>
      </c>
      <c r="E2967" s="65">
        <v>46.52</v>
      </c>
      <c r="F2967" s="8">
        <v>3.409</v>
      </c>
      <c r="G2967" s="66">
        <v>219.9049073</v>
      </c>
      <c r="H2967" s="8">
        <v>7.057</v>
      </c>
      <c r="J2967" s="26"/>
      <c r="K2967"/>
    </row>
    <row r="2968" spans="1:11">
      <c r="A2968">
        <v>21</v>
      </c>
      <c r="B2968" s="64">
        <v>40956</v>
      </c>
      <c r="C2968" s="2">
        <v>834663.52</v>
      </c>
      <c r="D2968">
        <v>0</v>
      </c>
      <c r="E2968" s="65">
        <v>45.03</v>
      </c>
      <c r="F2968" s="8">
        <v>3.51</v>
      </c>
      <c r="G2968" s="66">
        <v>220.0651993</v>
      </c>
      <c r="H2968" s="8">
        <v>7.057</v>
      </c>
      <c r="J2968" s="26"/>
      <c r="K2968"/>
    </row>
    <row r="2969" spans="1:11">
      <c r="A2969">
        <v>21</v>
      </c>
      <c r="B2969" s="64">
        <v>40963</v>
      </c>
      <c r="C2969" s="2">
        <v>747099.07</v>
      </c>
      <c r="D2969">
        <v>0</v>
      </c>
      <c r="E2969" s="65">
        <v>54.81</v>
      </c>
      <c r="F2969" s="8">
        <v>3.555</v>
      </c>
      <c r="G2969" s="66">
        <v>220.275944</v>
      </c>
      <c r="H2969" s="8">
        <v>7.057</v>
      </c>
      <c r="J2969" s="26"/>
      <c r="K2969"/>
    </row>
    <row r="2970" spans="1:11">
      <c r="A2970">
        <v>21</v>
      </c>
      <c r="B2970" s="64">
        <v>40970</v>
      </c>
      <c r="C2970" s="2">
        <v>764385.4</v>
      </c>
      <c r="D2970">
        <v>0</v>
      </c>
      <c r="E2970" s="65">
        <v>59.3</v>
      </c>
      <c r="F2970" s="8">
        <v>3.63</v>
      </c>
      <c r="G2970" s="66">
        <v>220.4866886</v>
      </c>
      <c r="H2970" s="8">
        <v>7.057</v>
      </c>
      <c r="J2970" s="26"/>
      <c r="K2970"/>
    </row>
    <row r="2971" spans="1:11">
      <c r="A2971">
        <v>21</v>
      </c>
      <c r="B2971" s="64">
        <v>40977</v>
      </c>
      <c r="C2971" s="2">
        <v>755084.4</v>
      </c>
      <c r="D2971">
        <v>0</v>
      </c>
      <c r="E2971" s="65">
        <v>57.16</v>
      </c>
      <c r="F2971" s="8">
        <v>3.669</v>
      </c>
      <c r="G2971" s="66">
        <v>220.6974332</v>
      </c>
      <c r="H2971" s="8">
        <v>7.057</v>
      </c>
      <c r="J2971" s="26"/>
      <c r="K2971"/>
    </row>
    <row r="2972" spans="1:11">
      <c r="A2972">
        <v>21</v>
      </c>
      <c r="B2972" s="64">
        <v>40984</v>
      </c>
      <c r="C2972" s="2">
        <v>767338.32</v>
      </c>
      <c r="D2972">
        <v>0</v>
      </c>
      <c r="E2972" s="65">
        <v>63.39</v>
      </c>
      <c r="F2972" s="8">
        <v>3.734</v>
      </c>
      <c r="G2972" s="66">
        <v>220.8498468</v>
      </c>
      <c r="H2972" s="8">
        <v>7.057</v>
      </c>
      <c r="J2972" s="26"/>
      <c r="K2972"/>
    </row>
    <row r="2973" spans="1:11">
      <c r="A2973">
        <v>21</v>
      </c>
      <c r="B2973" s="64">
        <v>40991</v>
      </c>
      <c r="C2973" s="2">
        <v>729759.97</v>
      </c>
      <c r="D2973">
        <v>0</v>
      </c>
      <c r="E2973" s="65">
        <v>62.96</v>
      </c>
      <c r="F2973" s="8">
        <v>3.787</v>
      </c>
      <c r="G2973" s="66">
        <v>220.9244858</v>
      </c>
      <c r="H2973" s="8">
        <v>7.057</v>
      </c>
      <c r="J2973" s="26"/>
      <c r="K2973"/>
    </row>
    <row r="2974" spans="1:11">
      <c r="A2974">
        <v>21</v>
      </c>
      <c r="B2974" s="64">
        <v>40998</v>
      </c>
      <c r="C2974" s="2">
        <v>724798.76</v>
      </c>
      <c r="D2974">
        <v>0</v>
      </c>
      <c r="E2974" s="65">
        <v>67.87</v>
      </c>
      <c r="F2974" s="8">
        <v>3.845</v>
      </c>
      <c r="G2974" s="66">
        <v>220.9991248</v>
      </c>
      <c r="H2974" s="8">
        <v>7.057</v>
      </c>
      <c r="J2974" s="26"/>
      <c r="K2974"/>
    </row>
    <row r="2975" spans="1:11">
      <c r="A2975">
        <v>21</v>
      </c>
      <c r="B2975" s="64">
        <v>41005</v>
      </c>
      <c r="C2975" s="2">
        <v>761956.58</v>
      </c>
      <c r="D2975">
        <v>0</v>
      </c>
      <c r="E2975" s="65">
        <v>69.02</v>
      </c>
      <c r="F2975" s="8">
        <v>3.891</v>
      </c>
      <c r="G2975" s="66">
        <v>221.0737638</v>
      </c>
      <c r="H2975" s="8">
        <v>6.891</v>
      </c>
      <c r="J2975" s="26"/>
      <c r="K2975"/>
    </row>
    <row r="2976" spans="1:11">
      <c r="A2976">
        <v>21</v>
      </c>
      <c r="B2976" s="64">
        <v>41012</v>
      </c>
      <c r="C2976" s="2">
        <v>769319.04</v>
      </c>
      <c r="D2976">
        <v>0</v>
      </c>
      <c r="E2976" s="65">
        <v>69.03</v>
      </c>
      <c r="F2976" s="8">
        <v>3.891</v>
      </c>
      <c r="G2976" s="66">
        <v>221.1484028</v>
      </c>
      <c r="H2976" s="8">
        <v>6.891</v>
      </c>
      <c r="J2976" s="26"/>
      <c r="K2976"/>
    </row>
    <row r="2977" spans="1:11">
      <c r="A2977">
        <v>21</v>
      </c>
      <c r="B2977" s="64">
        <v>41019</v>
      </c>
      <c r="C2977" s="2">
        <v>734858.91</v>
      </c>
      <c r="D2977">
        <v>0</v>
      </c>
      <c r="E2977" s="65">
        <v>66.97</v>
      </c>
      <c r="F2977" s="8">
        <v>3.877</v>
      </c>
      <c r="G2977" s="66">
        <v>221.2021074</v>
      </c>
      <c r="H2977" s="8">
        <v>6.891</v>
      </c>
      <c r="J2977" s="26"/>
      <c r="K2977"/>
    </row>
    <row r="2978" spans="1:11">
      <c r="A2978">
        <v>21</v>
      </c>
      <c r="B2978" s="64">
        <v>41026</v>
      </c>
      <c r="C2978" s="2">
        <v>674829.58</v>
      </c>
      <c r="D2978">
        <v>0</v>
      </c>
      <c r="E2978" s="65">
        <v>69.21</v>
      </c>
      <c r="F2978" s="8">
        <v>3.814</v>
      </c>
      <c r="G2978" s="66">
        <v>221.255812</v>
      </c>
      <c r="H2978" s="8">
        <v>6.891</v>
      </c>
      <c r="J2978" s="26"/>
      <c r="K2978"/>
    </row>
    <row r="2979" spans="1:11">
      <c r="A2979">
        <v>21</v>
      </c>
      <c r="B2979" s="64">
        <v>41033</v>
      </c>
      <c r="C2979" s="2">
        <v>697645.32</v>
      </c>
      <c r="D2979">
        <v>0</v>
      </c>
      <c r="E2979" s="65">
        <v>77.53</v>
      </c>
      <c r="F2979" s="8">
        <v>3.749</v>
      </c>
      <c r="G2979" s="66">
        <v>221.3095166</v>
      </c>
      <c r="H2979" s="8">
        <v>6.891</v>
      </c>
      <c r="J2979" s="26"/>
      <c r="K2979"/>
    </row>
    <row r="2980" spans="1:11">
      <c r="A2980">
        <v>21</v>
      </c>
      <c r="B2980" s="64">
        <v>41040</v>
      </c>
      <c r="C2980" s="2">
        <v>649945.54</v>
      </c>
      <c r="D2980">
        <v>0</v>
      </c>
      <c r="E2980" s="65">
        <v>74.14</v>
      </c>
      <c r="F2980" s="8">
        <v>3.688</v>
      </c>
      <c r="G2980" s="66">
        <v>221.3632212</v>
      </c>
      <c r="H2980" s="8">
        <v>6.891</v>
      </c>
      <c r="J2980" s="26"/>
      <c r="K2980"/>
    </row>
    <row r="2981" spans="1:11">
      <c r="A2981">
        <v>21</v>
      </c>
      <c r="B2981" s="64">
        <v>41047</v>
      </c>
      <c r="C2981" s="2">
        <v>700554.16</v>
      </c>
      <c r="D2981">
        <v>0</v>
      </c>
      <c r="E2981" s="65">
        <v>72.42</v>
      </c>
      <c r="F2981" s="8">
        <v>3.63</v>
      </c>
      <c r="G2981" s="66">
        <v>221.380331</v>
      </c>
      <c r="H2981" s="8">
        <v>6.891</v>
      </c>
      <c r="J2981" s="26"/>
      <c r="K2981"/>
    </row>
    <row r="2982" spans="1:11">
      <c r="A2982">
        <v>21</v>
      </c>
      <c r="B2982" s="64">
        <v>41054</v>
      </c>
      <c r="C2982" s="2">
        <v>722891.24</v>
      </c>
      <c r="D2982">
        <v>0</v>
      </c>
      <c r="E2982" s="65">
        <v>79.49</v>
      </c>
      <c r="F2982" s="8">
        <v>3.561</v>
      </c>
      <c r="G2982" s="66">
        <v>221.3828029</v>
      </c>
      <c r="H2982" s="8">
        <v>6.891</v>
      </c>
      <c r="J2982" s="26"/>
      <c r="K2982"/>
    </row>
    <row r="2983" spans="1:11">
      <c r="A2983">
        <v>21</v>
      </c>
      <c r="B2983" s="64">
        <v>41061</v>
      </c>
      <c r="C2983" s="2">
        <v>695439.83</v>
      </c>
      <c r="D2983">
        <v>0</v>
      </c>
      <c r="E2983" s="65">
        <v>79.24</v>
      </c>
      <c r="F2983" s="8">
        <v>3.501</v>
      </c>
      <c r="G2983" s="66">
        <v>221.3852748</v>
      </c>
      <c r="H2983" s="8">
        <v>6.891</v>
      </c>
      <c r="J2983" s="26"/>
      <c r="K2983"/>
    </row>
    <row r="2984" spans="1:11">
      <c r="A2984">
        <v>21</v>
      </c>
      <c r="B2984" s="64">
        <v>41068</v>
      </c>
      <c r="C2984" s="2">
        <v>707895.72</v>
      </c>
      <c r="D2984">
        <v>0</v>
      </c>
      <c r="E2984" s="65">
        <v>79.47</v>
      </c>
      <c r="F2984" s="8">
        <v>3.452</v>
      </c>
      <c r="G2984" s="66">
        <v>221.3877467</v>
      </c>
      <c r="H2984" s="8">
        <v>6.891</v>
      </c>
      <c r="J2984" s="26"/>
      <c r="K2984"/>
    </row>
    <row r="2985" spans="1:11">
      <c r="A2985">
        <v>21</v>
      </c>
      <c r="B2985" s="64">
        <v>41075</v>
      </c>
      <c r="C2985" s="2">
        <v>727049.04</v>
      </c>
      <c r="D2985">
        <v>0</v>
      </c>
      <c r="E2985" s="65">
        <v>81.51</v>
      </c>
      <c r="F2985" s="8">
        <v>3.393</v>
      </c>
      <c r="G2985" s="66">
        <v>221.4009901</v>
      </c>
      <c r="H2985" s="8">
        <v>6.891</v>
      </c>
      <c r="J2985" s="26"/>
      <c r="K2985"/>
    </row>
    <row r="2986" spans="1:11">
      <c r="A2986">
        <v>21</v>
      </c>
      <c r="B2986" s="64">
        <v>41082</v>
      </c>
      <c r="C2986" s="2">
        <v>735870</v>
      </c>
      <c r="D2986">
        <v>0</v>
      </c>
      <c r="E2986" s="65">
        <v>81.78</v>
      </c>
      <c r="F2986" s="8">
        <v>3.346</v>
      </c>
      <c r="G2986" s="66">
        <v>221.4411622</v>
      </c>
      <c r="H2986" s="8">
        <v>6.891</v>
      </c>
      <c r="J2986" s="26"/>
      <c r="K2986"/>
    </row>
    <row r="2987" spans="1:11">
      <c r="A2987">
        <v>21</v>
      </c>
      <c r="B2987" s="64">
        <v>41089</v>
      </c>
      <c r="C2987" s="2">
        <v>716341.39</v>
      </c>
      <c r="D2987">
        <v>0</v>
      </c>
      <c r="E2987" s="65">
        <v>88.05</v>
      </c>
      <c r="F2987" s="8">
        <v>3.286</v>
      </c>
      <c r="G2987" s="66">
        <v>221.4813343</v>
      </c>
      <c r="H2987" s="8">
        <v>6.891</v>
      </c>
      <c r="J2987" s="26"/>
      <c r="K2987"/>
    </row>
    <row r="2988" spans="1:11">
      <c r="A2988">
        <v>21</v>
      </c>
      <c r="B2988" s="64">
        <v>41096</v>
      </c>
      <c r="C2988" s="2">
        <v>693013.59</v>
      </c>
      <c r="D2988">
        <v>0</v>
      </c>
      <c r="E2988" s="65">
        <v>85.26</v>
      </c>
      <c r="F2988" s="8">
        <v>3.227</v>
      </c>
      <c r="G2988" s="66">
        <v>221.5215064</v>
      </c>
      <c r="H2988" s="8">
        <v>6.565</v>
      </c>
      <c r="J2988" s="26"/>
      <c r="K2988"/>
    </row>
    <row r="2989" spans="1:11">
      <c r="A2989">
        <v>21</v>
      </c>
      <c r="B2989" s="64">
        <v>41103</v>
      </c>
      <c r="C2989" s="2">
        <v>668132.36</v>
      </c>
      <c r="D2989">
        <v>0</v>
      </c>
      <c r="E2989" s="65">
        <v>82.51</v>
      </c>
      <c r="F2989" s="8">
        <v>3.256</v>
      </c>
      <c r="G2989" s="66">
        <v>221.5616784</v>
      </c>
      <c r="H2989" s="8">
        <v>6.565</v>
      </c>
      <c r="J2989" s="26"/>
      <c r="K2989"/>
    </row>
    <row r="2990" spans="1:11">
      <c r="A2990">
        <v>21</v>
      </c>
      <c r="B2990" s="64">
        <v>41110</v>
      </c>
      <c r="C2990" s="2">
        <v>691200.33</v>
      </c>
      <c r="D2990">
        <v>0</v>
      </c>
      <c r="E2990" s="65">
        <v>84.25</v>
      </c>
      <c r="F2990" s="8">
        <v>3.311</v>
      </c>
      <c r="G2990" s="66">
        <v>221.5701123</v>
      </c>
      <c r="H2990" s="8">
        <v>6.565</v>
      </c>
      <c r="J2990" s="26"/>
      <c r="K2990"/>
    </row>
    <row r="2991" spans="1:11">
      <c r="A2991">
        <v>21</v>
      </c>
      <c r="B2991" s="64">
        <v>41117</v>
      </c>
      <c r="C2991" s="2">
        <v>677789.14</v>
      </c>
      <c r="D2991">
        <v>0</v>
      </c>
      <c r="E2991" s="65">
        <v>88.09</v>
      </c>
      <c r="F2991" s="8">
        <v>3.407</v>
      </c>
      <c r="G2991" s="66">
        <v>221.5785461</v>
      </c>
      <c r="H2991" s="8">
        <v>6.565</v>
      </c>
      <c r="J2991" s="26"/>
      <c r="K2991"/>
    </row>
    <row r="2992" spans="1:11">
      <c r="A2992">
        <v>21</v>
      </c>
      <c r="B2992" s="64">
        <v>41124</v>
      </c>
      <c r="C2992" s="2">
        <v>693785.85</v>
      </c>
      <c r="D2992">
        <v>0</v>
      </c>
      <c r="E2992" s="65">
        <v>91.57</v>
      </c>
      <c r="F2992" s="8">
        <v>3.417</v>
      </c>
      <c r="G2992" s="66">
        <v>221.5869799</v>
      </c>
      <c r="H2992" s="8">
        <v>6.565</v>
      </c>
      <c r="J2992" s="26"/>
      <c r="K2992"/>
    </row>
    <row r="2993" spans="1:11">
      <c r="A2993">
        <v>21</v>
      </c>
      <c r="B2993" s="64">
        <v>41131</v>
      </c>
      <c r="C2993" s="2">
        <v>700272.01</v>
      </c>
      <c r="D2993">
        <v>0</v>
      </c>
      <c r="E2993" s="65">
        <v>89.57</v>
      </c>
      <c r="F2993" s="8">
        <v>3.494</v>
      </c>
      <c r="G2993" s="66">
        <v>221.5954138</v>
      </c>
      <c r="H2993" s="8">
        <v>6.565</v>
      </c>
      <c r="J2993" s="26"/>
      <c r="K2993"/>
    </row>
    <row r="2994" spans="1:11">
      <c r="A2994">
        <v>21</v>
      </c>
      <c r="B2994" s="64">
        <v>41138</v>
      </c>
      <c r="C2994" s="2">
        <v>751963.81</v>
      </c>
      <c r="D2994">
        <v>0</v>
      </c>
      <c r="E2994" s="65">
        <v>85.55</v>
      </c>
      <c r="F2994" s="8">
        <v>3.571</v>
      </c>
      <c r="G2994" s="66">
        <v>221.6751459</v>
      </c>
      <c r="H2994" s="8">
        <v>6.565</v>
      </c>
      <c r="J2994" s="26"/>
      <c r="K2994"/>
    </row>
    <row r="2995" spans="1:11">
      <c r="A2995">
        <v>21</v>
      </c>
      <c r="B2995" s="64">
        <v>41145</v>
      </c>
      <c r="C2995" s="2">
        <v>802003.61</v>
      </c>
      <c r="D2995">
        <v>0</v>
      </c>
      <c r="E2995" s="65">
        <v>77.72</v>
      </c>
      <c r="F2995" s="8">
        <v>3.62</v>
      </c>
      <c r="G2995" s="66">
        <v>221.8083518</v>
      </c>
      <c r="H2995" s="8">
        <v>6.565</v>
      </c>
      <c r="J2995" s="26"/>
      <c r="K2995"/>
    </row>
    <row r="2996" spans="1:11">
      <c r="A2996">
        <v>21</v>
      </c>
      <c r="B2996" s="64">
        <v>41152</v>
      </c>
      <c r="C2996" s="2">
        <v>763867.59</v>
      </c>
      <c r="D2996">
        <v>0</v>
      </c>
      <c r="E2996" s="65">
        <v>83.58</v>
      </c>
      <c r="F2996" s="8">
        <v>3.638</v>
      </c>
      <c r="G2996" s="66">
        <v>221.9415576</v>
      </c>
      <c r="H2996" s="8">
        <v>6.565</v>
      </c>
      <c r="J2996" s="26"/>
      <c r="K2996"/>
    </row>
    <row r="2997" spans="1:11">
      <c r="A2997">
        <v>21</v>
      </c>
      <c r="B2997" s="64">
        <v>41159</v>
      </c>
      <c r="C2997" s="2">
        <v>642827.29</v>
      </c>
      <c r="D2997">
        <v>1</v>
      </c>
      <c r="E2997" s="65">
        <v>88.4</v>
      </c>
      <c r="F2997" s="8">
        <v>3.73</v>
      </c>
      <c r="G2997" s="66">
        <v>222.0747635</v>
      </c>
      <c r="H2997" s="8">
        <v>6.565</v>
      </c>
      <c r="J2997" s="26"/>
      <c r="K2997"/>
    </row>
    <row r="2998" spans="1:11">
      <c r="A2998">
        <v>21</v>
      </c>
      <c r="B2998" s="64">
        <v>41166</v>
      </c>
      <c r="C2998" s="2">
        <v>628494.63</v>
      </c>
      <c r="D2998">
        <v>0</v>
      </c>
      <c r="E2998" s="65">
        <v>76.1</v>
      </c>
      <c r="F2998" s="8">
        <v>3.717</v>
      </c>
      <c r="G2998" s="66">
        <v>222.2174395</v>
      </c>
      <c r="H2998" s="8">
        <v>6.565</v>
      </c>
      <c r="J2998" s="26"/>
      <c r="K2998"/>
    </row>
    <row r="2999" spans="1:11">
      <c r="A2999">
        <v>21</v>
      </c>
      <c r="B2999" s="64">
        <v>41173</v>
      </c>
      <c r="C2999" s="2">
        <v>667151.46</v>
      </c>
      <c r="D2999">
        <v>0</v>
      </c>
      <c r="E2999" s="65">
        <v>71.54</v>
      </c>
      <c r="F2999" s="8">
        <v>3.721</v>
      </c>
      <c r="G2999" s="66">
        <v>222.4169362</v>
      </c>
      <c r="H2999" s="8">
        <v>6.565</v>
      </c>
      <c r="J2999" s="26"/>
      <c r="K2999"/>
    </row>
    <row r="3000" spans="1:11">
      <c r="A3000">
        <v>21</v>
      </c>
      <c r="B3000" s="64">
        <v>41180</v>
      </c>
      <c r="C3000" s="2">
        <v>647097.65</v>
      </c>
      <c r="D3000">
        <v>0</v>
      </c>
      <c r="E3000" s="65">
        <v>80.38</v>
      </c>
      <c r="F3000" s="8">
        <v>3.666</v>
      </c>
      <c r="G3000" s="66">
        <v>222.6164329</v>
      </c>
      <c r="H3000" s="8">
        <v>6.565</v>
      </c>
      <c r="J3000" s="26"/>
      <c r="K3000"/>
    </row>
    <row r="3001" spans="1:11">
      <c r="A3001">
        <v>21</v>
      </c>
      <c r="B3001" s="64">
        <v>41187</v>
      </c>
      <c r="C3001" s="2">
        <v>651768.91</v>
      </c>
      <c r="D3001">
        <v>0</v>
      </c>
      <c r="E3001" s="65">
        <v>70.28</v>
      </c>
      <c r="F3001" s="8">
        <v>3.617</v>
      </c>
      <c r="G3001" s="66">
        <v>222.8159296</v>
      </c>
      <c r="H3001" s="8">
        <v>6.17</v>
      </c>
      <c r="J3001" s="26"/>
      <c r="K3001"/>
    </row>
    <row r="3002" spans="1:11">
      <c r="A3002">
        <v>21</v>
      </c>
      <c r="B3002" s="64">
        <v>41194</v>
      </c>
      <c r="C3002" s="2">
        <v>653043.44</v>
      </c>
      <c r="D3002">
        <v>0</v>
      </c>
      <c r="E3002" s="65">
        <v>61.53</v>
      </c>
      <c r="F3002" s="8">
        <v>3.601</v>
      </c>
      <c r="G3002" s="66">
        <v>223.0154263</v>
      </c>
      <c r="H3002" s="8">
        <v>6.17</v>
      </c>
      <c r="J3002" s="26"/>
      <c r="K3002"/>
    </row>
    <row r="3003" spans="1:11">
      <c r="A3003">
        <v>21</v>
      </c>
      <c r="B3003" s="64">
        <v>41201</v>
      </c>
      <c r="C3003" s="2">
        <v>641368.14</v>
      </c>
      <c r="D3003">
        <v>0</v>
      </c>
      <c r="E3003" s="65">
        <v>68.52</v>
      </c>
      <c r="F3003" s="8">
        <v>3.594</v>
      </c>
      <c r="G3003" s="66">
        <v>223.0598077</v>
      </c>
      <c r="H3003" s="8">
        <v>6.17</v>
      </c>
      <c r="J3003" s="26"/>
      <c r="K3003"/>
    </row>
    <row r="3004" spans="1:11">
      <c r="A3004">
        <v>21</v>
      </c>
      <c r="B3004" s="64">
        <v>41208</v>
      </c>
      <c r="C3004" s="2">
        <v>675202.87</v>
      </c>
      <c r="D3004">
        <v>0</v>
      </c>
      <c r="E3004" s="65">
        <v>70.5</v>
      </c>
      <c r="F3004" s="8">
        <v>3.506</v>
      </c>
      <c r="G3004" s="66">
        <v>223.0783366</v>
      </c>
      <c r="H3004" s="8">
        <v>6.17</v>
      </c>
      <c r="J3004" s="26"/>
      <c r="K3004"/>
    </row>
    <row r="3005" spans="1:11">
      <c r="A3005">
        <v>22</v>
      </c>
      <c r="B3005" s="64">
        <v>40214</v>
      </c>
      <c r="C3005" s="2">
        <v>1033017.37</v>
      </c>
      <c r="D3005">
        <v>0</v>
      </c>
      <c r="E3005" s="65">
        <v>24.36</v>
      </c>
      <c r="F3005" s="8">
        <v>2.788</v>
      </c>
      <c r="G3005" s="66">
        <v>135.3524608</v>
      </c>
      <c r="H3005" s="8">
        <v>8.283</v>
      </c>
      <c r="J3005" s="26"/>
      <c r="K3005"/>
    </row>
    <row r="3006" spans="1:11">
      <c r="A3006">
        <v>22</v>
      </c>
      <c r="B3006" s="64">
        <v>40221</v>
      </c>
      <c r="C3006" s="2">
        <v>1022571.25</v>
      </c>
      <c r="D3006">
        <v>1</v>
      </c>
      <c r="E3006" s="65">
        <v>28.14</v>
      </c>
      <c r="F3006" s="8">
        <v>2.771</v>
      </c>
      <c r="G3006" s="66">
        <v>135.4113076</v>
      </c>
      <c r="H3006" s="8">
        <v>8.283</v>
      </c>
      <c r="J3006" s="26"/>
      <c r="K3006"/>
    </row>
    <row r="3007" spans="1:11">
      <c r="A3007">
        <v>22</v>
      </c>
      <c r="B3007" s="64">
        <v>40228</v>
      </c>
      <c r="C3007" s="2">
        <v>988467.61</v>
      </c>
      <c r="D3007">
        <v>0</v>
      </c>
      <c r="E3007" s="65">
        <v>31.96</v>
      </c>
      <c r="F3007" s="8">
        <v>2.747</v>
      </c>
      <c r="G3007" s="66">
        <v>135.4657781</v>
      </c>
      <c r="H3007" s="8">
        <v>8.283</v>
      </c>
      <c r="J3007" s="26"/>
      <c r="K3007"/>
    </row>
    <row r="3008" spans="1:11">
      <c r="A3008">
        <v>22</v>
      </c>
      <c r="B3008" s="64">
        <v>40235</v>
      </c>
      <c r="C3008" s="2">
        <v>899761.48</v>
      </c>
      <c r="D3008">
        <v>0</v>
      </c>
      <c r="E3008" s="65">
        <v>35.98</v>
      </c>
      <c r="F3008" s="8">
        <v>2.753</v>
      </c>
      <c r="G3008" s="66">
        <v>135.5195191</v>
      </c>
      <c r="H3008" s="8">
        <v>8.283</v>
      </c>
      <c r="J3008" s="26"/>
      <c r="K3008"/>
    </row>
    <row r="3009" spans="1:11">
      <c r="A3009">
        <v>22</v>
      </c>
      <c r="B3009" s="64">
        <v>40242</v>
      </c>
      <c r="C3009" s="2">
        <v>1009201.24</v>
      </c>
      <c r="D3009">
        <v>0</v>
      </c>
      <c r="E3009" s="65">
        <v>36.82</v>
      </c>
      <c r="F3009" s="8">
        <v>2.766</v>
      </c>
      <c r="G3009" s="66">
        <v>135.5732602</v>
      </c>
      <c r="H3009" s="8">
        <v>8.283</v>
      </c>
      <c r="J3009" s="26"/>
      <c r="K3009"/>
    </row>
    <row r="3010" spans="1:11">
      <c r="A3010">
        <v>22</v>
      </c>
      <c r="B3010" s="64">
        <v>40249</v>
      </c>
      <c r="C3010" s="2">
        <v>967187.37</v>
      </c>
      <c r="D3010">
        <v>0</v>
      </c>
      <c r="E3010" s="65">
        <v>43.43</v>
      </c>
      <c r="F3010" s="8">
        <v>2.805</v>
      </c>
      <c r="G3010" s="66">
        <v>135.6270013</v>
      </c>
      <c r="H3010" s="8">
        <v>8.283</v>
      </c>
      <c r="J3010" s="26"/>
      <c r="K3010"/>
    </row>
    <row r="3011" spans="1:11">
      <c r="A3011">
        <v>22</v>
      </c>
      <c r="B3011" s="64">
        <v>40256</v>
      </c>
      <c r="C3011" s="2">
        <v>966145.09</v>
      </c>
      <c r="D3011">
        <v>0</v>
      </c>
      <c r="E3011" s="65">
        <v>46.03</v>
      </c>
      <c r="F3011" s="8">
        <v>2.834</v>
      </c>
      <c r="G3011" s="66">
        <v>135.6682247</v>
      </c>
      <c r="H3011" s="8">
        <v>8.283</v>
      </c>
      <c r="J3011" s="26"/>
      <c r="K3011"/>
    </row>
    <row r="3012" spans="1:11">
      <c r="A3012">
        <v>22</v>
      </c>
      <c r="B3012" s="64">
        <v>40263</v>
      </c>
      <c r="C3012" s="2">
        <v>1012075.12</v>
      </c>
      <c r="D3012">
        <v>0</v>
      </c>
      <c r="E3012" s="65">
        <v>48.56</v>
      </c>
      <c r="F3012" s="8">
        <v>2.831</v>
      </c>
      <c r="G3012" s="66">
        <v>135.7073618</v>
      </c>
      <c r="H3012" s="8">
        <v>8.283</v>
      </c>
      <c r="J3012" s="26"/>
      <c r="K3012"/>
    </row>
    <row r="3013" spans="1:11">
      <c r="A3013">
        <v>22</v>
      </c>
      <c r="B3013" s="64">
        <v>40270</v>
      </c>
      <c r="C3013" s="2">
        <v>1177340.99</v>
      </c>
      <c r="D3013">
        <v>0</v>
      </c>
      <c r="E3013" s="65">
        <v>44.96</v>
      </c>
      <c r="F3013" s="8">
        <v>2.826</v>
      </c>
      <c r="G3013" s="66">
        <v>135.7464988</v>
      </c>
      <c r="H3013" s="8">
        <v>8.348</v>
      </c>
      <c r="J3013" s="26"/>
      <c r="K3013"/>
    </row>
    <row r="3014" spans="1:11">
      <c r="A3014">
        <v>22</v>
      </c>
      <c r="B3014" s="64">
        <v>40277</v>
      </c>
      <c r="C3014" s="2">
        <v>1033171.07</v>
      </c>
      <c r="D3014">
        <v>0</v>
      </c>
      <c r="E3014" s="65">
        <v>57.06</v>
      </c>
      <c r="F3014" s="8">
        <v>2.849</v>
      </c>
      <c r="G3014" s="66">
        <v>135.7856359</v>
      </c>
      <c r="H3014" s="8">
        <v>8.348</v>
      </c>
      <c r="J3014" s="26"/>
      <c r="K3014"/>
    </row>
    <row r="3015" spans="1:11">
      <c r="A3015">
        <v>22</v>
      </c>
      <c r="B3015" s="64">
        <v>40284</v>
      </c>
      <c r="C3015" s="2">
        <v>1000968.67</v>
      </c>
      <c r="D3015">
        <v>0</v>
      </c>
      <c r="E3015" s="65">
        <v>51.14</v>
      </c>
      <c r="F3015" s="8">
        <v>2.885</v>
      </c>
      <c r="G3015" s="66">
        <v>135.82725</v>
      </c>
      <c r="H3015" s="8">
        <v>8.348</v>
      </c>
      <c r="J3015" s="26"/>
      <c r="K3015"/>
    </row>
    <row r="3016" spans="1:11">
      <c r="A3016">
        <v>22</v>
      </c>
      <c r="B3016" s="64">
        <v>40291</v>
      </c>
      <c r="C3016" s="2">
        <v>969594.47</v>
      </c>
      <c r="D3016">
        <v>0</v>
      </c>
      <c r="E3016" s="65">
        <v>51.04</v>
      </c>
      <c r="F3016" s="8">
        <v>2.895</v>
      </c>
      <c r="G3016" s="66">
        <v>135.8721667</v>
      </c>
      <c r="H3016" s="8">
        <v>8.348</v>
      </c>
      <c r="J3016" s="26"/>
      <c r="K3016"/>
    </row>
    <row r="3017" spans="1:11">
      <c r="A3017">
        <v>22</v>
      </c>
      <c r="B3017" s="64">
        <v>40298</v>
      </c>
      <c r="C3017" s="2">
        <v>977683.06</v>
      </c>
      <c r="D3017">
        <v>0</v>
      </c>
      <c r="E3017" s="65">
        <v>50.96</v>
      </c>
      <c r="F3017" s="8">
        <v>2.935</v>
      </c>
      <c r="G3017" s="66">
        <v>135.9170833</v>
      </c>
      <c r="H3017" s="8">
        <v>8.348</v>
      </c>
      <c r="J3017" s="26"/>
      <c r="K3017"/>
    </row>
    <row r="3018" spans="1:11">
      <c r="A3018">
        <v>22</v>
      </c>
      <c r="B3018" s="64">
        <v>40305</v>
      </c>
      <c r="C3018" s="2">
        <v>1052973.28</v>
      </c>
      <c r="D3018">
        <v>0</v>
      </c>
      <c r="E3018" s="65">
        <v>63.81</v>
      </c>
      <c r="F3018" s="8">
        <v>2.981</v>
      </c>
      <c r="G3018" s="66">
        <v>135.962</v>
      </c>
      <c r="H3018" s="8">
        <v>8.348</v>
      </c>
      <c r="J3018" s="26"/>
      <c r="K3018"/>
    </row>
    <row r="3019" spans="1:11">
      <c r="A3019">
        <v>22</v>
      </c>
      <c r="B3019" s="64">
        <v>40312</v>
      </c>
      <c r="C3019" s="2">
        <v>973585.33</v>
      </c>
      <c r="D3019">
        <v>0</v>
      </c>
      <c r="E3019" s="65">
        <v>50.99</v>
      </c>
      <c r="F3019" s="8">
        <v>2.983</v>
      </c>
      <c r="G3019" s="66">
        <v>136.010394</v>
      </c>
      <c r="H3019" s="8">
        <v>8.348</v>
      </c>
      <c r="J3019" s="26"/>
      <c r="K3019"/>
    </row>
    <row r="3020" spans="1:11">
      <c r="A3020">
        <v>22</v>
      </c>
      <c r="B3020" s="64">
        <v>40319</v>
      </c>
      <c r="C3020" s="2">
        <v>979977.89</v>
      </c>
      <c r="D3020">
        <v>0</v>
      </c>
      <c r="E3020" s="65">
        <v>59.99</v>
      </c>
      <c r="F3020" s="8">
        <v>2.961</v>
      </c>
      <c r="G3020" s="66">
        <v>136.0796521</v>
      </c>
      <c r="H3020" s="8">
        <v>8.348</v>
      </c>
      <c r="J3020" s="26"/>
      <c r="K3020"/>
    </row>
    <row r="3021" spans="1:11">
      <c r="A3021">
        <v>22</v>
      </c>
      <c r="B3021" s="64">
        <v>40326</v>
      </c>
      <c r="C3021" s="2">
        <v>1103740.4</v>
      </c>
      <c r="D3021">
        <v>0</v>
      </c>
      <c r="E3021" s="65">
        <v>65.64</v>
      </c>
      <c r="F3021" s="8">
        <v>2.906</v>
      </c>
      <c r="G3021" s="66">
        <v>136.1489101</v>
      </c>
      <c r="H3021" s="8">
        <v>8.348</v>
      </c>
      <c r="J3021" s="26"/>
      <c r="K3021"/>
    </row>
    <row r="3022" spans="1:11">
      <c r="A3022">
        <v>22</v>
      </c>
      <c r="B3022" s="64">
        <v>40333</v>
      </c>
      <c r="C3022" s="2">
        <v>1095539.13</v>
      </c>
      <c r="D3022">
        <v>0</v>
      </c>
      <c r="E3022" s="65">
        <v>69.49</v>
      </c>
      <c r="F3022" s="8">
        <v>2.857</v>
      </c>
      <c r="G3022" s="66">
        <v>136.2181682</v>
      </c>
      <c r="H3022" s="8">
        <v>8.348</v>
      </c>
      <c r="J3022" s="26"/>
      <c r="K3022"/>
    </row>
    <row r="3023" spans="1:11">
      <c r="A3023">
        <v>22</v>
      </c>
      <c r="B3023" s="64">
        <v>40340</v>
      </c>
      <c r="C3023" s="2">
        <v>1061196.47</v>
      </c>
      <c r="D3023">
        <v>0</v>
      </c>
      <c r="E3023" s="65">
        <v>65.01</v>
      </c>
      <c r="F3023" s="8">
        <v>2.83</v>
      </c>
      <c r="G3023" s="66">
        <v>136.2874263</v>
      </c>
      <c r="H3023" s="8">
        <v>8.348</v>
      </c>
      <c r="J3023" s="26"/>
      <c r="K3023"/>
    </row>
    <row r="3024" spans="1:11">
      <c r="A3024">
        <v>22</v>
      </c>
      <c r="B3024" s="64">
        <v>40347</v>
      </c>
      <c r="C3024" s="2">
        <v>1052895.25</v>
      </c>
      <c r="D3024">
        <v>0</v>
      </c>
      <c r="E3024" s="65">
        <v>67.13</v>
      </c>
      <c r="F3024" s="8">
        <v>2.805</v>
      </c>
      <c r="G3024" s="66">
        <v>136.3243393</v>
      </c>
      <c r="H3024" s="8">
        <v>8.348</v>
      </c>
      <c r="J3024" s="26"/>
      <c r="K3024"/>
    </row>
    <row r="3025" spans="1:11">
      <c r="A3025">
        <v>22</v>
      </c>
      <c r="B3025" s="64">
        <v>40354</v>
      </c>
      <c r="C3025" s="2">
        <v>1095020.33</v>
      </c>
      <c r="D3025">
        <v>0</v>
      </c>
      <c r="E3025" s="65">
        <v>74.37</v>
      </c>
      <c r="F3025" s="8">
        <v>2.81</v>
      </c>
      <c r="G3025" s="66">
        <v>136.3483143</v>
      </c>
      <c r="H3025" s="8">
        <v>8.348</v>
      </c>
      <c r="J3025" s="26"/>
      <c r="K3025"/>
    </row>
    <row r="3026" spans="1:11">
      <c r="A3026">
        <v>22</v>
      </c>
      <c r="B3026" s="64">
        <v>40361</v>
      </c>
      <c r="C3026" s="2">
        <v>1120259.71</v>
      </c>
      <c r="D3026">
        <v>0</v>
      </c>
      <c r="E3026" s="65">
        <v>72.88</v>
      </c>
      <c r="F3026" s="8">
        <v>2.815</v>
      </c>
      <c r="G3026" s="66">
        <v>136.3722893</v>
      </c>
      <c r="H3026" s="8">
        <v>8.433</v>
      </c>
      <c r="J3026" s="26"/>
      <c r="K3026"/>
    </row>
    <row r="3027" spans="1:11">
      <c r="A3027">
        <v>22</v>
      </c>
      <c r="B3027" s="64">
        <v>40368</v>
      </c>
      <c r="C3027" s="2">
        <v>1092654.26</v>
      </c>
      <c r="D3027">
        <v>0</v>
      </c>
      <c r="E3027" s="65">
        <v>79.22</v>
      </c>
      <c r="F3027" s="8">
        <v>2.806</v>
      </c>
      <c r="G3027" s="66">
        <v>136.3962643</v>
      </c>
      <c r="H3027" s="8">
        <v>8.433</v>
      </c>
      <c r="J3027" s="26"/>
      <c r="K3027"/>
    </row>
    <row r="3028" spans="1:11">
      <c r="A3028">
        <v>22</v>
      </c>
      <c r="B3028" s="64">
        <v>40375</v>
      </c>
      <c r="C3028" s="2">
        <v>988392.99</v>
      </c>
      <c r="D3028">
        <v>0</v>
      </c>
      <c r="E3028" s="65">
        <v>76.3</v>
      </c>
      <c r="F3028" s="8">
        <v>2.796</v>
      </c>
      <c r="G3028" s="66">
        <v>136.4179827</v>
      </c>
      <c r="H3028" s="8">
        <v>8.433</v>
      </c>
      <c r="J3028" s="26"/>
      <c r="K3028"/>
    </row>
    <row r="3029" spans="1:11">
      <c r="A3029">
        <v>22</v>
      </c>
      <c r="B3029" s="64">
        <v>40382</v>
      </c>
      <c r="C3029" s="2">
        <v>974123.2</v>
      </c>
      <c r="D3029">
        <v>0</v>
      </c>
      <c r="E3029" s="65">
        <v>76.91</v>
      </c>
      <c r="F3029" s="8">
        <v>2.784</v>
      </c>
      <c r="G3029" s="66">
        <v>136.4366924</v>
      </c>
      <c r="H3029" s="8">
        <v>8.433</v>
      </c>
      <c r="J3029" s="26"/>
      <c r="K3029"/>
    </row>
    <row r="3030" spans="1:11">
      <c r="A3030">
        <v>22</v>
      </c>
      <c r="B3030" s="64">
        <v>40389</v>
      </c>
      <c r="C3030" s="2">
        <v>970773.64</v>
      </c>
      <c r="D3030">
        <v>0</v>
      </c>
      <c r="E3030" s="65">
        <v>76.35</v>
      </c>
      <c r="F3030" s="8">
        <v>2.792</v>
      </c>
      <c r="G3030" s="66">
        <v>136.4554021</v>
      </c>
      <c r="H3030" s="8">
        <v>8.433</v>
      </c>
      <c r="J3030" s="26"/>
      <c r="K3030"/>
    </row>
    <row r="3031" spans="1:11">
      <c r="A3031">
        <v>22</v>
      </c>
      <c r="B3031" s="64">
        <v>40396</v>
      </c>
      <c r="C3031" s="2">
        <v>1010326.14</v>
      </c>
      <c r="D3031">
        <v>0</v>
      </c>
      <c r="E3031" s="65">
        <v>74.37</v>
      </c>
      <c r="F3031" s="8">
        <v>2.792</v>
      </c>
      <c r="G3031" s="66">
        <v>136.4741118</v>
      </c>
      <c r="H3031" s="8">
        <v>8.433</v>
      </c>
      <c r="J3031" s="26"/>
      <c r="K3031"/>
    </row>
    <row r="3032" spans="1:11">
      <c r="A3032">
        <v>22</v>
      </c>
      <c r="B3032" s="64">
        <v>40403</v>
      </c>
      <c r="C3032" s="2">
        <v>993097.43</v>
      </c>
      <c r="D3032">
        <v>0</v>
      </c>
      <c r="E3032" s="65">
        <v>74.75</v>
      </c>
      <c r="F3032" s="8">
        <v>2.81</v>
      </c>
      <c r="G3032" s="66">
        <v>136.4928214</v>
      </c>
      <c r="H3032" s="8">
        <v>8.433</v>
      </c>
      <c r="J3032" s="26"/>
      <c r="K3032"/>
    </row>
    <row r="3033" spans="1:11">
      <c r="A3033">
        <v>22</v>
      </c>
      <c r="B3033" s="64">
        <v>40410</v>
      </c>
      <c r="C3033" s="2">
        <v>1017045.44</v>
      </c>
      <c r="D3033">
        <v>0</v>
      </c>
      <c r="E3033" s="65">
        <v>73.21</v>
      </c>
      <c r="F3033" s="8">
        <v>2.796</v>
      </c>
      <c r="G3033" s="66">
        <v>136.5249182</v>
      </c>
      <c r="H3033" s="8">
        <v>8.433</v>
      </c>
      <c r="J3033" s="26"/>
      <c r="K3033"/>
    </row>
    <row r="3034" spans="1:11">
      <c r="A3034">
        <v>22</v>
      </c>
      <c r="B3034" s="64">
        <v>40417</v>
      </c>
      <c r="C3034" s="2">
        <v>1081420.96</v>
      </c>
      <c r="D3034">
        <v>0</v>
      </c>
      <c r="E3034" s="65">
        <v>68.99</v>
      </c>
      <c r="F3034" s="8">
        <v>2.77</v>
      </c>
      <c r="G3034" s="66">
        <v>136.557015</v>
      </c>
      <c r="H3034" s="8">
        <v>8.433</v>
      </c>
      <c r="J3034" s="26"/>
      <c r="K3034"/>
    </row>
    <row r="3035" spans="1:11">
      <c r="A3035">
        <v>22</v>
      </c>
      <c r="B3035" s="64">
        <v>40424</v>
      </c>
      <c r="C3035" s="2">
        <v>1074535.88</v>
      </c>
      <c r="D3035">
        <v>0</v>
      </c>
      <c r="E3035" s="65">
        <v>75.85</v>
      </c>
      <c r="F3035" s="8">
        <v>2.735</v>
      </c>
      <c r="G3035" s="66">
        <v>136.5891118</v>
      </c>
      <c r="H3035" s="8">
        <v>8.433</v>
      </c>
      <c r="J3035" s="26"/>
      <c r="K3035"/>
    </row>
    <row r="3036" spans="1:11">
      <c r="A3036">
        <v>22</v>
      </c>
      <c r="B3036" s="64">
        <v>40431</v>
      </c>
      <c r="C3036" s="2">
        <v>924174.4</v>
      </c>
      <c r="D3036">
        <v>1</v>
      </c>
      <c r="E3036" s="65">
        <v>68.6</v>
      </c>
      <c r="F3036" s="8">
        <v>2.717</v>
      </c>
      <c r="G3036" s="66">
        <v>136.6212085</v>
      </c>
      <c r="H3036" s="8">
        <v>8.433</v>
      </c>
      <c r="J3036" s="26"/>
      <c r="K3036"/>
    </row>
    <row r="3037" spans="1:11">
      <c r="A3037">
        <v>22</v>
      </c>
      <c r="B3037" s="64">
        <v>40438</v>
      </c>
      <c r="C3037" s="2">
        <v>918285.97</v>
      </c>
      <c r="D3037">
        <v>0</v>
      </c>
      <c r="E3037" s="65">
        <v>62.49</v>
      </c>
      <c r="F3037" s="8">
        <v>2.716</v>
      </c>
      <c r="G3037" s="66">
        <v>136.6338071</v>
      </c>
      <c r="H3037" s="8">
        <v>8.433</v>
      </c>
      <c r="J3037" s="26"/>
      <c r="K3037"/>
    </row>
    <row r="3038" spans="1:11">
      <c r="A3038">
        <v>22</v>
      </c>
      <c r="B3038" s="64">
        <v>40445</v>
      </c>
      <c r="C3038" s="2">
        <v>902779.25</v>
      </c>
      <c r="D3038">
        <v>0</v>
      </c>
      <c r="E3038" s="65">
        <v>65.14</v>
      </c>
      <c r="F3038" s="8">
        <v>2.718</v>
      </c>
      <c r="G3038" s="66">
        <v>136.6317821</v>
      </c>
      <c r="H3038" s="8">
        <v>8.433</v>
      </c>
      <c r="J3038" s="26"/>
      <c r="K3038"/>
    </row>
    <row r="3039" spans="1:11">
      <c r="A3039">
        <v>22</v>
      </c>
      <c r="B3039" s="64">
        <v>40452</v>
      </c>
      <c r="C3039" s="2">
        <v>905987.17</v>
      </c>
      <c r="D3039">
        <v>0</v>
      </c>
      <c r="E3039" s="65">
        <v>69.31</v>
      </c>
      <c r="F3039" s="8">
        <v>2.717</v>
      </c>
      <c r="G3039" s="66">
        <v>136.6297571</v>
      </c>
      <c r="H3039" s="8">
        <v>8.572</v>
      </c>
      <c r="J3039" s="26"/>
      <c r="K3039"/>
    </row>
    <row r="3040" spans="1:11">
      <c r="A3040">
        <v>22</v>
      </c>
      <c r="B3040" s="64">
        <v>40459</v>
      </c>
      <c r="C3040" s="2">
        <v>1015051.62</v>
      </c>
      <c r="D3040">
        <v>0</v>
      </c>
      <c r="E3040" s="65">
        <v>56.32</v>
      </c>
      <c r="F3040" s="8">
        <v>2.776</v>
      </c>
      <c r="G3040" s="66">
        <v>136.6277321</v>
      </c>
      <c r="H3040" s="8">
        <v>8.572</v>
      </c>
      <c r="J3040" s="26"/>
      <c r="K3040"/>
    </row>
    <row r="3041" spans="1:11">
      <c r="A3041">
        <v>22</v>
      </c>
      <c r="B3041" s="64">
        <v>40466</v>
      </c>
      <c r="C3041" s="2">
        <v>954401.46</v>
      </c>
      <c r="D3041">
        <v>0</v>
      </c>
      <c r="E3041" s="65">
        <v>55.23</v>
      </c>
      <c r="F3041" s="8">
        <v>2.878</v>
      </c>
      <c r="G3041" s="66">
        <v>136.6401935</v>
      </c>
      <c r="H3041" s="8">
        <v>8.572</v>
      </c>
      <c r="J3041" s="26"/>
      <c r="K3041"/>
    </row>
    <row r="3042" spans="1:11">
      <c r="A3042">
        <v>22</v>
      </c>
      <c r="B3042" s="64">
        <v>40473</v>
      </c>
      <c r="C3042" s="2">
        <v>960998.52</v>
      </c>
      <c r="D3042">
        <v>0</v>
      </c>
      <c r="E3042" s="65">
        <v>50.24</v>
      </c>
      <c r="F3042" s="8">
        <v>2.919</v>
      </c>
      <c r="G3042" s="66">
        <v>136.688871</v>
      </c>
      <c r="H3042" s="8">
        <v>8.572</v>
      </c>
      <c r="J3042" s="26"/>
      <c r="K3042"/>
    </row>
    <row r="3043" spans="1:11">
      <c r="A3043">
        <v>22</v>
      </c>
      <c r="B3043" s="64">
        <v>40480</v>
      </c>
      <c r="C3043" s="2">
        <v>1025766.27</v>
      </c>
      <c r="D3043">
        <v>0</v>
      </c>
      <c r="E3043" s="65">
        <v>57.73</v>
      </c>
      <c r="F3043" s="8">
        <v>2.938</v>
      </c>
      <c r="G3043" s="66">
        <v>136.7375484</v>
      </c>
      <c r="H3043" s="8">
        <v>8.572</v>
      </c>
      <c r="J3043" s="26"/>
      <c r="K3043"/>
    </row>
    <row r="3044" spans="1:11">
      <c r="A3044">
        <v>22</v>
      </c>
      <c r="B3044" s="64">
        <v>40487</v>
      </c>
      <c r="C3044" s="2">
        <v>1006888.16</v>
      </c>
      <c r="D3044">
        <v>0</v>
      </c>
      <c r="E3044" s="65">
        <v>44.34</v>
      </c>
      <c r="F3044" s="8">
        <v>2.938</v>
      </c>
      <c r="G3044" s="66">
        <v>136.7862258</v>
      </c>
      <c r="H3044" s="8">
        <v>8.572</v>
      </c>
      <c r="J3044" s="26"/>
      <c r="K3044"/>
    </row>
    <row r="3045" spans="1:11">
      <c r="A3045">
        <v>22</v>
      </c>
      <c r="B3045" s="64">
        <v>40494</v>
      </c>
      <c r="C3045" s="2">
        <v>1043698.64</v>
      </c>
      <c r="D3045">
        <v>0</v>
      </c>
      <c r="E3045" s="65">
        <v>44.42</v>
      </c>
      <c r="F3045" s="8">
        <v>2.961</v>
      </c>
      <c r="G3045" s="66">
        <v>136.8349032</v>
      </c>
      <c r="H3045" s="8">
        <v>8.572</v>
      </c>
      <c r="J3045" s="26"/>
      <c r="K3045"/>
    </row>
    <row r="3046" spans="1:11">
      <c r="A3046">
        <v>22</v>
      </c>
      <c r="B3046" s="64">
        <v>40501</v>
      </c>
      <c r="C3046" s="2">
        <v>985896.44</v>
      </c>
      <c r="D3046">
        <v>0</v>
      </c>
      <c r="E3046" s="65">
        <v>48.62</v>
      </c>
      <c r="F3046" s="8">
        <v>3.03</v>
      </c>
      <c r="G3046" s="66">
        <v>136.7715714</v>
      </c>
      <c r="H3046" s="8">
        <v>8.572</v>
      </c>
      <c r="J3046" s="26"/>
      <c r="K3046"/>
    </row>
    <row r="3047" spans="1:11">
      <c r="A3047">
        <v>22</v>
      </c>
      <c r="B3047" s="64">
        <v>40508</v>
      </c>
      <c r="C3047" s="2">
        <v>1564502.26</v>
      </c>
      <c r="D3047">
        <v>1</v>
      </c>
      <c r="E3047" s="65">
        <v>44.61</v>
      </c>
      <c r="F3047" s="8">
        <v>3.07</v>
      </c>
      <c r="G3047" s="66">
        <v>136.6895714</v>
      </c>
      <c r="H3047" s="8">
        <v>8.572</v>
      </c>
      <c r="J3047" s="26"/>
      <c r="K3047"/>
    </row>
    <row r="3048" spans="1:11">
      <c r="A3048">
        <v>22</v>
      </c>
      <c r="B3048" s="64">
        <v>40515</v>
      </c>
      <c r="C3048" s="2">
        <v>1230514.58</v>
      </c>
      <c r="D3048">
        <v>0</v>
      </c>
      <c r="E3048" s="65">
        <v>39.42</v>
      </c>
      <c r="F3048" s="8">
        <v>3.065</v>
      </c>
      <c r="G3048" s="66">
        <v>136.6075714</v>
      </c>
      <c r="H3048" s="8">
        <v>8.572</v>
      </c>
      <c r="J3048" s="26"/>
      <c r="K3048"/>
    </row>
    <row r="3049" spans="1:11">
      <c r="A3049">
        <v>22</v>
      </c>
      <c r="B3049" s="64">
        <v>40522</v>
      </c>
      <c r="C3049" s="2">
        <v>1367202.84</v>
      </c>
      <c r="D3049">
        <v>0</v>
      </c>
      <c r="E3049" s="65">
        <v>28.43</v>
      </c>
      <c r="F3049" s="8">
        <v>3.132</v>
      </c>
      <c r="G3049" s="66">
        <v>136.5255714</v>
      </c>
      <c r="H3049" s="8">
        <v>8.572</v>
      </c>
      <c r="J3049" s="26"/>
      <c r="K3049"/>
    </row>
    <row r="3050" spans="1:11">
      <c r="A3050">
        <v>22</v>
      </c>
      <c r="B3050" s="64">
        <v>40529</v>
      </c>
      <c r="C3050" s="2">
        <v>1527682.99</v>
      </c>
      <c r="D3050">
        <v>0</v>
      </c>
      <c r="E3050" s="65">
        <v>30.46</v>
      </c>
      <c r="F3050" s="8">
        <v>3.139</v>
      </c>
      <c r="G3050" s="66">
        <v>136.5292811</v>
      </c>
      <c r="H3050" s="8">
        <v>8.572</v>
      </c>
      <c r="J3050" s="26"/>
      <c r="K3050"/>
    </row>
    <row r="3051" spans="1:11">
      <c r="A3051">
        <v>22</v>
      </c>
      <c r="B3051" s="64">
        <v>40536</v>
      </c>
      <c r="C3051" s="2">
        <v>1962445.04</v>
      </c>
      <c r="D3051">
        <v>0</v>
      </c>
      <c r="E3051" s="65">
        <v>29.76</v>
      </c>
      <c r="F3051" s="8">
        <v>3.15</v>
      </c>
      <c r="G3051" s="66">
        <v>136.597273</v>
      </c>
      <c r="H3051" s="8">
        <v>8.572</v>
      </c>
      <c r="J3051" s="26"/>
      <c r="K3051"/>
    </row>
    <row r="3052" spans="1:11">
      <c r="A3052">
        <v>22</v>
      </c>
      <c r="B3052" s="64">
        <v>40543</v>
      </c>
      <c r="C3052" s="2">
        <v>774262.28</v>
      </c>
      <c r="D3052">
        <v>1</v>
      </c>
      <c r="E3052" s="65">
        <v>28.49</v>
      </c>
      <c r="F3052" s="8">
        <v>3.177</v>
      </c>
      <c r="G3052" s="66">
        <v>136.665265</v>
      </c>
      <c r="H3052" s="8">
        <v>8.572</v>
      </c>
      <c r="J3052" s="26"/>
      <c r="K3052"/>
    </row>
    <row r="3053" spans="1:11">
      <c r="A3053">
        <v>22</v>
      </c>
      <c r="B3053" s="64">
        <v>40550</v>
      </c>
      <c r="C3053" s="2">
        <v>873954.7</v>
      </c>
      <c r="D3053">
        <v>0</v>
      </c>
      <c r="E3053" s="65">
        <v>32.56</v>
      </c>
      <c r="F3053" s="8">
        <v>3.193</v>
      </c>
      <c r="G3053" s="66">
        <v>136.7332569</v>
      </c>
      <c r="H3053" s="8">
        <v>8.458</v>
      </c>
      <c r="J3053" s="26"/>
      <c r="K3053"/>
    </row>
    <row r="3054" spans="1:11">
      <c r="A3054">
        <v>22</v>
      </c>
      <c r="B3054" s="64">
        <v>40557</v>
      </c>
      <c r="C3054" s="2">
        <v>807535.52</v>
      </c>
      <c r="D3054">
        <v>0</v>
      </c>
      <c r="E3054" s="65">
        <v>24.76</v>
      </c>
      <c r="F3054" s="8">
        <v>3.215</v>
      </c>
      <c r="G3054" s="66">
        <v>136.803477</v>
      </c>
      <c r="H3054" s="8">
        <v>8.458</v>
      </c>
      <c r="J3054" s="26"/>
      <c r="K3054"/>
    </row>
    <row r="3055" spans="1:11">
      <c r="A3055">
        <v>22</v>
      </c>
      <c r="B3055" s="64">
        <v>40564</v>
      </c>
      <c r="C3055" s="2">
        <v>855001.02</v>
      </c>
      <c r="D3055">
        <v>0</v>
      </c>
      <c r="E3055" s="65">
        <v>26.8</v>
      </c>
      <c r="F3055" s="8">
        <v>3.232</v>
      </c>
      <c r="G3055" s="66">
        <v>136.8870657</v>
      </c>
      <c r="H3055" s="8">
        <v>8.458</v>
      </c>
      <c r="J3055" s="26"/>
      <c r="K3055"/>
    </row>
    <row r="3056" spans="1:11">
      <c r="A3056">
        <v>22</v>
      </c>
      <c r="B3056" s="64">
        <v>40571</v>
      </c>
      <c r="C3056" s="2">
        <v>799369.15</v>
      </c>
      <c r="D3056">
        <v>0</v>
      </c>
      <c r="E3056" s="65">
        <v>20.61</v>
      </c>
      <c r="F3056" s="8">
        <v>3.243</v>
      </c>
      <c r="G3056" s="66">
        <v>136.9706544</v>
      </c>
      <c r="H3056" s="8">
        <v>8.458</v>
      </c>
      <c r="J3056" s="26"/>
      <c r="K3056"/>
    </row>
    <row r="3057" spans="1:11">
      <c r="A3057">
        <v>22</v>
      </c>
      <c r="B3057" s="64">
        <v>40578</v>
      </c>
      <c r="C3057" s="2">
        <v>946060.98</v>
      </c>
      <c r="D3057">
        <v>0</v>
      </c>
      <c r="E3057" s="65">
        <v>26.39</v>
      </c>
      <c r="F3057" s="8">
        <v>3.24</v>
      </c>
      <c r="G3057" s="66">
        <v>137.0542431</v>
      </c>
      <c r="H3057" s="8">
        <v>8.458</v>
      </c>
      <c r="J3057" s="26"/>
      <c r="K3057"/>
    </row>
    <row r="3058" spans="1:11">
      <c r="A3058">
        <v>22</v>
      </c>
      <c r="B3058" s="64">
        <v>40585</v>
      </c>
      <c r="C3058" s="2">
        <v>1009206.33</v>
      </c>
      <c r="D3058">
        <v>1</v>
      </c>
      <c r="E3058" s="65">
        <v>28.89</v>
      </c>
      <c r="F3058" s="8">
        <v>3.255</v>
      </c>
      <c r="G3058" s="66">
        <v>137.1378318</v>
      </c>
      <c r="H3058" s="8">
        <v>8.458</v>
      </c>
      <c r="J3058" s="26"/>
      <c r="K3058"/>
    </row>
    <row r="3059" spans="1:11">
      <c r="A3059">
        <v>22</v>
      </c>
      <c r="B3059" s="64">
        <v>40592</v>
      </c>
      <c r="C3059" s="2">
        <v>975964.86</v>
      </c>
      <c r="D3059">
        <v>0</v>
      </c>
      <c r="E3059" s="65">
        <v>35.34</v>
      </c>
      <c r="F3059" s="8">
        <v>3.263</v>
      </c>
      <c r="G3059" s="66">
        <v>137.2511849</v>
      </c>
      <c r="H3059" s="8">
        <v>8.458</v>
      </c>
      <c r="J3059" s="26"/>
      <c r="K3059"/>
    </row>
    <row r="3060" spans="1:11">
      <c r="A3060">
        <v>22</v>
      </c>
      <c r="B3060" s="64">
        <v>40599</v>
      </c>
      <c r="C3060" s="2">
        <v>911245.43</v>
      </c>
      <c r="D3060">
        <v>0</v>
      </c>
      <c r="E3060" s="65">
        <v>30.23</v>
      </c>
      <c r="F3060" s="8">
        <v>3.281</v>
      </c>
      <c r="G3060" s="66">
        <v>137.3764439</v>
      </c>
      <c r="H3060" s="8">
        <v>8.458</v>
      </c>
      <c r="J3060" s="26"/>
      <c r="K3060"/>
    </row>
    <row r="3061" spans="1:11">
      <c r="A3061">
        <v>22</v>
      </c>
      <c r="B3061" s="64">
        <v>40606</v>
      </c>
      <c r="C3061" s="2">
        <v>997353.15</v>
      </c>
      <c r="D3061">
        <v>0</v>
      </c>
      <c r="E3061" s="65">
        <v>33.52</v>
      </c>
      <c r="F3061" s="8">
        <v>3.437</v>
      </c>
      <c r="G3061" s="66">
        <v>137.5017028</v>
      </c>
      <c r="H3061" s="8">
        <v>8.458</v>
      </c>
      <c r="J3061" s="26"/>
      <c r="K3061"/>
    </row>
    <row r="3062" spans="1:11">
      <c r="A3062">
        <v>22</v>
      </c>
      <c r="B3062" s="64">
        <v>40613</v>
      </c>
      <c r="C3062" s="2">
        <v>944587.23</v>
      </c>
      <c r="D3062">
        <v>0</v>
      </c>
      <c r="E3062" s="65">
        <v>41.42</v>
      </c>
      <c r="F3062" s="8">
        <v>3.6</v>
      </c>
      <c r="G3062" s="66">
        <v>137.6269617</v>
      </c>
      <c r="H3062" s="8">
        <v>8.458</v>
      </c>
      <c r="J3062" s="26"/>
      <c r="K3062"/>
    </row>
    <row r="3063" spans="1:11">
      <c r="A3063">
        <v>22</v>
      </c>
      <c r="B3063" s="64">
        <v>40620</v>
      </c>
      <c r="C3063" s="2">
        <v>926427.12</v>
      </c>
      <c r="D3063">
        <v>0</v>
      </c>
      <c r="E3063" s="65">
        <v>43.38</v>
      </c>
      <c r="F3063" s="8">
        <v>3.634</v>
      </c>
      <c r="G3063" s="66">
        <v>137.7398929</v>
      </c>
      <c r="H3063" s="8">
        <v>8.458</v>
      </c>
      <c r="J3063" s="26"/>
      <c r="K3063"/>
    </row>
    <row r="3064" spans="1:11">
      <c r="A3064">
        <v>22</v>
      </c>
      <c r="B3064" s="64">
        <v>40627</v>
      </c>
      <c r="C3064" s="2">
        <v>933528.39</v>
      </c>
      <c r="D3064">
        <v>0</v>
      </c>
      <c r="E3064" s="65">
        <v>38.77</v>
      </c>
      <c r="F3064" s="8">
        <v>3.624</v>
      </c>
      <c r="G3064" s="66">
        <v>137.8478929</v>
      </c>
      <c r="H3064" s="8">
        <v>8.458</v>
      </c>
      <c r="J3064" s="26"/>
      <c r="K3064"/>
    </row>
    <row r="3065" spans="1:11">
      <c r="A3065">
        <v>22</v>
      </c>
      <c r="B3065" s="64">
        <v>40634</v>
      </c>
      <c r="C3065" s="2">
        <v>951588.37</v>
      </c>
      <c r="D3065">
        <v>0</v>
      </c>
      <c r="E3065" s="65">
        <v>36.04</v>
      </c>
      <c r="F3065" s="8">
        <v>3.638</v>
      </c>
      <c r="G3065" s="66">
        <v>137.9558929</v>
      </c>
      <c r="H3065" s="8">
        <v>8.252</v>
      </c>
      <c r="J3065" s="26"/>
      <c r="K3065"/>
    </row>
    <row r="3066" spans="1:11">
      <c r="A3066">
        <v>22</v>
      </c>
      <c r="B3066" s="64">
        <v>40641</v>
      </c>
      <c r="C3066" s="2">
        <v>969046.69</v>
      </c>
      <c r="D3066">
        <v>0</v>
      </c>
      <c r="E3066" s="65">
        <v>44.42</v>
      </c>
      <c r="F3066" s="8">
        <v>3.72</v>
      </c>
      <c r="G3066" s="66">
        <v>138.0638929</v>
      </c>
      <c r="H3066" s="8">
        <v>8.252</v>
      </c>
      <c r="J3066" s="26"/>
      <c r="K3066"/>
    </row>
    <row r="3067" spans="1:11">
      <c r="A3067">
        <v>22</v>
      </c>
      <c r="B3067" s="64">
        <v>40648</v>
      </c>
      <c r="C3067" s="2">
        <v>1008557.04</v>
      </c>
      <c r="D3067">
        <v>0</v>
      </c>
      <c r="E3067" s="65">
        <v>48.88</v>
      </c>
      <c r="F3067" s="8">
        <v>3.823</v>
      </c>
      <c r="G3067" s="66">
        <v>138.1646952</v>
      </c>
      <c r="H3067" s="8">
        <v>8.252</v>
      </c>
      <c r="J3067" s="26"/>
      <c r="K3067"/>
    </row>
    <row r="3068" spans="1:11">
      <c r="A3068">
        <v>22</v>
      </c>
      <c r="B3068" s="64">
        <v>40655</v>
      </c>
      <c r="C3068" s="2">
        <v>1152781.9</v>
      </c>
      <c r="D3068">
        <v>0</v>
      </c>
      <c r="E3068" s="65">
        <v>47.76</v>
      </c>
      <c r="F3068" s="8">
        <v>3.919</v>
      </c>
      <c r="G3068" s="66">
        <v>138.2475036</v>
      </c>
      <c r="H3068" s="8">
        <v>8.252</v>
      </c>
      <c r="J3068" s="26"/>
      <c r="K3068"/>
    </row>
    <row r="3069" spans="1:11">
      <c r="A3069">
        <v>22</v>
      </c>
      <c r="B3069" s="64">
        <v>40662</v>
      </c>
      <c r="C3069" s="2">
        <v>926133.8</v>
      </c>
      <c r="D3069">
        <v>0</v>
      </c>
      <c r="E3069" s="65">
        <v>57.2</v>
      </c>
      <c r="F3069" s="8">
        <v>3.988</v>
      </c>
      <c r="G3069" s="66">
        <v>138.3303119</v>
      </c>
      <c r="H3069" s="8">
        <v>8.252</v>
      </c>
      <c r="J3069" s="26"/>
      <c r="K3069"/>
    </row>
    <row r="3070" spans="1:11">
      <c r="A3070">
        <v>22</v>
      </c>
      <c r="B3070" s="64">
        <v>40669</v>
      </c>
      <c r="C3070" s="2">
        <v>1032076.06</v>
      </c>
      <c r="D3070">
        <v>0</v>
      </c>
      <c r="E3070" s="65">
        <v>53.63</v>
      </c>
      <c r="F3070" s="8">
        <v>4.078</v>
      </c>
      <c r="G3070" s="66">
        <v>138.4131202</v>
      </c>
      <c r="H3070" s="8">
        <v>8.252</v>
      </c>
      <c r="J3070" s="26"/>
      <c r="K3070"/>
    </row>
    <row r="3071" spans="1:11">
      <c r="A3071">
        <v>22</v>
      </c>
      <c r="B3071" s="64">
        <v>40676</v>
      </c>
      <c r="C3071" s="2">
        <v>1001558.74</v>
      </c>
      <c r="D3071">
        <v>0</v>
      </c>
      <c r="E3071" s="65">
        <v>57.71</v>
      </c>
      <c r="F3071" s="8">
        <v>4.095</v>
      </c>
      <c r="G3071" s="66">
        <v>138.4959286</v>
      </c>
      <c r="H3071" s="8">
        <v>8.252</v>
      </c>
      <c r="J3071" s="26"/>
      <c r="K3071"/>
    </row>
    <row r="3072" spans="1:11">
      <c r="A3072">
        <v>22</v>
      </c>
      <c r="B3072" s="64">
        <v>40683</v>
      </c>
      <c r="C3072" s="2">
        <v>970307.83</v>
      </c>
      <c r="D3072">
        <v>0</v>
      </c>
      <c r="E3072" s="65">
        <v>58.56</v>
      </c>
      <c r="F3072" s="8">
        <v>4.101</v>
      </c>
      <c r="G3072" s="66">
        <v>138.587106</v>
      </c>
      <c r="H3072" s="8">
        <v>8.252</v>
      </c>
      <c r="J3072" s="26"/>
      <c r="K3072"/>
    </row>
    <row r="3073" spans="1:11">
      <c r="A3073">
        <v>22</v>
      </c>
      <c r="B3073" s="64">
        <v>40690</v>
      </c>
      <c r="C3073" s="2">
        <v>1021568.34</v>
      </c>
      <c r="D3073">
        <v>0</v>
      </c>
      <c r="E3073" s="65">
        <v>62.59</v>
      </c>
      <c r="F3073" s="8">
        <v>4.034</v>
      </c>
      <c r="G3073" s="66">
        <v>138.6782834</v>
      </c>
      <c r="H3073" s="8">
        <v>8.252</v>
      </c>
      <c r="J3073" s="26"/>
      <c r="K3073"/>
    </row>
    <row r="3074" spans="1:11">
      <c r="A3074">
        <v>22</v>
      </c>
      <c r="B3074" s="64">
        <v>40697</v>
      </c>
      <c r="C3074" s="2">
        <v>1125169.92</v>
      </c>
      <c r="D3074">
        <v>0</v>
      </c>
      <c r="E3074" s="65">
        <v>70.09</v>
      </c>
      <c r="F3074" s="8">
        <v>3.973</v>
      </c>
      <c r="G3074" s="66">
        <v>138.7694608</v>
      </c>
      <c r="H3074" s="8">
        <v>8.252</v>
      </c>
      <c r="J3074" s="26"/>
      <c r="K3074"/>
    </row>
    <row r="3075" spans="1:11">
      <c r="A3075">
        <v>22</v>
      </c>
      <c r="B3075" s="64">
        <v>40704</v>
      </c>
      <c r="C3075" s="2">
        <v>1060868.49</v>
      </c>
      <c r="D3075">
        <v>0</v>
      </c>
      <c r="E3075" s="65">
        <v>69.53</v>
      </c>
      <c r="F3075" s="8">
        <v>3.924</v>
      </c>
      <c r="G3075" s="66">
        <v>138.8606382</v>
      </c>
      <c r="H3075" s="8">
        <v>8.252</v>
      </c>
      <c r="J3075" s="26"/>
      <c r="K3075"/>
    </row>
    <row r="3076" spans="1:11">
      <c r="A3076">
        <v>22</v>
      </c>
      <c r="B3076" s="64">
        <v>40711</v>
      </c>
      <c r="C3076" s="2">
        <v>1042454.61</v>
      </c>
      <c r="D3076">
        <v>0</v>
      </c>
      <c r="E3076" s="65">
        <v>63.97</v>
      </c>
      <c r="F3076" s="8">
        <v>3.873</v>
      </c>
      <c r="G3076" s="66">
        <v>139.0028333</v>
      </c>
      <c r="H3076" s="8">
        <v>8.252</v>
      </c>
      <c r="J3076" s="26"/>
      <c r="K3076"/>
    </row>
    <row r="3077" spans="1:11">
      <c r="A3077">
        <v>22</v>
      </c>
      <c r="B3077" s="64">
        <v>40718</v>
      </c>
      <c r="C3077" s="2">
        <v>1012584.2</v>
      </c>
      <c r="D3077">
        <v>0</v>
      </c>
      <c r="E3077" s="65">
        <v>68.53</v>
      </c>
      <c r="F3077" s="8">
        <v>3.851</v>
      </c>
      <c r="G3077" s="66">
        <v>139.1832917</v>
      </c>
      <c r="H3077" s="8">
        <v>8.252</v>
      </c>
      <c r="J3077" s="26"/>
      <c r="K3077"/>
    </row>
    <row r="3078" spans="1:11">
      <c r="A3078">
        <v>22</v>
      </c>
      <c r="B3078" s="64">
        <v>40725</v>
      </c>
      <c r="C3078" s="2">
        <v>1077491.68</v>
      </c>
      <c r="D3078">
        <v>0</v>
      </c>
      <c r="E3078" s="65">
        <v>70.8</v>
      </c>
      <c r="F3078" s="8">
        <v>3.815</v>
      </c>
      <c r="G3078" s="66">
        <v>139.36375</v>
      </c>
      <c r="H3078" s="8">
        <v>8.023</v>
      </c>
      <c r="J3078" s="26"/>
      <c r="K3078"/>
    </row>
    <row r="3079" spans="1:11">
      <c r="A3079">
        <v>22</v>
      </c>
      <c r="B3079" s="64">
        <v>40732</v>
      </c>
      <c r="C3079" s="2">
        <v>1017050.65</v>
      </c>
      <c r="D3079">
        <v>0</v>
      </c>
      <c r="E3079" s="65">
        <v>74.22</v>
      </c>
      <c r="F3079" s="8">
        <v>3.784</v>
      </c>
      <c r="G3079" s="66">
        <v>139.5442083</v>
      </c>
      <c r="H3079" s="8">
        <v>8.023</v>
      </c>
      <c r="J3079" s="26"/>
      <c r="K3079"/>
    </row>
    <row r="3080" spans="1:11">
      <c r="A3080">
        <v>22</v>
      </c>
      <c r="B3080" s="64">
        <v>40739</v>
      </c>
      <c r="C3080" s="2">
        <v>961953.57</v>
      </c>
      <c r="D3080">
        <v>0</v>
      </c>
      <c r="E3080" s="65">
        <v>75.2</v>
      </c>
      <c r="F3080" s="8">
        <v>3.827</v>
      </c>
      <c r="G3080" s="66">
        <v>139.7006325</v>
      </c>
      <c r="H3080" s="8">
        <v>8.023</v>
      </c>
      <c r="J3080" s="26"/>
      <c r="K3080"/>
    </row>
    <row r="3081" spans="1:11">
      <c r="A3081">
        <v>22</v>
      </c>
      <c r="B3081" s="64">
        <v>40746</v>
      </c>
      <c r="C3081" s="2">
        <v>964683.8</v>
      </c>
      <c r="D3081">
        <v>0</v>
      </c>
      <c r="E3081" s="65">
        <v>77.79</v>
      </c>
      <c r="F3081" s="8">
        <v>3.882</v>
      </c>
      <c r="G3081" s="66">
        <v>139.7969712</v>
      </c>
      <c r="H3081" s="8">
        <v>8.023</v>
      </c>
      <c r="J3081" s="26"/>
      <c r="K3081"/>
    </row>
    <row r="3082" spans="1:11">
      <c r="A3082">
        <v>22</v>
      </c>
      <c r="B3082" s="64">
        <v>40753</v>
      </c>
      <c r="C3082" s="2">
        <v>944958.69</v>
      </c>
      <c r="D3082">
        <v>0</v>
      </c>
      <c r="E3082" s="65">
        <v>75.32</v>
      </c>
      <c r="F3082" s="8">
        <v>3.898</v>
      </c>
      <c r="G3082" s="66">
        <v>139.8933099</v>
      </c>
      <c r="H3082" s="8">
        <v>8.023</v>
      </c>
      <c r="J3082" s="26"/>
      <c r="K3082"/>
    </row>
    <row r="3083" spans="1:11">
      <c r="A3083">
        <v>22</v>
      </c>
      <c r="B3083" s="64">
        <v>40760</v>
      </c>
      <c r="C3083" s="2">
        <v>983232.96</v>
      </c>
      <c r="D3083">
        <v>0</v>
      </c>
      <c r="E3083" s="65">
        <v>75.33</v>
      </c>
      <c r="F3083" s="8">
        <v>3.903</v>
      </c>
      <c r="G3083" s="66">
        <v>139.9896486</v>
      </c>
      <c r="H3083" s="8">
        <v>8.023</v>
      </c>
      <c r="J3083" s="26"/>
      <c r="K3083"/>
    </row>
    <row r="3084" spans="1:11">
      <c r="A3084">
        <v>22</v>
      </c>
      <c r="B3084" s="64">
        <v>40767</v>
      </c>
      <c r="C3084" s="2">
        <v>991779.2</v>
      </c>
      <c r="D3084">
        <v>0</v>
      </c>
      <c r="E3084" s="65">
        <v>74.69</v>
      </c>
      <c r="F3084" s="8">
        <v>3.88</v>
      </c>
      <c r="G3084" s="66">
        <v>140.0859873</v>
      </c>
      <c r="H3084" s="8">
        <v>8.023</v>
      </c>
      <c r="J3084" s="26"/>
      <c r="K3084"/>
    </row>
    <row r="3085" spans="1:11">
      <c r="A3085">
        <v>22</v>
      </c>
      <c r="B3085" s="64">
        <v>40774</v>
      </c>
      <c r="C3085" s="2">
        <v>973004.91</v>
      </c>
      <c r="D3085">
        <v>0</v>
      </c>
      <c r="E3085" s="65">
        <v>71.3</v>
      </c>
      <c r="F3085" s="8">
        <v>3.82</v>
      </c>
      <c r="G3085" s="66">
        <v>140.1289205</v>
      </c>
      <c r="H3085" s="8">
        <v>8.023</v>
      </c>
      <c r="J3085" s="26"/>
      <c r="K3085"/>
    </row>
    <row r="3086" spans="1:11">
      <c r="A3086">
        <v>22</v>
      </c>
      <c r="B3086" s="64">
        <v>40781</v>
      </c>
      <c r="C3086" s="2">
        <v>1181815.31</v>
      </c>
      <c r="D3086">
        <v>0</v>
      </c>
      <c r="E3086" s="65">
        <v>72.22</v>
      </c>
      <c r="F3086" s="8">
        <v>3.796</v>
      </c>
      <c r="G3086" s="66">
        <v>140.1629528</v>
      </c>
      <c r="H3086" s="8">
        <v>8.023</v>
      </c>
      <c r="J3086" s="26"/>
      <c r="K3086"/>
    </row>
    <row r="3087" spans="1:11">
      <c r="A3087">
        <v>22</v>
      </c>
      <c r="B3087" s="64">
        <v>40788</v>
      </c>
      <c r="C3087" s="2">
        <v>912762.76</v>
      </c>
      <c r="D3087">
        <v>0</v>
      </c>
      <c r="E3087" s="65">
        <v>69.16</v>
      </c>
      <c r="F3087" s="8">
        <v>3.784</v>
      </c>
      <c r="G3087" s="66">
        <v>140.196985</v>
      </c>
      <c r="H3087" s="8">
        <v>8.023</v>
      </c>
      <c r="J3087" s="26"/>
      <c r="K3087"/>
    </row>
    <row r="3088" spans="1:11">
      <c r="A3088">
        <v>22</v>
      </c>
      <c r="B3088" s="64">
        <v>40795</v>
      </c>
      <c r="C3088" s="2">
        <v>1004434.54</v>
      </c>
      <c r="D3088">
        <v>1</v>
      </c>
      <c r="E3088" s="65">
        <v>69.14</v>
      </c>
      <c r="F3088" s="8">
        <v>3.809</v>
      </c>
      <c r="G3088" s="66">
        <v>140.2310173</v>
      </c>
      <c r="H3088" s="8">
        <v>8.023</v>
      </c>
      <c r="J3088" s="26"/>
      <c r="K3088"/>
    </row>
    <row r="3089" spans="1:11">
      <c r="A3089">
        <v>22</v>
      </c>
      <c r="B3089" s="64">
        <v>40802</v>
      </c>
      <c r="C3089" s="2">
        <v>937420.65</v>
      </c>
      <c r="D3089">
        <v>0</v>
      </c>
      <c r="E3089" s="65">
        <v>68.08</v>
      </c>
      <c r="F3089" s="8">
        <v>3.809</v>
      </c>
      <c r="G3089" s="66">
        <v>140.2735</v>
      </c>
      <c r="H3089" s="8">
        <v>8.023</v>
      </c>
      <c r="J3089" s="26"/>
      <c r="K3089"/>
    </row>
    <row r="3090" spans="1:11">
      <c r="A3090">
        <v>22</v>
      </c>
      <c r="B3090" s="64">
        <v>40809</v>
      </c>
      <c r="C3090" s="2">
        <v>899834.75</v>
      </c>
      <c r="D3090">
        <v>0</v>
      </c>
      <c r="E3090" s="65">
        <v>62.36</v>
      </c>
      <c r="F3090" s="8">
        <v>3.758</v>
      </c>
      <c r="G3090" s="66">
        <v>140.32725</v>
      </c>
      <c r="H3090" s="8">
        <v>8.023</v>
      </c>
      <c r="J3090" s="26"/>
      <c r="K3090"/>
    </row>
    <row r="3091" spans="1:11">
      <c r="A3091">
        <v>22</v>
      </c>
      <c r="B3091" s="64">
        <v>40816</v>
      </c>
      <c r="C3091" s="2">
        <v>953314.16</v>
      </c>
      <c r="D3091">
        <v>0</v>
      </c>
      <c r="E3091" s="65">
        <v>69.78</v>
      </c>
      <c r="F3091" s="8">
        <v>3.684</v>
      </c>
      <c r="G3091" s="66">
        <v>140.381</v>
      </c>
      <c r="H3091" s="8">
        <v>8.023</v>
      </c>
      <c r="J3091" s="26"/>
      <c r="K3091"/>
    </row>
    <row r="3092" spans="1:11">
      <c r="A3092">
        <v>22</v>
      </c>
      <c r="B3092" s="64">
        <v>40823</v>
      </c>
      <c r="C3092" s="2">
        <v>993436.67</v>
      </c>
      <c r="D3092">
        <v>0</v>
      </c>
      <c r="E3092" s="65">
        <v>56.44</v>
      </c>
      <c r="F3092" s="8">
        <v>3.633</v>
      </c>
      <c r="G3092" s="66">
        <v>140.43475</v>
      </c>
      <c r="H3092" s="8">
        <v>7.706</v>
      </c>
      <c r="J3092" s="26"/>
      <c r="K3092"/>
    </row>
    <row r="3093" spans="1:11">
      <c r="A3093">
        <v>22</v>
      </c>
      <c r="B3093" s="64">
        <v>40830</v>
      </c>
      <c r="C3093" s="2">
        <v>944337.32</v>
      </c>
      <c r="D3093">
        <v>0</v>
      </c>
      <c r="E3093" s="65">
        <v>62.63</v>
      </c>
      <c r="F3093" s="8">
        <v>3.583</v>
      </c>
      <c r="G3093" s="66">
        <v>140.4784194</v>
      </c>
      <c r="H3093" s="8">
        <v>7.706</v>
      </c>
      <c r="J3093" s="26"/>
      <c r="K3093"/>
    </row>
    <row r="3094" spans="1:11">
      <c r="A3094">
        <v>22</v>
      </c>
      <c r="B3094" s="64">
        <v>40837</v>
      </c>
      <c r="C3094" s="2">
        <v>981567.22</v>
      </c>
      <c r="D3094">
        <v>0</v>
      </c>
      <c r="E3094" s="65">
        <v>59.3</v>
      </c>
      <c r="F3094" s="8">
        <v>3.618</v>
      </c>
      <c r="G3094" s="66">
        <v>140.4616048</v>
      </c>
      <c r="H3094" s="8">
        <v>7.706</v>
      </c>
      <c r="J3094" s="26"/>
      <c r="K3094"/>
    </row>
    <row r="3095" spans="1:11">
      <c r="A3095">
        <v>22</v>
      </c>
      <c r="B3095" s="64">
        <v>40844</v>
      </c>
      <c r="C3095" s="2">
        <v>1099351.68</v>
      </c>
      <c r="D3095">
        <v>0</v>
      </c>
      <c r="E3095" s="65">
        <v>49.31</v>
      </c>
      <c r="F3095" s="8">
        <v>3.604</v>
      </c>
      <c r="G3095" s="66">
        <v>140.4447903</v>
      </c>
      <c r="H3095" s="8">
        <v>7.706</v>
      </c>
      <c r="J3095" s="26"/>
      <c r="K3095"/>
    </row>
    <row r="3096" spans="1:11">
      <c r="A3096">
        <v>22</v>
      </c>
      <c r="B3096" s="64">
        <v>40851</v>
      </c>
      <c r="C3096" s="2">
        <v>1106575.59</v>
      </c>
      <c r="D3096">
        <v>0</v>
      </c>
      <c r="E3096" s="65">
        <v>42.81</v>
      </c>
      <c r="F3096" s="8">
        <v>3.586</v>
      </c>
      <c r="G3096" s="66">
        <v>140.4279758</v>
      </c>
      <c r="H3096" s="8">
        <v>7.706</v>
      </c>
      <c r="J3096" s="26"/>
      <c r="K3096"/>
    </row>
    <row r="3097" spans="1:11">
      <c r="A3097">
        <v>22</v>
      </c>
      <c r="B3097" s="64">
        <v>40858</v>
      </c>
      <c r="C3097" s="2">
        <v>1051740.29</v>
      </c>
      <c r="D3097">
        <v>0</v>
      </c>
      <c r="E3097" s="65">
        <v>47.8</v>
      </c>
      <c r="F3097" s="8">
        <v>3.57</v>
      </c>
      <c r="G3097" s="66">
        <v>140.4111613</v>
      </c>
      <c r="H3097" s="8">
        <v>7.706</v>
      </c>
      <c r="J3097" s="26"/>
      <c r="K3097"/>
    </row>
    <row r="3098" spans="1:11">
      <c r="A3098">
        <v>22</v>
      </c>
      <c r="B3098" s="64">
        <v>40865</v>
      </c>
      <c r="C3098" s="2">
        <v>1007579.44</v>
      </c>
      <c r="D3098">
        <v>0</v>
      </c>
      <c r="E3098" s="65">
        <v>50.62</v>
      </c>
      <c r="F3098" s="8">
        <v>3.571</v>
      </c>
      <c r="G3098" s="66">
        <v>140.4127857</v>
      </c>
      <c r="H3098" s="8">
        <v>7.706</v>
      </c>
      <c r="J3098" s="26"/>
      <c r="K3098"/>
    </row>
    <row r="3099" spans="1:11">
      <c r="A3099">
        <v>22</v>
      </c>
      <c r="B3099" s="64">
        <v>40872</v>
      </c>
      <c r="C3099" s="2">
        <v>1535857.49</v>
      </c>
      <c r="D3099">
        <v>1</v>
      </c>
      <c r="E3099" s="65">
        <v>46.28</v>
      </c>
      <c r="F3099" s="8">
        <v>3.536</v>
      </c>
      <c r="G3099" s="66">
        <v>140.4217857</v>
      </c>
      <c r="H3099" s="8">
        <v>7.706</v>
      </c>
      <c r="J3099" s="26"/>
      <c r="K3099"/>
    </row>
    <row r="3100" spans="1:11">
      <c r="A3100">
        <v>22</v>
      </c>
      <c r="B3100" s="64">
        <v>40879</v>
      </c>
      <c r="C3100" s="2">
        <v>1167621.14</v>
      </c>
      <c r="D3100">
        <v>0</v>
      </c>
      <c r="E3100" s="65">
        <v>49.11</v>
      </c>
      <c r="F3100" s="8">
        <v>3.501</v>
      </c>
      <c r="G3100" s="66">
        <v>140.4307857</v>
      </c>
      <c r="H3100" s="8">
        <v>7.706</v>
      </c>
      <c r="J3100" s="26"/>
      <c r="K3100"/>
    </row>
    <row r="3101" spans="1:11">
      <c r="A3101">
        <v>22</v>
      </c>
      <c r="B3101" s="64">
        <v>40886</v>
      </c>
      <c r="C3101" s="2">
        <v>1308967.44</v>
      </c>
      <c r="D3101">
        <v>0</v>
      </c>
      <c r="E3101" s="65">
        <v>45.35</v>
      </c>
      <c r="F3101" s="8">
        <v>3.47</v>
      </c>
      <c r="G3101" s="66">
        <v>140.4397857</v>
      </c>
      <c r="H3101" s="8">
        <v>7.706</v>
      </c>
      <c r="J3101" s="26"/>
      <c r="K3101"/>
    </row>
    <row r="3102" spans="1:11">
      <c r="A3102">
        <v>22</v>
      </c>
      <c r="B3102" s="64">
        <v>40893</v>
      </c>
      <c r="C3102" s="2">
        <v>1453153.33</v>
      </c>
      <c r="D3102">
        <v>0</v>
      </c>
      <c r="E3102" s="65">
        <v>39.11</v>
      </c>
      <c r="F3102" s="8">
        <v>3.445</v>
      </c>
      <c r="G3102" s="66">
        <v>140.4700795</v>
      </c>
      <c r="H3102" s="8">
        <v>7.706</v>
      </c>
      <c r="J3102" s="26"/>
      <c r="K3102"/>
    </row>
    <row r="3103" spans="1:11">
      <c r="A3103">
        <v>22</v>
      </c>
      <c r="B3103" s="64">
        <v>40900</v>
      </c>
      <c r="C3103" s="2">
        <v>1863195.68</v>
      </c>
      <c r="D3103">
        <v>0</v>
      </c>
      <c r="E3103" s="65">
        <v>39.83</v>
      </c>
      <c r="F3103" s="8">
        <v>3.413</v>
      </c>
      <c r="G3103" s="66">
        <v>140.528765</v>
      </c>
      <c r="H3103" s="8">
        <v>7.706</v>
      </c>
      <c r="J3103" s="26"/>
      <c r="K3103"/>
    </row>
    <row r="3104" spans="1:11">
      <c r="A3104">
        <v>22</v>
      </c>
      <c r="B3104" s="64">
        <v>40907</v>
      </c>
      <c r="C3104" s="2">
        <v>982661.14</v>
      </c>
      <c r="D3104">
        <v>1</v>
      </c>
      <c r="E3104" s="65">
        <v>36.28</v>
      </c>
      <c r="F3104" s="8">
        <v>3.402</v>
      </c>
      <c r="G3104" s="66">
        <v>140.5874505</v>
      </c>
      <c r="H3104" s="8">
        <v>7.706</v>
      </c>
      <c r="J3104" s="26"/>
      <c r="K3104"/>
    </row>
    <row r="3105" spans="1:11">
      <c r="A3105">
        <v>22</v>
      </c>
      <c r="B3105" s="64">
        <v>40914</v>
      </c>
      <c r="C3105" s="2">
        <v>895358.2</v>
      </c>
      <c r="D3105">
        <v>0</v>
      </c>
      <c r="E3105" s="65">
        <v>34.61</v>
      </c>
      <c r="F3105" s="8">
        <v>3.439</v>
      </c>
      <c r="G3105" s="66">
        <v>140.6461359</v>
      </c>
      <c r="H3105" s="8">
        <v>7.503</v>
      </c>
      <c r="J3105" s="26"/>
      <c r="K3105"/>
    </row>
    <row r="3106" spans="1:11">
      <c r="A3106">
        <v>22</v>
      </c>
      <c r="B3106" s="64">
        <v>40921</v>
      </c>
      <c r="C3106" s="2">
        <v>855437.57</v>
      </c>
      <c r="D3106">
        <v>0</v>
      </c>
      <c r="E3106" s="65">
        <v>39</v>
      </c>
      <c r="F3106" s="8">
        <v>3.523</v>
      </c>
      <c r="G3106" s="66">
        <v>140.7048214</v>
      </c>
      <c r="H3106" s="8">
        <v>7.503</v>
      </c>
      <c r="J3106" s="26"/>
      <c r="K3106"/>
    </row>
    <row r="3107" spans="1:11">
      <c r="A3107">
        <v>22</v>
      </c>
      <c r="B3107" s="64">
        <v>40928</v>
      </c>
      <c r="C3107" s="2">
        <v>897027.44</v>
      </c>
      <c r="D3107">
        <v>0</v>
      </c>
      <c r="E3107" s="65">
        <v>29.16</v>
      </c>
      <c r="F3107" s="8">
        <v>3.542</v>
      </c>
      <c r="G3107" s="66">
        <v>140.8086118</v>
      </c>
      <c r="H3107" s="8">
        <v>7.503</v>
      </c>
      <c r="J3107" s="26"/>
      <c r="K3107"/>
    </row>
    <row r="3108" spans="1:11">
      <c r="A3108">
        <v>22</v>
      </c>
      <c r="B3108" s="64">
        <v>40935</v>
      </c>
      <c r="C3108" s="2">
        <v>786459.23</v>
      </c>
      <c r="D3108">
        <v>0</v>
      </c>
      <c r="E3108" s="65">
        <v>35.68</v>
      </c>
      <c r="F3108" s="8">
        <v>3.568</v>
      </c>
      <c r="G3108" s="66">
        <v>140.9124021</v>
      </c>
      <c r="H3108" s="8">
        <v>7.503</v>
      </c>
      <c r="J3108" s="26"/>
      <c r="K3108"/>
    </row>
    <row r="3109" spans="1:11">
      <c r="A3109">
        <v>22</v>
      </c>
      <c r="B3109" s="64">
        <v>40942</v>
      </c>
      <c r="C3109" s="2">
        <v>958487.75</v>
      </c>
      <c r="D3109">
        <v>0</v>
      </c>
      <c r="E3109" s="65">
        <v>40.58</v>
      </c>
      <c r="F3109" s="8">
        <v>3.633</v>
      </c>
      <c r="G3109" s="66">
        <v>141.0161924</v>
      </c>
      <c r="H3109" s="8">
        <v>7.503</v>
      </c>
      <c r="J3109" s="26"/>
      <c r="K3109"/>
    </row>
    <row r="3110" spans="1:11">
      <c r="A3110">
        <v>22</v>
      </c>
      <c r="B3110" s="64">
        <v>40949</v>
      </c>
      <c r="C3110" s="2">
        <v>1034448.07</v>
      </c>
      <c r="D3110">
        <v>1</v>
      </c>
      <c r="E3110" s="65">
        <v>35.68</v>
      </c>
      <c r="F3110" s="8">
        <v>3.655</v>
      </c>
      <c r="G3110" s="66">
        <v>141.1199827</v>
      </c>
      <c r="H3110" s="8">
        <v>7.503</v>
      </c>
      <c r="J3110" s="26"/>
      <c r="K3110"/>
    </row>
    <row r="3111" spans="1:11">
      <c r="A3111">
        <v>22</v>
      </c>
      <c r="B3111" s="64">
        <v>40956</v>
      </c>
      <c r="C3111" s="2">
        <v>1004749.41</v>
      </c>
      <c r="D3111">
        <v>0</v>
      </c>
      <c r="E3111" s="65">
        <v>36.25</v>
      </c>
      <c r="F3111" s="8">
        <v>3.703</v>
      </c>
      <c r="G3111" s="66">
        <v>141.2140357</v>
      </c>
      <c r="H3111" s="8">
        <v>7.503</v>
      </c>
      <c r="J3111" s="26"/>
      <c r="K3111"/>
    </row>
    <row r="3112" spans="1:11">
      <c r="A3112">
        <v>22</v>
      </c>
      <c r="B3112" s="64">
        <v>40963</v>
      </c>
      <c r="C3112" s="2">
        <v>912958.95</v>
      </c>
      <c r="D3112">
        <v>0</v>
      </c>
      <c r="E3112" s="65">
        <v>39</v>
      </c>
      <c r="F3112" s="8">
        <v>3.751</v>
      </c>
      <c r="G3112" s="66">
        <v>141.3007857</v>
      </c>
      <c r="H3112" s="8">
        <v>7.503</v>
      </c>
      <c r="J3112" s="26"/>
      <c r="K3112"/>
    </row>
    <row r="3113" spans="1:11">
      <c r="A3113">
        <v>22</v>
      </c>
      <c r="B3113" s="64">
        <v>40970</v>
      </c>
      <c r="C3113" s="2">
        <v>974866.65</v>
      </c>
      <c r="D3113">
        <v>0</v>
      </c>
      <c r="E3113" s="65">
        <v>37.47</v>
      </c>
      <c r="F3113" s="8">
        <v>3.827</v>
      </c>
      <c r="G3113" s="66">
        <v>141.3875357</v>
      </c>
      <c r="H3113" s="8">
        <v>7.503</v>
      </c>
      <c r="J3113" s="26"/>
      <c r="K3113"/>
    </row>
    <row r="3114" spans="1:11">
      <c r="A3114">
        <v>22</v>
      </c>
      <c r="B3114" s="64">
        <v>40977</v>
      </c>
      <c r="C3114" s="2">
        <v>991127.01</v>
      </c>
      <c r="D3114">
        <v>0</v>
      </c>
      <c r="E3114" s="65">
        <v>41.72</v>
      </c>
      <c r="F3114" s="8">
        <v>3.876</v>
      </c>
      <c r="G3114" s="66">
        <v>141.4742857</v>
      </c>
      <c r="H3114" s="8">
        <v>7.503</v>
      </c>
      <c r="J3114" s="26"/>
      <c r="K3114"/>
    </row>
    <row r="3115" spans="1:11">
      <c r="A3115">
        <v>22</v>
      </c>
      <c r="B3115" s="64">
        <v>40984</v>
      </c>
      <c r="C3115" s="2">
        <v>966780.01</v>
      </c>
      <c r="D3115">
        <v>0</v>
      </c>
      <c r="E3115" s="65">
        <v>46.06</v>
      </c>
      <c r="F3115" s="8">
        <v>3.867</v>
      </c>
      <c r="G3115" s="66">
        <v>141.55478</v>
      </c>
      <c r="H3115" s="8">
        <v>7.503</v>
      </c>
      <c r="J3115" s="26"/>
      <c r="K3115"/>
    </row>
    <row r="3116" spans="1:11">
      <c r="A3116">
        <v>22</v>
      </c>
      <c r="B3116" s="64">
        <v>40991</v>
      </c>
      <c r="C3116" s="2">
        <v>992774.4</v>
      </c>
      <c r="D3116">
        <v>0</v>
      </c>
      <c r="E3116" s="65">
        <v>54.68</v>
      </c>
      <c r="F3116" s="8">
        <v>3.889</v>
      </c>
      <c r="G3116" s="66">
        <v>141.6269332</v>
      </c>
      <c r="H3116" s="8">
        <v>7.503</v>
      </c>
      <c r="J3116" s="26"/>
      <c r="K3116"/>
    </row>
    <row r="3117" spans="1:11">
      <c r="A3117">
        <v>22</v>
      </c>
      <c r="B3117" s="64">
        <v>40998</v>
      </c>
      <c r="C3117" s="2">
        <v>965769.93</v>
      </c>
      <c r="D3117">
        <v>0</v>
      </c>
      <c r="E3117" s="65">
        <v>46.4</v>
      </c>
      <c r="F3117" s="8">
        <v>3.921</v>
      </c>
      <c r="G3117" s="66">
        <v>141.6990864</v>
      </c>
      <c r="H3117" s="8">
        <v>7.503</v>
      </c>
      <c r="J3117" s="26"/>
      <c r="K3117"/>
    </row>
    <row r="3118" spans="1:11">
      <c r="A3118">
        <v>22</v>
      </c>
      <c r="B3118" s="64">
        <v>41005</v>
      </c>
      <c r="C3118" s="2">
        <v>1197489.66</v>
      </c>
      <c r="D3118">
        <v>0</v>
      </c>
      <c r="E3118" s="65">
        <v>46.38</v>
      </c>
      <c r="F3118" s="8">
        <v>3.957</v>
      </c>
      <c r="G3118" s="66">
        <v>141.7712396</v>
      </c>
      <c r="H3118" s="8">
        <v>7.671</v>
      </c>
      <c r="J3118" s="26"/>
      <c r="K3118"/>
    </row>
    <row r="3119" spans="1:11">
      <c r="A3119">
        <v>22</v>
      </c>
      <c r="B3119" s="64">
        <v>41012</v>
      </c>
      <c r="C3119" s="2">
        <v>939118.24</v>
      </c>
      <c r="D3119">
        <v>0</v>
      </c>
      <c r="E3119" s="65">
        <v>49.89</v>
      </c>
      <c r="F3119" s="8">
        <v>4.025</v>
      </c>
      <c r="G3119" s="66">
        <v>141.8433929</v>
      </c>
      <c r="H3119" s="8">
        <v>7.671</v>
      </c>
      <c r="J3119" s="26"/>
      <c r="K3119"/>
    </row>
    <row r="3120" spans="1:11">
      <c r="A3120">
        <v>22</v>
      </c>
      <c r="B3120" s="64">
        <v>41019</v>
      </c>
      <c r="C3120" s="2">
        <v>1000342.87</v>
      </c>
      <c r="D3120">
        <v>0</v>
      </c>
      <c r="E3120" s="65">
        <v>58.81</v>
      </c>
      <c r="F3120" s="8">
        <v>4.046</v>
      </c>
      <c r="G3120" s="66">
        <v>141.9015262</v>
      </c>
      <c r="H3120" s="8">
        <v>7.671</v>
      </c>
      <c r="J3120" s="26"/>
      <c r="K3120"/>
    </row>
    <row r="3121" spans="1:11">
      <c r="A3121">
        <v>22</v>
      </c>
      <c r="B3121" s="64">
        <v>41026</v>
      </c>
      <c r="C3121" s="2">
        <v>922539.94</v>
      </c>
      <c r="D3121">
        <v>0</v>
      </c>
      <c r="E3121" s="65">
        <v>51.42</v>
      </c>
      <c r="F3121" s="8">
        <v>4.023</v>
      </c>
      <c r="G3121" s="66">
        <v>141.9596595</v>
      </c>
      <c r="H3121" s="8">
        <v>7.671</v>
      </c>
      <c r="J3121" s="26"/>
      <c r="K3121"/>
    </row>
    <row r="3122" spans="1:11">
      <c r="A3122">
        <v>22</v>
      </c>
      <c r="B3122" s="64">
        <v>41033</v>
      </c>
      <c r="C3122" s="2">
        <v>1005083.31</v>
      </c>
      <c r="D3122">
        <v>0</v>
      </c>
      <c r="E3122" s="65">
        <v>50.75</v>
      </c>
      <c r="F3122" s="8">
        <v>3.991</v>
      </c>
      <c r="G3122" s="66">
        <v>142.0177929</v>
      </c>
      <c r="H3122" s="8">
        <v>7.671</v>
      </c>
      <c r="J3122" s="26"/>
      <c r="K3122"/>
    </row>
    <row r="3123" spans="1:11">
      <c r="A3123">
        <v>22</v>
      </c>
      <c r="B3123" s="64">
        <v>41040</v>
      </c>
      <c r="C3123" s="2">
        <v>997868.63</v>
      </c>
      <c r="D3123">
        <v>0</v>
      </c>
      <c r="E3123" s="65">
        <v>56.72</v>
      </c>
      <c r="F3123" s="8">
        <v>3.947</v>
      </c>
      <c r="G3123" s="66">
        <v>142.0759262</v>
      </c>
      <c r="H3123" s="8">
        <v>7.671</v>
      </c>
      <c r="J3123" s="26"/>
      <c r="K3123"/>
    </row>
    <row r="3124" spans="1:11">
      <c r="A3124">
        <v>22</v>
      </c>
      <c r="B3124" s="64">
        <v>41047</v>
      </c>
      <c r="C3124" s="2">
        <v>986612.02</v>
      </c>
      <c r="D3124">
        <v>0</v>
      </c>
      <c r="E3124" s="65">
        <v>61.9</v>
      </c>
      <c r="F3124" s="8">
        <v>3.899</v>
      </c>
      <c r="G3124" s="66">
        <v>142.0970115</v>
      </c>
      <c r="H3124" s="8">
        <v>7.671</v>
      </c>
      <c r="J3124" s="26"/>
      <c r="K3124"/>
    </row>
    <row r="3125" spans="1:11">
      <c r="A3125">
        <v>22</v>
      </c>
      <c r="B3125" s="64">
        <v>41054</v>
      </c>
      <c r="C3125" s="2">
        <v>1047297.38</v>
      </c>
      <c r="D3125">
        <v>0</v>
      </c>
      <c r="E3125" s="65">
        <v>62.39</v>
      </c>
      <c r="F3125" s="8">
        <v>3.85</v>
      </c>
      <c r="G3125" s="66">
        <v>142.1032776</v>
      </c>
      <c r="H3125" s="8">
        <v>7.671</v>
      </c>
      <c r="J3125" s="26"/>
      <c r="K3125"/>
    </row>
    <row r="3126" spans="1:11">
      <c r="A3126">
        <v>22</v>
      </c>
      <c r="B3126" s="64">
        <v>41061</v>
      </c>
      <c r="C3126" s="2">
        <v>1102857.37</v>
      </c>
      <c r="D3126">
        <v>0</v>
      </c>
      <c r="E3126" s="65">
        <v>70.01</v>
      </c>
      <c r="F3126" s="8">
        <v>3.798</v>
      </c>
      <c r="G3126" s="66">
        <v>142.1095438</v>
      </c>
      <c r="H3126" s="8">
        <v>7.671</v>
      </c>
      <c r="J3126" s="26"/>
      <c r="K3126"/>
    </row>
    <row r="3127" spans="1:11">
      <c r="A3127">
        <v>22</v>
      </c>
      <c r="B3127" s="64">
        <v>41068</v>
      </c>
      <c r="C3127" s="2">
        <v>1061134.37</v>
      </c>
      <c r="D3127">
        <v>0</v>
      </c>
      <c r="E3127" s="65">
        <v>61.71</v>
      </c>
      <c r="F3127" s="8">
        <v>3.746</v>
      </c>
      <c r="G3127" s="66">
        <v>142.1158099</v>
      </c>
      <c r="H3127" s="8">
        <v>7.671</v>
      </c>
      <c r="J3127" s="26"/>
      <c r="K3127"/>
    </row>
    <row r="3128" spans="1:11">
      <c r="A3128">
        <v>22</v>
      </c>
      <c r="B3128" s="64">
        <v>41075</v>
      </c>
      <c r="C3128" s="2">
        <v>1061219.19</v>
      </c>
      <c r="D3128">
        <v>0</v>
      </c>
      <c r="E3128" s="65">
        <v>66.56</v>
      </c>
      <c r="F3128" s="8">
        <v>3.683</v>
      </c>
      <c r="G3128" s="66">
        <v>142.1292548</v>
      </c>
      <c r="H3128" s="8">
        <v>7.671</v>
      </c>
      <c r="J3128" s="26"/>
      <c r="K3128"/>
    </row>
    <row r="3129" spans="1:11">
      <c r="A3129">
        <v>22</v>
      </c>
      <c r="B3129" s="64">
        <v>41082</v>
      </c>
      <c r="C3129" s="2">
        <v>1112449.3</v>
      </c>
      <c r="D3129">
        <v>0</v>
      </c>
      <c r="E3129" s="65">
        <v>70.61</v>
      </c>
      <c r="F3129" s="8">
        <v>3.629</v>
      </c>
      <c r="G3129" s="66">
        <v>142.1606464</v>
      </c>
      <c r="H3129" s="8">
        <v>7.671</v>
      </c>
      <c r="J3129" s="26"/>
      <c r="K3129"/>
    </row>
    <row r="3130" spans="1:11">
      <c r="A3130">
        <v>22</v>
      </c>
      <c r="B3130" s="64">
        <v>41089</v>
      </c>
      <c r="C3130" s="2">
        <v>1053881.78</v>
      </c>
      <c r="D3130">
        <v>0</v>
      </c>
      <c r="E3130" s="65">
        <v>70.99</v>
      </c>
      <c r="F3130" s="8">
        <v>3.577</v>
      </c>
      <c r="G3130" s="66">
        <v>142.1920381</v>
      </c>
      <c r="H3130" s="8">
        <v>7.671</v>
      </c>
      <c r="J3130" s="26"/>
      <c r="K3130"/>
    </row>
    <row r="3131" spans="1:11">
      <c r="A3131">
        <v>22</v>
      </c>
      <c r="B3131" s="64">
        <v>41096</v>
      </c>
      <c r="C3131" s="2">
        <v>1097786.14</v>
      </c>
      <c r="D3131">
        <v>0</v>
      </c>
      <c r="E3131" s="65">
        <v>77.41</v>
      </c>
      <c r="F3131" s="8">
        <v>3.538</v>
      </c>
      <c r="G3131" s="66">
        <v>142.2234298</v>
      </c>
      <c r="H3131" s="8">
        <v>7.753</v>
      </c>
      <c r="J3131" s="26"/>
      <c r="K3131"/>
    </row>
    <row r="3132" spans="1:11">
      <c r="A3132">
        <v>22</v>
      </c>
      <c r="B3132" s="64">
        <v>41103</v>
      </c>
      <c r="C3132" s="2">
        <v>971361.38</v>
      </c>
      <c r="D3132">
        <v>0</v>
      </c>
      <c r="E3132" s="65">
        <v>75.81</v>
      </c>
      <c r="F3132" s="8">
        <v>3.561</v>
      </c>
      <c r="G3132" s="66">
        <v>142.2548214</v>
      </c>
      <c r="H3132" s="8">
        <v>7.753</v>
      </c>
      <c r="J3132" s="26"/>
      <c r="K3132"/>
    </row>
    <row r="3133" spans="1:11">
      <c r="A3133">
        <v>22</v>
      </c>
      <c r="B3133" s="64">
        <v>41110</v>
      </c>
      <c r="C3133" s="2">
        <v>991969.37</v>
      </c>
      <c r="D3133">
        <v>0</v>
      </c>
      <c r="E3133" s="65">
        <v>76.57</v>
      </c>
      <c r="F3133" s="8">
        <v>3.61</v>
      </c>
      <c r="G3133" s="66">
        <v>142.2337569</v>
      </c>
      <c r="H3133" s="8">
        <v>7.753</v>
      </c>
      <c r="J3133" s="26"/>
      <c r="K3133"/>
    </row>
    <row r="3134" spans="1:11">
      <c r="A3134">
        <v>22</v>
      </c>
      <c r="B3134" s="64">
        <v>41117</v>
      </c>
      <c r="C3134" s="2">
        <v>925731.21</v>
      </c>
      <c r="D3134">
        <v>0</v>
      </c>
      <c r="E3134" s="65">
        <v>73.52</v>
      </c>
      <c r="F3134" s="8">
        <v>3.701</v>
      </c>
      <c r="G3134" s="66">
        <v>142.2126924</v>
      </c>
      <c r="H3134" s="8">
        <v>7.753</v>
      </c>
      <c r="J3134" s="26"/>
      <c r="K3134"/>
    </row>
    <row r="3135" spans="1:11">
      <c r="A3135">
        <v>22</v>
      </c>
      <c r="B3135" s="64">
        <v>41124</v>
      </c>
      <c r="C3135" s="2">
        <v>1007257.83</v>
      </c>
      <c r="D3135">
        <v>0</v>
      </c>
      <c r="E3135" s="65">
        <v>72.99</v>
      </c>
      <c r="F3135" s="8">
        <v>3.698</v>
      </c>
      <c r="G3135" s="66">
        <v>142.1916279</v>
      </c>
      <c r="H3135" s="8">
        <v>7.753</v>
      </c>
      <c r="J3135" s="26"/>
      <c r="K3135"/>
    </row>
    <row r="3136" spans="1:11">
      <c r="A3136">
        <v>22</v>
      </c>
      <c r="B3136" s="64">
        <v>41131</v>
      </c>
      <c r="C3136" s="2">
        <v>973812.79</v>
      </c>
      <c r="D3136">
        <v>0</v>
      </c>
      <c r="E3136" s="65">
        <v>76.74</v>
      </c>
      <c r="F3136" s="8">
        <v>3.772</v>
      </c>
      <c r="G3136" s="66">
        <v>142.1705634</v>
      </c>
      <c r="H3136" s="8">
        <v>7.753</v>
      </c>
      <c r="J3136" s="26"/>
      <c r="K3136"/>
    </row>
    <row r="3137" spans="1:11">
      <c r="A3137">
        <v>22</v>
      </c>
      <c r="B3137" s="64">
        <v>41138</v>
      </c>
      <c r="C3137" s="2">
        <v>981273.26</v>
      </c>
      <c r="D3137">
        <v>0</v>
      </c>
      <c r="E3137" s="65">
        <v>74.92</v>
      </c>
      <c r="F3137" s="8">
        <v>3.84</v>
      </c>
      <c r="G3137" s="66">
        <v>142.2157385</v>
      </c>
      <c r="H3137" s="8">
        <v>7.753</v>
      </c>
      <c r="J3137" s="26"/>
      <c r="K3137"/>
    </row>
    <row r="3138" spans="1:11">
      <c r="A3138">
        <v>22</v>
      </c>
      <c r="B3138" s="64">
        <v>41145</v>
      </c>
      <c r="C3138" s="2">
        <v>1060906.75</v>
      </c>
      <c r="D3138">
        <v>0</v>
      </c>
      <c r="E3138" s="65">
        <v>70.42</v>
      </c>
      <c r="F3138" s="8">
        <v>3.874</v>
      </c>
      <c r="G3138" s="66">
        <v>142.3105933</v>
      </c>
      <c r="H3138" s="8">
        <v>7.753</v>
      </c>
      <c r="J3138" s="26"/>
      <c r="K3138"/>
    </row>
    <row r="3139" spans="1:11">
      <c r="A3139">
        <v>22</v>
      </c>
      <c r="B3139" s="64">
        <v>41152</v>
      </c>
      <c r="C3139" s="2">
        <v>1022270.86</v>
      </c>
      <c r="D3139">
        <v>0</v>
      </c>
      <c r="E3139" s="65">
        <v>71.93</v>
      </c>
      <c r="F3139" s="8">
        <v>3.884</v>
      </c>
      <c r="G3139" s="66">
        <v>142.4054482</v>
      </c>
      <c r="H3139" s="8">
        <v>7.753</v>
      </c>
      <c r="J3139" s="26"/>
      <c r="K3139"/>
    </row>
    <row r="3140" spans="1:11">
      <c r="A3140">
        <v>22</v>
      </c>
      <c r="B3140" s="64">
        <v>41159</v>
      </c>
      <c r="C3140" s="2">
        <v>996628.8</v>
      </c>
      <c r="D3140">
        <v>1</v>
      </c>
      <c r="E3140" s="65">
        <v>73.3</v>
      </c>
      <c r="F3140" s="8">
        <v>3.921</v>
      </c>
      <c r="G3140" s="66">
        <v>142.500303</v>
      </c>
      <c r="H3140" s="8">
        <v>7.753</v>
      </c>
      <c r="J3140" s="26"/>
      <c r="K3140"/>
    </row>
    <row r="3141" spans="1:11">
      <c r="A3141">
        <v>22</v>
      </c>
      <c r="B3141" s="64">
        <v>41166</v>
      </c>
      <c r="C3141" s="2">
        <v>918049.28</v>
      </c>
      <c r="D3141">
        <v>0</v>
      </c>
      <c r="E3141" s="65">
        <v>66.42</v>
      </c>
      <c r="F3141" s="8">
        <v>3.988</v>
      </c>
      <c r="G3141" s="66">
        <v>142.5938833</v>
      </c>
      <c r="H3141" s="8">
        <v>7.753</v>
      </c>
      <c r="J3141" s="26"/>
      <c r="K3141"/>
    </row>
    <row r="3142" spans="1:11">
      <c r="A3142">
        <v>22</v>
      </c>
      <c r="B3142" s="64">
        <v>41173</v>
      </c>
      <c r="C3142" s="2">
        <v>921612.53</v>
      </c>
      <c r="D3142">
        <v>0</v>
      </c>
      <c r="E3142" s="65">
        <v>63.38</v>
      </c>
      <c r="F3142" s="8">
        <v>4.056</v>
      </c>
      <c r="G3142" s="66">
        <v>142.6798167</v>
      </c>
      <c r="H3142" s="8">
        <v>7.753</v>
      </c>
      <c r="J3142" s="26"/>
      <c r="K3142"/>
    </row>
    <row r="3143" spans="1:11">
      <c r="A3143">
        <v>22</v>
      </c>
      <c r="B3143" s="64">
        <v>41180</v>
      </c>
      <c r="C3143" s="2">
        <v>976479.51</v>
      </c>
      <c r="D3143">
        <v>0</v>
      </c>
      <c r="E3143" s="65">
        <v>62.17</v>
      </c>
      <c r="F3143" s="8">
        <v>4.018</v>
      </c>
      <c r="G3143" s="66">
        <v>142.76575</v>
      </c>
      <c r="H3143" s="8">
        <v>7.753</v>
      </c>
      <c r="J3143" s="26"/>
      <c r="K3143"/>
    </row>
    <row r="3144" spans="1:11">
      <c r="A3144">
        <v>22</v>
      </c>
      <c r="B3144" s="64">
        <v>41187</v>
      </c>
      <c r="C3144" s="2">
        <v>1009887.36</v>
      </c>
      <c r="D3144">
        <v>0</v>
      </c>
      <c r="E3144" s="65">
        <v>62.09</v>
      </c>
      <c r="F3144" s="8">
        <v>4.027</v>
      </c>
      <c r="G3144" s="66">
        <v>142.8516833</v>
      </c>
      <c r="H3144" s="8">
        <v>7.543</v>
      </c>
      <c r="J3144" s="26"/>
      <c r="K3144"/>
    </row>
    <row r="3145" spans="1:11">
      <c r="A3145">
        <v>22</v>
      </c>
      <c r="B3145" s="64">
        <v>41194</v>
      </c>
      <c r="C3145" s="2">
        <v>1004039.84</v>
      </c>
      <c r="D3145">
        <v>0</v>
      </c>
      <c r="E3145" s="65">
        <v>54.18</v>
      </c>
      <c r="F3145" s="8">
        <v>4.029</v>
      </c>
      <c r="G3145" s="66">
        <v>142.9376167</v>
      </c>
      <c r="H3145" s="8">
        <v>7.543</v>
      </c>
      <c r="J3145" s="26"/>
      <c r="K3145"/>
    </row>
    <row r="3146" spans="1:11">
      <c r="A3146">
        <v>22</v>
      </c>
      <c r="B3146" s="64">
        <v>41201</v>
      </c>
      <c r="C3146" s="2">
        <v>978027.95</v>
      </c>
      <c r="D3146">
        <v>0</v>
      </c>
      <c r="E3146" s="65">
        <v>55.28</v>
      </c>
      <c r="F3146" s="8">
        <v>4</v>
      </c>
      <c r="G3146" s="66">
        <v>142.8633629</v>
      </c>
      <c r="H3146" s="8">
        <v>7.543</v>
      </c>
      <c r="J3146" s="26"/>
      <c r="K3146"/>
    </row>
    <row r="3147" spans="1:11">
      <c r="A3147">
        <v>22</v>
      </c>
      <c r="B3147" s="64">
        <v>41208</v>
      </c>
      <c r="C3147" s="2">
        <v>1094422.69</v>
      </c>
      <c r="D3147">
        <v>0</v>
      </c>
      <c r="E3147" s="65">
        <v>57.58</v>
      </c>
      <c r="F3147" s="8">
        <v>3.917</v>
      </c>
      <c r="G3147" s="66">
        <v>142.7624113</v>
      </c>
      <c r="H3147" s="8">
        <v>7.543</v>
      </c>
      <c r="J3147" s="26"/>
      <c r="K3147"/>
    </row>
    <row r="3148" spans="1:11">
      <c r="A3148">
        <v>23</v>
      </c>
      <c r="B3148" s="64">
        <v>40214</v>
      </c>
      <c r="C3148" s="2">
        <v>1364721.58</v>
      </c>
      <c r="D3148">
        <v>0</v>
      </c>
      <c r="E3148" s="65">
        <v>15.25</v>
      </c>
      <c r="F3148" s="8">
        <v>2.788</v>
      </c>
      <c r="G3148" s="66">
        <v>131.5279032</v>
      </c>
      <c r="H3148" s="8">
        <v>5.892</v>
      </c>
      <c r="J3148" s="26"/>
      <c r="K3148"/>
    </row>
    <row r="3149" spans="1:11">
      <c r="A3149">
        <v>23</v>
      </c>
      <c r="B3149" s="64">
        <v>40221</v>
      </c>
      <c r="C3149" s="2">
        <v>1380892.08</v>
      </c>
      <c r="D3149">
        <v>1</v>
      </c>
      <c r="E3149" s="65">
        <v>18.75</v>
      </c>
      <c r="F3149" s="8">
        <v>2.771</v>
      </c>
      <c r="G3149" s="66">
        <v>131.5866129</v>
      </c>
      <c r="H3149" s="8">
        <v>5.892</v>
      </c>
      <c r="J3149" s="26"/>
      <c r="K3149"/>
    </row>
    <row r="3150" spans="1:11">
      <c r="A3150">
        <v>23</v>
      </c>
      <c r="B3150" s="64">
        <v>40228</v>
      </c>
      <c r="C3150" s="2">
        <v>1319588.04</v>
      </c>
      <c r="D3150">
        <v>0</v>
      </c>
      <c r="E3150" s="65">
        <v>26.7</v>
      </c>
      <c r="F3150" s="8">
        <v>2.747</v>
      </c>
      <c r="G3150" s="66">
        <v>131.637</v>
      </c>
      <c r="H3150" s="8">
        <v>5.892</v>
      </c>
      <c r="J3150" s="26"/>
      <c r="K3150"/>
    </row>
    <row r="3151" spans="1:11">
      <c r="A3151">
        <v>23</v>
      </c>
      <c r="B3151" s="64">
        <v>40235</v>
      </c>
      <c r="C3151" s="2">
        <v>1198709.65</v>
      </c>
      <c r="D3151">
        <v>0</v>
      </c>
      <c r="E3151" s="65">
        <v>32.68</v>
      </c>
      <c r="F3151" s="8">
        <v>2.753</v>
      </c>
      <c r="G3151" s="66">
        <v>131.686</v>
      </c>
      <c r="H3151" s="8">
        <v>5.892</v>
      </c>
      <c r="J3151" s="26"/>
      <c r="K3151"/>
    </row>
    <row r="3152" spans="1:11">
      <c r="A3152">
        <v>23</v>
      </c>
      <c r="B3152" s="64">
        <v>40242</v>
      </c>
      <c r="C3152" s="2">
        <v>1311175.93</v>
      </c>
      <c r="D3152">
        <v>0</v>
      </c>
      <c r="E3152" s="65">
        <v>33.15</v>
      </c>
      <c r="F3152" s="8">
        <v>2.766</v>
      </c>
      <c r="G3152" s="66">
        <v>131.735</v>
      </c>
      <c r="H3152" s="8">
        <v>5.892</v>
      </c>
      <c r="J3152" s="26"/>
      <c r="K3152"/>
    </row>
    <row r="3153" spans="1:11">
      <c r="A3153">
        <v>23</v>
      </c>
      <c r="B3153" s="64">
        <v>40249</v>
      </c>
      <c r="C3153" s="2">
        <v>1408082.96</v>
      </c>
      <c r="D3153">
        <v>0</v>
      </c>
      <c r="E3153" s="65">
        <v>36.07</v>
      </c>
      <c r="F3153" s="8">
        <v>2.805</v>
      </c>
      <c r="G3153" s="66">
        <v>131.784</v>
      </c>
      <c r="H3153" s="8">
        <v>5.892</v>
      </c>
      <c r="J3153" s="26"/>
      <c r="K3153"/>
    </row>
    <row r="3154" spans="1:11">
      <c r="A3154">
        <v>23</v>
      </c>
      <c r="B3154" s="64">
        <v>40256</v>
      </c>
      <c r="C3154" s="2">
        <v>1229008.32</v>
      </c>
      <c r="D3154">
        <v>0</v>
      </c>
      <c r="E3154" s="65">
        <v>43.01</v>
      </c>
      <c r="F3154" s="8">
        <v>2.834</v>
      </c>
      <c r="G3154" s="66">
        <v>131.8242903</v>
      </c>
      <c r="H3154" s="8">
        <v>5.892</v>
      </c>
      <c r="J3154" s="26"/>
      <c r="K3154"/>
    </row>
    <row r="3155" spans="1:11">
      <c r="A3155">
        <v>23</v>
      </c>
      <c r="B3155" s="64">
        <v>40263</v>
      </c>
      <c r="C3155" s="2">
        <v>1310701.8</v>
      </c>
      <c r="D3155">
        <v>0</v>
      </c>
      <c r="E3155" s="65">
        <v>38.59</v>
      </c>
      <c r="F3155" s="8">
        <v>2.831</v>
      </c>
      <c r="G3155" s="66">
        <v>131.863129</v>
      </c>
      <c r="H3155" s="8">
        <v>5.892</v>
      </c>
      <c r="J3155" s="26"/>
      <c r="K3155"/>
    </row>
    <row r="3156" spans="1:11">
      <c r="A3156">
        <v>23</v>
      </c>
      <c r="B3156" s="64">
        <v>40270</v>
      </c>
      <c r="C3156" s="2">
        <v>1556627.62</v>
      </c>
      <c r="D3156">
        <v>0</v>
      </c>
      <c r="E3156" s="65">
        <v>40.5</v>
      </c>
      <c r="F3156" s="8">
        <v>2.826</v>
      </c>
      <c r="G3156" s="66">
        <v>131.9019677</v>
      </c>
      <c r="H3156" s="8">
        <v>5.435</v>
      </c>
      <c r="J3156" s="26"/>
      <c r="K3156"/>
    </row>
    <row r="3157" spans="1:11">
      <c r="A3157">
        <v>23</v>
      </c>
      <c r="B3157" s="64">
        <v>40277</v>
      </c>
      <c r="C3157" s="2">
        <v>1264434.7</v>
      </c>
      <c r="D3157">
        <v>0</v>
      </c>
      <c r="E3157" s="65">
        <v>56.82</v>
      </c>
      <c r="F3157" s="8">
        <v>2.849</v>
      </c>
      <c r="G3157" s="66">
        <v>131.9408065</v>
      </c>
      <c r="H3157" s="8">
        <v>5.435</v>
      </c>
      <c r="J3157" s="26"/>
      <c r="K3157"/>
    </row>
    <row r="3158" spans="1:11">
      <c r="A3158">
        <v>23</v>
      </c>
      <c r="B3158" s="64">
        <v>40284</v>
      </c>
      <c r="C3158" s="2">
        <v>1288823.72</v>
      </c>
      <c r="D3158">
        <v>0</v>
      </c>
      <c r="E3158" s="65">
        <v>44.25</v>
      </c>
      <c r="F3158" s="8">
        <v>2.885</v>
      </c>
      <c r="G3158" s="66">
        <v>131.9809</v>
      </c>
      <c r="H3158" s="8">
        <v>5.435</v>
      </c>
      <c r="J3158" s="26"/>
      <c r="K3158"/>
    </row>
    <row r="3159" spans="1:11">
      <c r="A3159">
        <v>23</v>
      </c>
      <c r="B3159" s="64">
        <v>40291</v>
      </c>
      <c r="C3159" s="2">
        <v>1315023.08</v>
      </c>
      <c r="D3159">
        <v>0</v>
      </c>
      <c r="E3159" s="65">
        <v>46.4</v>
      </c>
      <c r="F3159" s="8">
        <v>2.895</v>
      </c>
      <c r="G3159" s="66">
        <v>132.0226667</v>
      </c>
      <c r="H3159" s="8">
        <v>5.435</v>
      </c>
      <c r="J3159" s="26"/>
      <c r="K3159"/>
    </row>
    <row r="3160" spans="1:11">
      <c r="A3160">
        <v>23</v>
      </c>
      <c r="B3160" s="64">
        <v>40298</v>
      </c>
      <c r="C3160" s="2">
        <v>1259414.52</v>
      </c>
      <c r="D3160">
        <v>0</v>
      </c>
      <c r="E3160" s="65">
        <v>45.47</v>
      </c>
      <c r="F3160" s="8">
        <v>2.935</v>
      </c>
      <c r="G3160" s="66">
        <v>132.0644333</v>
      </c>
      <c r="H3160" s="8">
        <v>5.435</v>
      </c>
      <c r="J3160" s="26"/>
      <c r="K3160"/>
    </row>
    <row r="3161" spans="1:11">
      <c r="A3161">
        <v>23</v>
      </c>
      <c r="B3161" s="64">
        <v>40305</v>
      </c>
      <c r="C3161" s="2">
        <v>1365552.28</v>
      </c>
      <c r="D3161">
        <v>0</v>
      </c>
      <c r="E3161" s="65">
        <v>61.04</v>
      </c>
      <c r="F3161" s="8">
        <v>2.981</v>
      </c>
      <c r="G3161" s="66">
        <v>132.1062</v>
      </c>
      <c r="H3161" s="8">
        <v>5.435</v>
      </c>
      <c r="J3161" s="26"/>
      <c r="K3161"/>
    </row>
    <row r="3162" spans="1:11">
      <c r="A3162">
        <v>23</v>
      </c>
      <c r="B3162" s="64">
        <v>40312</v>
      </c>
      <c r="C3162" s="2">
        <v>1303055.09</v>
      </c>
      <c r="D3162">
        <v>0</v>
      </c>
      <c r="E3162" s="65">
        <v>45.33</v>
      </c>
      <c r="F3162" s="8">
        <v>2.983</v>
      </c>
      <c r="G3162" s="66">
        <v>132.152129</v>
      </c>
      <c r="H3162" s="8">
        <v>5.435</v>
      </c>
      <c r="J3162" s="26"/>
      <c r="K3162"/>
    </row>
    <row r="3163" spans="1:11">
      <c r="A3163">
        <v>23</v>
      </c>
      <c r="B3163" s="64">
        <v>40319</v>
      </c>
      <c r="C3163" s="2">
        <v>1327424.28</v>
      </c>
      <c r="D3163">
        <v>0</v>
      </c>
      <c r="E3163" s="65">
        <v>57.94</v>
      </c>
      <c r="F3163" s="8">
        <v>2.961</v>
      </c>
      <c r="G3163" s="66">
        <v>132.2230323</v>
      </c>
      <c r="H3163" s="8">
        <v>5.435</v>
      </c>
      <c r="J3163" s="26"/>
      <c r="K3163"/>
    </row>
    <row r="3164" spans="1:11">
      <c r="A3164">
        <v>23</v>
      </c>
      <c r="B3164" s="64">
        <v>40326</v>
      </c>
      <c r="C3164" s="2">
        <v>1571158.56</v>
      </c>
      <c r="D3164">
        <v>0</v>
      </c>
      <c r="E3164" s="65">
        <v>69.26</v>
      </c>
      <c r="F3164" s="8">
        <v>2.906</v>
      </c>
      <c r="G3164" s="66">
        <v>132.2939355</v>
      </c>
      <c r="H3164" s="8">
        <v>5.435</v>
      </c>
      <c r="J3164" s="26"/>
      <c r="K3164"/>
    </row>
    <row r="3165" spans="1:11">
      <c r="A3165">
        <v>23</v>
      </c>
      <c r="B3165" s="64">
        <v>40333</v>
      </c>
      <c r="C3165" s="2">
        <v>1514435.51</v>
      </c>
      <c r="D3165">
        <v>0</v>
      </c>
      <c r="E3165" s="65">
        <v>64.94</v>
      </c>
      <c r="F3165" s="8">
        <v>2.857</v>
      </c>
      <c r="G3165" s="66">
        <v>132.3648387</v>
      </c>
      <c r="H3165" s="8">
        <v>5.435</v>
      </c>
      <c r="J3165" s="26"/>
      <c r="K3165"/>
    </row>
    <row r="3166" spans="1:11">
      <c r="A3166">
        <v>23</v>
      </c>
      <c r="B3166" s="64">
        <v>40340</v>
      </c>
      <c r="C3166" s="2">
        <v>1439432.06</v>
      </c>
      <c r="D3166">
        <v>0</v>
      </c>
      <c r="E3166" s="65">
        <v>58.35</v>
      </c>
      <c r="F3166" s="8">
        <v>2.83</v>
      </c>
      <c r="G3166" s="66">
        <v>132.4357419</v>
      </c>
      <c r="H3166" s="8">
        <v>5.435</v>
      </c>
      <c r="J3166" s="26"/>
      <c r="K3166"/>
    </row>
    <row r="3167" spans="1:11">
      <c r="A3167">
        <v>23</v>
      </c>
      <c r="B3167" s="64">
        <v>40347</v>
      </c>
      <c r="C3167" s="2">
        <v>1507708.93</v>
      </c>
      <c r="D3167">
        <v>0</v>
      </c>
      <c r="E3167" s="65">
        <v>60.29</v>
      </c>
      <c r="F3167" s="8">
        <v>2.805</v>
      </c>
      <c r="G3167" s="66">
        <v>132.4733333</v>
      </c>
      <c r="H3167" s="8">
        <v>5.435</v>
      </c>
      <c r="J3167" s="26"/>
      <c r="K3167"/>
    </row>
    <row r="3168" spans="1:11">
      <c r="A3168">
        <v>23</v>
      </c>
      <c r="B3168" s="64">
        <v>40354</v>
      </c>
      <c r="C3168" s="2">
        <v>1415204.88</v>
      </c>
      <c r="D3168">
        <v>0</v>
      </c>
      <c r="E3168" s="65">
        <v>69.83</v>
      </c>
      <c r="F3168" s="8">
        <v>2.81</v>
      </c>
      <c r="G3168" s="66">
        <v>132.4976</v>
      </c>
      <c r="H3168" s="8">
        <v>5.435</v>
      </c>
      <c r="J3168" s="26"/>
      <c r="K3168"/>
    </row>
    <row r="3169" spans="1:11">
      <c r="A3169">
        <v>23</v>
      </c>
      <c r="B3169" s="64">
        <v>40361</v>
      </c>
      <c r="C3169" s="2">
        <v>1549113.18</v>
      </c>
      <c r="D3169">
        <v>0</v>
      </c>
      <c r="E3169" s="65">
        <v>64.76</v>
      </c>
      <c r="F3169" s="8">
        <v>2.815</v>
      </c>
      <c r="G3169" s="66">
        <v>132.5218667</v>
      </c>
      <c r="H3169" s="8">
        <v>5.326</v>
      </c>
      <c r="J3169" s="26"/>
      <c r="K3169"/>
    </row>
    <row r="3170" spans="1:11">
      <c r="A3170">
        <v>23</v>
      </c>
      <c r="B3170" s="64">
        <v>40368</v>
      </c>
      <c r="C3170" s="2">
        <v>1417535.78</v>
      </c>
      <c r="D3170">
        <v>0</v>
      </c>
      <c r="E3170" s="65">
        <v>77.16</v>
      </c>
      <c r="F3170" s="8">
        <v>2.806</v>
      </c>
      <c r="G3170" s="66">
        <v>132.5461333</v>
      </c>
      <c r="H3170" s="8">
        <v>5.326</v>
      </c>
      <c r="J3170" s="26"/>
      <c r="K3170"/>
    </row>
    <row r="3171" spans="1:11">
      <c r="A3171">
        <v>23</v>
      </c>
      <c r="B3171" s="64">
        <v>40375</v>
      </c>
      <c r="C3171" s="2">
        <v>1413124.11</v>
      </c>
      <c r="D3171">
        <v>0</v>
      </c>
      <c r="E3171" s="65">
        <v>73.94</v>
      </c>
      <c r="F3171" s="8">
        <v>2.796</v>
      </c>
      <c r="G3171" s="66">
        <v>132.5667742</v>
      </c>
      <c r="H3171" s="8">
        <v>5.326</v>
      </c>
      <c r="J3171" s="26"/>
      <c r="K3171"/>
    </row>
    <row r="3172" spans="1:11">
      <c r="A3172">
        <v>23</v>
      </c>
      <c r="B3172" s="64">
        <v>40382</v>
      </c>
      <c r="C3172" s="2">
        <v>1333634.45</v>
      </c>
      <c r="D3172">
        <v>0</v>
      </c>
      <c r="E3172" s="65">
        <v>70.2</v>
      </c>
      <c r="F3172" s="8">
        <v>2.784</v>
      </c>
      <c r="G3172" s="66">
        <v>132.5825806</v>
      </c>
      <c r="H3172" s="8">
        <v>5.326</v>
      </c>
      <c r="J3172" s="26"/>
      <c r="K3172"/>
    </row>
    <row r="3173" spans="1:11">
      <c r="A3173">
        <v>23</v>
      </c>
      <c r="B3173" s="64">
        <v>40389</v>
      </c>
      <c r="C3173" s="2">
        <v>1319773.55</v>
      </c>
      <c r="D3173">
        <v>0</v>
      </c>
      <c r="E3173" s="65">
        <v>69.71</v>
      </c>
      <c r="F3173" s="8">
        <v>2.792</v>
      </c>
      <c r="G3173" s="66">
        <v>132.5983871</v>
      </c>
      <c r="H3173" s="8">
        <v>5.326</v>
      </c>
      <c r="J3173" s="26"/>
      <c r="K3173"/>
    </row>
    <row r="3174" spans="1:11">
      <c r="A3174">
        <v>23</v>
      </c>
      <c r="B3174" s="64">
        <v>40396</v>
      </c>
      <c r="C3174" s="2">
        <v>1417013.07</v>
      </c>
      <c r="D3174">
        <v>0</v>
      </c>
      <c r="E3174" s="65">
        <v>70.03</v>
      </c>
      <c r="F3174" s="8">
        <v>2.792</v>
      </c>
      <c r="G3174" s="66">
        <v>132.6141935</v>
      </c>
      <c r="H3174" s="8">
        <v>5.326</v>
      </c>
      <c r="J3174" s="26"/>
      <c r="K3174"/>
    </row>
    <row r="3175" spans="1:11">
      <c r="A3175">
        <v>23</v>
      </c>
      <c r="B3175" s="64">
        <v>40403</v>
      </c>
      <c r="C3175" s="2">
        <v>1346345.97</v>
      </c>
      <c r="D3175">
        <v>0</v>
      </c>
      <c r="E3175" s="65">
        <v>67.43</v>
      </c>
      <c r="F3175" s="8">
        <v>2.81</v>
      </c>
      <c r="G3175" s="66">
        <v>132.63</v>
      </c>
      <c r="H3175" s="8">
        <v>5.326</v>
      </c>
      <c r="J3175" s="26"/>
      <c r="K3175"/>
    </row>
    <row r="3176" spans="1:11">
      <c r="A3176">
        <v>23</v>
      </c>
      <c r="B3176" s="64">
        <v>40410</v>
      </c>
      <c r="C3176" s="2">
        <v>1439901.05</v>
      </c>
      <c r="D3176">
        <v>0</v>
      </c>
      <c r="E3176" s="65">
        <v>68.65</v>
      </c>
      <c r="F3176" s="8">
        <v>2.796</v>
      </c>
      <c r="G3176" s="66">
        <v>132.6616129</v>
      </c>
      <c r="H3176" s="8">
        <v>5.326</v>
      </c>
      <c r="J3176" s="26"/>
      <c r="K3176"/>
    </row>
    <row r="3177" spans="1:11">
      <c r="A3177">
        <v>23</v>
      </c>
      <c r="B3177" s="64">
        <v>40417</v>
      </c>
      <c r="C3177" s="2">
        <v>1584623.36</v>
      </c>
      <c r="D3177">
        <v>0</v>
      </c>
      <c r="E3177" s="65">
        <v>63.25</v>
      </c>
      <c r="F3177" s="8">
        <v>2.77</v>
      </c>
      <c r="G3177" s="66">
        <v>132.6932258</v>
      </c>
      <c r="H3177" s="8">
        <v>5.326</v>
      </c>
      <c r="J3177" s="26"/>
      <c r="K3177"/>
    </row>
    <row r="3178" spans="1:11">
      <c r="A3178">
        <v>23</v>
      </c>
      <c r="B3178" s="64">
        <v>40424</v>
      </c>
      <c r="C3178" s="2">
        <v>1405119.23</v>
      </c>
      <c r="D3178">
        <v>0</v>
      </c>
      <c r="E3178" s="65">
        <v>72.91</v>
      </c>
      <c r="F3178" s="8">
        <v>2.735</v>
      </c>
      <c r="G3178" s="66">
        <v>132.7248387</v>
      </c>
      <c r="H3178" s="8">
        <v>5.326</v>
      </c>
      <c r="J3178" s="26"/>
      <c r="K3178"/>
    </row>
    <row r="3179" spans="1:11">
      <c r="A3179">
        <v>23</v>
      </c>
      <c r="B3179" s="64">
        <v>40431</v>
      </c>
      <c r="C3179" s="2">
        <v>1272842.85</v>
      </c>
      <c r="D3179">
        <v>1</v>
      </c>
      <c r="E3179" s="65">
        <v>63.21</v>
      </c>
      <c r="F3179" s="8">
        <v>2.717</v>
      </c>
      <c r="G3179" s="66">
        <v>132.7564516</v>
      </c>
      <c r="H3179" s="8">
        <v>5.326</v>
      </c>
      <c r="J3179" s="26"/>
      <c r="K3179"/>
    </row>
    <row r="3180" spans="1:11">
      <c r="A3180">
        <v>23</v>
      </c>
      <c r="B3180" s="64">
        <v>40438</v>
      </c>
      <c r="C3180" s="2">
        <v>1159132.58</v>
      </c>
      <c r="D3180">
        <v>0</v>
      </c>
      <c r="E3180" s="65">
        <v>55.3</v>
      </c>
      <c r="F3180" s="8">
        <v>2.716</v>
      </c>
      <c r="G3180" s="66">
        <v>132.7670667</v>
      </c>
      <c r="H3180" s="8">
        <v>5.326</v>
      </c>
      <c r="J3180" s="26"/>
      <c r="K3180"/>
    </row>
    <row r="3181" spans="1:11">
      <c r="A3181">
        <v>23</v>
      </c>
      <c r="B3181" s="64">
        <v>40445</v>
      </c>
      <c r="C3181" s="2">
        <v>1099055.65</v>
      </c>
      <c r="D3181">
        <v>0</v>
      </c>
      <c r="E3181" s="65">
        <v>57.75</v>
      </c>
      <c r="F3181" s="8">
        <v>2.718</v>
      </c>
      <c r="G3181" s="66">
        <v>132.7619333</v>
      </c>
      <c r="H3181" s="8">
        <v>5.326</v>
      </c>
      <c r="J3181" s="26"/>
      <c r="K3181"/>
    </row>
    <row r="3182" spans="1:11">
      <c r="A3182">
        <v>23</v>
      </c>
      <c r="B3182" s="64">
        <v>40452</v>
      </c>
      <c r="C3182" s="2">
        <v>1129909.44</v>
      </c>
      <c r="D3182">
        <v>0</v>
      </c>
      <c r="E3182" s="65">
        <v>62.07</v>
      </c>
      <c r="F3182" s="8">
        <v>2.717</v>
      </c>
      <c r="G3182" s="66">
        <v>132.7568</v>
      </c>
      <c r="H3182" s="8">
        <v>5.287</v>
      </c>
      <c r="J3182" s="26"/>
      <c r="K3182"/>
    </row>
    <row r="3183" spans="1:11">
      <c r="A3183">
        <v>23</v>
      </c>
      <c r="B3183" s="64">
        <v>40459</v>
      </c>
      <c r="C3183" s="2">
        <v>1179851.68</v>
      </c>
      <c r="D3183">
        <v>0</v>
      </c>
      <c r="E3183" s="65">
        <v>50.75</v>
      </c>
      <c r="F3183" s="8">
        <v>2.776</v>
      </c>
      <c r="G3183" s="66">
        <v>132.7516667</v>
      </c>
      <c r="H3183" s="8">
        <v>5.287</v>
      </c>
      <c r="J3183" s="26"/>
      <c r="K3183"/>
    </row>
    <row r="3184" spans="1:11">
      <c r="A3184">
        <v>23</v>
      </c>
      <c r="B3184" s="64">
        <v>40466</v>
      </c>
      <c r="C3184" s="2">
        <v>1119809.71</v>
      </c>
      <c r="D3184">
        <v>0</v>
      </c>
      <c r="E3184" s="65">
        <v>45.55</v>
      </c>
      <c r="F3184" s="8">
        <v>2.878</v>
      </c>
      <c r="G3184" s="66">
        <v>132.7633548</v>
      </c>
      <c r="H3184" s="8">
        <v>5.287</v>
      </c>
      <c r="J3184" s="26"/>
      <c r="K3184"/>
    </row>
    <row r="3185" spans="1:11">
      <c r="A3185">
        <v>23</v>
      </c>
      <c r="B3185" s="64">
        <v>40473</v>
      </c>
      <c r="C3185" s="2">
        <v>1147503.92</v>
      </c>
      <c r="D3185">
        <v>0</v>
      </c>
      <c r="E3185" s="65">
        <v>43.19</v>
      </c>
      <c r="F3185" s="8">
        <v>2.919</v>
      </c>
      <c r="G3185" s="66">
        <v>132.8170968</v>
      </c>
      <c r="H3185" s="8">
        <v>5.287</v>
      </c>
      <c r="J3185" s="26"/>
      <c r="K3185"/>
    </row>
    <row r="3186" spans="1:11">
      <c r="A3186">
        <v>23</v>
      </c>
      <c r="B3186" s="64">
        <v>40480</v>
      </c>
      <c r="C3186" s="2">
        <v>1112871.23</v>
      </c>
      <c r="D3186">
        <v>0</v>
      </c>
      <c r="E3186" s="65">
        <v>48.68</v>
      </c>
      <c r="F3186" s="8">
        <v>2.938</v>
      </c>
      <c r="G3186" s="66">
        <v>132.8708387</v>
      </c>
      <c r="H3186" s="8">
        <v>5.287</v>
      </c>
      <c r="J3186" s="26"/>
      <c r="K3186"/>
    </row>
    <row r="3187" spans="1:11">
      <c r="A3187">
        <v>23</v>
      </c>
      <c r="B3187" s="64">
        <v>40487</v>
      </c>
      <c r="C3187" s="2">
        <v>1203119.96</v>
      </c>
      <c r="D3187">
        <v>0</v>
      </c>
      <c r="E3187" s="65">
        <v>36.6</v>
      </c>
      <c r="F3187" s="8">
        <v>2.938</v>
      </c>
      <c r="G3187" s="66">
        <v>132.9245806</v>
      </c>
      <c r="H3187" s="8">
        <v>5.287</v>
      </c>
      <c r="J3187" s="26"/>
      <c r="K3187"/>
    </row>
    <row r="3188" spans="1:11">
      <c r="A3188">
        <v>23</v>
      </c>
      <c r="B3188" s="64">
        <v>40494</v>
      </c>
      <c r="C3188" s="2">
        <v>1387953.75</v>
      </c>
      <c r="D3188">
        <v>0</v>
      </c>
      <c r="E3188" s="65">
        <v>35.59</v>
      </c>
      <c r="F3188" s="8">
        <v>2.961</v>
      </c>
      <c r="G3188" s="66">
        <v>132.9783226</v>
      </c>
      <c r="H3188" s="8">
        <v>5.287</v>
      </c>
      <c r="J3188" s="26"/>
      <c r="K3188"/>
    </row>
    <row r="3189" spans="1:11">
      <c r="A3189">
        <v>23</v>
      </c>
      <c r="B3189" s="64">
        <v>40501</v>
      </c>
      <c r="C3189" s="2">
        <v>1314994.32</v>
      </c>
      <c r="D3189">
        <v>0</v>
      </c>
      <c r="E3189" s="65">
        <v>41.66</v>
      </c>
      <c r="F3189" s="8">
        <v>3.03</v>
      </c>
      <c r="G3189" s="66">
        <v>132.9172</v>
      </c>
      <c r="H3189" s="8">
        <v>5.287</v>
      </c>
      <c r="J3189" s="26"/>
      <c r="K3189"/>
    </row>
    <row r="3190" spans="1:11">
      <c r="A3190">
        <v>23</v>
      </c>
      <c r="B3190" s="64">
        <v>40508</v>
      </c>
      <c r="C3190" s="2">
        <v>2072685.05</v>
      </c>
      <c r="D3190">
        <v>1</v>
      </c>
      <c r="E3190" s="65">
        <v>34.95</v>
      </c>
      <c r="F3190" s="8">
        <v>3.07</v>
      </c>
      <c r="G3190" s="66">
        <v>132.8369333</v>
      </c>
      <c r="H3190" s="8">
        <v>5.287</v>
      </c>
      <c r="J3190" s="26"/>
      <c r="K3190"/>
    </row>
    <row r="3191" spans="1:11">
      <c r="A3191">
        <v>23</v>
      </c>
      <c r="B3191" s="64">
        <v>40515</v>
      </c>
      <c r="C3191" s="2">
        <v>1617025.41</v>
      </c>
      <c r="D3191">
        <v>0</v>
      </c>
      <c r="E3191" s="65">
        <v>34.3</v>
      </c>
      <c r="F3191" s="8">
        <v>3.065</v>
      </c>
      <c r="G3191" s="66">
        <v>132.7566667</v>
      </c>
      <c r="H3191" s="8">
        <v>5.287</v>
      </c>
      <c r="J3191" s="26"/>
      <c r="K3191"/>
    </row>
    <row r="3192" spans="1:11">
      <c r="A3192">
        <v>23</v>
      </c>
      <c r="B3192" s="64">
        <v>40522</v>
      </c>
      <c r="C3192" s="2">
        <v>1872365.99</v>
      </c>
      <c r="D3192">
        <v>0</v>
      </c>
      <c r="E3192" s="65">
        <v>20.12</v>
      </c>
      <c r="F3192" s="8">
        <v>3.132</v>
      </c>
      <c r="G3192" s="66">
        <v>132.6764</v>
      </c>
      <c r="H3192" s="8">
        <v>5.287</v>
      </c>
      <c r="J3192" s="26"/>
      <c r="K3192"/>
    </row>
    <row r="3193" spans="1:11">
      <c r="A3193">
        <v>23</v>
      </c>
      <c r="B3193" s="64">
        <v>40529</v>
      </c>
      <c r="C3193" s="2">
        <v>2238573.48</v>
      </c>
      <c r="D3193">
        <v>0</v>
      </c>
      <c r="E3193" s="65">
        <v>23.05</v>
      </c>
      <c r="F3193" s="8">
        <v>3.139</v>
      </c>
      <c r="G3193" s="66">
        <v>132.6804516</v>
      </c>
      <c r="H3193" s="8">
        <v>5.287</v>
      </c>
      <c r="J3193" s="26"/>
      <c r="K3193"/>
    </row>
    <row r="3194" spans="1:11">
      <c r="A3194">
        <v>23</v>
      </c>
      <c r="B3194" s="64">
        <v>40536</v>
      </c>
      <c r="C3194" s="2">
        <v>2734277.1</v>
      </c>
      <c r="D3194">
        <v>0</v>
      </c>
      <c r="E3194" s="65">
        <v>22.96</v>
      </c>
      <c r="F3194" s="8">
        <v>3.15</v>
      </c>
      <c r="G3194" s="66">
        <v>132.7477419</v>
      </c>
      <c r="H3194" s="8">
        <v>5.287</v>
      </c>
      <c r="J3194" s="26"/>
      <c r="K3194"/>
    </row>
    <row r="3195" spans="1:11">
      <c r="A3195">
        <v>23</v>
      </c>
      <c r="B3195" s="64">
        <v>40543</v>
      </c>
      <c r="C3195" s="2">
        <v>1169773.85</v>
      </c>
      <c r="D3195">
        <v>1</v>
      </c>
      <c r="E3195" s="65">
        <v>19.05</v>
      </c>
      <c r="F3195" s="8">
        <v>3.177</v>
      </c>
      <c r="G3195" s="66">
        <v>132.8150323</v>
      </c>
      <c r="H3195" s="8">
        <v>5.287</v>
      </c>
      <c r="J3195" s="26"/>
      <c r="K3195"/>
    </row>
    <row r="3196" spans="1:11">
      <c r="A3196">
        <v>23</v>
      </c>
      <c r="B3196" s="64">
        <v>40550</v>
      </c>
      <c r="C3196" s="2">
        <v>1122034.48</v>
      </c>
      <c r="D3196">
        <v>0</v>
      </c>
      <c r="E3196" s="65">
        <v>27.81</v>
      </c>
      <c r="F3196" s="8">
        <v>3.193</v>
      </c>
      <c r="G3196" s="66">
        <v>132.8823226</v>
      </c>
      <c r="H3196" s="8">
        <v>5.114</v>
      </c>
      <c r="J3196" s="26"/>
      <c r="K3196"/>
    </row>
    <row r="3197" spans="1:11">
      <c r="A3197">
        <v>23</v>
      </c>
      <c r="B3197" s="64">
        <v>40557</v>
      </c>
      <c r="C3197" s="2">
        <v>1016756.1</v>
      </c>
      <c r="D3197">
        <v>0</v>
      </c>
      <c r="E3197" s="65">
        <v>18.2</v>
      </c>
      <c r="F3197" s="8">
        <v>3.215</v>
      </c>
      <c r="G3197" s="66">
        <v>132.9510645</v>
      </c>
      <c r="H3197" s="8">
        <v>5.114</v>
      </c>
      <c r="J3197" s="26"/>
      <c r="K3197"/>
    </row>
    <row r="3198" spans="1:11">
      <c r="A3198">
        <v>23</v>
      </c>
      <c r="B3198" s="64">
        <v>40564</v>
      </c>
      <c r="C3198" s="2">
        <v>1110706.06</v>
      </c>
      <c r="D3198">
        <v>0</v>
      </c>
      <c r="E3198" s="65">
        <v>15.58</v>
      </c>
      <c r="F3198" s="8">
        <v>3.232</v>
      </c>
      <c r="G3198" s="66">
        <v>133.0285161</v>
      </c>
      <c r="H3198" s="8">
        <v>5.114</v>
      </c>
      <c r="J3198" s="26"/>
      <c r="K3198"/>
    </row>
    <row r="3199" spans="1:11">
      <c r="A3199">
        <v>23</v>
      </c>
      <c r="B3199" s="64">
        <v>40571</v>
      </c>
      <c r="C3199" s="2">
        <v>1083657.61</v>
      </c>
      <c r="D3199">
        <v>0</v>
      </c>
      <c r="E3199" s="65">
        <v>10.91</v>
      </c>
      <c r="F3199" s="8">
        <v>3.243</v>
      </c>
      <c r="G3199" s="66">
        <v>133.1059677</v>
      </c>
      <c r="H3199" s="8">
        <v>5.114</v>
      </c>
      <c r="J3199" s="26"/>
      <c r="K3199"/>
    </row>
    <row r="3200" spans="1:11">
      <c r="A3200">
        <v>23</v>
      </c>
      <c r="B3200" s="64">
        <v>40578</v>
      </c>
      <c r="C3200" s="2">
        <v>1159438.53</v>
      </c>
      <c r="D3200">
        <v>0</v>
      </c>
      <c r="E3200" s="65">
        <v>14.5</v>
      </c>
      <c r="F3200" s="8">
        <v>3.24</v>
      </c>
      <c r="G3200" s="66">
        <v>133.1834194</v>
      </c>
      <c r="H3200" s="8">
        <v>5.114</v>
      </c>
      <c r="J3200" s="26"/>
      <c r="K3200"/>
    </row>
    <row r="3201" spans="1:11">
      <c r="A3201">
        <v>23</v>
      </c>
      <c r="B3201" s="64">
        <v>40585</v>
      </c>
      <c r="C3201" s="2">
        <v>1249786.4</v>
      </c>
      <c r="D3201">
        <v>1</v>
      </c>
      <c r="E3201" s="65">
        <v>21.52</v>
      </c>
      <c r="F3201" s="8">
        <v>3.255</v>
      </c>
      <c r="G3201" s="66">
        <v>133.260871</v>
      </c>
      <c r="H3201" s="8">
        <v>5.114</v>
      </c>
      <c r="J3201" s="26"/>
      <c r="K3201"/>
    </row>
    <row r="3202" spans="1:11">
      <c r="A3202">
        <v>23</v>
      </c>
      <c r="B3202" s="64">
        <v>40592</v>
      </c>
      <c r="C3202" s="2">
        <v>1369971.57</v>
      </c>
      <c r="D3202">
        <v>0</v>
      </c>
      <c r="E3202" s="65">
        <v>26.6</v>
      </c>
      <c r="F3202" s="8">
        <v>3.263</v>
      </c>
      <c r="G3202" s="66">
        <v>133.3701429</v>
      </c>
      <c r="H3202" s="8">
        <v>5.114</v>
      </c>
      <c r="J3202" s="26"/>
      <c r="K3202"/>
    </row>
    <row r="3203" spans="1:11">
      <c r="A3203">
        <v>23</v>
      </c>
      <c r="B3203" s="64">
        <v>40599</v>
      </c>
      <c r="C3203" s="2">
        <v>1206917.2</v>
      </c>
      <c r="D3203">
        <v>0</v>
      </c>
      <c r="E3203" s="65">
        <v>17</v>
      </c>
      <c r="F3203" s="8">
        <v>3.281</v>
      </c>
      <c r="G3203" s="66">
        <v>133.4921429</v>
      </c>
      <c r="H3203" s="8">
        <v>5.114</v>
      </c>
      <c r="J3203" s="26"/>
      <c r="K3203"/>
    </row>
    <row r="3204" spans="1:11">
      <c r="A3204">
        <v>23</v>
      </c>
      <c r="B3204" s="64">
        <v>40606</v>
      </c>
      <c r="C3204" s="2">
        <v>1301185.28</v>
      </c>
      <c r="D3204">
        <v>0</v>
      </c>
      <c r="E3204" s="65">
        <v>20.67</v>
      </c>
      <c r="F3204" s="8">
        <v>3.437</v>
      </c>
      <c r="G3204" s="66">
        <v>133.6141429</v>
      </c>
      <c r="H3204" s="8">
        <v>5.114</v>
      </c>
      <c r="J3204" s="26"/>
      <c r="K3204"/>
    </row>
    <row r="3205" spans="1:11">
      <c r="A3205">
        <v>23</v>
      </c>
      <c r="B3205" s="64">
        <v>40613</v>
      </c>
      <c r="C3205" s="2">
        <v>1042043.55</v>
      </c>
      <c r="D3205">
        <v>0</v>
      </c>
      <c r="E3205" s="65">
        <v>29.36</v>
      </c>
      <c r="F3205" s="8">
        <v>3.6</v>
      </c>
      <c r="G3205" s="66">
        <v>133.7361429</v>
      </c>
      <c r="H3205" s="8">
        <v>5.114</v>
      </c>
      <c r="J3205" s="26"/>
      <c r="K3205"/>
    </row>
    <row r="3206" spans="1:11">
      <c r="A3206">
        <v>23</v>
      </c>
      <c r="B3206" s="64">
        <v>40620</v>
      </c>
      <c r="C3206" s="2">
        <v>1203682.62</v>
      </c>
      <c r="D3206">
        <v>0</v>
      </c>
      <c r="E3206" s="65">
        <v>37.28</v>
      </c>
      <c r="F3206" s="8">
        <v>3.634</v>
      </c>
      <c r="G3206" s="66">
        <v>133.8492258</v>
      </c>
      <c r="H3206" s="8">
        <v>5.114</v>
      </c>
      <c r="J3206" s="26"/>
      <c r="K3206"/>
    </row>
    <row r="3207" spans="1:11">
      <c r="A3207">
        <v>23</v>
      </c>
      <c r="B3207" s="64">
        <v>40627</v>
      </c>
      <c r="C3207" s="2">
        <v>1148624.83</v>
      </c>
      <c r="D3207">
        <v>0</v>
      </c>
      <c r="E3207" s="65">
        <v>29.11</v>
      </c>
      <c r="F3207" s="8">
        <v>3.624</v>
      </c>
      <c r="G3207" s="66">
        <v>133.9587419</v>
      </c>
      <c r="H3207" s="8">
        <v>5.114</v>
      </c>
      <c r="J3207" s="26"/>
      <c r="K3207"/>
    </row>
    <row r="3208" spans="1:11">
      <c r="A3208">
        <v>23</v>
      </c>
      <c r="B3208" s="64">
        <v>40634</v>
      </c>
      <c r="C3208" s="2">
        <v>1182694.95</v>
      </c>
      <c r="D3208">
        <v>0</v>
      </c>
      <c r="E3208" s="65">
        <v>29.44</v>
      </c>
      <c r="F3208" s="8">
        <v>3.638</v>
      </c>
      <c r="G3208" s="66">
        <v>134.0682581</v>
      </c>
      <c r="H3208" s="8">
        <v>4.781</v>
      </c>
      <c r="J3208" s="26"/>
      <c r="K3208"/>
    </row>
    <row r="3209" spans="1:11">
      <c r="A3209">
        <v>23</v>
      </c>
      <c r="B3209" s="64">
        <v>40641</v>
      </c>
      <c r="C3209" s="2">
        <v>1248901.98</v>
      </c>
      <c r="D3209">
        <v>0</v>
      </c>
      <c r="E3209" s="65">
        <v>36.74</v>
      </c>
      <c r="F3209" s="8">
        <v>3.72</v>
      </c>
      <c r="G3209" s="66">
        <v>134.1777742</v>
      </c>
      <c r="H3209" s="8">
        <v>4.781</v>
      </c>
      <c r="J3209" s="26"/>
      <c r="K3209"/>
    </row>
    <row r="3210" spans="1:11">
      <c r="A3210">
        <v>23</v>
      </c>
      <c r="B3210" s="64">
        <v>40648</v>
      </c>
      <c r="C3210" s="2">
        <v>1263680.51</v>
      </c>
      <c r="D3210">
        <v>0</v>
      </c>
      <c r="E3210" s="65">
        <v>45.51</v>
      </c>
      <c r="F3210" s="8">
        <v>3.823</v>
      </c>
      <c r="G3210" s="66">
        <v>134.2784667</v>
      </c>
      <c r="H3210" s="8">
        <v>4.781</v>
      </c>
      <c r="J3210" s="26"/>
      <c r="K3210"/>
    </row>
    <row r="3211" spans="1:11">
      <c r="A3211">
        <v>23</v>
      </c>
      <c r="B3211" s="64">
        <v>40655</v>
      </c>
      <c r="C3211" s="2">
        <v>1447301.24</v>
      </c>
      <c r="D3211">
        <v>0</v>
      </c>
      <c r="E3211" s="65">
        <v>39.62</v>
      </c>
      <c r="F3211" s="8">
        <v>3.919</v>
      </c>
      <c r="G3211" s="66">
        <v>134.3571</v>
      </c>
      <c r="H3211" s="8">
        <v>4.781</v>
      </c>
      <c r="J3211" s="26"/>
      <c r="K3211"/>
    </row>
    <row r="3212" spans="1:11">
      <c r="A3212">
        <v>23</v>
      </c>
      <c r="B3212" s="64">
        <v>40662</v>
      </c>
      <c r="C3212" s="2">
        <v>1173307.4</v>
      </c>
      <c r="D3212">
        <v>0</v>
      </c>
      <c r="E3212" s="65">
        <v>54.2</v>
      </c>
      <c r="F3212" s="8">
        <v>3.988</v>
      </c>
      <c r="G3212" s="66">
        <v>134.4357333</v>
      </c>
      <c r="H3212" s="8">
        <v>4.781</v>
      </c>
      <c r="J3212" s="26"/>
      <c r="K3212"/>
    </row>
    <row r="3213" spans="1:11">
      <c r="A3213">
        <v>23</v>
      </c>
      <c r="B3213" s="64">
        <v>40669</v>
      </c>
      <c r="C3213" s="2">
        <v>1359921.13</v>
      </c>
      <c r="D3213">
        <v>0</v>
      </c>
      <c r="E3213" s="65">
        <v>50.07</v>
      </c>
      <c r="F3213" s="8">
        <v>4.078</v>
      </c>
      <c r="G3213" s="66">
        <v>134.5143667</v>
      </c>
      <c r="H3213" s="8">
        <v>4.781</v>
      </c>
      <c r="J3213" s="26"/>
      <c r="K3213"/>
    </row>
    <row r="3214" spans="1:11">
      <c r="A3214">
        <v>23</v>
      </c>
      <c r="B3214" s="64">
        <v>40676</v>
      </c>
      <c r="C3214" s="2">
        <v>1254914.87</v>
      </c>
      <c r="D3214">
        <v>0</v>
      </c>
      <c r="E3214" s="65">
        <v>55.12</v>
      </c>
      <c r="F3214" s="8">
        <v>4.095</v>
      </c>
      <c r="G3214" s="66">
        <v>134.593</v>
      </c>
      <c r="H3214" s="8">
        <v>4.781</v>
      </c>
      <c r="J3214" s="26"/>
      <c r="K3214"/>
    </row>
    <row r="3215" spans="1:11">
      <c r="A3215">
        <v>23</v>
      </c>
      <c r="B3215" s="64">
        <v>40683</v>
      </c>
      <c r="C3215" s="2">
        <v>1337617.55</v>
      </c>
      <c r="D3215">
        <v>0</v>
      </c>
      <c r="E3215" s="65">
        <v>56.67</v>
      </c>
      <c r="F3215" s="8">
        <v>4.101</v>
      </c>
      <c r="G3215" s="66">
        <v>134.6803871</v>
      </c>
      <c r="H3215" s="8">
        <v>4.781</v>
      </c>
      <c r="J3215" s="26"/>
      <c r="K3215"/>
    </row>
    <row r="3216" spans="1:11">
      <c r="A3216">
        <v>23</v>
      </c>
      <c r="B3216" s="64">
        <v>40690</v>
      </c>
      <c r="C3216" s="2">
        <v>1361945.18</v>
      </c>
      <c r="D3216">
        <v>0</v>
      </c>
      <c r="E3216" s="65">
        <v>63.27</v>
      </c>
      <c r="F3216" s="8">
        <v>4.034</v>
      </c>
      <c r="G3216" s="66">
        <v>134.7677742</v>
      </c>
      <c r="H3216" s="8">
        <v>4.781</v>
      </c>
      <c r="J3216" s="26"/>
      <c r="K3216"/>
    </row>
    <row r="3217" spans="1:11">
      <c r="A3217">
        <v>23</v>
      </c>
      <c r="B3217" s="64">
        <v>40697</v>
      </c>
      <c r="C3217" s="2">
        <v>1562161.97</v>
      </c>
      <c r="D3217">
        <v>0</v>
      </c>
      <c r="E3217" s="65">
        <v>67.21</v>
      </c>
      <c r="F3217" s="8">
        <v>3.973</v>
      </c>
      <c r="G3217" s="66">
        <v>134.8551613</v>
      </c>
      <c r="H3217" s="8">
        <v>4.781</v>
      </c>
      <c r="J3217" s="26"/>
      <c r="K3217"/>
    </row>
    <row r="3218" spans="1:11">
      <c r="A3218">
        <v>23</v>
      </c>
      <c r="B3218" s="64">
        <v>40704</v>
      </c>
      <c r="C3218" s="2">
        <v>1447028.06</v>
      </c>
      <c r="D3218">
        <v>0</v>
      </c>
      <c r="E3218" s="65">
        <v>65.23</v>
      </c>
      <c r="F3218" s="8">
        <v>3.924</v>
      </c>
      <c r="G3218" s="66">
        <v>134.9425484</v>
      </c>
      <c r="H3218" s="8">
        <v>4.781</v>
      </c>
      <c r="J3218" s="26"/>
      <c r="K3218"/>
    </row>
    <row r="3219" spans="1:11">
      <c r="A3219">
        <v>23</v>
      </c>
      <c r="B3219" s="64">
        <v>40711</v>
      </c>
      <c r="C3219" s="2">
        <v>1470520.83</v>
      </c>
      <c r="D3219">
        <v>0</v>
      </c>
      <c r="E3219" s="65">
        <v>61.06</v>
      </c>
      <c r="F3219" s="8">
        <v>3.873</v>
      </c>
      <c r="G3219" s="66">
        <v>135.0837333</v>
      </c>
      <c r="H3219" s="8">
        <v>4.781</v>
      </c>
      <c r="J3219" s="26"/>
      <c r="K3219"/>
    </row>
    <row r="3220" spans="1:11">
      <c r="A3220">
        <v>23</v>
      </c>
      <c r="B3220" s="64">
        <v>40718</v>
      </c>
      <c r="C3220" s="2">
        <v>1434036.18</v>
      </c>
      <c r="D3220">
        <v>0</v>
      </c>
      <c r="E3220" s="65">
        <v>63.8</v>
      </c>
      <c r="F3220" s="8">
        <v>3.851</v>
      </c>
      <c r="G3220" s="66">
        <v>135.2652667</v>
      </c>
      <c r="H3220" s="8">
        <v>4.781</v>
      </c>
      <c r="J3220" s="26"/>
      <c r="K3220"/>
    </row>
    <row r="3221" spans="1:11">
      <c r="A3221">
        <v>23</v>
      </c>
      <c r="B3221" s="64">
        <v>40725</v>
      </c>
      <c r="C3221" s="2">
        <v>1492507.44</v>
      </c>
      <c r="D3221">
        <v>0</v>
      </c>
      <c r="E3221" s="65">
        <v>65.65</v>
      </c>
      <c r="F3221" s="8">
        <v>3.815</v>
      </c>
      <c r="G3221" s="66">
        <v>135.4468</v>
      </c>
      <c r="H3221" s="8">
        <v>4.584</v>
      </c>
      <c r="J3221" s="26"/>
      <c r="K3221"/>
    </row>
    <row r="3222" spans="1:11">
      <c r="A3222">
        <v>23</v>
      </c>
      <c r="B3222" s="64">
        <v>40732</v>
      </c>
      <c r="C3222" s="2">
        <v>1379488.05</v>
      </c>
      <c r="D3222">
        <v>0</v>
      </c>
      <c r="E3222" s="65">
        <v>69.92</v>
      </c>
      <c r="F3222" s="8">
        <v>3.784</v>
      </c>
      <c r="G3222" s="66">
        <v>135.6283333</v>
      </c>
      <c r="H3222" s="8">
        <v>4.584</v>
      </c>
      <c r="J3222" s="26"/>
      <c r="K3222"/>
    </row>
    <row r="3223" spans="1:11">
      <c r="A3223">
        <v>23</v>
      </c>
      <c r="B3223" s="64">
        <v>40739</v>
      </c>
      <c r="C3223" s="2">
        <v>1360520.56</v>
      </c>
      <c r="D3223">
        <v>0</v>
      </c>
      <c r="E3223" s="65">
        <v>69.8</v>
      </c>
      <c r="F3223" s="8">
        <v>3.827</v>
      </c>
      <c r="G3223" s="66">
        <v>135.7837419</v>
      </c>
      <c r="H3223" s="8">
        <v>4.584</v>
      </c>
      <c r="J3223" s="26"/>
      <c r="K3223"/>
    </row>
    <row r="3224" spans="1:11">
      <c r="A3224">
        <v>23</v>
      </c>
      <c r="B3224" s="64">
        <v>40746</v>
      </c>
      <c r="C3224" s="2">
        <v>1362144</v>
      </c>
      <c r="D3224">
        <v>0</v>
      </c>
      <c r="E3224" s="65">
        <v>76.74</v>
      </c>
      <c r="F3224" s="8">
        <v>3.882</v>
      </c>
      <c r="G3224" s="66">
        <v>135.8738387</v>
      </c>
      <c r="H3224" s="8">
        <v>4.584</v>
      </c>
      <c r="J3224" s="26"/>
      <c r="K3224"/>
    </row>
    <row r="3225" spans="1:11">
      <c r="A3225">
        <v>23</v>
      </c>
      <c r="B3225" s="64">
        <v>40753</v>
      </c>
      <c r="C3225" s="2">
        <v>1319767.55</v>
      </c>
      <c r="D3225">
        <v>0</v>
      </c>
      <c r="E3225" s="65">
        <v>69.55</v>
      </c>
      <c r="F3225" s="8">
        <v>3.898</v>
      </c>
      <c r="G3225" s="66">
        <v>135.9639355</v>
      </c>
      <c r="H3225" s="8">
        <v>4.584</v>
      </c>
      <c r="J3225" s="26"/>
      <c r="K3225"/>
    </row>
    <row r="3226" spans="1:11">
      <c r="A3226">
        <v>23</v>
      </c>
      <c r="B3226" s="64">
        <v>40760</v>
      </c>
      <c r="C3226" s="2">
        <v>1416344.68</v>
      </c>
      <c r="D3226">
        <v>0</v>
      </c>
      <c r="E3226" s="65">
        <v>69.53</v>
      </c>
      <c r="F3226" s="8">
        <v>3.903</v>
      </c>
      <c r="G3226" s="66">
        <v>136.0540323</v>
      </c>
      <c r="H3226" s="8">
        <v>4.584</v>
      </c>
      <c r="J3226" s="26"/>
      <c r="K3226"/>
    </row>
    <row r="3227" spans="1:11">
      <c r="A3227">
        <v>23</v>
      </c>
      <c r="B3227" s="64">
        <v>40767</v>
      </c>
      <c r="C3227" s="2">
        <v>1380952.05</v>
      </c>
      <c r="D3227">
        <v>0</v>
      </c>
      <c r="E3227" s="65">
        <v>69.86</v>
      </c>
      <c r="F3227" s="8">
        <v>3.88</v>
      </c>
      <c r="G3227" s="66">
        <v>136.144129</v>
      </c>
      <c r="H3227" s="8">
        <v>4.584</v>
      </c>
      <c r="J3227" s="26"/>
      <c r="K3227"/>
    </row>
    <row r="3228" spans="1:11">
      <c r="A3228">
        <v>23</v>
      </c>
      <c r="B3228" s="64">
        <v>40774</v>
      </c>
      <c r="C3228" s="2">
        <v>1453416.53</v>
      </c>
      <c r="D3228">
        <v>0</v>
      </c>
      <c r="E3228" s="65">
        <v>67.09</v>
      </c>
      <c r="F3228" s="8">
        <v>3.82</v>
      </c>
      <c r="G3228" s="66">
        <v>136.183129</v>
      </c>
      <c r="H3228" s="8">
        <v>4.584</v>
      </c>
      <c r="J3228" s="26"/>
      <c r="K3228"/>
    </row>
    <row r="3229" spans="1:11">
      <c r="A3229">
        <v>23</v>
      </c>
      <c r="B3229" s="64">
        <v>40781</v>
      </c>
      <c r="C3229" s="2">
        <v>1637266.29</v>
      </c>
      <c r="D3229">
        <v>0</v>
      </c>
      <c r="E3229" s="65">
        <v>67.04</v>
      </c>
      <c r="F3229" s="8">
        <v>3.796</v>
      </c>
      <c r="G3229" s="66">
        <v>136.2136129</v>
      </c>
      <c r="H3229" s="8">
        <v>4.584</v>
      </c>
      <c r="J3229" s="26"/>
      <c r="K3229"/>
    </row>
    <row r="3230" spans="1:11">
      <c r="A3230">
        <v>23</v>
      </c>
      <c r="B3230" s="64">
        <v>40788</v>
      </c>
      <c r="C3230" s="2">
        <v>1464295.69</v>
      </c>
      <c r="D3230">
        <v>0</v>
      </c>
      <c r="E3230" s="65">
        <v>65.33</v>
      </c>
      <c r="F3230" s="8">
        <v>3.784</v>
      </c>
      <c r="G3230" s="66">
        <v>136.2440968</v>
      </c>
      <c r="H3230" s="8">
        <v>4.584</v>
      </c>
      <c r="J3230" s="26"/>
      <c r="K3230"/>
    </row>
    <row r="3231" spans="1:11">
      <c r="A3231">
        <v>23</v>
      </c>
      <c r="B3231" s="64">
        <v>40795</v>
      </c>
      <c r="C3231" s="2">
        <v>1423289.9</v>
      </c>
      <c r="D3231">
        <v>1</v>
      </c>
      <c r="E3231" s="65">
        <v>66.04</v>
      </c>
      <c r="F3231" s="8">
        <v>3.809</v>
      </c>
      <c r="G3231" s="66">
        <v>136.2745806</v>
      </c>
      <c r="H3231" s="8">
        <v>4.584</v>
      </c>
      <c r="J3231" s="26"/>
      <c r="K3231"/>
    </row>
    <row r="3232" spans="1:11">
      <c r="A3232">
        <v>23</v>
      </c>
      <c r="B3232" s="64">
        <v>40802</v>
      </c>
      <c r="C3232" s="2">
        <v>1253329.17</v>
      </c>
      <c r="D3232">
        <v>0</v>
      </c>
      <c r="E3232" s="65">
        <v>60.52</v>
      </c>
      <c r="F3232" s="8">
        <v>3.809</v>
      </c>
      <c r="G3232" s="66">
        <v>136.3145</v>
      </c>
      <c r="H3232" s="8">
        <v>4.584</v>
      </c>
      <c r="J3232" s="26"/>
      <c r="K3232"/>
    </row>
    <row r="3233" spans="1:11">
      <c r="A3233">
        <v>23</v>
      </c>
      <c r="B3233" s="64">
        <v>40809</v>
      </c>
      <c r="C3233" s="2">
        <v>1289082.81</v>
      </c>
      <c r="D3233">
        <v>0</v>
      </c>
      <c r="E3233" s="65">
        <v>57.14</v>
      </c>
      <c r="F3233" s="8">
        <v>3.758</v>
      </c>
      <c r="G3233" s="66">
        <v>136.367</v>
      </c>
      <c r="H3233" s="8">
        <v>4.584</v>
      </c>
      <c r="J3233" s="26"/>
      <c r="K3233"/>
    </row>
    <row r="3234" spans="1:11">
      <c r="A3234">
        <v>23</v>
      </c>
      <c r="B3234" s="64">
        <v>40816</v>
      </c>
      <c r="C3234" s="2">
        <v>1275597.85</v>
      </c>
      <c r="D3234">
        <v>0</v>
      </c>
      <c r="E3234" s="65">
        <v>64.76</v>
      </c>
      <c r="F3234" s="8">
        <v>3.684</v>
      </c>
      <c r="G3234" s="66">
        <v>136.4195</v>
      </c>
      <c r="H3234" s="8">
        <v>4.584</v>
      </c>
      <c r="J3234" s="26"/>
      <c r="K3234"/>
    </row>
    <row r="3235" spans="1:11">
      <c r="A3235">
        <v>23</v>
      </c>
      <c r="B3235" s="64">
        <v>40823</v>
      </c>
      <c r="C3235" s="2">
        <v>1463501.99</v>
      </c>
      <c r="D3235">
        <v>0</v>
      </c>
      <c r="E3235" s="65">
        <v>49</v>
      </c>
      <c r="F3235" s="8">
        <v>3.633</v>
      </c>
      <c r="G3235" s="66">
        <v>136.472</v>
      </c>
      <c r="H3235" s="8">
        <v>4.42</v>
      </c>
      <c r="J3235" s="26"/>
      <c r="K3235"/>
    </row>
    <row r="3236" spans="1:11">
      <c r="A3236">
        <v>23</v>
      </c>
      <c r="B3236" s="64">
        <v>40830</v>
      </c>
      <c r="C3236" s="2">
        <v>1257778.34</v>
      </c>
      <c r="D3236">
        <v>0</v>
      </c>
      <c r="E3236" s="65">
        <v>56.79</v>
      </c>
      <c r="F3236" s="8">
        <v>3.583</v>
      </c>
      <c r="G3236" s="66">
        <v>136.5150968</v>
      </c>
      <c r="H3236" s="8">
        <v>4.42</v>
      </c>
      <c r="J3236" s="26"/>
      <c r="K3236"/>
    </row>
    <row r="3237" spans="1:11">
      <c r="A3237">
        <v>23</v>
      </c>
      <c r="B3237" s="64">
        <v>40837</v>
      </c>
      <c r="C3237" s="2">
        <v>1441032.59</v>
      </c>
      <c r="D3237">
        <v>0</v>
      </c>
      <c r="E3237" s="65">
        <v>52.12</v>
      </c>
      <c r="F3237" s="8">
        <v>3.618</v>
      </c>
      <c r="G3237" s="66">
        <v>136.5017742</v>
      </c>
      <c r="H3237" s="8">
        <v>4.42</v>
      </c>
      <c r="J3237" s="26"/>
      <c r="K3237"/>
    </row>
    <row r="3238" spans="1:11">
      <c r="A3238">
        <v>23</v>
      </c>
      <c r="B3238" s="64">
        <v>40844</v>
      </c>
      <c r="C3238" s="2">
        <v>1407191.96</v>
      </c>
      <c r="D3238">
        <v>0</v>
      </c>
      <c r="E3238" s="65">
        <v>42.57</v>
      </c>
      <c r="F3238" s="8">
        <v>3.604</v>
      </c>
      <c r="G3238" s="66">
        <v>136.4884516</v>
      </c>
      <c r="H3238" s="8">
        <v>4.42</v>
      </c>
      <c r="J3238" s="26"/>
      <c r="K3238"/>
    </row>
    <row r="3239" spans="1:11">
      <c r="A3239">
        <v>23</v>
      </c>
      <c r="B3239" s="64">
        <v>40851</v>
      </c>
      <c r="C3239" s="2">
        <v>1428436.33</v>
      </c>
      <c r="D3239">
        <v>0</v>
      </c>
      <c r="E3239" s="65">
        <v>39.18</v>
      </c>
      <c r="F3239" s="8">
        <v>3.586</v>
      </c>
      <c r="G3239" s="66">
        <v>136.475129</v>
      </c>
      <c r="H3239" s="8">
        <v>4.42</v>
      </c>
      <c r="J3239" s="26"/>
      <c r="K3239"/>
    </row>
    <row r="3240" spans="1:11">
      <c r="A3240">
        <v>23</v>
      </c>
      <c r="B3240" s="64">
        <v>40858</v>
      </c>
      <c r="C3240" s="2">
        <v>1436940.78</v>
      </c>
      <c r="D3240">
        <v>0</v>
      </c>
      <c r="E3240" s="65">
        <v>44.04</v>
      </c>
      <c r="F3240" s="8">
        <v>3.57</v>
      </c>
      <c r="G3240" s="66">
        <v>136.4618065</v>
      </c>
      <c r="H3240" s="8">
        <v>4.42</v>
      </c>
      <c r="J3240" s="26"/>
      <c r="K3240"/>
    </row>
    <row r="3241" spans="1:11">
      <c r="A3241">
        <v>23</v>
      </c>
      <c r="B3241" s="64">
        <v>40865</v>
      </c>
      <c r="C3241" s="2">
        <v>1345631.96</v>
      </c>
      <c r="D3241">
        <v>0</v>
      </c>
      <c r="E3241" s="65">
        <v>45.48</v>
      </c>
      <c r="F3241" s="8">
        <v>3.571</v>
      </c>
      <c r="G3241" s="66">
        <v>136.4666667</v>
      </c>
      <c r="H3241" s="8">
        <v>4.42</v>
      </c>
      <c r="J3241" s="26"/>
      <c r="K3241"/>
    </row>
    <row r="3242" spans="1:11">
      <c r="A3242">
        <v>23</v>
      </c>
      <c r="B3242" s="64">
        <v>40872</v>
      </c>
      <c r="C3242" s="2">
        <v>2057059.53</v>
      </c>
      <c r="D3242">
        <v>1</v>
      </c>
      <c r="E3242" s="65">
        <v>35.23</v>
      </c>
      <c r="F3242" s="8">
        <v>3.536</v>
      </c>
      <c r="G3242" s="66">
        <v>136.4788</v>
      </c>
      <c r="H3242" s="8">
        <v>4.42</v>
      </c>
      <c r="J3242" s="26"/>
      <c r="K3242"/>
    </row>
    <row r="3243" spans="1:11">
      <c r="A3243">
        <v>23</v>
      </c>
      <c r="B3243" s="64">
        <v>40879</v>
      </c>
      <c r="C3243" s="2">
        <v>1552886.59</v>
      </c>
      <c r="D3243">
        <v>0</v>
      </c>
      <c r="E3243" s="65">
        <v>43.6</v>
      </c>
      <c r="F3243" s="8">
        <v>3.501</v>
      </c>
      <c r="G3243" s="66">
        <v>136.4909333</v>
      </c>
      <c r="H3243" s="8">
        <v>4.42</v>
      </c>
      <c r="J3243" s="26"/>
      <c r="K3243"/>
    </row>
    <row r="3244" spans="1:11">
      <c r="A3244">
        <v>23</v>
      </c>
      <c r="B3244" s="64">
        <v>40886</v>
      </c>
      <c r="C3244" s="2">
        <v>1841173.6</v>
      </c>
      <c r="D3244">
        <v>0</v>
      </c>
      <c r="E3244" s="65">
        <v>36.4</v>
      </c>
      <c r="F3244" s="8">
        <v>3.47</v>
      </c>
      <c r="G3244" s="66">
        <v>136.5030667</v>
      </c>
      <c r="H3244" s="8">
        <v>4.42</v>
      </c>
      <c r="J3244" s="26"/>
      <c r="K3244"/>
    </row>
    <row r="3245" spans="1:11">
      <c r="A3245">
        <v>23</v>
      </c>
      <c r="B3245" s="64">
        <v>40893</v>
      </c>
      <c r="C3245" s="2">
        <v>2173621.2</v>
      </c>
      <c r="D3245">
        <v>0</v>
      </c>
      <c r="E3245" s="65">
        <v>32.99</v>
      </c>
      <c r="F3245" s="8">
        <v>3.445</v>
      </c>
      <c r="G3245" s="66">
        <v>136.5335161</v>
      </c>
      <c r="H3245" s="8">
        <v>4.42</v>
      </c>
      <c r="J3245" s="26"/>
      <c r="K3245"/>
    </row>
    <row r="3246" spans="1:11">
      <c r="A3246">
        <v>23</v>
      </c>
      <c r="B3246" s="64">
        <v>40900</v>
      </c>
      <c r="C3246" s="2">
        <v>2587953.32</v>
      </c>
      <c r="D3246">
        <v>0</v>
      </c>
      <c r="E3246" s="65">
        <v>27.8</v>
      </c>
      <c r="F3246" s="8">
        <v>3.413</v>
      </c>
      <c r="G3246" s="66">
        <v>136.5883871</v>
      </c>
      <c r="H3246" s="8">
        <v>4.42</v>
      </c>
      <c r="J3246" s="26"/>
      <c r="K3246"/>
    </row>
    <row r="3247" spans="1:11">
      <c r="A3247">
        <v>23</v>
      </c>
      <c r="B3247" s="64">
        <v>40907</v>
      </c>
      <c r="C3247" s="2">
        <v>1213486.95</v>
      </c>
      <c r="D3247">
        <v>1</v>
      </c>
      <c r="E3247" s="65">
        <v>22.3</v>
      </c>
      <c r="F3247" s="8">
        <v>3.402</v>
      </c>
      <c r="G3247" s="66">
        <v>136.6432581</v>
      </c>
      <c r="H3247" s="8">
        <v>4.42</v>
      </c>
      <c r="J3247" s="26"/>
      <c r="K3247"/>
    </row>
    <row r="3248" spans="1:11">
      <c r="A3248">
        <v>23</v>
      </c>
      <c r="B3248" s="64">
        <v>40914</v>
      </c>
      <c r="C3248" s="2">
        <v>1150662.55</v>
      </c>
      <c r="D3248">
        <v>0</v>
      </c>
      <c r="E3248" s="65">
        <v>24.29</v>
      </c>
      <c r="F3248" s="8">
        <v>3.439</v>
      </c>
      <c r="G3248" s="66">
        <v>136.698129</v>
      </c>
      <c r="H3248" s="8">
        <v>4.261</v>
      </c>
      <c r="J3248" s="26"/>
      <c r="K3248"/>
    </row>
    <row r="3249" spans="1:11">
      <c r="A3249">
        <v>23</v>
      </c>
      <c r="B3249" s="64">
        <v>40921</v>
      </c>
      <c r="C3249" s="2">
        <v>1031451.35</v>
      </c>
      <c r="D3249">
        <v>0</v>
      </c>
      <c r="E3249" s="65">
        <v>28.49</v>
      </c>
      <c r="F3249" s="8">
        <v>3.523</v>
      </c>
      <c r="G3249" s="66">
        <v>136.753</v>
      </c>
      <c r="H3249" s="8">
        <v>4.261</v>
      </c>
      <c r="J3249" s="26"/>
      <c r="K3249"/>
    </row>
    <row r="3250" spans="1:11">
      <c r="A3250">
        <v>23</v>
      </c>
      <c r="B3250" s="64">
        <v>40928</v>
      </c>
      <c r="C3250" s="2">
        <v>1146992.13</v>
      </c>
      <c r="D3250">
        <v>0</v>
      </c>
      <c r="E3250" s="65">
        <v>15.33</v>
      </c>
      <c r="F3250" s="8">
        <v>3.542</v>
      </c>
      <c r="G3250" s="66">
        <v>136.8564194</v>
      </c>
      <c r="H3250" s="8">
        <v>4.261</v>
      </c>
      <c r="J3250" s="26"/>
      <c r="K3250"/>
    </row>
    <row r="3251" spans="1:11">
      <c r="A3251">
        <v>23</v>
      </c>
      <c r="B3251" s="64">
        <v>40935</v>
      </c>
      <c r="C3251" s="2">
        <v>1037476.38</v>
      </c>
      <c r="D3251">
        <v>0</v>
      </c>
      <c r="E3251" s="65">
        <v>25.71</v>
      </c>
      <c r="F3251" s="8">
        <v>3.568</v>
      </c>
      <c r="G3251" s="66">
        <v>136.9598387</v>
      </c>
      <c r="H3251" s="8">
        <v>4.261</v>
      </c>
      <c r="J3251" s="26"/>
      <c r="K3251"/>
    </row>
    <row r="3252" spans="1:11">
      <c r="A3252">
        <v>23</v>
      </c>
      <c r="B3252" s="64">
        <v>40942</v>
      </c>
      <c r="C3252" s="2">
        <v>1261872.67</v>
      </c>
      <c r="D3252">
        <v>0</v>
      </c>
      <c r="E3252" s="65">
        <v>29.71</v>
      </c>
      <c r="F3252" s="8">
        <v>3.633</v>
      </c>
      <c r="G3252" s="66">
        <v>137.0632581</v>
      </c>
      <c r="H3252" s="8">
        <v>4.261</v>
      </c>
      <c r="J3252" s="26"/>
      <c r="K3252"/>
    </row>
    <row r="3253" spans="1:11">
      <c r="A3253">
        <v>23</v>
      </c>
      <c r="B3253" s="64">
        <v>40949</v>
      </c>
      <c r="C3253" s="2">
        <v>1358444.07</v>
      </c>
      <c r="D3253">
        <v>1</v>
      </c>
      <c r="E3253" s="65">
        <v>26.6</v>
      </c>
      <c r="F3253" s="8">
        <v>3.655</v>
      </c>
      <c r="G3253" s="66">
        <v>137.1666774</v>
      </c>
      <c r="H3253" s="8">
        <v>4.261</v>
      </c>
      <c r="J3253" s="26"/>
      <c r="K3253"/>
    </row>
    <row r="3254" spans="1:11">
      <c r="A3254">
        <v>23</v>
      </c>
      <c r="B3254" s="64">
        <v>40956</v>
      </c>
      <c r="C3254" s="2">
        <v>1365546.69</v>
      </c>
      <c r="D3254">
        <v>0</v>
      </c>
      <c r="E3254" s="65">
        <v>27.01</v>
      </c>
      <c r="F3254" s="8">
        <v>3.703</v>
      </c>
      <c r="G3254" s="66">
        <v>137.2583103</v>
      </c>
      <c r="H3254" s="8">
        <v>4.261</v>
      </c>
      <c r="J3254" s="26"/>
      <c r="K3254"/>
    </row>
    <row r="3255" spans="1:11">
      <c r="A3255">
        <v>23</v>
      </c>
      <c r="B3255" s="64">
        <v>40963</v>
      </c>
      <c r="C3255" s="2">
        <v>1272948.27</v>
      </c>
      <c r="D3255">
        <v>0</v>
      </c>
      <c r="E3255" s="65">
        <v>31.12</v>
      </c>
      <c r="F3255" s="8">
        <v>3.751</v>
      </c>
      <c r="G3255" s="66">
        <v>137.3411034</v>
      </c>
      <c r="H3255" s="8">
        <v>4.261</v>
      </c>
      <c r="J3255" s="26"/>
      <c r="K3255"/>
    </row>
    <row r="3256" spans="1:11">
      <c r="A3256">
        <v>23</v>
      </c>
      <c r="B3256" s="64">
        <v>40970</v>
      </c>
      <c r="C3256" s="2">
        <v>1322852.2</v>
      </c>
      <c r="D3256">
        <v>0</v>
      </c>
      <c r="E3256" s="65">
        <v>25.91</v>
      </c>
      <c r="F3256" s="8">
        <v>3.827</v>
      </c>
      <c r="G3256" s="66">
        <v>137.4238966</v>
      </c>
      <c r="H3256" s="8">
        <v>4.261</v>
      </c>
      <c r="J3256" s="26"/>
      <c r="K3256"/>
    </row>
    <row r="3257" spans="1:11">
      <c r="A3257">
        <v>23</v>
      </c>
      <c r="B3257" s="64">
        <v>40977</v>
      </c>
      <c r="C3257" s="2">
        <v>1292724.9</v>
      </c>
      <c r="D3257">
        <v>0</v>
      </c>
      <c r="E3257" s="65">
        <v>33.11</v>
      </c>
      <c r="F3257" s="8">
        <v>3.876</v>
      </c>
      <c r="G3257" s="66">
        <v>137.5066897</v>
      </c>
      <c r="H3257" s="8">
        <v>4.261</v>
      </c>
      <c r="J3257" s="26"/>
      <c r="K3257"/>
    </row>
    <row r="3258" spans="1:11">
      <c r="A3258">
        <v>23</v>
      </c>
      <c r="B3258" s="64">
        <v>40984</v>
      </c>
      <c r="C3258" s="2">
        <v>1258364.31</v>
      </c>
      <c r="D3258">
        <v>0</v>
      </c>
      <c r="E3258" s="65">
        <v>41.19</v>
      </c>
      <c r="F3258" s="8">
        <v>3.867</v>
      </c>
      <c r="G3258" s="66">
        <v>137.5843871</v>
      </c>
      <c r="H3258" s="8">
        <v>4.261</v>
      </c>
      <c r="J3258" s="26"/>
      <c r="K3258"/>
    </row>
    <row r="3259" spans="1:11">
      <c r="A3259">
        <v>23</v>
      </c>
      <c r="B3259" s="64">
        <v>40991</v>
      </c>
      <c r="C3259" s="2">
        <v>1288154.1</v>
      </c>
      <c r="D3259">
        <v>0</v>
      </c>
      <c r="E3259" s="65">
        <v>57.82</v>
      </c>
      <c r="F3259" s="8">
        <v>3.889</v>
      </c>
      <c r="G3259" s="66">
        <v>137.6552903</v>
      </c>
      <c r="H3259" s="8">
        <v>4.261</v>
      </c>
      <c r="J3259" s="26"/>
      <c r="K3259"/>
    </row>
    <row r="3260" spans="1:11">
      <c r="A3260">
        <v>23</v>
      </c>
      <c r="B3260" s="64">
        <v>40998</v>
      </c>
      <c r="C3260" s="2">
        <v>1261964.96</v>
      </c>
      <c r="D3260">
        <v>0</v>
      </c>
      <c r="E3260" s="65">
        <v>36.71</v>
      </c>
      <c r="F3260" s="8">
        <v>3.921</v>
      </c>
      <c r="G3260" s="66">
        <v>137.7261935</v>
      </c>
      <c r="H3260" s="8">
        <v>4.261</v>
      </c>
      <c r="J3260" s="26"/>
      <c r="K3260"/>
    </row>
    <row r="3261" spans="1:11">
      <c r="A3261">
        <v>23</v>
      </c>
      <c r="B3261" s="64">
        <v>41005</v>
      </c>
      <c r="C3261" s="2">
        <v>1604605.69</v>
      </c>
      <c r="D3261">
        <v>0</v>
      </c>
      <c r="E3261" s="65">
        <v>37.43</v>
      </c>
      <c r="F3261" s="8">
        <v>3.957</v>
      </c>
      <c r="G3261" s="66">
        <v>137.7970968</v>
      </c>
      <c r="H3261" s="8">
        <v>4.125</v>
      </c>
      <c r="J3261" s="26"/>
      <c r="K3261"/>
    </row>
    <row r="3262" spans="1:11">
      <c r="A3262">
        <v>23</v>
      </c>
      <c r="B3262" s="64">
        <v>41012</v>
      </c>
      <c r="C3262" s="2">
        <v>1231752.54</v>
      </c>
      <c r="D3262">
        <v>0</v>
      </c>
      <c r="E3262" s="65">
        <v>41.81</v>
      </c>
      <c r="F3262" s="8">
        <v>4.025</v>
      </c>
      <c r="G3262" s="66">
        <v>137.868</v>
      </c>
      <c r="H3262" s="8">
        <v>4.125</v>
      </c>
      <c r="J3262" s="26"/>
      <c r="K3262"/>
    </row>
    <row r="3263" spans="1:11">
      <c r="A3263">
        <v>23</v>
      </c>
      <c r="B3263" s="64">
        <v>41019</v>
      </c>
      <c r="C3263" s="2">
        <v>1287899.41</v>
      </c>
      <c r="D3263">
        <v>0</v>
      </c>
      <c r="E3263" s="65">
        <v>56.55</v>
      </c>
      <c r="F3263" s="8">
        <v>4.046</v>
      </c>
      <c r="G3263" s="66">
        <v>137.9230667</v>
      </c>
      <c r="H3263" s="8">
        <v>4.125</v>
      </c>
      <c r="J3263" s="26"/>
      <c r="K3263"/>
    </row>
    <row r="3264" spans="1:11">
      <c r="A3264">
        <v>23</v>
      </c>
      <c r="B3264" s="64">
        <v>41026</v>
      </c>
      <c r="C3264" s="2">
        <v>1277758.76</v>
      </c>
      <c r="D3264">
        <v>0</v>
      </c>
      <c r="E3264" s="65">
        <v>44.62</v>
      </c>
      <c r="F3264" s="8">
        <v>4.023</v>
      </c>
      <c r="G3264" s="66">
        <v>137.9781333</v>
      </c>
      <c r="H3264" s="8">
        <v>4.125</v>
      </c>
      <c r="J3264" s="26"/>
      <c r="K3264"/>
    </row>
    <row r="3265" spans="1:11">
      <c r="A3265">
        <v>23</v>
      </c>
      <c r="B3265" s="64">
        <v>41033</v>
      </c>
      <c r="C3265" s="2">
        <v>1317379.68</v>
      </c>
      <c r="D3265">
        <v>0</v>
      </c>
      <c r="E3265" s="65">
        <v>45.88</v>
      </c>
      <c r="F3265" s="8">
        <v>3.991</v>
      </c>
      <c r="G3265" s="66">
        <v>138.0332</v>
      </c>
      <c r="H3265" s="8">
        <v>4.125</v>
      </c>
      <c r="J3265" s="26"/>
      <c r="K3265"/>
    </row>
    <row r="3266" spans="1:11">
      <c r="A3266">
        <v>23</v>
      </c>
      <c r="B3266" s="64">
        <v>41040</v>
      </c>
      <c r="C3266" s="2">
        <v>1321914.34</v>
      </c>
      <c r="D3266">
        <v>0</v>
      </c>
      <c r="E3266" s="65">
        <v>52.9</v>
      </c>
      <c r="F3266" s="8">
        <v>3.947</v>
      </c>
      <c r="G3266" s="66">
        <v>138.0882667</v>
      </c>
      <c r="H3266" s="8">
        <v>4.125</v>
      </c>
      <c r="J3266" s="26"/>
      <c r="K3266"/>
    </row>
    <row r="3267" spans="1:11">
      <c r="A3267">
        <v>23</v>
      </c>
      <c r="B3267" s="64">
        <v>41047</v>
      </c>
      <c r="C3267" s="2">
        <v>1332952.47</v>
      </c>
      <c r="D3267">
        <v>0</v>
      </c>
      <c r="E3267" s="65">
        <v>58.42</v>
      </c>
      <c r="F3267" s="8">
        <v>3.899</v>
      </c>
      <c r="G3267" s="66">
        <v>138.1065806</v>
      </c>
      <c r="H3267" s="8">
        <v>4.125</v>
      </c>
      <c r="J3267" s="26"/>
      <c r="K3267"/>
    </row>
    <row r="3268" spans="1:11">
      <c r="A3268">
        <v>23</v>
      </c>
      <c r="B3268" s="64">
        <v>41054</v>
      </c>
      <c r="C3268" s="2">
        <v>1552934.64</v>
      </c>
      <c r="D3268">
        <v>0</v>
      </c>
      <c r="E3268" s="65">
        <v>66.43</v>
      </c>
      <c r="F3268" s="8">
        <v>3.85</v>
      </c>
      <c r="G3268" s="66">
        <v>138.1101935</v>
      </c>
      <c r="H3268" s="8">
        <v>4.125</v>
      </c>
      <c r="J3268" s="26"/>
      <c r="K3268"/>
    </row>
    <row r="3269" spans="1:11">
      <c r="A3269">
        <v>23</v>
      </c>
      <c r="B3269" s="64">
        <v>41061</v>
      </c>
      <c r="C3269" s="2">
        <v>1476144.34</v>
      </c>
      <c r="D3269">
        <v>0</v>
      </c>
      <c r="E3269" s="65">
        <v>66.22</v>
      </c>
      <c r="F3269" s="8">
        <v>3.798</v>
      </c>
      <c r="G3269" s="66">
        <v>138.1138065</v>
      </c>
      <c r="H3269" s="8">
        <v>4.125</v>
      </c>
      <c r="J3269" s="26"/>
      <c r="K3269"/>
    </row>
    <row r="3270" spans="1:11">
      <c r="A3270">
        <v>23</v>
      </c>
      <c r="B3270" s="64">
        <v>41068</v>
      </c>
      <c r="C3270" s="2">
        <v>1568048.54</v>
      </c>
      <c r="D3270">
        <v>0</v>
      </c>
      <c r="E3270" s="65">
        <v>56.82</v>
      </c>
      <c r="F3270" s="8">
        <v>3.746</v>
      </c>
      <c r="G3270" s="66">
        <v>138.1174194</v>
      </c>
      <c r="H3270" s="8">
        <v>4.125</v>
      </c>
      <c r="J3270" s="26"/>
      <c r="K3270"/>
    </row>
    <row r="3271" spans="1:11">
      <c r="A3271">
        <v>23</v>
      </c>
      <c r="B3271" s="64">
        <v>41075</v>
      </c>
      <c r="C3271" s="2">
        <v>1543667.68</v>
      </c>
      <c r="D3271">
        <v>0</v>
      </c>
      <c r="E3271" s="65">
        <v>64.73</v>
      </c>
      <c r="F3271" s="8">
        <v>3.683</v>
      </c>
      <c r="G3271" s="66">
        <v>138.1295333</v>
      </c>
      <c r="H3271" s="8">
        <v>4.125</v>
      </c>
      <c r="J3271" s="26"/>
      <c r="K3271"/>
    </row>
    <row r="3272" spans="1:11">
      <c r="A3272">
        <v>23</v>
      </c>
      <c r="B3272" s="64">
        <v>41082</v>
      </c>
      <c r="C3272" s="2">
        <v>1522042.57</v>
      </c>
      <c r="D3272">
        <v>0</v>
      </c>
      <c r="E3272" s="65">
        <v>71.82</v>
      </c>
      <c r="F3272" s="8">
        <v>3.629</v>
      </c>
      <c r="G3272" s="66">
        <v>138.1629</v>
      </c>
      <c r="H3272" s="8">
        <v>4.125</v>
      </c>
      <c r="J3272" s="26"/>
      <c r="K3272"/>
    </row>
    <row r="3273" spans="1:11">
      <c r="A3273">
        <v>23</v>
      </c>
      <c r="B3273" s="64">
        <v>41089</v>
      </c>
      <c r="C3273" s="2">
        <v>1451782.16</v>
      </c>
      <c r="D3273">
        <v>0</v>
      </c>
      <c r="E3273" s="65">
        <v>64.23</v>
      </c>
      <c r="F3273" s="8">
        <v>3.577</v>
      </c>
      <c r="G3273" s="66">
        <v>138.1962667</v>
      </c>
      <c r="H3273" s="8">
        <v>4.125</v>
      </c>
      <c r="J3273" s="26"/>
      <c r="K3273"/>
    </row>
    <row r="3274" spans="1:11">
      <c r="A3274">
        <v>23</v>
      </c>
      <c r="B3274" s="64">
        <v>41096</v>
      </c>
      <c r="C3274" s="2">
        <v>1545370.16</v>
      </c>
      <c r="D3274">
        <v>0</v>
      </c>
      <c r="E3274" s="65">
        <v>70.86</v>
      </c>
      <c r="F3274" s="8">
        <v>3.538</v>
      </c>
      <c r="G3274" s="66">
        <v>138.2296333</v>
      </c>
      <c r="H3274" s="8">
        <v>4.156</v>
      </c>
      <c r="J3274" s="26"/>
      <c r="K3274"/>
    </row>
    <row r="3275" spans="1:11">
      <c r="A3275">
        <v>23</v>
      </c>
      <c r="B3275" s="64">
        <v>41103</v>
      </c>
      <c r="C3275" s="2">
        <v>1384921.63</v>
      </c>
      <c r="D3275">
        <v>0</v>
      </c>
      <c r="E3275" s="65">
        <v>69.19</v>
      </c>
      <c r="F3275" s="8">
        <v>3.561</v>
      </c>
      <c r="G3275" s="66">
        <v>138.263</v>
      </c>
      <c r="H3275" s="8">
        <v>4.156</v>
      </c>
      <c r="J3275" s="26"/>
      <c r="K3275"/>
    </row>
    <row r="3276" spans="1:11">
      <c r="A3276">
        <v>23</v>
      </c>
      <c r="B3276" s="64">
        <v>41110</v>
      </c>
      <c r="C3276" s="2">
        <v>1381339.23</v>
      </c>
      <c r="D3276">
        <v>0</v>
      </c>
      <c r="E3276" s="65">
        <v>71.13</v>
      </c>
      <c r="F3276" s="8">
        <v>3.61</v>
      </c>
      <c r="G3276" s="66">
        <v>138.2331935</v>
      </c>
      <c r="H3276" s="8">
        <v>4.156</v>
      </c>
      <c r="J3276" s="26"/>
      <c r="K3276"/>
    </row>
    <row r="3277" spans="1:11">
      <c r="A3277">
        <v>23</v>
      </c>
      <c r="B3277" s="64">
        <v>41117</v>
      </c>
      <c r="C3277" s="2">
        <v>1322932.36</v>
      </c>
      <c r="D3277">
        <v>0</v>
      </c>
      <c r="E3277" s="65">
        <v>69.31</v>
      </c>
      <c r="F3277" s="8">
        <v>3.701</v>
      </c>
      <c r="G3277" s="66">
        <v>138.2033871</v>
      </c>
      <c r="H3277" s="8">
        <v>4.156</v>
      </c>
      <c r="J3277" s="26"/>
      <c r="K3277"/>
    </row>
    <row r="3278" spans="1:11">
      <c r="A3278">
        <v>23</v>
      </c>
      <c r="B3278" s="64">
        <v>41124</v>
      </c>
      <c r="C3278" s="2">
        <v>1416926.31</v>
      </c>
      <c r="D3278">
        <v>0</v>
      </c>
      <c r="E3278" s="65">
        <v>71.51</v>
      </c>
      <c r="F3278" s="8">
        <v>3.698</v>
      </c>
      <c r="G3278" s="66">
        <v>138.1735806</v>
      </c>
      <c r="H3278" s="8">
        <v>4.156</v>
      </c>
      <c r="J3278" s="26"/>
      <c r="K3278"/>
    </row>
    <row r="3279" spans="1:11">
      <c r="A3279">
        <v>23</v>
      </c>
      <c r="B3279" s="64">
        <v>41131</v>
      </c>
      <c r="C3279" s="2">
        <v>1436311.76</v>
      </c>
      <c r="D3279">
        <v>0</v>
      </c>
      <c r="E3279" s="65">
        <v>71.12</v>
      </c>
      <c r="F3279" s="8">
        <v>3.772</v>
      </c>
      <c r="G3279" s="66">
        <v>138.1437742</v>
      </c>
      <c r="H3279" s="8">
        <v>4.156</v>
      </c>
      <c r="J3279" s="26"/>
      <c r="K3279"/>
    </row>
    <row r="3280" spans="1:11">
      <c r="A3280">
        <v>23</v>
      </c>
      <c r="B3280" s="64">
        <v>41138</v>
      </c>
      <c r="C3280" s="2">
        <v>1510131.45</v>
      </c>
      <c r="D3280">
        <v>0</v>
      </c>
      <c r="E3280" s="65">
        <v>69.97</v>
      </c>
      <c r="F3280" s="8">
        <v>3.84</v>
      </c>
      <c r="G3280" s="66">
        <v>138.1857097</v>
      </c>
      <c r="H3280" s="8">
        <v>4.156</v>
      </c>
      <c r="J3280" s="26"/>
      <c r="K3280"/>
    </row>
    <row r="3281" spans="1:11">
      <c r="A3281">
        <v>23</v>
      </c>
      <c r="B3281" s="64">
        <v>41145</v>
      </c>
      <c r="C3281" s="2">
        <v>1702220.96</v>
      </c>
      <c r="D3281">
        <v>0</v>
      </c>
      <c r="E3281" s="65">
        <v>64.63</v>
      </c>
      <c r="F3281" s="8">
        <v>3.874</v>
      </c>
      <c r="G3281" s="66">
        <v>138.2814516</v>
      </c>
      <c r="H3281" s="8">
        <v>4.156</v>
      </c>
      <c r="J3281" s="26"/>
      <c r="K3281"/>
    </row>
    <row r="3282" spans="1:11">
      <c r="A3282">
        <v>23</v>
      </c>
      <c r="B3282" s="64">
        <v>41152</v>
      </c>
      <c r="C3282" s="2">
        <v>1577468.78</v>
      </c>
      <c r="D3282">
        <v>0</v>
      </c>
      <c r="E3282" s="65">
        <v>68.34</v>
      </c>
      <c r="F3282" s="8">
        <v>3.884</v>
      </c>
      <c r="G3282" s="66">
        <v>138.3771935</v>
      </c>
      <c r="H3282" s="8">
        <v>4.156</v>
      </c>
      <c r="J3282" s="26"/>
      <c r="K3282"/>
    </row>
    <row r="3283" spans="1:11">
      <c r="A3283">
        <v>23</v>
      </c>
      <c r="B3283" s="64">
        <v>41159</v>
      </c>
      <c r="C3283" s="2">
        <v>1427162.26</v>
      </c>
      <c r="D3283">
        <v>1</v>
      </c>
      <c r="E3283" s="65">
        <v>66.74</v>
      </c>
      <c r="F3283" s="8">
        <v>3.921</v>
      </c>
      <c r="G3283" s="66">
        <v>138.4729355</v>
      </c>
      <c r="H3283" s="8">
        <v>4.156</v>
      </c>
      <c r="J3283" s="26"/>
      <c r="K3283"/>
    </row>
    <row r="3284" spans="1:11">
      <c r="A3284">
        <v>23</v>
      </c>
      <c r="B3284" s="64">
        <v>41166</v>
      </c>
      <c r="C3284" s="2">
        <v>1279041.64</v>
      </c>
      <c r="D3284">
        <v>0</v>
      </c>
      <c r="E3284" s="65">
        <v>61.37</v>
      </c>
      <c r="F3284" s="8">
        <v>3.988</v>
      </c>
      <c r="G3284" s="66">
        <v>138.5673</v>
      </c>
      <c r="H3284" s="8">
        <v>4.156</v>
      </c>
      <c r="J3284" s="26"/>
      <c r="K3284"/>
    </row>
    <row r="3285" spans="1:11">
      <c r="A3285">
        <v>23</v>
      </c>
      <c r="B3285" s="64">
        <v>41173</v>
      </c>
      <c r="C3285" s="2">
        <v>1338627.55</v>
      </c>
      <c r="D3285">
        <v>0</v>
      </c>
      <c r="E3285" s="65">
        <v>56.8</v>
      </c>
      <c r="F3285" s="8">
        <v>4.056</v>
      </c>
      <c r="G3285" s="66">
        <v>138.6534</v>
      </c>
      <c r="H3285" s="8">
        <v>4.156</v>
      </c>
      <c r="J3285" s="26"/>
      <c r="K3285"/>
    </row>
    <row r="3286" spans="1:11">
      <c r="A3286">
        <v>23</v>
      </c>
      <c r="B3286" s="64">
        <v>41180</v>
      </c>
      <c r="C3286" s="2">
        <v>1319035.06</v>
      </c>
      <c r="D3286">
        <v>0</v>
      </c>
      <c r="E3286" s="65">
        <v>53.71</v>
      </c>
      <c r="F3286" s="8">
        <v>4.018</v>
      </c>
      <c r="G3286" s="66">
        <v>138.7395</v>
      </c>
      <c r="H3286" s="8">
        <v>4.156</v>
      </c>
      <c r="J3286" s="26"/>
      <c r="K3286"/>
    </row>
    <row r="3287" spans="1:11">
      <c r="A3287">
        <v>23</v>
      </c>
      <c r="B3287" s="64">
        <v>41187</v>
      </c>
      <c r="C3287" s="2">
        <v>1464616.59</v>
      </c>
      <c r="D3287">
        <v>0</v>
      </c>
      <c r="E3287" s="65">
        <v>56.65</v>
      </c>
      <c r="F3287" s="8">
        <v>4.027</v>
      </c>
      <c r="G3287" s="66">
        <v>138.8256</v>
      </c>
      <c r="H3287" s="8">
        <v>4.145</v>
      </c>
      <c r="J3287" s="26"/>
      <c r="K3287"/>
    </row>
    <row r="3288" spans="1:11">
      <c r="A3288">
        <v>23</v>
      </c>
      <c r="B3288" s="64">
        <v>41194</v>
      </c>
      <c r="C3288" s="2">
        <v>1412925.25</v>
      </c>
      <c r="D3288">
        <v>0</v>
      </c>
      <c r="E3288" s="65">
        <v>48.1</v>
      </c>
      <c r="F3288" s="8">
        <v>4.029</v>
      </c>
      <c r="G3288" s="66">
        <v>138.9117</v>
      </c>
      <c r="H3288" s="8">
        <v>4.145</v>
      </c>
      <c r="J3288" s="26"/>
      <c r="K3288"/>
    </row>
    <row r="3289" spans="1:11">
      <c r="A3289">
        <v>23</v>
      </c>
      <c r="B3289" s="64">
        <v>41201</v>
      </c>
      <c r="C3289" s="2">
        <v>1363155.77</v>
      </c>
      <c r="D3289">
        <v>0</v>
      </c>
      <c r="E3289" s="65">
        <v>47.89</v>
      </c>
      <c r="F3289" s="8">
        <v>4</v>
      </c>
      <c r="G3289" s="66">
        <v>138.8336129</v>
      </c>
      <c r="H3289" s="8">
        <v>4.145</v>
      </c>
      <c r="J3289" s="26"/>
      <c r="K3289"/>
    </row>
    <row r="3290" spans="1:11">
      <c r="A3290">
        <v>23</v>
      </c>
      <c r="B3290" s="64">
        <v>41208</v>
      </c>
      <c r="C3290" s="2">
        <v>1347454.59</v>
      </c>
      <c r="D3290">
        <v>0</v>
      </c>
      <c r="E3290" s="65">
        <v>50.56</v>
      </c>
      <c r="F3290" s="8">
        <v>3.917</v>
      </c>
      <c r="G3290" s="66">
        <v>138.7281613</v>
      </c>
      <c r="H3290" s="8">
        <v>4.145</v>
      </c>
      <c r="J3290" s="26"/>
      <c r="K3290"/>
    </row>
    <row r="3291" spans="1:11">
      <c r="A3291">
        <v>24</v>
      </c>
      <c r="B3291" s="64">
        <v>40214</v>
      </c>
      <c r="C3291" s="2">
        <v>1388725.63</v>
      </c>
      <c r="D3291">
        <v>0</v>
      </c>
      <c r="E3291" s="65">
        <v>22.43</v>
      </c>
      <c r="F3291" s="8">
        <v>2.954</v>
      </c>
      <c r="G3291" s="66">
        <v>131.5279032</v>
      </c>
      <c r="H3291" s="8">
        <v>8.326</v>
      </c>
      <c r="J3291" s="26"/>
      <c r="K3291"/>
    </row>
    <row r="3292" spans="1:11">
      <c r="A3292">
        <v>24</v>
      </c>
      <c r="B3292" s="64">
        <v>40221</v>
      </c>
      <c r="C3292" s="2">
        <v>1414107.1</v>
      </c>
      <c r="D3292">
        <v>1</v>
      </c>
      <c r="E3292" s="65">
        <v>25.94</v>
      </c>
      <c r="F3292" s="8">
        <v>2.94</v>
      </c>
      <c r="G3292" s="66">
        <v>131.5866129</v>
      </c>
      <c r="H3292" s="8">
        <v>8.326</v>
      </c>
      <c r="J3292" s="26"/>
      <c r="K3292"/>
    </row>
    <row r="3293" spans="1:11">
      <c r="A3293">
        <v>24</v>
      </c>
      <c r="B3293" s="64">
        <v>40228</v>
      </c>
      <c r="C3293" s="2">
        <v>1385362.49</v>
      </c>
      <c r="D3293">
        <v>0</v>
      </c>
      <c r="E3293" s="65">
        <v>31.05</v>
      </c>
      <c r="F3293" s="8">
        <v>2.909</v>
      </c>
      <c r="G3293" s="66">
        <v>131.637</v>
      </c>
      <c r="H3293" s="8">
        <v>8.326</v>
      </c>
      <c r="J3293" s="26"/>
      <c r="K3293"/>
    </row>
    <row r="3294" spans="1:11">
      <c r="A3294">
        <v>24</v>
      </c>
      <c r="B3294" s="64">
        <v>40235</v>
      </c>
      <c r="C3294" s="2">
        <v>1158722.74</v>
      </c>
      <c r="D3294">
        <v>0</v>
      </c>
      <c r="E3294" s="65">
        <v>33.98</v>
      </c>
      <c r="F3294" s="8">
        <v>2.91</v>
      </c>
      <c r="G3294" s="66">
        <v>131.686</v>
      </c>
      <c r="H3294" s="8">
        <v>8.326</v>
      </c>
      <c r="J3294" s="26"/>
      <c r="K3294"/>
    </row>
    <row r="3295" spans="1:11">
      <c r="A3295">
        <v>24</v>
      </c>
      <c r="B3295" s="64">
        <v>40242</v>
      </c>
      <c r="C3295" s="2">
        <v>1412387.37</v>
      </c>
      <c r="D3295">
        <v>0</v>
      </c>
      <c r="E3295" s="65">
        <v>36.73</v>
      </c>
      <c r="F3295" s="8">
        <v>2.919</v>
      </c>
      <c r="G3295" s="66">
        <v>131.735</v>
      </c>
      <c r="H3295" s="8">
        <v>8.326</v>
      </c>
      <c r="J3295" s="26"/>
      <c r="K3295"/>
    </row>
    <row r="3296" spans="1:11">
      <c r="A3296">
        <v>24</v>
      </c>
      <c r="B3296" s="64">
        <v>40249</v>
      </c>
      <c r="C3296" s="2">
        <v>1309340.16</v>
      </c>
      <c r="D3296">
        <v>0</v>
      </c>
      <c r="E3296" s="65">
        <v>42.31</v>
      </c>
      <c r="F3296" s="8">
        <v>2.938</v>
      </c>
      <c r="G3296" s="66">
        <v>131.784</v>
      </c>
      <c r="H3296" s="8">
        <v>8.326</v>
      </c>
      <c r="J3296" s="26"/>
      <c r="K3296"/>
    </row>
    <row r="3297" spans="1:11">
      <c r="A3297">
        <v>24</v>
      </c>
      <c r="B3297" s="64">
        <v>40256</v>
      </c>
      <c r="C3297" s="2">
        <v>1222511.29</v>
      </c>
      <c r="D3297">
        <v>0</v>
      </c>
      <c r="E3297" s="65">
        <v>46.09</v>
      </c>
      <c r="F3297" s="8">
        <v>2.96</v>
      </c>
      <c r="G3297" s="66">
        <v>131.8242903</v>
      </c>
      <c r="H3297" s="8">
        <v>8.326</v>
      </c>
      <c r="J3297" s="26"/>
      <c r="K3297"/>
    </row>
    <row r="3298" spans="1:11">
      <c r="A3298">
        <v>24</v>
      </c>
      <c r="B3298" s="64">
        <v>40263</v>
      </c>
      <c r="C3298" s="2">
        <v>1258311.56</v>
      </c>
      <c r="D3298">
        <v>0</v>
      </c>
      <c r="E3298" s="65">
        <v>48.87</v>
      </c>
      <c r="F3298" s="8">
        <v>2.963</v>
      </c>
      <c r="G3298" s="66">
        <v>131.863129</v>
      </c>
      <c r="H3298" s="8">
        <v>8.326</v>
      </c>
      <c r="J3298" s="26"/>
      <c r="K3298"/>
    </row>
    <row r="3299" spans="1:11">
      <c r="A3299">
        <v>24</v>
      </c>
      <c r="B3299" s="64">
        <v>40270</v>
      </c>
      <c r="C3299" s="2">
        <v>1478321.26</v>
      </c>
      <c r="D3299">
        <v>0</v>
      </c>
      <c r="E3299" s="65">
        <v>45.22</v>
      </c>
      <c r="F3299" s="8">
        <v>2.957</v>
      </c>
      <c r="G3299" s="66">
        <v>131.9019677</v>
      </c>
      <c r="H3299" s="8">
        <v>8.211</v>
      </c>
      <c r="J3299" s="26"/>
      <c r="K3299"/>
    </row>
    <row r="3300" spans="1:11">
      <c r="A3300">
        <v>24</v>
      </c>
      <c r="B3300" s="64">
        <v>40277</v>
      </c>
      <c r="C3300" s="2">
        <v>1379579.63</v>
      </c>
      <c r="D3300">
        <v>0</v>
      </c>
      <c r="E3300" s="65">
        <v>62.06</v>
      </c>
      <c r="F3300" s="8">
        <v>2.992</v>
      </c>
      <c r="G3300" s="66">
        <v>131.9408065</v>
      </c>
      <c r="H3300" s="8">
        <v>8.211</v>
      </c>
      <c r="J3300" s="26"/>
      <c r="K3300"/>
    </row>
    <row r="3301" spans="1:11">
      <c r="A3301">
        <v>24</v>
      </c>
      <c r="B3301" s="64">
        <v>40284</v>
      </c>
      <c r="C3301" s="2">
        <v>1268266.72</v>
      </c>
      <c r="D3301">
        <v>0</v>
      </c>
      <c r="E3301" s="65">
        <v>51.08</v>
      </c>
      <c r="F3301" s="8">
        <v>3.01</v>
      </c>
      <c r="G3301" s="66">
        <v>131.9809</v>
      </c>
      <c r="H3301" s="8">
        <v>8.211</v>
      </c>
      <c r="J3301" s="26"/>
      <c r="K3301"/>
    </row>
    <row r="3302" spans="1:11">
      <c r="A3302">
        <v>24</v>
      </c>
      <c r="B3302" s="64">
        <v>40291</v>
      </c>
      <c r="C3302" s="2">
        <v>1264117.01</v>
      </c>
      <c r="D3302">
        <v>0</v>
      </c>
      <c r="E3302" s="65">
        <v>51.07</v>
      </c>
      <c r="F3302" s="8">
        <v>3.021</v>
      </c>
      <c r="G3302" s="66">
        <v>132.0226667</v>
      </c>
      <c r="H3302" s="8">
        <v>8.211</v>
      </c>
      <c r="J3302" s="26"/>
      <c r="K3302"/>
    </row>
    <row r="3303" spans="1:11">
      <c r="A3303">
        <v>24</v>
      </c>
      <c r="B3303" s="64">
        <v>40298</v>
      </c>
      <c r="C3303" s="2">
        <v>1259877.19</v>
      </c>
      <c r="D3303">
        <v>0</v>
      </c>
      <c r="E3303" s="65">
        <v>51.48</v>
      </c>
      <c r="F3303" s="8">
        <v>3.042</v>
      </c>
      <c r="G3303" s="66">
        <v>132.0644333</v>
      </c>
      <c r="H3303" s="8">
        <v>8.211</v>
      </c>
      <c r="J3303" s="26"/>
      <c r="K3303"/>
    </row>
    <row r="3304" spans="1:11">
      <c r="A3304">
        <v>24</v>
      </c>
      <c r="B3304" s="64">
        <v>40305</v>
      </c>
      <c r="C3304" s="2">
        <v>1409705.03</v>
      </c>
      <c r="D3304">
        <v>0</v>
      </c>
      <c r="E3304" s="65">
        <v>66.65</v>
      </c>
      <c r="F3304" s="8">
        <v>3.095</v>
      </c>
      <c r="G3304" s="66">
        <v>132.1062</v>
      </c>
      <c r="H3304" s="8">
        <v>8.211</v>
      </c>
      <c r="J3304" s="26"/>
      <c r="K3304"/>
    </row>
    <row r="3305" spans="1:11">
      <c r="A3305">
        <v>24</v>
      </c>
      <c r="B3305" s="64">
        <v>40312</v>
      </c>
      <c r="C3305" s="2">
        <v>1346783.35</v>
      </c>
      <c r="D3305">
        <v>0</v>
      </c>
      <c r="E3305" s="65">
        <v>51.31</v>
      </c>
      <c r="F3305" s="8">
        <v>3.112</v>
      </c>
      <c r="G3305" s="66">
        <v>132.152129</v>
      </c>
      <c r="H3305" s="8">
        <v>8.211</v>
      </c>
      <c r="J3305" s="26"/>
      <c r="K3305"/>
    </row>
    <row r="3306" spans="1:11">
      <c r="A3306">
        <v>24</v>
      </c>
      <c r="B3306" s="64">
        <v>40319</v>
      </c>
      <c r="C3306" s="2">
        <v>1283482.85</v>
      </c>
      <c r="D3306">
        <v>0</v>
      </c>
      <c r="E3306" s="65">
        <v>60.44</v>
      </c>
      <c r="F3306" s="8">
        <v>3.096</v>
      </c>
      <c r="G3306" s="66">
        <v>132.2230323</v>
      </c>
      <c r="H3306" s="8">
        <v>8.211</v>
      </c>
      <c r="J3306" s="26"/>
      <c r="K3306"/>
    </row>
    <row r="3307" spans="1:11">
      <c r="A3307">
        <v>24</v>
      </c>
      <c r="B3307" s="64">
        <v>40326</v>
      </c>
      <c r="C3307" s="2">
        <v>1473868.15</v>
      </c>
      <c r="D3307">
        <v>0</v>
      </c>
      <c r="E3307" s="65">
        <v>69.59</v>
      </c>
      <c r="F3307" s="8">
        <v>3.046</v>
      </c>
      <c r="G3307" s="66">
        <v>132.2939355</v>
      </c>
      <c r="H3307" s="8">
        <v>8.211</v>
      </c>
      <c r="J3307" s="26"/>
      <c r="K3307"/>
    </row>
    <row r="3308" spans="1:11">
      <c r="A3308">
        <v>24</v>
      </c>
      <c r="B3308" s="64">
        <v>40333</v>
      </c>
      <c r="C3308" s="2">
        <v>1566668.91</v>
      </c>
      <c r="D3308">
        <v>0</v>
      </c>
      <c r="E3308" s="65">
        <v>71.99</v>
      </c>
      <c r="F3308" s="8">
        <v>3.006</v>
      </c>
      <c r="G3308" s="66">
        <v>132.3648387</v>
      </c>
      <c r="H3308" s="8">
        <v>8.211</v>
      </c>
      <c r="J3308" s="26"/>
      <c r="K3308"/>
    </row>
    <row r="3309" spans="1:11">
      <c r="A3309">
        <v>24</v>
      </c>
      <c r="B3309" s="64">
        <v>40340</v>
      </c>
      <c r="C3309" s="2">
        <v>1375458.21</v>
      </c>
      <c r="D3309">
        <v>0</v>
      </c>
      <c r="E3309" s="65">
        <v>64.84</v>
      </c>
      <c r="F3309" s="8">
        <v>2.972</v>
      </c>
      <c r="G3309" s="66">
        <v>132.4357419</v>
      </c>
      <c r="H3309" s="8">
        <v>8.211</v>
      </c>
      <c r="J3309" s="26"/>
      <c r="K3309"/>
    </row>
    <row r="3310" spans="1:11">
      <c r="A3310">
        <v>24</v>
      </c>
      <c r="B3310" s="64">
        <v>40347</v>
      </c>
      <c r="C3310" s="2">
        <v>1354168.18</v>
      </c>
      <c r="D3310">
        <v>0</v>
      </c>
      <c r="E3310" s="65">
        <v>67.17</v>
      </c>
      <c r="F3310" s="8">
        <v>2.942</v>
      </c>
      <c r="G3310" s="66">
        <v>132.4733333</v>
      </c>
      <c r="H3310" s="8">
        <v>8.211</v>
      </c>
      <c r="J3310" s="26"/>
      <c r="K3310"/>
    </row>
    <row r="3311" spans="1:11">
      <c r="A3311">
        <v>24</v>
      </c>
      <c r="B3311" s="64">
        <v>40354</v>
      </c>
      <c r="C3311" s="2">
        <v>1399073.75</v>
      </c>
      <c r="D3311">
        <v>0</v>
      </c>
      <c r="E3311" s="65">
        <v>74.9</v>
      </c>
      <c r="F3311" s="8">
        <v>2.958</v>
      </c>
      <c r="G3311" s="66">
        <v>132.4976</v>
      </c>
      <c r="H3311" s="8">
        <v>8.211</v>
      </c>
      <c r="J3311" s="26"/>
      <c r="K3311"/>
    </row>
    <row r="3312" spans="1:11">
      <c r="A3312">
        <v>24</v>
      </c>
      <c r="B3312" s="64">
        <v>40361</v>
      </c>
      <c r="C3312" s="2">
        <v>1563387.94</v>
      </c>
      <c r="D3312">
        <v>0</v>
      </c>
      <c r="E3312" s="65">
        <v>71.12</v>
      </c>
      <c r="F3312" s="8">
        <v>2.958</v>
      </c>
      <c r="G3312" s="66">
        <v>132.5218667</v>
      </c>
      <c r="H3312" s="8">
        <v>8.117</v>
      </c>
      <c r="J3312" s="26"/>
      <c r="K3312"/>
    </row>
    <row r="3313" spans="1:11">
      <c r="A3313">
        <v>24</v>
      </c>
      <c r="B3313" s="64">
        <v>40368</v>
      </c>
      <c r="C3313" s="2">
        <v>1665502.55</v>
      </c>
      <c r="D3313">
        <v>0</v>
      </c>
      <c r="E3313" s="65">
        <v>79.05</v>
      </c>
      <c r="F3313" s="8">
        <v>2.94</v>
      </c>
      <c r="G3313" s="66">
        <v>132.5461333</v>
      </c>
      <c r="H3313" s="8">
        <v>8.117</v>
      </c>
      <c r="J3313" s="26"/>
      <c r="K3313"/>
    </row>
    <row r="3314" spans="1:11">
      <c r="A3314">
        <v>24</v>
      </c>
      <c r="B3314" s="64">
        <v>40375</v>
      </c>
      <c r="C3314" s="2">
        <v>1418697.05</v>
      </c>
      <c r="D3314">
        <v>0</v>
      </c>
      <c r="E3314" s="65">
        <v>76.56</v>
      </c>
      <c r="F3314" s="8">
        <v>2.933</v>
      </c>
      <c r="G3314" s="66">
        <v>132.5667742</v>
      </c>
      <c r="H3314" s="8">
        <v>8.117</v>
      </c>
      <c r="J3314" s="26"/>
      <c r="K3314"/>
    </row>
    <row r="3315" spans="1:11">
      <c r="A3315">
        <v>24</v>
      </c>
      <c r="B3315" s="64">
        <v>40382</v>
      </c>
      <c r="C3315" s="2">
        <v>1333740.35</v>
      </c>
      <c r="D3315">
        <v>0</v>
      </c>
      <c r="E3315" s="65">
        <v>75.27</v>
      </c>
      <c r="F3315" s="8">
        <v>2.924</v>
      </c>
      <c r="G3315" s="66">
        <v>132.5825806</v>
      </c>
      <c r="H3315" s="8">
        <v>8.117</v>
      </c>
      <c r="J3315" s="26"/>
      <c r="K3315"/>
    </row>
    <row r="3316" spans="1:11">
      <c r="A3316">
        <v>24</v>
      </c>
      <c r="B3316" s="64">
        <v>40389</v>
      </c>
      <c r="C3316" s="2">
        <v>1387517.63</v>
      </c>
      <c r="D3316">
        <v>0</v>
      </c>
      <c r="E3316" s="65">
        <v>75.91</v>
      </c>
      <c r="F3316" s="8">
        <v>2.932</v>
      </c>
      <c r="G3316" s="66">
        <v>132.5983871</v>
      </c>
      <c r="H3316" s="8">
        <v>8.117</v>
      </c>
      <c r="J3316" s="26"/>
      <c r="K3316"/>
    </row>
    <row r="3317" spans="1:11">
      <c r="A3317">
        <v>24</v>
      </c>
      <c r="B3317" s="64">
        <v>40396</v>
      </c>
      <c r="C3317" s="2">
        <v>1442819.28</v>
      </c>
      <c r="D3317">
        <v>0</v>
      </c>
      <c r="E3317" s="65">
        <v>74.54</v>
      </c>
      <c r="F3317" s="8">
        <v>2.942</v>
      </c>
      <c r="G3317" s="66">
        <v>132.6141935</v>
      </c>
      <c r="H3317" s="8">
        <v>8.117</v>
      </c>
      <c r="J3317" s="26"/>
      <c r="K3317"/>
    </row>
    <row r="3318" spans="1:11">
      <c r="A3318">
        <v>24</v>
      </c>
      <c r="B3318" s="64">
        <v>40403</v>
      </c>
      <c r="C3318" s="2">
        <v>1384243.75</v>
      </c>
      <c r="D3318">
        <v>0</v>
      </c>
      <c r="E3318" s="65">
        <v>74.17</v>
      </c>
      <c r="F3318" s="8">
        <v>2.923</v>
      </c>
      <c r="G3318" s="66">
        <v>132.63</v>
      </c>
      <c r="H3318" s="8">
        <v>8.117</v>
      </c>
      <c r="J3318" s="26"/>
      <c r="K3318"/>
    </row>
    <row r="3319" spans="1:11">
      <c r="A3319">
        <v>24</v>
      </c>
      <c r="B3319" s="64">
        <v>40410</v>
      </c>
      <c r="C3319" s="2">
        <v>1375307.54</v>
      </c>
      <c r="D3319">
        <v>0</v>
      </c>
      <c r="E3319" s="65">
        <v>72.17</v>
      </c>
      <c r="F3319" s="8">
        <v>2.913</v>
      </c>
      <c r="G3319" s="66">
        <v>132.6616129</v>
      </c>
      <c r="H3319" s="8">
        <v>8.117</v>
      </c>
      <c r="J3319" s="26"/>
      <c r="K3319"/>
    </row>
    <row r="3320" spans="1:11">
      <c r="A3320">
        <v>24</v>
      </c>
      <c r="B3320" s="64">
        <v>40417</v>
      </c>
      <c r="C3320" s="2">
        <v>1350059.35</v>
      </c>
      <c r="D3320">
        <v>0</v>
      </c>
      <c r="E3320" s="65">
        <v>67</v>
      </c>
      <c r="F3320" s="8">
        <v>2.885</v>
      </c>
      <c r="G3320" s="66">
        <v>132.6932258</v>
      </c>
      <c r="H3320" s="8">
        <v>8.117</v>
      </c>
      <c r="J3320" s="26"/>
      <c r="K3320"/>
    </row>
    <row r="3321" spans="1:11">
      <c r="A3321">
        <v>24</v>
      </c>
      <c r="B3321" s="64">
        <v>40424</v>
      </c>
      <c r="C3321" s="2">
        <v>1366381.6</v>
      </c>
      <c r="D3321">
        <v>0</v>
      </c>
      <c r="E3321" s="65">
        <v>73.52</v>
      </c>
      <c r="F3321" s="8">
        <v>2.86</v>
      </c>
      <c r="G3321" s="66">
        <v>132.7248387</v>
      </c>
      <c r="H3321" s="8">
        <v>8.117</v>
      </c>
      <c r="J3321" s="26"/>
      <c r="K3321"/>
    </row>
    <row r="3322" spans="1:11">
      <c r="A3322">
        <v>24</v>
      </c>
      <c r="B3322" s="64">
        <v>40431</v>
      </c>
      <c r="C3322" s="2">
        <v>1474498.59</v>
      </c>
      <c r="D3322">
        <v>1</v>
      </c>
      <c r="E3322" s="65">
        <v>67.11</v>
      </c>
      <c r="F3322" s="8">
        <v>2.837</v>
      </c>
      <c r="G3322" s="66">
        <v>132.7564516</v>
      </c>
      <c r="H3322" s="8">
        <v>8.117</v>
      </c>
      <c r="J3322" s="26"/>
      <c r="K3322"/>
    </row>
    <row r="3323" spans="1:11">
      <c r="A3323">
        <v>24</v>
      </c>
      <c r="B3323" s="64">
        <v>40438</v>
      </c>
      <c r="C3323" s="2">
        <v>1273295.46</v>
      </c>
      <c r="D3323">
        <v>0</v>
      </c>
      <c r="E3323" s="65">
        <v>60.31</v>
      </c>
      <c r="F3323" s="8">
        <v>2.846</v>
      </c>
      <c r="G3323" s="66">
        <v>132.7670667</v>
      </c>
      <c r="H3323" s="8">
        <v>8.117</v>
      </c>
      <c r="J3323" s="26"/>
      <c r="K3323"/>
    </row>
    <row r="3324" spans="1:11">
      <c r="A3324">
        <v>24</v>
      </c>
      <c r="B3324" s="64">
        <v>40445</v>
      </c>
      <c r="C3324" s="2">
        <v>1169413.27</v>
      </c>
      <c r="D3324">
        <v>0</v>
      </c>
      <c r="E3324" s="65">
        <v>64.3</v>
      </c>
      <c r="F3324" s="8">
        <v>2.837</v>
      </c>
      <c r="G3324" s="66">
        <v>132.7619333</v>
      </c>
      <c r="H3324" s="8">
        <v>8.117</v>
      </c>
      <c r="J3324" s="26"/>
      <c r="K3324"/>
    </row>
    <row r="3325" spans="1:11">
      <c r="A3325">
        <v>24</v>
      </c>
      <c r="B3325" s="64">
        <v>40452</v>
      </c>
      <c r="C3325" s="2">
        <v>1215273.2</v>
      </c>
      <c r="D3325">
        <v>0</v>
      </c>
      <c r="E3325" s="65">
        <v>66.88</v>
      </c>
      <c r="F3325" s="8">
        <v>2.84</v>
      </c>
      <c r="G3325" s="66">
        <v>132.7568</v>
      </c>
      <c r="H3325" s="8">
        <v>8.275</v>
      </c>
      <c r="J3325" s="26"/>
      <c r="K3325"/>
    </row>
    <row r="3326" spans="1:11">
      <c r="A3326">
        <v>24</v>
      </c>
      <c r="B3326" s="64">
        <v>40459</v>
      </c>
      <c r="C3326" s="2">
        <v>1361944.94</v>
      </c>
      <c r="D3326">
        <v>0</v>
      </c>
      <c r="E3326" s="65">
        <v>54.82</v>
      </c>
      <c r="F3326" s="8">
        <v>2.903</v>
      </c>
      <c r="G3326" s="66">
        <v>132.7516667</v>
      </c>
      <c r="H3326" s="8">
        <v>8.275</v>
      </c>
      <c r="J3326" s="26"/>
      <c r="K3326"/>
    </row>
    <row r="3327" spans="1:11">
      <c r="A3327">
        <v>24</v>
      </c>
      <c r="B3327" s="64">
        <v>40466</v>
      </c>
      <c r="C3327" s="2">
        <v>1300806.74</v>
      </c>
      <c r="D3327">
        <v>0</v>
      </c>
      <c r="E3327" s="65">
        <v>52.83</v>
      </c>
      <c r="F3327" s="8">
        <v>2.999</v>
      </c>
      <c r="G3327" s="66">
        <v>132.7633548</v>
      </c>
      <c r="H3327" s="8">
        <v>8.275</v>
      </c>
      <c r="J3327" s="26"/>
      <c r="K3327"/>
    </row>
    <row r="3328" spans="1:11">
      <c r="A3328">
        <v>24</v>
      </c>
      <c r="B3328" s="64">
        <v>40473</v>
      </c>
      <c r="C3328" s="2">
        <v>1234875.33</v>
      </c>
      <c r="D3328">
        <v>0</v>
      </c>
      <c r="E3328" s="65">
        <v>48.69</v>
      </c>
      <c r="F3328" s="8">
        <v>3.049</v>
      </c>
      <c r="G3328" s="66">
        <v>132.8170968</v>
      </c>
      <c r="H3328" s="8">
        <v>8.275</v>
      </c>
      <c r="J3328" s="26"/>
      <c r="K3328"/>
    </row>
    <row r="3329" spans="1:11">
      <c r="A3329">
        <v>24</v>
      </c>
      <c r="B3329" s="64">
        <v>40480</v>
      </c>
      <c r="C3329" s="2">
        <v>1244925.94</v>
      </c>
      <c r="D3329">
        <v>0</v>
      </c>
      <c r="E3329" s="65">
        <v>57.29</v>
      </c>
      <c r="F3329" s="8">
        <v>3.055</v>
      </c>
      <c r="G3329" s="66">
        <v>132.8708387</v>
      </c>
      <c r="H3329" s="8">
        <v>8.275</v>
      </c>
      <c r="J3329" s="26"/>
      <c r="K3329"/>
    </row>
    <row r="3330" spans="1:11">
      <c r="A3330">
        <v>24</v>
      </c>
      <c r="B3330" s="64">
        <v>40487</v>
      </c>
      <c r="C3330" s="2">
        <v>1285358.01</v>
      </c>
      <c r="D3330">
        <v>0</v>
      </c>
      <c r="E3330" s="65">
        <v>42.2</v>
      </c>
      <c r="F3330" s="8">
        <v>3.049</v>
      </c>
      <c r="G3330" s="66">
        <v>132.9245806</v>
      </c>
      <c r="H3330" s="8">
        <v>8.275</v>
      </c>
      <c r="J3330" s="26"/>
      <c r="K3330"/>
    </row>
    <row r="3331" spans="1:11">
      <c r="A3331">
        <v>24</v>
      </c>
      <c r="B3331" s="64">
        <v>40494</v>
      </c>
      <c r="C3331" s="2">
        <v>1312877.01</v>
      </c>
      <c r="D3331">
        <v>0</v>
      </c>
      <c r="E3331" s="65">
        <v>41.76</v>
      </c>
      <c r="F3331" s="8">
        <v>3.065</v>
      </c>
      <c r="G3331" s="66">
        <v>132.9783226</v>
      </c>
      <c r="H3331" s="8">
        <v>8.275</v>
      </c>
      <c r="J3331" s="26"/>
      <c r="K3331"/>
    </row>
    <row r="3332" spans="1:11">
      <c r="A3332">
        <v>24</v>
      </c>
      <c r="B3332" s="64">
        <v>40501</v>
      </c>
      <c r="C3332" s="2">
        <v>1277150.6</v>
      </c>
      <c r="D3332">
        <v>0</v>
      </c>
      <c r="E3332" s="65">
        <v>45.63</v>
      </c>
      <c r="F3332" s="8">
        <v>3.138</v>
      </c>
      <c r="G3332" s="66">
        <v>132.9172</v>
      </c>
      <c r="H3332" s="8">
        <v>8.275</v>
      </c>
      <c r="J3332" s="26"/>
      <c r="K3332"/>
    </row>
    <row r="3333" spans="1:11">
      <c r="A3333">
        <v>24</v>
      </c>
      <c r="B3333" s="64">
        <v>40508</v>
      </c>
      <c r="C3333" s="2">
        <v>1779276.51</v>
      </c>
      <c r="D3333">
        <v>1</v>
      </c>
      <c r="E3333" s="65">
        <v>41.92</v>
      </c>
      <c r="F3333" s="8">
        <v>3.186</v>
      </c>
      <c r="G3333" s="66">
        <v>132.8369333</v>
      </c>
      <c r="H3333" s="8">
        <v>8.275</v>
      </c>
      <c r="J3333" s="26"/>
      <c r="K3333"/>
    </row>
    <row r="3334" spans="1:11">
      <c r="A3334">
        <v>24</v>
      </c>
      <c r="B3334" s="64">
        <v>40515</v>
      </c>
      <c r="C3334" s="2">
        <v>1413302.7</v>
      </c>
      <c r="D3334">
        <v>0</v>
      </c>
      <c r="E3334" s="65">
        <v>37.08</v>
      </c>
      <c r="F3334" s="8">
        <v>3.2</v>
      </c>
      <c r="G3334" s="66">
        <v>132.7566667</v>
      </c>
      <c r="H3334" s="8">
        <v>8.275</v>
      </c>
      <c r="J3334" s="26"/>
      <c r="K3334"/>
    </row>
    <row r="3335" spans="1:11">
      <c r="A3335">
        <v>24</v>
      </c>
      <c r="B3335" s="64">
        <v>40522</v>
      </c>
      <c r="C3335" s="2">
        <v>1593012.75</v>
      </c>
      <c r="D3335">
        <v>0</v>
      </c>
      <c r="E3335" s="65">
        <v>27.11</v>
      </c>
      <c r="F3335" s="8">
        <v>3.255</v>
      </c>
      <c r="G3335" s="66">
        <v>132.6764</v>
      </c>
      <c r="H3335" s="8">
        <v>8.275</v>
      </c>
      <c r="J3335" s="26"/>
      <c r="K3335"/>
    </row>
    <row r="3336" spans="1:11">
      <c r="A3336">
        <v>24</v>
      </c>
      <c r="B3336" s="64">
        <v>40529</v>
      </c>
      <c r="C3336" s="2">
        <v>1663525.77</v>
      </c>
      <c r="D3336">
        <v>0</v>
      </c>
      <c r="E3336" s="65">
        <v>27.99</v>
      </c>
      <c r="F3336" s="8">
        <v>3.301</v>
      </c>
      <c r="G3336" s="66">
        <v>132.6804516</v>
      </c>
      <c r="H3336" s="8">
        <v>8.275</v>
      </c>
      <c r="J3336" s="26"/>
      <c r="K3336"/>
    </row>
    <row r="3337" spans="1:11">
      <c r="A3337">
        <v>24</v>
      </c>
      <c r="B3337" s="64">
        <v>40536</v>
      </c>
      <c r="C3337" s="2">
        <v>2386015.75</v>
      </c>
      <c r="D3337">
        <v>0</v>
      </c>
      <c r="E3337" s="65">
        <v>27.74</v>
      </c>
      <c r="F3337" s="8">
        <v>3.309</v>
      </c>
      <c r="G3337" s="66">
        <v>132.7477419</v>
      </c>
      <c r="H3337" s="8">
        <v>8.275</v>
      </c>
      <c r="J3337" s="26"/>
      <c r="K3337"/>
    </row>
    <row r="3338" spans="1:11">
      <c r="A3338">
        <v>24</v>
      </c>
      <c r="B3338" s="64">
        <v>40543</v>
      </c>
      <c r="C3338" s="2">
        <v>1208600.05</v>
      </c>
      <c r="D3338">
        <v>1</v>
      </c>
      <c r="E3338" s="65">
        <v>25.9</v>
      </c>
      <c r="F3338" s="8">
        <v>3.336</v>
      </c>
      <c r="G3338" s="66">
        <v>132.8150323</v>
      </c>
      <c r="H3338" s="8">
        <v>8.275</v>
      </c>
      <c r="J3338" s="26"/>
      <c r="K3338"/>
    </row>
    <row r="3339" spans="1:11">
      <c r="A3339">
        <v>24</v>
      </c>
      <c r="B3339" s="64">
        <v>40550</v>
      </c>
      <c r="C3339" s="2">
        <v>1178641.71</v>
      </c>
      <c r="D3339">
        <v>0</v>
      </c>
      <c r="E3339" s="65">
        <v>30.72</v>
      </c>
      <c r="F3339" s="8">
        <v>3.351</v>
      </c>
      <c r="G3339" s="66">
        <v>132.8823226</v>
      </c>
      <c r="H3339" s="8">
        <v>8.252</v>
      </c>
      <c r="J3339" s="26"/>
      <c r="K3339"/>
    </row>
    <row r="3340" spans="1:11">
      <c r="A3340">
        <v>24</v>
      </c>
      <c r="B3340" s="64">
        <v>40557</v>
      </c>
      <c r="C3340" s="2">
        <v>1167740.2</v>
      </c>
      <c r="D3340">
        <v>0</v>
      </c>
      <c r="E3340" s="65">
        <v>22.41</v>
      </c>
      <c r="F3340" s="8">
        <v>3.367</v>
      </c>
      <c r="G3340" s="66">
        <v>132.9510645</v>
      </c>
      <c r="H3340" s="8">
        <v>8.252</v>
      </c>
      <c r="J3340" s="26"/>
      <c r="K3340"/>
    </row>
    <row r="3341" spans="1:11">
      <c r="A3341">
        <v>24</v>
      </c>
      <c r="B3341" s="64">
        <v>40564</v>
      </c>
      <c r="C3341" s="2">
        <v>1107170.39</v>
      </c>
      <c r="D3341">
        <v>0</v>
      </c>
      <c r="E3341" s="65">
        <v>23.69</v>
      </c>
      <c r="F3341" s="8">
        <v>3.391</v>
      </c>
      <c r="G3341" s="66">
        <v>133.0285161</v>
      </c>
      <c r="H3341" s="8">
        <v>8.252</v>
      </c>
      <c r="J3341" s="26"/>
      <c r="K3341"/>
    </row>
    <row r="3342" spans="1:11">
      <c r="A3342">
        <v>24</v>
      </c>
      <c r="B3342" s="64">
        <v>40571</v>
      </c>
      <c r="C3342" s="2">
        <v>1126921.34</v>
      </c>
      <c r="D3342">
        <v>0</v>
      </c>
      <c r="E3342" s="65">
        <v>17.91</v>
      </c>
      <c r="F3342" s="8">
        <v>3.402</v>
      </c>
      <c r="G3342" s="66">
        <v>133.1059677</v>
      </c>
      <c r="H3342" s="8">
        <v>8.252</v>
      </c>
      <c r="J3342" s="26"/>
      <c r="K3342"/>
    </row>
    <row r="3343" spans="1:11">
      <c r="A3343">
        <v>24</v>
      </c>
      <c r="B3343" s="64">
        <v>40578</v>
      </c>
      <c r="C3343" s="2">
        <v>1225182.04</v>
      </c>
      <c r="D3343">
        <v>0</v>
      </c>
      <c r="E3343" s="65">
        <v>23.83</v>
      </c>
      <c r="F3343" s="8">
        <v>3.4</v>
      </c>
      <c r="G3343" s="66">
        <v>133.1834194</v>
      </c>
      <c r="H3343" s="8">
        <v>8.252</v>
      </c>
      <c r="J3343" s="26"/>
      <c r="K3343"/>
    </row>
    <row r="3344" spans="1:11">
      <c r="A3344">
        <v>24</v>
      </c>
      <c r="B3344" s="64">
        <v>40585</v>
      </c>
      <c r="C3344" s="2">
        <v>1341240.62</v>
      </c>
      <c r="D3344">
        <v>1</v>
      </c>
      <c r="E3344" s="65">
        <v>26.51</v>
      </c>
      <c r="F3344" s="8">
        <v>3.416</v>
      </c>
      <c r="G3344" s="66">
        <v>133.260871</v>
      </c>
      <c r="H3344" s="8">
        <v>8.252</v>
      </c>
      <c r="J3344" s="26"/>
      <c r="K3344"/>
    </row>
    <row r="3345" spans="1:11">
      <c r="A3345">
        <v>24</v>
      </c>
      <c r="B3345" s="64">
        <v>40592</v>
      </c>
      <c r="C3345" s="2">
        <v>1360150.12</v>
      </c>
      <c r="D3345">
        <v>0</v>
      </c>
      <c r="E3345" s="65">
        <v>34.04</v>
      </c>
      <c r="F3345" s="8">
        <v>3.42</v>
      </c>
      <c r="G3345" s="66">
        <v>133.3701429</v>
      </c>
      <c r="H3345" s="8">
        <v>8.252</v>
      </c>
      <c r="J3345" s="26"/>
      <c r="K3345"/>
    </row>
    <row r="3346" spans="1:11">
      <c r="A3346">
        <v>24</v>
      </c>
      <c r="B3346" s="64">
        <v>40599</v>
      </c>
      <c r="C3346" s="2">
        <v>1235121.33</v>
      </c>
      <c r="D3346">
        <v>0</v>
      </c>
      <c r="E3346" s="65">
        <v>26.09</v>
      </c>
      <c r="F3346" s="8">
        <v>3.452</v>
      </c>
      <c r="G3346" s="66">
        <v>133.4921429</v>
      </c>
      <c r="H3346" s="8">
        <v>8.252</v>
      </c>
      <c r="J3346" s="26"/>
      <c r="K3346"/>
    </row>
    <row r="3347" spans="1:11">
      <c r="A3347">
        <v>24</v>
      </c>
      <c r="B3347" s="64">
        <v>40606</v>
      </c>
      <c r="C3347" s="2">
        <v>1346994.53</v>
      </c>
      <c r="D3347">
        <v>0</v>
      </c>
      <c r="E3347" s="65">
        <v>31.36</v>
      </c>
      <c r="F3347" s="8">
        <v>3.605</v>
      </c>
      <c r="G3347" s="66">
        <v>133.6141429</v>
      </c>
      <c r="H3347" s="8">
        <v>8.252</v>
      </c>
      <c r="J3347" s="26"/>
      <c r="K3347"/>
    </row>
    <row r="3348" spans="1:11">
      <c r="A3348">
        <v>24</v>
      </c>
      <c r="B3348" s="64">
        <v>40613</v>
      </c>
      <c r="C3348" s="2">
        <v>1253218.7</v>
      </c>
      <c r="D3348">
        <v>0</v>
      </c>
      <c r="E3348" s="65">
        <v>39.51</v>
      </c>
      <c r="F3348" s="8">
        <v>3.752</v>
      </c>
      <c r="G3348" s="66">
        <v>133.7361429</v>
      </c>
      <c r="H3348" s="8">
        <v>8.252</v>
      </c>
      <c r="J3348" s="26"/>
      <c r="K3348"/>
    </row>
    <row r="3349" spans="1:11">
      <c r="A3349">
        <v>24</v>
      </c>
      <c r="B3349" s="64">
        <v>40620</v>
      </c>
      <c r="C3349" s="2">
        <v>1168397.26</v>
      </c>
      <c r="D3349">
        <v>0</v>
      </c>
      <c r="E3349" s="65">
        <v>43.39</v>
      </c>
      <c r="F3349" s="8">
        <v>3.796</v>
      </c>
      <c r="G3349" s="66">
        <v>133.8492258</v>
      </c>
      <c r="H3349" s="8">
        <v>8.252</v>
      </c>
      <c r="J3349" s="26"/>
      <c r="K3349"/>
    </row>
    <row r="3350" spans="1:11">
      <c r="A3350">
        <v>24</v>
      </c>
      <c r="B3350" s="64">
        <v>40627</v>
      </c>
      <c r="C3350" s="2">
        <v>1158693.12</v>
      </c>
      <c r="D3350">
        <v>0</v>
      </c>
      <c r="E3350" s="65">
        <v>36.88</v>
      </c>
      <c r="F3350" s="8">
        <v>3.789</v>
      </c>
      <c r="G3350" s="66">
        <v>133.9587419</v>
      </c>
      <c r="H3350" s="8">
        <v>8.252</v>
      </c>
      <c r="J3350" s="26"/>
      <c r="K3350"/>
    </row>
    <row r="3351" spans="1:11">
      <c r="A3351">
        <v>24</v>
      </c>
      <c r="B3351" s="64">
        <v>40634</v>
      </c>
      <c r="C3351" s="2">
        <v>1163803.3</v>
      </c>
      <c r="D3351">
        <v>0</v>
      </c>
      <c r="E3351" s="65">
        <v>35.73</v>
      </c>
      <c r="F3351" s="8">
        <v>3.811</v>
      </c>
      <c r="G3351" s="66">
        <v>134.0682581</v>
      </c>
      <c r="H3351" s="8">
        <v>8.212</v>
      </c>
      <c r="J3351" s="26"/>
      <c r="K3351"/>
    </row>
    <row r="3352" spans="1:11">
      <c r="A3352">
        <v>24</v>
      </c>
      <c r="B3352" s="64">
        <v>40641</v>
      </c>
      <c r="C3352" s="2">
        <v>1273670.32</v>
      </c>
      <c r="D3352">
        <v>0</v>
      </c>
      <c r="E3352" s="65">
        <v>44.7</v>
      </c>
      <c r="F3352" s="8">
        <v>3.895</v>
      </c>
      <c r="G3352" s="66">
        <v>134.1777742</v>
      </c>
      <c r="H3352" s="8">
        <v>8.212</v>
      </c>
      <c r="J3352" s="26"/>
      <c r="K3352"/>
    </row>
    <row r="3353" spans="1:11">
      <c r="A3353">
        <v>24</v>
      </c>
      <c r="B3353" s="64">
        <v>40648</v>
      </c>
      <c r="C3353" s="2">
        <v>1245576.65</v>
      </c>
      <c r="D3353">
        <v>0</v>
      </c>
      <c r="E3353" s="65">
        <v>52.36</v>
      </c>
      <c r="F3353" s="8">
        <v>3.981</v>
      </c>
      <c r="G3353" s="66">
        <v>134.2784667</v>
      </c>
      <c r="H3353" s="8">
        <v>8.212</v>
      </c>
      <c r="J3353" s="26"/>
      <c r="K3353"/>
    </row>
    <row r="3354" spans="1:11">
      <c r="A3354">
        <v>24</v>
      </c>
      <c r="B3354" s="64">
        <v>40655</v>
      </c>
      <c r="C3354" s="2">
        <v>1372484.9</v>
      </c>
      <c r="D3354">
        <v>0</v>
      </c>
      <c r="E3354" s="65">
        <v>46</v>
      </c>
      <c r="F3354" s="8">
        <v>4.061</v>
      </c>
      <c r="G3354" s="66">
        <v>134.3571</v>
      </c>
      <c r="H3354" s="8">
        <v>8.212</v>
      </c>
      <c r="J3354" s="26"/>
      <c r="K3354"/>
    </row>
    <row r="3355" spans="1:11">
      <c r="A3355">
        <v>24</v>
      </c>
      <c r="B3355" s="64">
        <v>40662</v>
      </c>
      <c r="C3355" s="2">
        <v>1197761.17</v>
      </c>
      <c r="D3355">
        <v>0</v>
      </c>
      <c r="E3355" s="65">
        <v>60.48</v>
      </c>
      <c r="F3355" s="8">
        <v>4.117</v>
      </c>
      <c r="G3355" s="66">
        <v>134.4357333</v>
      </c>
      <c r="H3355" s="8">
        <v>8.212</v>
      </c>
      <c r="J3355" s="26"/>
      <c r="K3355"/>
    </row>
    <row r="3356" spans="1:11">
      <c r="A3356">
        <v>24</v>
      </c>
      <c r="B3356" s="64">
        <v>40669</v>
      </c>
      <c r="C3356" s="2">
        <v>1339630.35</v>
      </c>
      <c r="D3356">
        <v>0</v>
      </c>
      <c r="E3356" s="65">
        <v>55.75</v>
      </c>
      <c r="F3356" s="8">
        <v>4.192</v>
      </c>
      <c r="G3356" s="66">
        <v>134.5143667</v>
      </c>
      <c r="H3356" s="8">
        <v>8.212</v>
      </c>
      <c r="J3356" s="26"/>
      <c r="K3356"/>
    </row>
    <row r="3357" spans="1:11">
      <c r="A3357">
        <v>24</v>
      </c>
      <c r="B3357" s="64">
        <v>40676</v>
      </c>
      <c r="C3357" s="2">
        <v>1311950.16</v>
      </c>
      <c r="D3357">
        <v>0</v>
      </c>
      <c r="E3357" s="65">
        <v>58.49</v>
      </c>
      <c r="F3357" s="8">
        <v>4.211</v>
      </c>
      <c r="G3357" s="66">
        <v>134.593</v>
      </c>
      <c r="H3357" s="8">
        <v>8.212</v>
      </c>
      <c r="J3357" s="26"/>
      <c r="K3357"/>
    </row>
    <row r="3358" spans="1:11">
      <c r="A3358">
        <v>24</v>
      </c>
      <c r="B3358" s="64">
        <v>40683</v>
      </c>
      <c r="C3358" s="2">
        <v>1234281.7</v>
      </c>
      <c r="D3358">
        <v>0</v>
      </c>
      <c r="E3358" s="65">
        <v>59.84</v>
      </c>
      <c r="F3358" s="8">
        <v>4.202</v>
      </c>
      <c r="G3358" s="66">
        <v>134.6803871</v>
      </c>
      <c r="H3358" s="8">
        <v>8.212</v>
      </c>
      <c r="J3358" s="26"/>
      <c r="K3358"/>
    </row>
    <row r="3359" spans="1:11">
      <c r="A3359">
        <v>24</v>
      </c>
      <c r="B3359" s="64">
        <v>40690</v>
      </c>
      <c r="C3359" s="2">
        <v>1311153.72</v>
      </c>
      <c r="D3359">
        <v>0</v>
      </c>
      <c r="E3359" s="65">
        <v>65.74</v>
      </c>
      <c r="F3359" s="8">
        <v>4.134</v>
      </c>
      <c r="G3359" s="66">
        <v>134.7677742</v>
      </c>
      <c r="H3359" s="8">
        <v>8.212</v>
      </c>
      <c r="J3359" s="26"/>
      <c r="K3359"/>
    </row>
    <row r="3360" spans="1:11">
      <c r="A3360">
        <v>24</v>
      </c>
      <c r="B3360" s="64">
        <v>40697</v>
      </c>
      <c r="C3360" s="2">
        <v>1554837.62</v>
      </c>
      <c r="D3360">
        <v>0</v>
      </c>
      <c r="E3360" s="65">
        <v>73.12</v>
      </c>
      <c r="F3360" s="8">
        <v>4.069</v>
      </c>
      <c r="G3360" s="66">
        <v>134.8551613</v>
      </c>
      <c r="H3360" s="8">
        <v>8.212</v>
      </c>
      <c r="J3360" s="26"/>
      <c r="K3360"/>
    </row>
    <row r="3361" spans="1:11">
      <c r="A3361">
        <v>24</v>
      </c>
      <c r="B3361" s="64">
        <v>40704</v>
      </c>
      <c r="C3361" s="2">
        <v>1373841.91</v>
      </c>
      <c r="D3361">
        <v>0</v>
      </c>
      <c r="E3361" s="65">
        <v>70.02</v>
      </c>
      <c r="F3361" s="8">
        <v>4.025</v>
      </c>
      <c r="G3361" s="66">
        <v>134.9425484</v>
      </c>
      <c r="H3361" s="8">
        <v>8.212</v>
      </c>
      <c r="J3361" s="26"/>
      <c r="K3361"/>
    </row>
    <row r="3362" spans="1:11">
      <c r="A3362">
        <v>24</v>
      </c>
      <c r="B3362" s="64">
        <v>40711</v>
      </c>
      <c r="C3362" s="2">
        <v>1320359.23</v>
      </c>
      <c r="D3362">
        <v>0</v>
      </c>
      <c r="E3362" s="65">
        <v>64.34</v>
      </c>
      <c r="F3362" s="8">
        <v>3.989</v>
      </c>
      <c r="G3362" s="66">
        <v>135.0837333</v>
      </c>
      <c r="H3362" s="8">
        <v>8.212</v>
      </c>
      <c r="J3362" s="26"/>
      <c r="K3362"/>
    </row>
    <row r="3363" spans="1:11">
      <c r="A3363">
        <v>24</v>
      </c>
      <c r="B3363" s="64">
        <v>40718</v>
      </c>
      <c r="C3363" s="2">
        <v>1304850.67</v>
      </c>
      <c r="D3363">
        <v>0</v>
      </c>
      <c r="E3363" s="65">
        <v>68.88</v>
      </c>
      <c r="F3363" s="8">
        <v>3.964</v>
      </c>
      <c r="G3363" s="66">
        <v>135.2652667</v>
      </c>
      <c r="H3363" s="8">
        <v>8.212</v>
      </c>
      <c r="J3363" s="26"/>
      <c r="K3363"/>
    </row>
    <row r="3364" spans="1:11">
      <c r="A3364">
        <v>24</v>
      </c>
      <c r="B3364" s="64">
        <v>40725</v>
      </c>
      <c r="C3364" s="2">
        <v>1445596.61</v>
      </c>
      <c r="D3364">
        <v>0</v>
      </c>
      <c r="E3364" s="65">
        <v>70.27</v>
      </c>
      <c r="F3364" s="8">
        <v>3.916</v>
      </c>
      <c r="G3364" s="66">
        <v>135.4468</v>
      </c>
      <c r="H3364" s="8">
        <v>8.358</v>
      </c>
      <c r="J3364" s="26"/>
      <c r="K3364"/>
    </row>
    <row r="3365" spans="1:11">
      <c r="A3365">
        <v>24</v>
      </c>
      <c r="B3365" s="64">
        <v>40732</v>
      </c>
      <c r="C3365" s="2">
        <v>1567340.07</v>
      </c>
      <c r="D3365">
        <v>0</v>
      </c>
      <c r="E3365" s="65">
        <v>72.56</v>
      </c>
      <c r="F3365" s="8">
        <v>3.886</v>
      </c>
      <c r="G3365" s="66">
        <v>135.6283333</v>
      </c>
      <c r="H3365" s="8">
        <v>8.358</v>
      </c>
      <c r="J3365" s="26"/>
      <c r="K3365"/>
    </row>
    <row r="3366" spans="1:11">
      <c r="A3366">
        <v>24</v>
      </c>
      <c r="B3366" s="64">
        <v>40739</v>
      </c>
      <c r="C3366" s="2">
        <v>1356938.95</v>
      </c>
      <c r="D3366">
        <v>0</v>
      </c>
      <c r="E3366" s="65">
        <v>74.43</v>
      </c>
      <c r="F3366" s="8">
        <v>3.915</v>
      </c>
      <c r="G3366" s="66">
        <v>135.7837419</v>
      </c>
      <c r="H3366" s="8">
        <v>8.358</v>
      </c>
      <c r="J3366" s="26"/>
      <c r="K3366"/>
    </row>
    <row r="3367" spans="1:11">
      <c r="A3367">
        <v>24</v>
      </c>
      <c r="B3367" s="64">
        <v>40746</v>
      </c>
      <c r="C3367" s="2">
        <v>1357672.24</v>
      </c>
      <c r="D3367">
        <v>0</v>
      </c>
      <c r="E3367" s="65">
        <v>79.29</v>
      </c>
      <c r="F3367" s="8">
        <v>3.972</v>
      </c>
      <c r="G3367" s="66">
        <v>135.8738387</v>
      </c>
      <c r="H3367" s="8">
        <v>8.358</v>
      </c>
      <c r="J3367" s="26"/>
      <c r="K3367"/>
    </row>
    <row r="3368" spans="1:11">
      <c r="A3368">
        <v>24</v>
      </c>
      <c r="B3368" s="64">
        <v>40753</v>
      </c>
      <c r="C3368" s="2">
        <v>1310973.06</v>
      </c>
      <c r="D3368">
        <v>0</v>
      </c>
      <c r="E3368" s="65">
        <v>74.84</v>
      </c>
      <c r="F3368" s="8">
        <v>4.004</v>
      </c>
      <c r="G3368" s="66">
        <v>135.9639355</v>
      </c>
      <c r="H3368" s="8">
        <v>8.358</v>
      </c>
      <c r="J3368" s="26"/>
      <c r="K3368"/>
    </row>
    <row r="3369" spans="1:11">
      <c r="A3369">
        <v>24</v>
      </c>
      <c r="B3369" s="64">
        <v>40760</v>
      </c>
      <c r="C3369" s="2">
        <v>1417616.81</v>
      </c>
      <c r="D3369">
        <v>0</v>
      </c>
      <c r="E3369" s="65">
        <v>74.64</v>
      </c>
      <c r="F3369" s="8">
        <v>4.02</v>
      </c>
      <c r="G3369" s="66">
        <v>136.0540323</v>
      </c>
      <c r="H3369" s="8">
        <v>8.358</v>
      </c>
      <c r="J3369" s="26"/>
      <c r="K3369"/>
    </row>
    <row r="3370" spans="1:11">
      <c r="A3370">
        <v>24</v>
      </c>
      <c r="B3370" s="64">
        <v>40767</v>
      </c>
      <c r="C3370" s="2">
        <v>1402818.01</v>
      </c>
      <c r="D3370">
        <v>0</v>
      </c>
      <c r="E3370" s="65">
        <v>72.52</v>
      </c>
      <c r="F3370" s="8">
        <v>3.995</v>
      </c>
      <c r="G3370" s="66">
        <v>136.144129</v>
      </c>
      <c r="H3370" s="8">
        <v>8.358</v>
      </c>
      <c r="J3370" s="26"/>
      <c r="K3370"/>
    </row>
    <row r="3371" spans="1:11">
      <c r="A3371">
        <v>24</v>
      </c>
      <c r="B3371" s="64">
        <v>40774</v>
      </c>
      <c r="C3371" s="2">
        <v>1352039.88</v>
      </c>
      <c r="D3371">
        <v>0</v>
      </c>
      <c r="E3371" s="65">
        <v>69.93</v>
      </c>
      <c r="F3371" s="8">
        <v>3.942</v>
      </c>
      <c r="G3371" s="66">
        <v>136.183129</v>
      </c>
      <c r="H3371" s="8">
        <v>8.358</v>
      </c>
      <c r="J3371" s="26"/>
      <c r="K3371"/>
    </row>
    <row r="3372" spans="1:11">
      <c r="A3372">
        <v>24</v>
      </c>
      <c r="B3372" s="64">
        <v>40781</v>
      </c>
      <c r="C3372" s="2">
        <v>1402372.09</v>
      </c>
      <c r="D3372">
        <v>0</v>
      </c>
      <c r="E3372" s="65">
        <v>69.94</v>
      </c>
      <c r="F3372" s="8">
        <v>3.906</v>
      </c>
      <c r="G3372" s="66">
        <v>136.2136129</v>
      </c>
      <c r="H3372" s="8">
        <v>8.358</v>
      </c>
      <c r="J3372" s="26"/>
      <c r="K3372"/>
    </row>
    <row r="3373" spans="1:11">
      <c r="A3373">
        <v>24</v>
      </c>
      <c r="B3373" s="64">
        <v>40788</v>
      </c>
      <c r="C3373" s="2">
        <v>1196105.44</v>
      </c>
      <c r="D3373">
        <v>0</v>
      </c>
      <c r="E3373" s="65">
        <v>68.14</v>
      </c>
      <c r="F3373" s="8">
        <v>3.879</v>
      </c>
      <c r="G3373" s="66">
        <v>136.2440968</v>
      </c>
      <c r="H3373" s="8">
        <v>8.358</v>
      </c>
      <c r="J3373" s="26"/>
      <c r="K3373"/>
    </row>
    <row r="3374" spans="1:11">
      <c r="A3374">
        <v>24</v>
      </c>
      <c r="B3374" s="64">
        <v>40795</v>
      </c>
      <c r="C3374" s="2">
        <v>1527455.19</v>
      </c>
      <c r="D3374">
        <v>1</v>
      </c>
      <c r="E3374" s="65">
        <v>68.32</v>
      </c>
      <c r="F3374" s="8">
        <v>3.93</v>
      </c>
      <c r="G3374" s="66">
        <v>136.2745806</v>
      </c>
      <c r="H3374" s="8">
        <v>8.358</v>
      </c>
      <c r="J3374" s="26"/>
      <c r="K3374"/>
    </row>
    <row r="3375" spans="1:11">
      <c r="A3375">
        <v>24</v>
      </c>
      <c r="B3375" s="64">
        <v>40802</v>
      </c>
      <c r="C3375" s="2">
        <v>1227535.97</v>
      </c>
      <c r="D3375">
        <v>0</v>
      </c>
      <c r="E3375" s="65">
        <v>65.56</v>
      </c>
      <c r="F3375" s="8">
        <v>3.937</v>
      </c>
      <c r="G3375" s="66">
        <v>136.3145</v>
      </c>
      <c r="H3375" s="8">
        <v>8.358</v>
      </c>
      <c r="J3375" s="26"/>
      <c r="K3375"/>
    </row>
    <row r="3376" spans="1:11">
      <c r="A3376">
        <v>24</v>
      </c>
      <c r="B3376" s="64">
        <v>40809</v>
      </c>
      <c r="C3376" s="2">
        <v>1232376.49</v>
      </c>
      <c r="D3376">
        <v>0</v>
      </c>
      <c r="E3376" s="65">
        <v>60.61</v>
      </c>
      <c r="F3376" s="8">
        <v>3.899</v>
      </c>
      <c r="G3376" s="66">
        <v>136.367</v>
      </c>
      <c r="H3376" s="8">
        <v>8.358</v>
      </c>
      <c r="J3376" s="26"/>
      <c r="K3376"/>
    </row>
    <row r="3377" spans="1:11">
      <c r="A3377">
        <v>24</v>
      </c>
      <c r="B3377" s="64">
        <v>40816</v>
      </c>
      <c r="C3377" s="2">
        <v>1246242.61</v>
      </c>
      <c r="D3377">
        <v>0</v>
      </c>
      <c r="E3377" s="65">
        <v>68</v>
      </c>
      <c r="F3377" s="8">
        <v>3.858</v>
      </c>
      <c r="G3377" s="66">
        <v>136.4195</v>
      </c>
      <c r="H3377" s="8">
        <v>8.358</v>
      </c>
      <c r="J3377" s="26"/>
      <c r="K3377"/>
    </row>
    <row r="3378" spans="1:11">
      <c r="A3378">
        <v>24</v>
      </c>
      <c r="B3378" s="64">
        <v>40823</v>
      </c>
      <c r="C3378" s="2">
        <v>1405914.39</v>
      </c>
      <c r="D3378">
        <v>0</v>
      </c>
      <c r="E3378" s="65">
        <v>53.87</v>
      </c>
      <c r="F3378" s="8">
        <v>3.775</v>
      </c>
      <c r="G3378" s="66">
        <v>136.472</v>
      </c>
      <c r="H3378" s="8">
        <v>8.454</v>
      </c>
      <c r="J3378" s="26"/>
      <c r="K3378"/>
    </row>
    <row r="3379" spans="1:11">
      <c r="A3379">
        <v>24</v>
      </c>
      <c r="B3379" s="64">
        <v>40830</v>
      </c>
      <c r="C3379" s="2">
        <v>1333315.03</v>
      </c>
      <c r="D3379">
        <v>0</v>
      </c>
      <c r="E3379" s="65">
        <v>60.21</v>
      </c>
      <c r="F3379" s="8">
        <v>3.744</v>
      </c>
      <c r="G3379" s="66">
        <v>136.5150968</v>
      </c>
      <c r="H3379" s="8">
        <v>8.454</v>
      </c>
      <c r="J3379" s="26"/>
      <c r="K3379"/>
    </row>
    <row r="3380" spans="1:11">
      <c r="A3380">
        <v>24</v>
      </c>
      <c r="B3380" s="64">
        <v>40837</v>
      </c>
      <c r="C3380" s="2">
        <v>1283563.43</v>
      </c>
      <c r="D3380">
        <v>0</v>
      </c>
      <c r="E3380" s="65">
        <v>56.6</v>
      </c>
      <c r="F3380" s="8">
        <v>3.757</v>
      </c>
      <c r="G3380" s="66">
        <v>136.5017742</v>
      </c>
      <c r="H3380" s="8">
        <v>8.454</v>
      </c>
      <c r="J3380" s="26"/>
      <c r="K3380"/>
    </row>
    <row r="3381" spans="1:11">
      <c r="A3381">
        <v>24</v>
      </c>
      <c r="B3381" s="64">
        <v>40844</v>
      </c>
      <c r="C3381" s="2">
        <v>1307142.75</v>
      </c>
      <c r="D3381">
        <v>0</v>
      </c>
      <c r="E3381" s="65">
        <v>48</v>
      </c>
      <c r="F3381" s="8">
        <v>3.757</v>
      </c>
      <c r="G3381" s="66">
        <v>136.4884516</v>
      </c>
      <c r="H3381" s="8">
        <v>8.454</v>
      </c>
      <c r="J3381" s="26"/>
      <c r="K3381"/>
    </row>
    <row r="3382" spans="1:11">
      <c r="A3382">
        <v>24</v>
      </c>
      <c r="B3382" s="64">
        <v>40851</v>
      </c>
      <c r="C3382" s="2">
        <v>1385860.38</v>
      </c>
      <c r="D3382">
        <v>0</v>
      </c>
      <c r="E3382" s="65">
        <v>39.87</v>
      </c>
      <c r="F3382" s="8">
        <v>3.738</v>
      </c>
      <c r="G3382" s="66">
        <v>136.475129</v>
      </c>
      <c r="H3382" s="8">
        <v>8.454</v>
      </c>
      <c r="J3382" s="26"/>
      <c r="K3382"/>
    </row>
    <row r="3383" spans="1:11">
      <c r="A3383">
        <v>24</v>
      </c>
      <c r="B3383" s="64">
        <v>40858</v>
      </c>
      <c r="C3383" s="2">
        <v>1425078.59</v>
      </c>
      <c r="D3383">
        <v>0</v>
      </c>
      <c r="E3383" s="65">
        <v>46.78</v>
      </c>
      <c r="F3383" s="8">
        <v>3.719</v>
      </c>
      <c r="G3383" s="66">
        <v>136.4618065</v>
      </c>
      <c r="H3383" s="8">
        <v>8.454</v>
      </c>
      <c r="J3383" s="26"/>
      <c r="K3383"/>
    </row>
    <row r="3384" spans="1:11">
      <c r="A3384">
        <v>24</v>
      </c>
      <c r="B3384" s="64">
        <v>40865</v>
      </c>
      <c r="C3384" s="2">
        <v>1297535.69</v>
      </c>
      <c r="D3384">
        <v>0</v>
      </c>
      <c r="E3384" s="65">
        <v>48.17</v>
      </c>
      <c r="F3384" s="8">
        <v>3.717</v>
      </c>
      <c r="G3384" s="66">
        <v>136.4666667</v>
      </c>
      <c r="H3384" s="8">
        <v>8.454</v>
      </c>
      <c r="J3384" s="26"/>
      <c r="K3384"/>
    </row>
    <row r="3385" spans="1:11">
      <c r="A3385">
        <v>24</v>
      </c>
      <c r="B3385" s="64">
        <v>40872</v>
      </c>
      <c r="C3385" s="2">
        <v>1761235.67</v>
      </c>
      <c r="D3385">
        <v>1</v>
      </c>
      <c r="E3385" s="65">
        <v>41.83</v>
      </c>
      <c r="F3385" s="8">
        <v>3.689</v>
      </c>
      <c r="G3385" s="66">
        <v>136.4788</v>
      </c>
      <c r="H3385" s="8">
        <v>8.454</v>
      </c>
      <c r="J3385" s="26"/>
      <c r="K3385"/>
    </row>
    <row r="3386" spans="1:11">
      <c r="A3386">
        <v>24</v>
      </c>
      <c r="B3386" s="64">
        <v>40879</v>
      </c>
      <c r="C3386" s="2">
        <v>1335647.1</v>
      </c>
      <c r="D3386">
        <v>0</v>
      </c>
      <c r="E3386" s="65">
        <v>47.21</v>
      </c>
      <c r="F3386" s="8">
        <v>3.666</v>
      </c>
      <c r="G3386" s="66">
        <v>136.4909333</v>
      </c>
      <c r="H3386" s="8">
        <v>8.454</v>
      </c>
      <c r="J3386" s="26"/>
      <c r="K3386"/>
    </row>
    <row r="3387" spans="1:11">
      <c r="A3387">
        <v>24</v>
      </c>
      <c r="B3387" s="64">
        <v>40886</v>
      </c>
      <c r="C3387" s="2">
        <v>1529615.54</v>
      </c>
      <c r="D3387">
        <v>0</v>
      </c>
      <c r="E3387" s="65">
        <v>42.3</v>
      </c>
      <c r="F3387" s="8">
        <v>3.627</v>
      </c>
      <c r="G3387" s="66">
        <v>136.5030667</v>
      </c>
      <c r="H3387" s="8">
        <v>8.454</v>
      </c>
      <c r="J3387" s="26"/>
      <c r="K3387"/>
    </row>
    <row r="3388" spans="1:11">
      <c r="A3388">
        <v>24</v>
      </c>
      <c r="B3388" s="64">
        <v>40893</v>
      </c>
      <c r="C3388" s="2">
        <v>1624994.43</v>
      </c>
      <c r="D3388">
        <v>0</v>
      </c>
      <c r="E3388" s="65">
        <v>36</v>
      </c>
      <c r="F3388" s="8">
        <v>3.611</v>
      </c>
      <c r="G3388" s="66">
        <v>136.5335161</v>
      </c>
      <c r="H3388" s="8">
        <v>8.454</v>
      </c>
      <c r="J3388" s="26"/>
      <c r="K3388"/>
    </row>
    <row r="3389" spans="1:11">
      <c r="A3389">
        <v>24</v>
      </c>
      <c r="B3389" s="64">
        <v>40900</v>
      </c>
      <c r="C3389" s="2">
        <v>2168344.23</v>
      </c>
      <c r="D3389">
        <v>0</v>
      </c>
      <c r="E3389" s="65">
        <v>36.93</v>
      </c>
      <c r="F3389" s="8">
        <v>3.587</v>
      </c>
      <c r="G3389" s="66">
        <v>136.5883871</v>
      </c>
      <c r="H3389" s="8">
        <v>8.454</v>
      </c>
      <c r="J3389" s="26"/>
      <c r="K3389"/>
    </row>
    <row r="3390" spans="1:11">
      <c r="A3390">
        <v>24</v>
      </c>
      <c r="B3390" s="64">
        <v>40907</v>
      </c>
      <c r="C3390" s="2">
        <v>1363973.16</v>
      </c>
      <c r="D3390">
        <v>1</v>
      </c>
      <c r="E3390" s="65">
        <v>33.45</v>
      </c>
      <c r="F3390" s="8">
        <v>3.566</v>
      </c>
      <c r="G3390" s="66">
        <v>136.6432581</v>
      </c>
      <c r="H3390" s="8">
        <v>8.454</v>
      </c>
      <c r="J3390" s="26"/>
      <c r="K3390"/>
    </row>
    <row r="3391" spans="1:11">
      <c r="A3391">
        <v>24</v>
      </c>
      <c r="B3391" s="64">
        <v>40914</v>
      </c>
      <c r="C3391" s="2">
        <v>1251581.89</v>
      </c>
      <c r="D3391">
        <v>0</v>
      </c>
      <c r="E3391" s="65">
        <v>32.86</v>
      </c>
      <c r="F3391" s="8">
        <v>3.585</v>
      </c>
      <c r="G3391" s="66">
        <v>136.698129</v>
      </c>
      <c r="H3391" s="8">
        <v>8.659</v>
      </c>
      <c r="J3391" s="26"/>
      <c r="K3391"/>
    </row>
    <row r="3392" spans="1:11">
      <c r="A3392">
        <v>24</v>
      </c>
      <c r="B3392" s="64">
        <v>40921</v>
      </c>
      <c r="C3392" s="2">
        <v>1155594.2</v>
      </c>
      <c r="D3392">
        <v>0</v>
      </c>
      <c r="E3392" s="65">
        <v>36.5</v>
      </c>
      <c r="F3392" s="8">
        <v>3.666</v>
      </c>
      <c r="G3392" s="66">
        <v>136.753</v>
      </c>
      <c r="H3392" s="8">
        <v>8.659</v>
      </c>
      <c r="J3392" s="26"/>
      <c r="K3392"/>
    </row>
    <row r="3393" spans="1:11">
      <c r="A3393">
        <v>24</v>
      </c>
      <c r="B3393" s="64">
        <v>40928</v>
      </c>
      <c r="C3393" s="2">
        <v>1151993.85</v>
      </c>
      <c r="D3393">
        <v>0</v>
      </c>
      <c r="E3393" s="65">
        <v>25.73</v>
      </c>
      <c r="F3393" s="8">
        <v>3.705</v>
      </c>
      <c r="G3393" s="66">
        <v>136.8564194</v>
      </c>
      <c r="H3393" s="8">
        <v>8.659</v>
      </c>
      <c r="J3393" s="26"/>
      <c r="K3393"/>
    </row>
    <row r="3394" spans="1:11">
      <c r="A3394">
        <v>24</v>
      </c>
      <c r="B3394" s="64">
        <v>40935</v>
      </c>
      <c r="C3394" s="2">
        <v>1057290.41</v>
      </c>
      <c r="D3394">
        <v>0</v>
      </c>
      <c r="E3394" s="65">
        <v>31.92</v>
      </c>
      <c r="F3394" s="8">
        <v>3.737</v>
      </c>
      <c r="G3394" s="66">
        <v>136.9598387</v>
      </c>
      <c r="H3394" s="8">
        <v>8.659</v>
      </c>
      <c r="J3394" s="26"/>
      <c r="K3394"/>
    </row>
    <row r="3395" spans="1:11">
      <c r="A3395">
        <v>24</v>
      </c>
      <c r="B3395" s="64">
        <v>40942</v>
      </c>
      <c r="C3395" s="2">
        <v>1249696.97</v>
      </c>
      <c r="D3395">
        <v>0</v>
      </c>
      <c r="E3395" s="65">
        <v>38.61</v>
      </c>
      <c r="F3395" s="8">
        <v>3.796</v>
      </c>
      <c r="G3395" s="66">
        <v>137.0632581</v>
      </c>
      <c r="H3395" s="8">
        <v>8.659</v>
      </c>
      <c r="J3395" s="26"/>
      <c r="K3395"/>
    </row>
    <row r="3396" spans="1:11">
      <c r="A3396">
        <v>24</v>
      </c>
      <c r="B3396" s="64">
        <v>40949</v>
      </c>
      <c r="C3396" s="2">
        <v>1403460.87</v>
      </c>
      <c r="D3396">
        <v>1</v>
      </c>
      <c r="E3396" s="65">
        <v>33.82</v>
      </c>
      <c r="F3396" s="8">
        <v>3.826</v>
      </c>
      <c r="G3396" s="66">
        <v>137.1666774</v>
      </c>
      <c r="H3396" s="8">
        <v>8.659</v>
      </c>
      <c r="J3396" s="26"/>
      <c r="K3396"/>
    </row>
    <row r="3397" spans="1:11">
      <c r="A3397">
        <v>24</v>
      </c>
      <c r="B3397" s="64">
        <v>40956</v>
      </c>
      <c r="C3397" s="2">
        <v>1326370.08</v>
      </c>
      <c r="D3397">
        <v>0</v>
      </c>
      <c r="E3397" s="65">
        <v>33.92</v>
      </c>
      <c r="F3397" s="8">
        <v>3.874</v>
      </c>
      <c r="G3397" s="66">
        <v>137.2583103</v>
      </c>
      <c r="H3397" s="8">
        <v>8.659</v>
      </c>
      <c r="J3397" s="26"/>
      <c r="K3397"/>
    </row>
    <row r="3398" spans="1:11">
      <c r="A3398">
        <v>24</v>
      </c>
      <c r="B3398" s="64">
        <v>40963</v>
      </c>
      <c r="C3398" s="2">
        <v>1303233.15</v>
      </c>
      <c r="D3398">
        <v>0</v>
      </c>
      <c r="E3398" s="65">
        <v>37.35</v>
      </c>
      <c r="F3398" s="8">
        <v>3.917</v>
      </c>
      <c r="G3398" s="66">
        <v>137.3411034</v>
      </c>
      <c r="H3398" s="8">
        <v>8.659</v>
      </c>
      <c r="J3398" s="26"/>
      <c r="K3398"/>
    </row>
    <row r="3399" spans="1:11">
      <c r="A3399">
        <v>24</v>
      </c>
      <c r="B3399" s="64">
        <v>40970</v>
      </c>
      <c r="C3399" s="2">
        <v>1213994.39</v>
      </c>
      <c r="D3399">
        <v>0</v>
      </c>
      <c r="E3399" s="65">
        <v>35.36</v>
      </c>
      <c r="F3399" s="8">
        <v>3.983</v>
      </c>
      <c r="G3399" s="66">
        <v>137.4238966</v>
      </c>
      <c r="H3399" s="8">
        <v>8.659</v>
      </c>
      <c r="J3399" s="26"/>
      <c r="K3399"/>
    </row>
    <row r="3400" spans="1:11">
      <c r="A3400">
        <v>24</v>
      </c>
      <c r="B3400" s="64">
        <v>40977</v>
      </c>
      <c r="C3400" s="2">
        <v>1325835.7</v>
      </c>
      <c r="D3400">
        <v>0</v>
      </c>
      <c r="E3400" s="65">
        <v>41.5</v>
      </c>
      <c r="F3400" s="8">
        <v>4.021</v>
      </c>
      <c r="G3400" s="66">
        <v>137.5066897</v>
      </c>
      <c r="H3400" s="8">
        <v>8.659</v>
      </c>
      <c r="J3400" s="26"/>
      <c r="K3400"/>
    </row>
    <row r="3401" spans="1:11">
      <c r="A3401">
        <v>24</v>
      </c>
      <c r="B3401" s="64">
        <v>40984</v>
      </c>
      <c r="C3401" s="2">
        <v>1239299.12</v>
      </c>
      <c r="D3401">
        <v>0</v>
      </c>
      <c r="E3401" s="65">
        <v>48.68</v>
      </c>
      <c r="F3401" s="8">
        <v>4.021</v>
      </c>
      <c r="G3401" s="66">
        <v>137.5843871</v>
      </c>
      <c r="H3401" s="8">
        <v>8.659</v>
      </c>
      <c r="J3401" s="26"/>
      <c r="K3401"/>
    </row>
    <row r="3402" spans="1:11">
      <c r="A3402">
        <v>24</v>
      </c>
      <c r="B3402" s="64">
        <v>40991</v>
      </c>
      <c r="C3402" s="2">
        <v>1221723.94</v>
      </c>
      <c r="D3402">
        <v>0</v>
      </c>
      <c r="E3402" s="65">
        <v>59.51</v>
      </c>
      <c r="F3402" s="8">
        <v>4.054</v>
      </c>
      <c r="G3402" s="66">
        <v>137.6552903</v>
      </c>
      <c r="H3402" s="8">
        <v>8.659</v>
      </c>
      <c r="J3402" s="26"/>
      <c r="K3402"/>
    </row>
    <row r="3403" spans="1:11">
      <c r="A3403">
        <v>24</v>
      </c>
      <c r="B3403" s="64">
        <v>40998</v>
      </c>
      <c r="C3403" s="2">
        <v>1230106.13</v>
      </c>
      <c r="D3403">
        <v>0</v>
      </c>
      <c r="E3403" s="65">
        <v>47.28</v>
      </c>
      <c r="F3403" s="8">
        <v>4.098</v>
      </c>
      <c r="G3403" s="66">
        <v>137.7261935</v>
      </c>
      <c r="H3403" s="8">
        <v>8.659</v>
      </c>
      <c r="J3403" s="26"/>
      <c r="K3403"/>
    </row>
    <row r="3404" spans="1:11">
      <c r="A3404">
        <v>24</v>
      </c>
      <c r="B3404" s="64">
        <v>41005</v>
      </c>
      <c r="C3404" s="2">
        <v>1524734.29</v>
      </c>
      <c r="D3404">
        <v>0</v>
      </c>
      <c r="E3404" s="65">
        <v>45.25</v>
      </c>
      <c r="F3404" s="8">
        <v>4.143</v>
      </c>
      <c r="G3404" s="66">
        <v>137.7970968</v>
      </c>
      <c r="H3404" s="8">
        <v>8.983</v>
      </c>
      <c r="J3404" s="26"/>
      <c r="K3404"/>
    </row>
    <row r="3405" spans="1:11">
      <c r="A3405">
        <v>24</v>
      </c>
      <c r="B3405" s="64">
        <v>41012</v>
      </c>
      <c r="C3405" s="2">
        <v>1285783.87</v>
      </c>
      <c r="D3405">
        <v>0</v>
      </c>
      <c r="E3405" s="65">
        <v>48.65</v>
      </c>
      <c r="F3405" s="8">
        <v>4.187</v>
      </c>
      <c r="G3405" s="66">
        <v>137.868</v>
      </c>
      <c r="H3405" s="8">
        <v>8.983</v>
      </c>
      <c r="J3405" s="26"/>
      <c r="K3405"/>
    </row>
    <row r="3406" spans="1:11">
      <c r="A3406">
        <v>24</v>
      </c>
      <c r="B3406" s="64">
        <v>41019</v>
      </c>
      <c r="C3406" s="2">
        <v>1208654.4</v>
      </c>
      <c r="D3406">
        <v>0</v>
      </c>
      <c r="E3406" s="65">
        <v>61.05</v>
      </c>
      <c r="F3406" s="8">
        <v>4.17</v>
      </c>
      <c r="G3406" s="66">
        <v>137.9230667</v>
      </c>
      <c r="H3406" s="8">
        <v>8.983</v>
      </c>
      <c r="J3406" s="26"/>
      <c r="K3406"/>
    </row>
    <row r="3407" spans="1:11">
      <c r="A3407">
        <v>24</v>
      </c>
      <c r="B3407" s="64">
        <v>41026</v>
      </c>
      <c r="C3407" s="2">
        <v>1194334.65</v>
      </c>
      <c r="D3407">
        <v>0</v>
      </c>
      <c r="E3407" s="65">
        <v>49.26</v>
      </c>
      <c r="F3407" s="8">
        <v>4.163</v>
      </c>
      <c r="G3407" s="66">
        <v>137.9781333</v>
      </c>
      <c r="H3407" s="8">
        <v>8.983</v>
      </c>
      <c r="J3407" s="26"/>
      <c r="K3407"/>
    </row>
    <row r="3408" spans="1:11">
      <c r="A3408">
        <v>24</v>
      </c>
      <c r="B3408" s="64">
        <v>41033</v>
      </c>
      <c r="C3408" s="2">
        <v>1306551.71</v>
      </c>
      <c r="D3408">
        <v>0</v>
      </c>
      <c r="E3408" s="65">
        <v>52.14</v>
      </c>
      <c r="F3408" s="8">
        <v>4.124</v>
      </c>
      <c r="G3408" s="66">
        <v>138.0332</v>
      </c>
      <c r="H3408" s="8">
        <v>8.983</v>
      </c>
      <c r="J3408" s="26"/>
      <c r="K3408"/>
    </row>
    <row r="3409" spans="1:11">
      <c r="A3409">
        <v>24</v>
      </c>
      <c r="B3409" s="64">
        <v>41040</v>
      </c>
      <c r="C3409" s="2">
        <v>1355391.79</v>
      </c>
      <c r="D3409">
        <v>0</v>
      </c>
      <c r="E3409" s="65">
        <v>58.7</v>
      </c>
      <c r="F3409" s="8">
        <v>4.055</v>
      </c>
      <c r="G3409" s="66">
        <v>138.0882667</v>
      </c>
      <c r="H3409" s="8">
        <v>8.983</v>
      </c>
      <c r="J3409" s="26"/>
      <c r="K3409"/>
    </row>
    <row r="3410" spans="1:11">
      <c r="A3410">
        <v>24</v>
      </c>
      <c r="B3410" s="64">
        <v>41047</v>
      </c>
      <c r="C3410" s="2">
        <v>1298809.8</v>
      </c>
      <c r="D3410">
        <v>0</v>
      </c>
      <c r="E3410" s="65">
        <v>63.1</v>
      </c>
      <c r="F3410" s="8">
        <v>4.029</v>
      </c>
      <c r="G3410" s="66">
        <v>138.1065806</v>
      </c>
      <c r="H3410" s="8">
        <v>8.983</v>
      </c>
      <c r="J3410" s="26"/>
      <c r="K3410"/>
    </row>
    <row r="3411" spans="1:11">
      <c r="A3411">
        <v>24</v>
      </c>
      <c r="B3411" s="64">
        <v>41054</v>
      </c>
      <c r="C3411" s="2">
        <v>1407897.57</v>
      </c>
      <c r="D3411">
        <v>0</v>
      </c>
      <c r="E3411" s="65">
        <v>65.79</v>
      </c>
      <c r="F3411" s="8">
        <v>3.979</v>
      </c>
      <c r="G3411" s="66">
        <v>138.1101935</v>
      </c>
      <c r="H3411" s="8">
        <v>8.983</v>
      </c>
      <c r="J3411" s="26"/>
      <c r="K3411"/>
    </row>
    <row r="3412" spans="1:11">
      <c r="A3412">
        <v>24</v>
      </c>
      <c r="B3412" s="64">
        <v>41061</v>
      </c>
      <c r="C3412" s="2">
        <v>1467722.19</v>
      </c>
      <c r="D3412">
        <v>0</v>
      </c>
      <c r="E3412" s="65">
        <v>71.79</v>
      </c>
      <c r="F3412" s="8">
        <v>3.915</v>
      </c>
      <c r="G3412" s="66">
        <v>138.1138065</v>
      </c>
      <c r="H3412" s="8">
        <v>8.983</v>
      </c>
      <c r="J3412" s="26"/>
      <c r="K3412"/>
    </row>
    <row r="3413" spans="1:11">
      <c r="A3413">
        <v>24</v>
      </c>
      <c r="B3413" s="64">
        <v>41068</v>
      </c>
      <c r="C3413" s="2">
        <v>1406313.13</v>
      </c>
      <c r="D3413">
        <v>0</v>
      </c>
      <c r="E3413" s="65">
        <v>59.93</v>
      </c>
      <c r="F3413" s="8">
        <v>3.871</v>
      </c>
      <c r="G3413" s="66">
        <v>138.1174194</v>
      </c>
      <c r="H3413" s="8">
        <v>8.983</v>
      </c>
      <c r="J3413" s="26"/>
      <c r="K3413"/>
    </row>
    <row r="3414" spans="1:11">
      <c r="A3414">
        <v>24</v>
      </c>
      <c r="B3414" s="64">
        <v>41075</v>
      </c>
      <c r="C3414" s="2">
        <v>1364445.98</v>
      </c>
      <c r="D3414">
        <v>0</v>
      </c>
      <c r="E3414" s="65">
        <v>68.28</v>
      </c>
      <c r="F3414" s="8">
        <v>3.786</v>
      </c>
      <c r="G3414" s="66">
        <v>138.1295333</v>
      </c>
      <c r="H3414" s="8">
        <v>8.983</v>
      </c>
      <c r="J3414" s="26"/>
      <c r="K3414"/>
    </row>
    <row r="3415" spans="1:11">
      <c r="A3415">
        <v>24</v>
      </c>
      <c r="B3415" s="64">
        <v>41082</v>
      </c>
      <c r="C3415" s="2">
        <v>1434709.63</v>
      </c>
      <c r="D3415">
        <v>0</v>
      </c>
      <c r="E3415" s="65">
        <v>72.29</v>
      </c>
      <c r="F3415" s="8">
        <v>3.722</v>
      </c>
      <c r="G3415" s="66">
        <v>138.1629</v>
      </c>
      <c r="H3415" s="8">
        <v>8.983</v>
      </c>
      <c r="J3415" s="26"/>
      <c r="K3415"/>
    </row>
    <row r="3416" spans="1:11">
      <c r="A3416">
        <v>24</v>
      </c>
      <c r="B3416" s="64">
        <v>41089</v>
      </c>
      <c r="C3416" s="2">
        <v>1428869.9</v>
      </c>
      <c r="D3416">
        <v>0</v>
      </c>
      <c r="E3416" s="65">
        <v>70.4</v>
      </c>
      <c r="F3416" s="8">
        <v>3.667</v>
      </c>
      <c r="G3416" s="66">
        <v>138.1962667</v>
      </c>
      <c r="H3416" s="8">
        <v>8.983</v>
      </c>
      <c r="J3416" s="26"/>
      <c r="K3416"/>
    </row>
    <row r="3417" spans="1:11">
      <c r="A3417">
        <v>24</v>
      </c>
      <c r="B3417" s="64">
        <v>41096</v>
      </c>
      <c r="C3417" s="2">
        <v>1645097.75</v>
      </c>
      <c r="D3417">
        <v>0</v>
      </c>
      <c r="E3417" s="65">
        <v>77.18</v>
      </c>
      <c r="F3417" s="8">
        <v>3.646</v>
      </c>
      <c r="G3417" s="66">
        <v>138.2296333</v>
      </c>
      <c r="H3417" s="8">
        <v>8.953</v>
      </c>
      <c r="J3417" s="26"/>
      <c r="K3417"/>
    </row>
    <row r="3418" spans="1:11">
      <c r="A3418">
        <v>24</v>
      </c>
      <c r="B3418" s="64">
        <v>41103</v>
      </c>
      <c r="C3418" s="2">
        <v>1405475.78</v>
      </c>
      <c r="D3418">
        <v>0</v>
      </c>
      <c r="E3418" s="65">
        <v>75.36</v>
      </c>
      <c r="F3418" s="8">
        <v>3.689</v>
      </c>
      <c r="G3418" s="66">
        <v>138.263</v>
      </c>
      <c r="H3418" s="8">
        <v>8.953</v>
      </c>
      <c r="J3418" s="26"/>
      <c r="K3418"/>
    </row>
    <row r="3419" spans="1:11">
      <c r="A3419">
        <v>24</v>
      </c>
      <c r="B3419" s="64">
        <v>41110</v>
      </c>
      <c r="C3419" s="2">
        <v>1394299</v>
      </c>
      <c r="D3419">
        <v>0</v>
      </c>
      <c r="E3419" s="65">
        <v>76.42</v>
      </c>
      <c r="F3419" s="8">
        <v>3.732</v>
      </c>
      <c r="G3419" s="66">
        <v>138.2331935</v>
      </c>
      <c r="H3419" s="8">
        <v>8.953</v>
      </c>
      <c r="J3419" s="26"/>
      <c r="K3419"/>
    </row>
    <row r="3420" spans="1:11">
      <c r="A3420">
        <v>24</v>
      </c>
      <c r="B3420" s="64">
        <v>41117</v>
      </c>
      <c r="C3420" s="2">
        <v>1307339.14</v>
      </c>
      <c r="D3420">
        <v>0</v>
      </c>
      <c r="E3420" s="65">
        <v>73.62</v>
      </c>
      <c r="F3420" s="8">
        <v>3.82</v>
      </c>
      <c r="G3420" s="66">
        <v>138.2033871</v>
      </c>
      <c r="H3420" s="8">
        <v>8.953</v>
      </c>
      <c r="J3420" s="26"/>
      <c r="K3420"/>
    </row>
    <row r="3421" spans="1:11">
      <c r="A3421">
        <v>24</v>
      </c>
      <c r="B3421" s="64">
        <v>41124</v>
      </c>
      <c r="C3421" s="2">
        <v>1440374.13</v>
      </c>
      <c r="D3421">
        <v>0</v>
      </c>
      <c r="E3421" s="65">
        <v>73.26</v>
      </c>
      <c r="F3421" s="8">
        <v>3.819</v>
      </c>
      <c r="G3421" s="66">
        <v>138.1735806</v>
      </c>
      <c r="H3421" s="8">
        <v>8.953</v>
      </c>
      <c r="J3421" s="26"/>
      <c r="K3421"/>
    </row>
    <row r="3422" spans="1:11">
      <c r="A3422">
        <v>24</v>
      </c>
      <c r="B3422" s="64">
        <v>41131</v>
      </c>
      <c r="C3422" s="2">
        <v>1497054.81</v>
      </c>
      <c r="D3422">
        <v>0</v>
      </c>
      <c r="E3422" s="65">
        <v>75.53</v>
      </c>
      <c r="F3422" s="8">
        <v>3.863</v>
      </c>
      <c r="G3422" s="66">
        <v>138.1437742</v>
      </c>
      <c r="H3422" s="8">
        <v>8.953</v>
      </c>
      <c r="J3422" s="26"/>
      <c r="K3422"/>
    </row>
    <row r="3423" spans="1:11">
      <c r="A3423">
        <v>24</v>
      </c>
      <c r="B3423" s="64">
        <v>41138</v>
      </c>
      <c r="C3423" s="2">
        <v>1397970.54</v>
      </c>
      <c r="D3423">
        <v>0</v>
      </c>
      <c r="E3423" s="65">
        <v>72.87</v>
      </c>
      <c r="F3423" s="8">
        <v>3.963</v>
      </c>
      <c r="G3423" s="66">
        <v>138.1857097</v>
      </c>
      <c r="H3423" s="8">
        <v>8.953</v>
      </c>
      <c r="J3423" s="26"/>
      <c r="K3423"/>
    </row>
    <row r="3424" spans="1:11">
      <c r="A3424">
        <v>24</v>
      </c>
      <c r="B3424" s="64">
        <v>41145</v>
      </c>
      <c r="C3424" s="2">
        <v>1303726.54</v>
      </c>
      <c r="D3424">
        <v>0</v>
      </c>
      <c r="E3424" s="65">
        <v>68.13</v>
      </c>
      <c r="F3424" s="8">
        <v>3.997</v>
      </c>
      <c r="G3424" s="66">
        <v>138.2814516</v>
      </c>
      <c r="H3424" s="8">
        <v>8.953</v>
      </c>
      <c r="J3424" s="26"/>
      <c r="K3424"/>
    </row>
    <row r="3425" spans="1:11">
      <c r="A3425">
        <v>24</v>
      </c>
      <c r="B3425" s="64">
        <v>41152</v>
      </c>
      <c r="C3425" s="2">
        <v>1344558.92</v>
      </c>
      <c r="D3425">
        <v>0</v>
      </c>
      <c r="E3425" s="65">
        <v>71.18</v>
      </c>
      <c r="F3425" s="8">
        <v>4.026</v>
      </c>
      <c r="G3425" s="66">
        <v>138.3771935</v>
      </c>
      <c r="H3425" s="8">
        <v>8.953</v>
      </c>
      <c r="J3425" s="26"/>
      <c r="K3425"/>
    </row>
    <row r="3426" spans="1:11">
      <c r="A3426">
        <v>24</v>
      </c>
      <c r="B3426" s="64">
        <v>41159</v>
      </c>
      <c r="C3426" s="2">
        <v>1477134.75</v>
      </c>
      <c r="D3426">
        <v>1</v>
      </c>
      <c r="E3426" s="65">
        <v>72.81</v>
      </c>
      <c r="F3426" s="8">
        <v>4.076</v>
      </c>
      <c r="G3426" s="66">
        <v>138.4729355</v>
      </c>
      <c r="H3426" s="8">
        <v>8.953</v>
      </c>
      <c r="J3426" s="26"/>
      <c r="K3426"/>
    </row>
    <row r="3427" spans="1:11">
      <c r="A3427">
        <v>24</v>
      </c>
      <c r="B3427" s="64">
        <v>41166</v>
      </c>
      <c r="C3427" s="2">
        <v>1242909.53</v>
      </c>
      <c r="D3427">
        <v>0</v>
      </c>
      <c r="E3427" s="65">
        <v>64.28</v>
      </c>
      <c r="F3427" s="8">
        <v>4.088</v>
      </c>
      <c r="G3427" s="66">
        <v>138.5673</v>
      </c>
      <c r="H3427" s="8">
        <v>8.953</v>
      </c>
      <c r="J3427" s="26"/>
      <c r="K3427"/>
    </row>
    <row r="3428" spans="1:11">
      <c r="A3428">
        <v>24</v>
      </c>
      <c r="B3428" s="64">
        <v>41173</v>
      </c>
      <c r="C3428" s="2">
        <v>1261158.47</v>
      </c>
      <c r="D3428">
        <v>0</v>
      </c>
      <c r="E3428" s="65">
        <v>61.25</v>
      </c>
      <c r="F3428" s="8">
        <v>4.203</v>
      </c>
      <c r="G3428" s="66">
        <v>138.6534</v>
      </c>
      <c r="H3428" s="8">
        <v>8.953</v>
      </c>
      <c r="J3428" s="26"/>
      <c r="K3428"/>
    </row>
    <row r="3429" spans="1:11">
      <c r="A3429">
        <v>24</v>
      </c>
      <c r="B3429" s="64">
        <v>41180</v>
      </c>
      <c r="C3429" s="2">
        <v>1259278.36</v>
      </c>
      <c r="D3429">
        <v>0</v>
      </c>
      <c r="E3429" s="65">
        <v>58.86</v>
      </c>
      <c r="F3429" s="8">
        <v>4.158</v>
      </c>
      <c r="G3429" s="66">
        <v>138.7395</v>
      </c>
      <c r="H3429" s="8">
        <v>8.953</v>
      </c>
      <c r="J3429" s="26"/>
      <c r="K3429"/>
    </row>
    <row r="3430" spans="1:11">
      <c r="A3430">
        <v>24</v>
      </c>
      <c r="B3430" s="64">
        <v>41187</v>
      </c>
      <c r="C3430" s="2">
        <v>1416720.54</v>
      </c>
      <c r="D3430">
        <v>0</v>
      </c>
      <c r="E3430" s="65">
        <v>60.35</v>
      </c>
      <c r="F3430" s="8">
        <v>4.151</v>
      </c>
      <c r="G3430" s="66">
        <v>138.8256</v>
      </c>
      <c r="H3430" s="8">
        <v>8.693</v>
      </c>
      <c r="J3430" s="26"/>
      <c r="K3430"/>
    </row>
    <row r="3431" spans="1:11">
      <c r="A3431">
        <v>24</v>
      </c>
      <c r="B3431" s="64">
        <v>41194</v>
      </c>
      <c r="C3431" s="2">
        <v>1416301.17</v>
      </c>
      <c r="D3431">
        <v>0</v>
      </c>
      <c r="E3431" s="65">
        <v>51.64</v>
      </c>
      <c r="F3431" s="8">
        <v>4.186</v>
      </c>
      <c r="G3431" s="66">
        <v>138.9117</v>
      </c>
      <c r="H3431" s="8">
        <v>8.693</v>
      </c>
      <c r="J3431" s="26"/>
      <c r="K3431"/>
    </row>
    <row r="3432" spans="1:11">
      <c r="A3432">
        <v>24</v>
      </c>
      <c r="B3432" s="64">
        <v>41201</v>
      </c>
      <c r="C3432" s="2">
        <v>1255414.84</v>
      </c>
      <c r="D3432">
        <v>0</v>
      </c>
      <c r="E3432" s="65">
        <v>52.59</v>
      </c>
      <c r="F3432" s="8">
        <v>4.153</v>
      </c>
      <c r="G3432" s="66">
        <v>138.8336129</v>
      </c>
      <c r="H3432" s="8">
        <v>8.693</v>
      </c>
      <c r="J3432" s="26"/>
      <c r="K3432"/>
    </row>
    <row r="3433" spans="1:11">
      <c r="A3433">
        <v>24</v>
      </c>
      <c r="B3433" s="64">
        <v>41208</v>
      </c>
      <c r="C3433" s="2">
        <v>1307182.29</v>
      </c>
      <c r="D3433">
        <v>0</v>
      </c>
      <c r="E3433" s="65">
        <v>55.16</v>
      </c>
      <c r="F3433" s="8">
        <v>4.071</v>
      </c>
      <c r="G3433" s="66">
        <v>138.7281613</v>
      </c>
      <c r="H3433" s="8">
        <v>8.693</v>
      </c>
      <c r="J3433" s="26"/>
      <c r="K3433"/>
    </row>
    <row r="3434" spans="1:11">
      <c r="A3434">
        <v>25</v>
      </c>
      <c r="B3434" s="64">
        <v>40214</v>
      </c>
      <c r="C3434" s="2">
        <v>677231.63</v>
      </c>
      <c r="D3434">
        <v>0</v>
      </c>
      <c r="E3434" s="65">
        <v>21.1</v>
      </c>
      <c r="F3434" s="8">
        <v>2.784</v>
      </c>
      <c r="G3434" s="66">
        <v>204.2471935</v>
      </c>
      <c r="H3434" s="8">
        <v>8.187</v>
      </c>
      <c r="J3434" s="26"/>
      <c r="K3434"/>
    </row>
    <row r="3435" spans="1:11">
      <c r="A3435">
        <v>25</v>
      </c>
      <c r="B3435" s="64">
        <v>40221</v>
      </c>
      <c r="C3435" s="2">
        <v>583364.02</v>
      </c>
      <c r="D3435">
        <v>1</v>
      </c>
      <c r="E3435" s="65">
        <v>19.64</v>
      </c>
      <c r="F3435" s="8">
        <v>2.773</v>
      </c>
      <c r="G3435" s="66">
        <v>204.3857472</v>
      </c>
      <c r="H3435" s="8">
        <v>8.187</v>
      </c>
      <c r="J3435" s="26"/>
      <c r="K3435"/>
    </row>
    <row r="3436" spans="1:11">
      <c r="A3436">
        <v>25</v>
      </c>
      <c r="B3436" s="64">
        <v>40228</v>
      </c>
      <c r="C3436" s="2">
        <v>676260.67</v>
      </c>
      <c r="D3436">
        <v>0</v>
      </c>
      <c r="E3436" s="65">
        <v>24.16</v>
      </c>
      <c r="F3436" s="8">
        <v>2.745</v>
      </c>
      <c r="G3436" s="66">
        <v>204.4321004</v>
      </c>
      <c r="H3436" s="8">
        <v>8.187</v>
      </c>
      <c r="J3436" s="26"/>
      <c r="K3436"/>
    </row>
    <row r="3437" spans="1:11">
      <c r="A3437">
        <v>25</v>
      </c>
      <c r="B3437" s="64">
        <v>40235</v>
      </c>
      <c r="C3437" s="2">
        <v>628516.57</v>
      </c>
      <c r="D3437">
        <v>0</v>
      </c>
      <c r="E3437" s="65">
        <v>29.16</v>
      </c>
      <c r="F3437" s="8">
        <v>2.754</v>
      </c>
      <c r="G3437" s="66">
        <v>204.4630869</v>
      </c>
      <c r="H3437" s="8">
        <v>8.187</v>
      </c>
      <c r="J3437" s="26"/>
      <c r="K3437"/>
    </row>
    <row r="3438" spans="1:11">
      <c r="A3438">
        <v>25</v>
      </c>
      <c r="B3438" s="64">
        <v>40242</v>
      </c>
      <c r="C3438" s="2">
        <v>665750.06</v>
      </c>
      <c r="D3438">
        <v>0</v>
      </c>
      <c r="E3438" s="65">
        <v>29.45</v>
      </c>
      <c r="F3438" s="8">
        <v>2.777</v>
      </c>
      <c r="G3438" s="66">
        <v>204.4940734</v>
      </c>
      <c r="H3438" s="8">
        <v>8.187</v>
      </c>
      <c r="J3438" s="26"/>
      <c r="K3438"/>
    </row>
    <row r="3439" spans="1:11">
      <c r="A3439">
        <v>25</v>
      </c>
      <c r="B3439" s="64">
        <v>40249</v>
      </c>
      <c r="C3439" s="2">
        <v>660619.99</v>
      </c>
      <c r="D3439">
        <v>0</v>
      </c>
      <c r="E3439" s="65">
        <v>40.05</v>
      </c>
      <c r="F3439" s="8">
        <v>2.818</v>
      </c>
      <c r="G3439" s="66">
        <v>204.5250598</v>
      </c>
      <c r="H3439" s="8">
        <v>8.187</v>
      </c>
      <c r="J3439" s="26"/>
      <c r="K3439"/>
    </row>
    <row r="3440" spans="1:11">
      <c r="A3440">
        <v>25</v>
      </c>
      <c r="B3440" s="64">
        <v>40256</v>
      </c>
      <c r="C3440" s="2">
        <v>659795.84</v>
      </c>
      <c r="D3440">
        <v>0</v>
      </c>
      <c r="E3440" s="65">
        <v>45</v>
      </c>
      <c r="F3440" s="8">
        <v>2.844</v>
      </c>
      <c r="G3440" s="66">
        <v>204.3782258</v>
      </c>
      <c r="H3440" s="8">
        <v>8.187</v>
      </c>
      <c r="J3440" s="26"/>
      <c r="K3440"/>
    </row>
    <row r="3441" spans="1:11">
      <c r="A3441">
        <v>25</v>
      </c>
      <c r="B3441" s="64">
        <v>40263</v>
      </c>
      <c r="C3441" s="2">
        <v>696687.6</v>
      </c>
      <c r="D3441">
        <v>0</v>
      </c>
      <c r="E3441" s="65">
        <v>45.84</v>
      </c>
      <c r="F3441" s="8">
        <v>2.854</v>
      </c>
      <c r="G3441" s="66">
        <v>204.201755</v>
      </c>
      <c r="H3441" s="8">
        <v>8.187</v>
      </c>
      <c r="J3441" s="26"/>
      <c r="K3441"/>
    </row>
    <row r="3442" spans="1:11">
      <c r="A3442">
        <v>25</v>
      </c>
      <c r="B3442" s="64">
        <v>40270</v>
      </c>
      <c r="C3442" s="2">
        <v>822486.37</v>
      </c>
      <c r="D3442">
        <v>0</v>
      </c>
      <c r="E3442" s="65">
        <v>47.2</v>
      </c>
      <c r="F3442" s="8">
        <v>2.85</v>
      </c>
      <c r="G3442" s="66">
        <v>204.0252842</v>
      </c>
      <c r="H3442" s="8">
        <v>7.856</v>
      </c>
      <c r="J3442" s="26"/>
      <c r="K3442"/>
    </row>
    <row r="3443" spans="1:11">
      <c r="A3443">
        <v>25</v>
      </c>
      <c r="B3443" s="64">
        <v>40277</v>
      </c>
      <c r="C3443" s="2">
        <v>712647.97</v>
      </c>
      <c r="D3443">
        <v>0</v>
      </c>
      <c r="E3443" s="65">
        <v>61.36</v>
      </c>
      <c r="F3443" s="8">
        <v>2.869</v>
      </c>
      <c r="G3443" s="66">
        <v>203.8488134</v>
      </c>
      <c r="H3443" s="8">
        <v>7.856</v>
      </c>
      <c r="J3443" s="26"/>
      <c r="K3443"/>
    </row>
    <row r="3444" spans="1:11">
      <c r="A3444">
        <v>25</v>
      </c>
      <c r="B3444" s="64">
        <v>40284</v>
      </c>
      <c r="C3444" s="2">
        <v>715311.6</v>
      </c>
      <c r="D3444">
        <v>0</v>
      </c>
      <c r="E3444" s="65">
        <v>52.16</v>
      </c>
      <c r="F3444" s="8">
        <v>2.899</v>
      </c>
      <c r="G3444" s="66">
        <v>203.7307486</v>
      </c>
      <c r="H3444" s="8">
        <v>7.856</v>
      </c>
      <c r="J3444" s="26"/>
      <c r="K3444"/>
    </row>
    <row r="3445" spans="1:11">
      <c r="A3445">
        <v>25</v>
      </c>
      <c r="B3445" s="64">
        <v>40291</v>
      </c>
      <c r="C3445" s="2">
        <v>694531.72</v>
      </c>
      <c r="D3445">
        <v>0</v>
      </c>
      <c r="E3445" s="65">
        <v>46.12</v>
      </c>
      <c r="F3445" s="8">
        <v>2.902</v>
      </c>
      <c r="G3445" s="66">
        <v>203.6905586</v>
      </c>
      <c r="H3445" s="8">
        <v>7.856</v>
      </c>
      <c r="J3445" s="26"/>
      <c r="K3445"/>
    </row>
    <row r="3446" spans="1:11">
      <c r="A3446">
        <v>25</v>
      </c>
      <c r="B3446" s="64">
        <v>40298</v>
      </c>
      <c r="C3446" s="2">
        <v>706924.02</v>
      </c>
      <c r="D3446">
        <v>0</v>
      </c>
      <c r="E3446" s="65">
        <v>50.97</v>
      </c>
      <c r="F3446" s="8">
        <v>2.921</v>
      </c>
      <c r="G3446" s="66">
        <v>203.6503685</v>
      </c>
      <c r="H3446" s="8">
        <v>7.856</v>
      </c>
      <c r="J3446" s="26"/>
      <c r="K3446"/>
    </row>
    <row r="3447" spans="1:11">
      <c r="A3447">
        <v>25</v>
      </c>
      <c r="B3447" s="64">
        <v>40305</v>
      </c>
      <c r="C3447" s="2">
        <v>724468.97</v>
      </c>
      <c r="D3447">
        <v>0</v>
      </c>
      <c r="E3447" s="65">
        <v>63.67</v>
      </c>
      <c r="F3447" s="8">
        <v>2.966</v>
      </c>
      <c r="G3447" s="66">
        <v>203.6101784</v>
      </c>
      <c r="H3447" s="8">
        <v>7.856</v>
      </c>
      <c r="J3447" s="26"/>
      <c r="K3447"/>
    </row>
    <row r="3448" spans="1:11">
      <c r="A3448">
        <v>25</v>
      </c>
      <c r="B3448" s="64">
        <v>40312</v>
      </c>
      <c r="C3448" s="2">
        <v>698073.95</v>
      </c>
      <c r="D3448">
        <v>0</v>
      </c>
      <c r="E3448" s="65">
        <v>50.27</v>
      </c>
      <c r="F3448" s="8">
        <v>2.982</v>
      </c>
      <c r="G3448" s="66">
        <v>203.6133915</v>
      </c>
      <c r="H3448" s="8">
        <v>7.856</v>
      </c>
      <c r="J3448" s="26"/>
      <c r="K3448"/>
    </row>
    <row r="3449" spans="1:11">
      <c r="A3449">
        <v>25</v>
      </c>
      <c r="B3449" s="64">
        <v>40319</v>
      </c>
      <c r="C3449" s="2">
        <v>704113.22</v>
      </c>
      <c r="D3449">
        <v>0</v>
      </c>
      <c r="E3449" s="65">
        <v>57.17</v>
      </c>
      <c r="F3449" s="8">
        <v>2.958</v>
      </c>
      <c r="G3449" s="66">
        <v>203.8770235</v>
      </c>
      <c r="H3449" s="8">
        <v>7.856</v>
      </c>
      <c r="J3449" s="26"/>
      <c r="K3449"/>
    </row>
    <row r="3450" spans="1:11">
      <c r="A3450">
        <v>25</v>
      </c>
      <c r="B3450" s="64">
        <v>40326</v>
      </c>
      <c r="C3450" s="2">
        <v>792442.54</v>
      </c>
      <c r="D3450">
        <v>0</v>
      </c>
      <c r="E3450" s="65">
        <v>69.31</v>
      </c>
      <c r="F3450" s="8">
        <v>2.899</v>
      </c>
      <c r="G3450" s="66">
        <v>204.1406556</v>
      </c>
      <c r="H3450" s="8">
        <v>7.856</v>
      </c>
      <c r="J3450" s="26"/>
      <c r="K3450"/>
    </row>
    <row r="3451" spans="1:11">
      <c r="A3451">
        <v>25</v>
      </c>
      <c r="B3451" s="64">
        <v>40333</v>
      </c>
      <c r="C3451" s="2">
        <v>764155.44</v>
      </c>
      <c r="D3451">
        <v>0</v>
      </c>
      <c r="E3451" s="65">
        <v>69.22</v>
      </c>
      <c r="F3451" s="8">
        <v>2.847</v>
      </c>
      <c r="G3451" s="66">
        <v>204.4042877</v>
      </c>
      <c r="H3451" s="8">
        <v>7.856</v>
      </c>
      <c r="J3451" s="26"/>
      <c r="K3451"/>
    </row>
    <row r="3452" spans="1:11">
      <c r="A3452">
        <v>25</v>
      </c>
      <c r="B3452" s="64">
        <v>40340</v>
      </c>
      <c r="C3452" s="2">
        <v>737163.2</v>
      </c>
      <c r="D3452">
        <v>0</v>
      </c>
      <c r="E3452" s="65">
        <v>63.68</v>
      </c>
      <c r="F3452" s="8">
        <v>2.809</v>
      </c>
      <c r="G3452" s="66">
        <v>204.6679198</v>
      </c>
      <c r="H3452" s="8">
        <v>7.856</v>
      </c>
      <c r="J3452" s="26"/>
      <c r="K3452"/>
    </row>
    <row r="3453" spans="1:11">
      <c r="A3453">
        <v>25</v>
      </c>
      <c r="B3453" s="64">
        <v>40347</v>
      </c>
      <c r="C3453" s="2">
        <v>780444.94</v>
      </c>
      <c r="D3453">
        <v>0</v>
      </c>
      <c r="E3453" s="65">
        <v>69.56</v>
      </c>
      <c r="F3453" s="8">
        <v>2.78</v>
      </c>
      <c r="G3453" s="66">
        <v>204.670036</v>
      </c>
      <c r="H3453" s="8">
        <v>7.856</v>
      </c>
      <c r="J3453" s="26"/>
      <c r="K3453"/>
    </row>
    <row r="3454" spans="1:11">
      <c r="A3454">
        <v>25</v>
      </c>
      <c r="B3454" s="64">
        <v>40354</v>
      </c>
      <c r="C3454" s="2">
        <v>737569.14</v>
      </c>
      <c r="D3454">
        <v>0</v>
      </c>
      <c r="E3454" s="65">
        <v>72.17</v>
      </c>
      <c r="F3454" s="8">
        <v>2.808</v>
      </c>
      <c r="G3454" s="66">
        <v>204.5675459</v>
      </c>
      <c r="H3454" s="8">
        <v>7.856</v>
      </c>
      <c r="J3454" s="26"/>
      <c r="K3454"/>
    </row>
    <row r="3455" spans="1:11">
      <c r="A3455">
        <v>25</v>
      </c>
      <c r="B3455" s="64">
        <v>40361</v>
      </c>
      <c r="C3455" s="2">
        <v>759407.87</v>
      </c>
      <c r="D3455">
        <v>0</v>
      </c>
      <c r="E3455" s="65">
        <v>66.42</v>
      </c>
      <c r="F3455" s="8">
        <v>2.815</v>
      </c>
      <c r="G3455" s="66">
        <v>204.4650559</v>
      </c>
      <c r="H3455" s="8">
        <v>7.527</v>
      </c>
      <c r="J3455" s="26"/>
      <c r="K3455"/>
    </row>
    <row r="3456" spans="1:11">
      <c r="A3456">
        <v>25</v>
      </c>
      <c r="B3456" s="64">
        <v>40368</v>
      </c>
      <c r="C3456" s="2">
        <v>719591.13</v>
      </c>
      <c r="D3456">
        <v>0</v>
      </c>
      <c r="E3456" s="65">
        <v>75.24</v>
      </c>
      <c r="F3456" s="8">
        <v>2.793</v>
      </c>
      <c r="G3456" s="66">
        <v>204.3625658</v>
      </c>
      <c r="H3456" s="8">
        <v>7.527</v>
      </c>
      <c r="J3456" s="26"/>
      <c r="K3456"/>
    </row>
    <row r="3457" spans="1:11">
      <c r="A3457">
        <v>25</v>
      </c>
      <c r="B3457" s="64">
        <v>40375</v>
      </c>
      <c r="C3457" s="2">
        <v>726997.84</v>
      </c>
      <c r="D3457">
        <v>0</v>
      </c>
      <c r="E3457" s="65">
        <v>73.43</v>
      </c>
      <c r="F3457" s="8">
        <v>2.783</v>
      </c>
      <c r="G3457" s="66">
        <v>204.3571656</v>
      </c>
      <c r="H3457" s="8">
        <v>7.527</v>
      </c>
      <c r="J3457" s="26"/>
      <c r="K3457"/>
    </row>
    <row r="3458" spans="1:11">
      <c r="A3458">
        <v>25</v>
      </c>
      <c r="B3458" s="64">
        <v>40382</v>
      </c>
      <c r="C3458" s="2">
        <v>665290.93</v>
      </c>
      <c r="D3458">
        <v>0</v>
      </c>
      <c r="E3458" s="65">
        <v>75.37</v>
      </c>
      <c r="F3458" s="8">
        <v>2.771</v>
      </c>
      <c r="G3458" s="66">
        <v>204.4812188</v>
      </c>
      <c r="H3458" s="8">
        <v>7.527</v>
      </c>
      <c r="J3458" s="26"/>
      <c r="K3458"/>
    </row>
    <row r="3459" spans="1:11">
      <c r="A3459">
        <v>25</v>
      </c>
      <c r="B3459" s="64">
        <v>40389</v>
      </c>
      <c r="C3459" s="2">
        <v>682124.34</v>
      </c>
      <c r="D3459">
        <v>0</v>
      </c>
      <c r="E3459" s="65">
        <v>71.99</v>
      </c>
      <c r="F3459" s="8">
        <v>2.781</v>
      </c>
      <c r="G3459" s="66">
        <v>204.605272</v>
      </c>
      <c r="H3459" s="8">
        <v>7.527</v>
      </c>
      <c r="J3459" s="26"/>
      <c r="K3459"/>
    </row>
    <row r="3460" spans="1:11">
      <c r="A3460">
        <v>25</v>
      </c>
      <c r="B3460" s="64">
        <v>40396</v>
      </c>
      <c r="C3460" s="2">
        <v>699464.43</v>
      </c>
      <c r="D3460">
        <v>0</v>
      </c>
      <c r="E3460" s="65">
        <v>71.79</v>
      </c>
      <c r="F3460" s="8">
        <v>2.784</v>
      </c>
      <c r="G3460" s="66">
        <v>204.7293252</v>
      </c>
      <c r="H3460" s="8">
        <v>7.527</v>
      </c>
      <c r="J3460" s="26"/>
      <c r="K3460"/>
    </row>
    <row r="3461" spans="1:11">
      <c r="A3461">
        <v>25</v>
      </c>
      <c r="B3461" s="64">
        <v>40403</v>
      </c>
      <c r="C3461" s="2">
        <v>686072.39</v>
      </c>
      <c r="D3461">
        <v>0</v>
      </c>
      <c r="E3461" s="65">
        <v>72.73</v>
      </c>
      <c r="F3461" s="8">
        <v>2.805</v>
      </c>
      <c r="G3461" s="66">
        <v>204.8533784</v>
      </c>
      <c r="H3461" s="8">
        <v>7.527</v>
      </c>
      <c r="J3461" s="26"/>
      <c r="K3461"/>
    </row>
    <row r="3462" spans="1:11">
      <c r="A3462">
        <v>25</v>
      </c>
      <c r="B3462" s="64">
        <v>40410</v>
      </c>
      <c r="C3462" s="2">
        <v>724499.81</v>
      </c>
      <c r="D3462">
        <v>0</v>
      </c>
      <c r="E3462" s="65">
        <v>71.81</v>
      </c>
      <c r="F3462" s="8">
        <v>2.779</v>
      </c>
      <c r="G3462" s="66">
        <v>204.8217044</v>
      </c>
      <c r="H3462" s="8">
        <v>7.527</v>
      </c>
      <c r="J3462" s="26"/>
      <c r="K3462"/>
    </row>
    <row r="3463" spans="1:11">
      <c r="A3463">
        <v>25</v>
      </c>
      <c r="B3463" s="64">
        <v>40417</v>
      </c>
      <c r="C3463" s="2">
        <v>711461.95</v>
      </c>
      <c r="D3463">
        <v>0</v>
      </c>
      <c r="E3463" s="65">
        <v>67.15</v>
      </c>
      <c r="F3463" s="8">
        <v>2.755</v>
      </c>
      <c r="G3463" s="66">
        <v>204.7900305</v>
      </c>
      <c r="H3463" s="8">
        <v>7.527</v>
      </c>
      <c r="J3463" s="26"/>
      <c r="K3463"/>
    </row>
    <row r="3464" spans="1:11">
      <c r="A3464">
        <v>25</v>
      </c>
      <c r="B3464" s="64">
        <v>40424</v>
      </c>
      <c r="C3464" s="2">
        <v>685700.08</v>
      </c>
      <c r="D3464">
        <v>0</v>
      </c>
      <c r="E3464" s="65">
        <v>71.17</v>
      </c>
      <c r="F3464" s="8">
        <v>2.715</v>
      </c>
      <c r="G3464" s="66">
        <v>204.7583566</v>
      </c>
      <c r="H3464" s="8">
        <v>7.527</v>
      </c>
      <c r="J3464" s="26"/>
      <c r="K3464"/>
    </row>
    <row r="3465" spans="1:11">
      <c r="A3465">
        <v>25</v>
      </c>
      <c r="B3465" s="64">
        <v>40431</v>
      </c>
      <c r="C3465" s="2">
        <v>655811.95</v>
      </c>
      <c r="D3465">
        <v>1</v>
      </c>
      <c r="E3465" s="65">
        <v>61.14</v>
      </c>
      <c r="F3465" s="8">
        <v>2.699</v>
      </c>
      <c r="G3465" s="66">
        <v>204.7266827</v>
      </c>
      <c r="H3465" s="8">
        <v>7.527</v>
      </c>
      <c r="J3465" s="26"/>
      <c r="K3465"/>
    </row>
    <row r="3466" spans="1:11">
      <c r="A3466">
        <v>25</v>
      </c>
      <c r="B3466" s="64">
        <v>40438</v>
      </c>
      <c r="C3466" s="2">
        <v>628989.88</v>
      </c>
      <c r="D3466">
        <v>0</v>
      </c>
      <c r="E3466" s="65">
        <v>60.13</v>
      </c>
      <c r="F3466" s="8">
        <v>2.706</v>
      </c>
      <c r="G3466" s="66">
        <v>204.7513279</v>
      </c>
      <c r="H3466" s="8">
        <v>7.527</v>
      </c>
      <c r="J3466" s="26"/>
      <c r="K3466"/>
    </row>
    <row r="3467" spans="1:11">
      <c r="A3467">
        <v>25</v>
      </c>
      <c r="B3467" s="64">
        <v>40445</v>
      </c>
      <c r="C3467" s="2">
        <v>607819.33</v>
      </c>
      <c r="D3467">
        <v>0</v>
      </c>
      <c r="E3467" s="65">
        <v>65.06</v>
      </c>
      <c r="F3467" s="8">
        <v>2.713</v>
      </c>
      <c r="G3467" s="66">
        <v>204.8182126</v>
      </c>
      <c r="H3467" s="8">
        <v>7.527</v>
      </c>
      <c r="J3467" s="26"/>
      <c r="K3467"/>
    </row>
    <row r="3468" spans="1:11">
      <c r="A3468">
        <v>25</v>
      </c>
      <c r="B3468" s="64">
        <v>40452</v>
      </c>
      <c r="C3468" s="2">
        <v>658640.14</v>
      </c>
      <c r="D3468">
        <v>0</v>
      </c>
      <c r="E3468" s="65">
        <v>57.56</v>
      </c>
      <c r="F3468" s="8">
        <v>2.707</v>
      </c>
      <c r="G3468" s="66">
        <v>204.8850973</v>
      </c>
      <c r="H3468" s="8">
        <v>7.484</v>
      </c>
      <c r="J3468" s="26"/>
      <c r="K3468"/>
    </row>
    <row r="3469" spans="1:11">
      <c r="A3469">
        <v>25</v>
      </c>
      <c r="B3469" s="64">
        <v>40459</v>
      </c>
      <c r="C3469" s="2">
        <v>674283.86</v>
      </c>
      <c r="D3469">
        <v>0</v>
      </c>
      <c r="E3469" s="65">
        <v>48.46</v>
      </c>
      <c r="F3469" s="8">
        <v>2.764</v>
      </c>
      <c r="G3469" s="66">
        <v>204.951982</v>
      </c>
      <c r="H3469" s="8">
        <v>7.484</v>
      </c>
      <c r="J3469" s="26"/>
      <c r="K3469"/>
    </row>
    <row r="3470" spans="1:11">
      <c r="A3470">
        <v>25</v>
      </c>
      <c r="B3470" s="64">
        <v>40466</v>
      </c>
      <c r="C3470" s="2">
        <v>616094.72</v>
      </c>
      <c r="D3470">
        <v>0</v>
      </c>
      <c r="E3470" s="65">
        <v>54.09</v>
      </c>
      <c r="F3470" s="8">
        <v>2.868</v>
      </c>
      <c r="G3470" s="66">
        <v>205.0137637</v>
      </c>
      <c r="H3470" s="8">
        <v>7.484</v>
      </c>
      <c r="J3470" s="26"/>
      <c r="K3470"/>
    </row>
    <row r="3471" spans="1:11">
      <c r="A3471">
        <v>25</v>
      </c>
      <c r="B3471" s="64">
        <v>40473</v>
      </c>
      <c r="C3471" s="2">
        <v>661644.19</v>
      </c>
      <c r="D3471">
        <v>0</v>
      </c>
      <c r="E3471" s="65">
        <v>46.73</v>
      </c>
      <c r="F3471" s="8">
        <v>2.917</v>
      </c>
      <c r="G3471" s="66">
        <v>205.0627881</v>
      </c>
      <c r="H3471" s="8">
        <v>7.484</v>
      </c>
      <c r="J3471" s="26"/>
      <c r="K3471"/>
    </row>
    <row r="3472" spans="1:11">
      <c r="A3472">
        <v>25</v>
      </c>
      <c r="B3472" s="64">
        <v>40480</v>
      </c>
      <c r="C3472" s="2">
        <v>674458.03</v>
      </c>
      <c r="D3472">
        <v>0</v>
      </c>
      <c r="E3472" s="65">
        <v>55.72</v>
      </c>
      <c r="F3472" s="8">
        <v>2.921</v>
      </c>
      <c r="G3472" s="66">
        <v>205.1118126</v>
      </c>
      <c r="H3472" s="8">
        <v>7.484</v>
      </c>
      <c r="J3472" s="26"/>
      <c r="K3472"/>
    </row>
    <row r="3473" spans="1:11">
      <c r="A3473">
        <v>25</v>
      </c>
      <c r="B3473" s="64">
        <v>40487</v>
      </c>
      <c r="C3473" s="2">
        <v>696314.53</v>
      </c>
      <c r="D3473">
        <v>0</v>
      </c>
      <c r="E3473" s="65">
        <v>38.8</v>
      </c>
      <c r="F3473" s="8">
        <v>2.917</v>
      </c>
      <c r="G3473" s="66">
        <v>205.160837</v>
      </c>
      <c r="H3473" s="8">
        <v>7.484</v>
      </c>
      <c r="J3473" s="26"/>
      <c r="K3473"/>
    </row>
    <row r="3474" spans="1:11">
      <c r="A3474">
        <v>25</v>
      </c>
      <c r="B3474" s="64">
        <v>40494</v>
      </c>
      <c r="C3474" s="2">
        <v>713250.08</v>
      </c>
      <c r="D3474">
        <v>0</v>
      </c>
      <c r="E3474" s="65">
        <v>40.68</v>
      </c>
      <c r="F3474" s="8">
        <v>2.931</v>
      </c>
      <c r="G3474" s="66">
        <v>205.2098614</v>
      </c>
      <c r="H3474" s="8">
        <v>7.484</v>
      </c>
      <c r="J3474" s="26"/>
      <c r="K3474"/>
    </row>
    <row r="3475" spans="1:11">
      <c r="A3475">
        <v>25</v>
      </c>
      <c r="B3475" s="64">
        <v>40501</v>
      </c>
      <c r="C3475" s="2">
        <v>718056.73</v>
      </c>
      <c r="D3475">
        <v>0</v>
      </c>
      <c r="E3475" s="65">
        <v>42.72</v>
      </c>
      <c r="F3475" s="8">
        <v>3</v>
      </c>
      <c r="G3475" s="66">
        <v>205.0992811</v>
      </c>
      <c r="H3475" s="8">
        <v>7.484</v>
      </c>
      <c r="J3475" s="26"/>
      <c r="K3475"/>
    </row>
    <row r="3476" spans="1:11">
      <c r="A3476">
        <v>25</v>
      </c>
      <c r="B3476" s="64">
        <v>40508</v>
      </c>
      <c r="C3476" s="2">
        <v>1115240.61</v>
      </c>
      <c r="D3476">
        <v>1</v>
      </c>
      <c r="E3476" s="65">
        <v>43.43</v>
      </c>
      <c r="F3476" s="8">
        <v>3.039</v>
      </c>
      <c r="G3476" s="66">
        <v>204.9621</v>
      </c>
      <c r="H3476" s="8">
        <v>7.484</v>
      </c>
      <c r="J3476" s="26"/>
      <c r="K3476"/>
    </row>
    <row r="3477" spans="1:11">
      <c r="A3477">
        <v>25</v>
      </c>
      <c r="B3477" s="64">
        <v>40515</v>
      </c>
      <c r="C3477" s="2">
        <v>885572.96</v>
      </c>
      <c r="D3477">
        <v>0</v>
      </c>
      <c r="E3477" s="65">
        <v>32.41</v>
      </c>
      <c r="F3477" s="8">
        <v>3.046</v>
      </c>
      <c r="G3477" s="66">
        <v>204.8249189</v>
      </c>
      <c r="H3477" s="8">
        <v>7.484</v>
      </c>
      <c r="J3477" s="26"/>
      <c r="K3477"/>
    </row>
    <row r="3478" spans="1:11">
      <c r="A3478">
        <v>25</v>
      </c>
      <c r="B3478" s="64">
        <v>40522</v>
      </c>
      <c r="C3478" s="2">
        <v>964729.18</v>
      </c>
      <c r="D3478">
        <v>0</v>
      </c>
      <c r="E3478" s="65">
        <v>22.65</v>
      </c>
      <c r="F3478" s="8">
        <v>3.109</v>
      </c>
      <c r="G3478" s="66">
        <v>204.6877378</v>
      </c>
      <c r="H3478" s="8">
        <v>7.484</v>
      </c>
      <c r="J3478" s="26"/>
      <c r="K3478"/>
    </row>
    <row r="3479" spans="1:11">
      <c r="A3479">
        <v>25</v>
      </c>
      <c r="B3479" s="64">
        <v>40529</v>
      </c>
      <c r="C3479" s="2">
        <v>1047707.59</v>
      </c>
      <c r="D3479">
        <v>0</v>
      </c>
      <c r="E3479" s="65">
        <v>21.6</v>
      </c>
      <c r="F3479" s="8">
        <v>3.14</v>
      </c>
      <c r="G3479" s="66">
        <v>204.6321194</v>
      </c>
      <c r="H3479" s="8">
        <v>7.484</v>
      </c>
      <c r="J3479" s="26"/>
      <c r="K3479"/>
    </row>
    <row r="3480" spans="1:11">
      <c r="A3480">
        <v>25</v>
      </c>
      <c r="B3480" s="64">
        <v>40536</v>
      </c>
      <c r="C3480" s="2">
        <v>1295391.19</v>
      </c>
      <c r="D3480">
        <v>0</v>
      </c>
      <c r="E3480" s="65">
        <v>22.94</v>
      </c>
      <c r="F3480" s="8">
        <v>3.141</v>
      </c>
      <c r="G3480" s="66">
        <v>204.6376731</v>
      </c>
      <c r="H3480" s="8">
        <v>7.484</v>
      </c>
      <c r="J3480" s="26"/>
      <c r="K3480"/>
    </row>
    <row r="3481" spans="1:11">
      <c r="A3481">
        <v>25</v>
      </c>
      <c r="B3481" s="64">
        <v>40543</v>
      </c>
      <c r="C3481" s="2">
        <v>623092.54</v>
      </c>
      <c r="D3481">
        <v>1</v>
      </c>
      <c r="E3481" s="65">
        <v>25.89</v>
      </c>
      <c r="F3481" s="8">
        <v>3.179</v>
      </c>
      <c r="G3481" s="66">
        <v>204.6432267</v>
      </c>
      <c r="H3481" s="8">
        <v>7.484</v>
      </c>
      <c r="J3481" s="26"/>
      <c r="K3481"/>
    </row>
    <row r="3482" spans="1:11">
      <c r="A3482">
        <v>25</v>
      </c>
      <c r="B3482" s="64">
        <v>40550</v>
      </c>
      <c r="C3482" s="2">
        <v>558794.63</v>
      </c>
      <c r="D3482">
        <v>0</v>
      </c>
      <c r="E3482" s="65">
        <v>29</v>
      </c>
      <c r="F3482" s="8">
        <v>3.193</v>
      </c>
      <c r="G3482" s="66">
        <v>204.6487803</v>
      </c>
      <c r="H3482" s="8">
        <v>7.343</v>
      </c>
      <c r="J3482" s="26"/>
      <c r="K3482"/>
    </row>
    <row r="3483" spans="1:11">
      <c r="A3483">
        <v>25</v>
      </c>
      <c r="B3483" s="64">
        <v>40557</v>
      </c>
      <c r="C3483" s="2">
        <v>572360.83</v>
      </c>
      <c r="D3483">
        <v>0</v>
      </c>
      <c r="E3483" s="65">
        <v>18.3</v>
      </c>
      <c r="F3483" s="8">
        <v>3.205</v>
      </c>
      <c r="G3483" s="66">
        <v>204.7026042</v>
      </c>
      <c r="H3483" s="8">
        <v>7.343</v>
      </c>
      <c r="J3483" s="26"/>
      <c r="K3483"/>
    </row>
    <row r="3484" spans="1:11">
      <c r="A3484">
        <v>25</v>
      </c>
      <c r="B3484" s="64">
        <v>40564</v>
      </c>
      <c r="C3484" s="2">
        <v>568093.57</v>
      </c>
      <c r="D3484">
        <v>0</v>
      </c>
      <c r="E3484" s="65">
        <v>23.21</v>
      </c>
      <c r="F3484" s="8">
        <v>3.229</v>
      </c>
      <c r="G3484" s="66">
        <v>205.0460497</v>
      </c>
      <c r="H3484" s="8">
        <v>7.343</v>
      </c>
      <c r="J3484" s="26"/>
      <c r="K3484"/>
    </row>
    <row r="3485" spans="1:11">
      <c r="A3485">
        <v>25</v>
      </c>
      <c r="B3485" s="64">
        <v>40571</v>
      </c>
      <c r="C3485" s="2">
        <v>600448.69</v>
      </c>
      <c r="D3485">
        <v>0</v>
      </c>
      <c r="E3485" s="65">
        <v>18.92</v>
      </c>
      <c r="F3485" s="8">
        <v>3.237</v>
      </c>
      <c r="G3485" s="66">
        <v>205.3894952</v>
      </c>
      <c r="H3485" s="8">
        <v>7.343</v>
      </c>
      <c r="J3485" s="26"/>
      <c r="K3485"/>
    </row>
    <row r="3486" spans="1:11">
      <c r="A3486">
        <v>25</v>
      </c>
      <c r="B3486" s="64">
        <v>40578</v>
      </c>
      <c r="C3486" s="2">
        <v>639830.45</v>
      </c>
      <c r="D3486">
        <v>0</v>
      </c>
      <c r="E3486" s="65">
        <v>23.94</v>
      </c>
      <c r="F3486" s="8">
        <v>3.231</v>
      </c>
      <c r="G3486" s="66">
        <v>205.7329407</v>
      </c>
      <c r="H3486" s="8">
        <v>7.343</v>
      </c>
      <c r="J3486" s="26"/>
      <c r="K3486"/>
    </row>
    <row r="3487" spans="1:11">
      <c r="A3487">
        <v>25</v>
      </c>
      <c r="B3487" s="64">
        <v>40585</v>
      </c>
      <c r="C3487" s="2">
        <v>615666.78</v>
      </c>
      <c r="D3487">
        <v>1</v>
      </c>
      <c r="E3487" s="65">
        <v>21.18</v>
      </c>
      <c r="F3487" s="8">
        <v>3.239</v>
      </c>
      <c r="G3487" s="66">
        <v>206.0763862</v>
      </c>
      <c r="H3487" s="8">
        <v>7.343</v>
      </c>
      <c r="J3487" s="26"/>
      <c r="K3487"/>
    </row>
    <row r="3488" spans="1:11">
      <c r="A3488">
        <v>25</v>
      </c>
      <c r="B3488" s="64">
        <v>40592</v>
      </c>
      <c r="C3488" s="2">
        <v>634637.03</v>
      </c>
      <c r="D3488">
        <v>0</v>
      </c>
      <c r="E3488" s="65">
        <v>38.42</v>
      </c>
      <c r="F3488" s="8">
        <v>3.245</v>
      </c>
      <c r="G3488" s="66">
        <v>206.3694701</v>
      </c>
      <c r="H3488" s="8">
        <v>7.343</v>
      </c>
      <c r="J3488" s="26"/>
      <c r="K3488"/>
    </row>
    <row r="3489" spans="1:11">
      <c r="A3489">
        <v>25</v>
      </c>
      <c r="B3489" s="64">
        <v>40599</v>
      </c>
      <c r="C3489" s="2">
        <v>570816.34</v>
      </c>
      <c r="D3489">
        <v>0</v>
      </c>
      <c r="E3489" s="65">
        <v>28.36</v>
      </c>
      <c r="F3489" s="8">
        <v>3.274</v>
      </c>
      <c r="G3489" s="66">
        <v>206.6424093</v>
      </c>
      <c r="H3489" s="8">
        <v>7.343</v>
      </c>
      <c r="J3489" s="26"/>
      <c r="K3489"/>
    </row>
    <row r="3490" spans="1:11">
      <c r="A3490">
        <v>25</v>
      </c>
      <c r="B3490" s="64">
        <v>40606</v>
      </c>
      <c r="C3490" s="2">
        <v>640912.18</v>
      </c>
      <c r="D3490">
        <v>0</v>
      </c>
      <c r="E3490" s="65">
        <v>31.59</v>
      </c>
      <c r="F3490" s="8">
        <v>3.433</v>
      </c>
      <c r="G3490" s="66">
        <v>206.9153485</v>
      </c>
      <c r="H3490" s="8">
        <v>7.343</v>
      </c>
      <c r="J3490" s="26"/>
      <c r="K3490"/>
    </row>
    <row r="3491" spans="1:11">
      <c r="A3491">
        <v>25</v>
      </c>
      <c r="B3491" s="64">
        <v>40613</v>
      </c>
      <c r="C3491" s="2">
        <v>599828.39</v>
      </c>
      <c r="D3491">
        <v>0</v>
      </c>
      <c r="E3491" s="65">
        <v>36.73</v>
      </c>
      <c r="F3491" s="8">
        <v>3.582</v>
      </c>
      <c r="G3491" s="66">
        <v>207.1882876</v>
      </c>
      <c r="H3491" s="8">
        <v>7.343</v>
      </c>
      <c r="J3491" s="26"/>
      <c r="K3491"/>
    </row>
    <row r="3492" spans="1:11">
      <c r="A3492">
        <v>25</v>
      </c>
      <c r="B3492" s="64">
        <v>40620</v>
      </c>
      <c r="C3492" s="2">
        <v>603393.64</v>
      </c>
      <c r="D3492">
        <v>0</v>
      </c>
      <c r="E3492" s="65">
        <v>40.94</v>
      </c>
      <c r="F3492" s="8">
        <v>3.631</v>
      </c>
      <c r="G3492" s="66">
        <v>207.4283845</v>
      </c>
      <c r="H3492" s="8">
        <v>7.343</v>
      </c>
      <c r="J3492" s="26"/>
      <c r="K3492"/>
    </row>
    <row r="3493" spans="1:11">
      <c r="A3493">
        <v>25</v>
      </c>
      <c r="B3493" s="64">
        <v>40627</v>
      </c>
      <c r="C3493" s="2">
        <v>616324.24</v>
      </c>
      <c r="D3493">
        <v>0</v>
      </c>
      <c r="E3493" s="65">
        <v>38.51</v>
      </c>
      <c r="F3493" s="8">
        <v>3.625</v>
      </c>
      <c r="G3493" s="66">
        <v>207.6553444</v>
      </c>
      <c r="H3493" s="8">
        <v>7.343</v>
      </c>
      <c r="J3493" s="26"/>
      <c r="K3493"/>
    </row>
    <row r="3494" spans="1:11">
      <c r="A3494">
        <v>25</v>
      </c>
      <c r="B3494" s="64">
        <v>40634</v>
      </c>
      <c r="C3494" s="2">
        <v>618377.79</v>
      </c>
      <c r="D3494">
        <v>0</v>
      </c>
      <c r="E3494" s="65">
        <v>28.5</v>
      </c>
      <c r="F3494" s="8">
        <v>3.638</v>
      </c>
      <c r="G3494" s="66">
        <v>207.8823043</v>
      </c>
      <c r="H3494" s="8">
        <v>7.287</v>
      </c>
      <c r="J3494" s="26"/>
      <c r="K3494"/>
    </row>
    <row r="3495" spans="1:11">
      <c r="A3495">
        <v>25</v>
      </c>
      <c r="B3495" s="64">
        <v>40641</v>
      </c>
      <c r="C3495" s="2">
        <v>648606.13</v>
      </c>
      <c r="D3495">
        <v>0</v>
      </c>
      <c r="E3495" s="65">
        <v>42.11</v>
      </c>
      <c r="F3495" s="8">
        <v>3.72</v>
      </c>
      <c r="G3495" s="66">
        <v>208.1092642</v>
      </c>
      <c r="H3495" s="8">
        <v>7.287</v>
      </c>
      <c r="J3495" s="26"/>
      <c r="K3495"/>
    </row>
    <row r="3496" spans="1:11">
      <c r="A3496">
        <v>25</v>
      </c>
      <c r="B3496" s="64">
        <v>40648</v>
      </c>
      <c r="C3496" s="2">
        <v>674562.45</v>
      </c>
      <c r="D3496">
        <v>0</v>
      </c>
      <c r="E3496" s="65">
        <v>51.43</v>
      </c>
      <c r="F3496" s="8">
        <v>3.821</v>
      </c>
      <c r="G3496" s="66">
        <v>208.3172811</v>
      </c>
      <c r="H3496" s="8">
        <v>7.287</v>
      </c>
      <c r="J3496" s="26"/>
      <c r="K3496"/>
    </row>
    <row r="3497" spans="1:11">
      <c r="A3497">
        <v>25</v>
      </c>
      <c r="B3497" s="64">
        <v>40655</v>
      </c>
      <c r="C3497" s="2">
        <v>756588.42</v>
      </c>
      <c r="D3497">
        <v>0</v>
      </c>
      <c r="E3497" s="65">
        <v>45.87</v>
      </c>
      <c r="F3497" s="8">
        <v>3.892</v>
      </c>
      <c r="G3497" s="66">
        <v>208.4779405</v>
      </c>
      <c r="H3497" s="8">
        <v>7.287</v>
      </c>
      <c r="J3497" s="26"/>
      <c r="K3497"/>
    </row>
    <row r="3498" spans="1:11">
      <c r="A3498">
        <v>25</v>
      </c>
      <c r="B3498" s="64">
        <v>40662</v>
      </c>
      <c r="C3498" s="2">
        <v>649245</v>
      </c>
      <c r="D3498">
        <v>0</v>
      </c>
      <c r="E3498" s="65">
        <v>58.43</v>
      </c>
      <c r="F3498" s="8">
        <v>3.962</v>
      </c>
      <c r="G3498" s="66">
        <v>208.6386</v>
      </c>
      <c r="H3498" s="8">
        <v>7.287</v>
      </c>
      <c r="J3498" s="26"/>
      <c r="K3498"/>
    </row>
    <row r="3499" spans="1:11">
      <c r="A3499">
        <v>25</v>
      </c>
      <c r="B3499" s="64">
        <v>40669</v>
      </c>
      <c r="C3499" s="2">
        <v>659446.55</v>
      </c>
      <c r="D3499">
        <v>0</v>
      </c>
      <c r="E3499" s="65">
        <v>49.5</v>
      </c>
      <c r="F3499" s="8">
        <v>4.046</v>
      </c>
      <c r="G3499" s="66">
        <v>208.7992595</v>
      </c>
      <c r="H3499" s="8">
        <v>7.287</v>
      </c>
      <c r="J3499" s="26"/>
      <c r="K3499"/>
    </row>
    <row r="3500" spans="1:11">
      <c r="A3500">
        <v>25</v>
      </c>
      <c r="B3500" s="64">
        <v>40676</v>
      </c>
      <c r="C3500" s="2">
        <v>684783.15</v>
      </c>
      <c r="D3500">
        <v>0</v>
      </c>
      <c r="E3500" s="65">
        <v>60.1</v>
      </c>
      <c r="F3500" s="8">
        <v>4.066</v>
      </c>
      <c r="G3500" s="66">
        <v>208.9599189</v>
      </c>
      <c r="H3500" s="8">
        <v>7.287</v>
      </c>
      <c r="J3500" s="26"/>
      <c r="K3500"/>
    </row>
    <row r="3501" spans="1:11">
      <c r="A3501">
        <v>25</v>
      </c>
      <c r="B3501" s="64">
        <v>40683</v>
      </c>
      <c r="C3501" s="2">
        <v>677971.33</v>
      </c>
      <c r="D3501">
        <v>0</v>
      </c>
      <c r="E3501" s="65">
        <v>56.56</v>
      </c>
      <c r="F3501" s="8">
        <v>4.062</v>
      </c>
      <c r="G3501" s="66">
        <v>208.7583165</v>
      </c>
      <c r="H3501" s="8">
        <v>7.287</v>
      </c>
      <c r="J3501" s="26"/>
      <c r="K3501"/>
    </row>
    <row r="3502" spans="1:11">
      <c r="A3502">
        <v>25</v>
      </c>
      <c r="B3502" s="64">
        <v>40690</v>
      </c>
      <c r="C3502" s="2">
        <v>718373.94</v>
      </c>
      <c r="D3502">
        <v>0</v>
      </c>
      <c r="E3502" s="65">
        <v>67.18</v>
      </c>
      <c r="F3502" s="8">
        <v>3.985</v>
      </c>
      <c r="G3502" s="66">
        <v>208.556714</v>
      </c>
      <c r="H3502" s="8">
        <v>7.287</v>
      </c>
      <c r="J3502" s="26"/>
      <c r="K3502"/>
    </row>
    <row r="3503" spans="1:11">
      <c r="A3503">
        <v>25</v>
      </c>
      <c r="B3503" s="64">
        <v>40697</v>
      </c>
      <c r="C3503" s="2">
        <v>737551.74</v>
      </c>
      <c r="D3503">
        <v>0</v>
      </c>
      <c r="E3503" s="65">
        <v>70.69</v>
      </c>
      <c r="F3503" s="8">
        <v>3.922</v>
      </c>
      <c r="G3503" s="66">
        <v>208.3551116</v>
      </c>
      <c r="H3503" s="8">
        <v>7.287</v>
      </c>
      <c r="J3503" s="26"/>
      <c r="K3503"/>
    </row>
    <row r="3504" spans="1:11">
      <c r="A3504">
        <v>25</v>
      </c>
      <c r="B3504" s="64">
        <v>40704</v>
      </c>
      <c r="C3504" s="2">
        <v>740259.63</v>
      </c>
      <c r="D3504">
        <v>0</v>
      </c>
      <c r="E3504" s="65">
        <v>71.45</v>
      </c>
      <c r="F3504" s="8">
        <v>3.881</v>
      </c>
      <c r="G3504" s="66">
        <v>208.1535092</v>
      </c>
      <c r="H3504" s="8">
        <v>7.287</v>
      </c>
      <c r="J3504" s="26"/>
      <c r="K3504"/>
    </row>
    <row r="3505" spans="1:11">
      <c r="A3505">
        <v>25</v>
      </c>
      <c r="B3505" s="64">
        <v>40711</v>
      </c>
      <c r="C3505" s="2">
        <v>717373.43</v>
      </c>
      <c r="D3505">
        <v>0</v>
      </c>
      <c r="E3505" s="65">
        <v>63.58</v>
      </c>
      <c r="F3505" s="8">
        <v>3.842</v>
      </c>
      <c r="G3505" s="66">
        <v>208.1265604</v>
      </c>
      <c r="H3505" s="8">
        <v>7.287</v>
      </c>
      <c r="J3505" s="26"/>
      <c r="K3505"/>
    </row>
    <row r="3506" spans="1:11">
      <c r="A3506">
        <v>25</v>
      </c>
      <c r="B3506" s="64">
        <v>40718</v>
      </c>
      <c r="C3506" s="2">
        <v>699270.1</v>
      </c>
      <c r="D3506">
        <v>0</v>
      </c>
      <c r="E3506" s="65">
        <v>70.71</v>
      </c>
      <c r="F3506" s="8">
        <v>3.804</v>
      </c>
      <c r="G3506" s="66">
        <v>208.2306018</v>
      </c>
      <c r="H3506" s="8">
        <v>7.287</v>
      </c>
      <c r="J3506" s="26"/>
      <c r="K3506"/>
    </row>
    <row r="3507" spans="1:11">
      <c r="A3507">
        <v>25</v>
      </c>
      <c r="B3507" s="64">
        <v>40725</v>
      </c>
      <c r="C3507" s="2">
        <v>706206.86</v>
      </c>
      <c r="D3507">
        <v>0</v>
      </c>
      <c r="E3507" s="65">
        <v>66.61</v>
      </c>
      <c r="F3507" s="8">
        <v>3.748</v>
      </c>
      <c r="G3507" s="66">
        <v>208.3346432</v>
      </c>
      <c r="H3507" s="8">
        <v>7.274</v>
      </c>
      <c r="J3507" s="26"/>
      <c r="K3507"/>
    </row>
    <row r="3508" spans="1:11">
      <c r="A3508">
        <v>25</v>
      </c>
      <c r="B3508" s="64">
        <v>40732</v>
      </c>
      <c r="C3508" s="2">
        <v>698529.64</v>
      </c>
      <c r="D3508">
        <v>0</v>
      </c>
      <c r="E3508" s="65">
        <v>71.64</v>
      </c>
      <c r="F3508" s="8">
        <v>3.711</v>
      </c>
      <c r="G3508" s="66">
        <v>208.4386847</v>
      </c>
      <c r="H3508" s="8">
        <v>7.274</v>
      </c>
      <c r="J3508" s="26"/>
      <c r="K3508"/>
    </row>
    <row r="3509" spans="1:11">
      <c r="A3509">
        <v>25</v>
      </c>
      <c r="B3509" s="64">
        <v>40739</v>
      </c>
      <c r="C3509" s="2">
        <v>680510.23</v>
      </c>
      <c r="D3509">
        <v>0</v>
      </c>
      <c r="E3509" s="65">
        <v>72.67</v>
      </c>
      <c r="F3509" s="8">
        <v>3.76</v>
      </c>
      <c r="G3509" s="66">
        <v>208.5309337</v>
      </c>
      <c r="H3509" s="8">
        <v>7.274</v>
      </c>
      <c r="J3509" s="26"/>
      <c r="K3509"/>
    </row>
    <row r="3510" spans="1:11">
      <c r="A3510">
        <v>25</v>
      </c>
      <c r="B3510" s="64">
        <v>40746</v>
      </c>
      <c r="C3510" s="2">
        <v>670854.96</v>
      </c>
      <c r="D3510">
        <v>0</v>
      </c>
      <c r="E3510" s="65">
        <v>78.1</v>
      </c>
      <c r="F3510" s="8">
        <v>3.811</v>
      </c>
      <c r="G3510" s="66">
        <v>208.5937018</v>
      </c>
      <c r="H3510" s="8">
        <v>7.274</v>
      </c>
      <c r="J3510" s="26"/>
      <c r="K3510"/>
    </row>
    <row r="3511" spans="1:11">
      <c r="A3511">
        <v>25</v>
      </c>
      <c r="B3511" s="64">
        <v>40753</v>
      </c>
      <c r="C3511" s="2">
        <v>668390.82</v>
      </c>
      <c r="D3511">
        <v>0</v>
      </c>
      <c r="E3511" s="65">
        <v>74.72</v>
      </c>
      <c r="F3511" s="8">
        <v>3.829</v>
      </c>
      <c r="G3511" s="66">
        <v>208.6564699</v>
      </c>
      <c r="H3511" s="8">
        <v>7.274</v>
      </c>
      <c r="J3511" s="26"/>
      <c r="K3511"/>
    </row>
    <row r="3512" spans="1:11">
      <c r="A3512">
        <v>25</v>
      </c>
      <c r="B3512" s="64">
        <v>40760</v>
      </c>
      <c r="C3512" s="2">
        <v>679706.01</v>
      </c>
      <c r="D3512">
        <v>0</v>
      </c>
      <c r="E3512" s="65">
        <v>74</v>
      </c>
      <c r="F3512" s="8">
        <v>3.842</v>
      </c>
      <c r="G3512" s="66">
        <v>208.719238</v>
      </c>
      <c r="H3512" s="8">
        <v>7.274</v>
      </c>
      <c r="J3512" s="26"/>
      <c r="K3512"/>
    </row>
    <row r="3513" spans="1:11">
      <c r="A3513">
        <v>25</v>
      </c>
      <c r="B3513" s="64">
        <v>40767</v>
      </c>
      <c r="C3513" s="2">
        <v>667130.48</v>
      </c>
      <c r="D3513">
        <v>0</v>
      </c>
      <c r="E3513" s="65">
        <v>70.93</v>
      </c>
      <c r="F3513" s="8">
        <v>3.812</v>
      </c>
      <c r="G3513" s="66">
        <v>208.7820061</v>
      </c>
      <c r="H3513" s="8">
        <v>7.274</v>
      </c>
      <c r="J3513" s="26"/>
      <c r="K3513"/>
    </row>
    <row r="3514" spans="1:11">
      <c r="A3514">
        <v>25</v>
      </c>
      <c r="B3514" s="64">
        <v>40774</v>
      </c>
      <c r="C3514" s="2">
        <v>688958.75</v>
      </c>
      <c r="D3514">
        <v>0</v>
      </c>
      <c r="E3514" s="65">
        <v>68.09</v>
      </c>
      <c r="F3514" s="8">
        <v>3.747</v>
      </c>
      <c r="G3514" s="66">
        <v>208.8424359</v>
      </c>
      <c r="H3514" s="8">
        <v>7.274</v>
      </c>
      <c r="J3514" s="26"/>
      <c r="K3514"/>
    </row>
    <row r="3515" spans="1:11">
      <c r="A3515">
        <v>25</v>
      </c>
      <c r="B3515" s="64">
        <v>40781</v>
      </c>
      <c r="C3515" s="2">
        <v>726422.55</v>
      </c>
      <c r="D3515">
        <v>0</v>
      </c>
      <c r="E3515" s="65">
        <v>66.8</v>
      </c>
      <c r="F3515" s="8">
        <v>3.704</v>
      </c>
      <c r="G3515" s="66">
        <v>208.902476</v>
      </c>
      <c r="H3515" s="8">
        <v>7.274</v>
      </c>
      <c r="J3515" s="26"/>
      <c r="K3515"/>
    </row>
    <row r="3516" spans="1:11">
      <c r="A3516">
        <v>25</v>
      </c>
      <c r="B3516" s="64">
        <v>40788</v>
      </c>
      <c r="C3516" s="2">
        <v>699779</v>
      </c>
      <c r="D3516">
        <v>0</v>
      </c>
      <c r="E3516" s="65">
        <v>67.2</v>
      </c>
      <c r="F3516" s="8">
        <v>3.703</v>
      </c>
      <c r="G3516" s="66">
        <v>208.9625161</v>
      </c>
      <c r="H3516" s="8">
        <v>7.274</v>
      </c>
      <c r="J3516" s="26"/>
      <c r="K3516"/>
    </row>
    <row r="3517" spans="1:11">
      <c r="A3517">
        <v>25</v>
      </c>
      <c r="B3517" s="64">
        <v>40795</v>
      </c>
      <c r="C3517" s="2">
        <v>673248.48</v>
      </c>
      <c r="D3517">
        <v>1</v>
      </c>
      <c r="E3517" s="65">
        <v>67.51</v>
      </c>
      <c r="F3517" s="8">
        <v>3.738</v>
      </c>
      <c r="G3517" s="66">
        <v>209.0225562</v>
      </c>
      <c r="H3517" s="8">
        <v>7.274</v>
      </c>
      <c r="J3517" s="26"/>
      <c r="K3517"/>
    </row>
    <row r="3518" spans="1:11">
      <c r="A3518">
        <v>25</v>
      </c>
      <c r="B3518" s="64">
        <v>40802</v>
      </c>
      <c r="C3518" s="2">
        <v>628720.46</v>
      </c>
      <c r="D3518">
        <v>0</v>
      </c>
      <c r="E3518" s="65">
        <v>62.05</v>
      </c>
      <c r="F3518" s="8">
        <v>3.742</v>
      </c>
      <c r="G3518" s="66">
        <v>209.1893892</v>
      </c>
      <c r="H3518" s="8">
        <v>7.274</v>
      </c>
      <c r="J3518" s="26"/>
      <c r="K3518"/>
    </row>
    <row r="3519" spans="1:11">
      <c r="A3519">
        <v>25</v>
      </c>
      <c r="B3519" s="64">
        <v>40809</v>
      </c>
      <c r="C3519" s="2">
        <v>620885.93</v>
      </c>
      <c r="D3519">
        <v>0</v>
      </c>
      <c r="E3519" s="65">
        <v>60.28</v>
      </c>
      <c r="F3519" s="8">
        <v>3.711</v>
      </c>
      <c r="G3519" s="66">
        <v>209.4986126</v>
      </c>
      <c r="H3519" s="8">
        <v>7.274</v>
      </c>
      <c r="J3519" s="26"/>
      <c r="K3519"/>
    </row>
    <row r="3520" spans="1:11">
      <c r="A3520">
        <v>25</v>
      </c>
      <c r="B3520" s="64">
        <v>40816</v>
      </c>
      <c r="C3520" s="2">
        <v>639160.24</v>
      </c>
      <c r="D3520">
        <v>0</v>
      </c>
      <c r="E3520" s="65">
        <v>60.7</v>
      </c>
      <c r="F3520" s="8">
        <v>3.645</v>
      </c>
      <c r="G3520" s="66">
        <v>209.807836</v>
      </c>
      <c r="H3520" s="8">
        <v>7.274</v>
      </c>
      <c r="J3520" s="26"/>
      <c r="K3520"/>
    </row>
    <row r="3521" spans="1:11">
      <c r="A3521">
        <v>25</v>
      </c>
      <c r="B3521" s="64">
        <v>40823</v>
      </c>
      <c r="C3521" s="2">
        <v>671522.87</v>
      </c>
      <c r="D3521">
        <v>0</v>
      </c>
      <c r="E3521" s="65">
        <v>50.82</v>
      </c>
      <c r="F3521" s="8">
        <v>3.583</v>
      </c>
      <c r="G3521" s="66">
        <v>210.1170595</v>
      </c>
      <c r="H3521" s="8">
        <v>7.082</v>
      </c>
      <c r="J3521" s="26"/>
      <c r="K3521"/>
    </row>
    <row r="3522" spans="1:11">
      <c r="A3522">
        <v>25</v>
      </c>
      <c r="B3522" s="64">
        <v>40830</v>
      </c>
      <c r="C3522" s="2">
        <v>646915.47</v>
      </c>
      <c r="D3522">
        <v>0</v>
      </c>
      <c r="E3522" s="65">
        <v>58.95</v>
      </c>
      <c r="F3522" s="8">
        <v>3.541</v>
      </c>
      <c r="G3522" s="66">
        <v>210.4027602</v>
      </c>
      <c r="H3522" s="8">
        <v>7.082</v>
      </c>
      <c r="J3522" s="26"/>
      <c r="K3522"/>
    </row>
    <row r="3523" spans="1:11">
      <c r="A3523">
        <v>25</v>
      </c>
      <c r="B3523" s="64">
        <v>40837</v>
      </c>
      <c r="C3523" s="2">
        <v>690675.5</v>
      </c>
      <c r="D3523">
        <v>0</v>
      </c>
      <c r="E3523" s="65">
        <v>50.22</v>
      </c>
      <c r="F3523" s="8">
        <v>3.57</v>
      </c>
      <c r="G3523" s="66">
        <v>210.5473252</v>
      </c>
      <c r="H3523" s="8">
        <v>7.082</v>
      </c>
      <c r="J3523" s="26"/>
      <c r="K3523"/>
    </row>
    <row r="3524" spans="1:11">
      <c r="A3524">
        <v>25</v>
      </c>
      <c r="B3524" s="64">
        <v>40844</v>
      </c>
      <c r="C3524" s="2">
        <v>724443.97</v>
      </c>
      <c r="D3524">
        <v>0</v>
      </c>
      <c r="E3524" s="65">
        <v>46.28</v>
      </c>
      <c r="F3524" s="8">
        <v>3.569</v>
      </c>
      <c r="G3524" s="66">
        <v>210.6918901</v>
      </c>
      <c r="H3524" s="8">
        <v>7.082</v>
      </c>
      <c r="J3524" s="26"/>
      <c r="K3524"/>
    </row>
    <row r="3525" spans="1:11">
      <c r="A3525">
        <v>25</v>
      </c>
      <c r="B3525" s="64">
        <v>40851</v>
      </c>
      <c r="C3525" s="2">
        <v>718393.61</v>
      </c>
      <c r="D3525">
        <v>0</v>
      </c>
      <c r="E3525" s="65">
        <v>40.88</v>
      </c>
      <c r="F3525" s="8">
        <v>3.551</v>
      </c>
      <c r="G3525" s="66">
        <v>210.8364551</v>
      </c>
      <c r="H3525" s="8">
        <v>7.082</v>
      </c>
      <c r="J3525" s="26"/>
      <c r="K3525"/>
    </row>
    <row r="3526" spans="1:11">
      <c r="A3526">
        <v>25</v>
      </c>
      <c r="B3526" s="64">
        <v>40858</v>
      </c>
      <c r="C3526" s="2">
        <v>719235.07</v>
      </c>
      <c r="D3526">
        <v>0</v>
      </c>
      <c r="E3526" s="65">
        <v>44.81</v>
      </c>
      <c r="F3526" s="8">
        <v>3.53</v>
      </c>
      <c r="G3526" s="66">
        <v>210.9810201</v>
      </c>
      <c r="H3526" s="8">
        <v>7.082</v>
      </c>
      <c r="J3526" s="26"/>
      <c r="K3526"/>
    </row>
    <row r="3527" spans="1:11">
      <c r="A3527">
        <v>25</v>
      </c>
      <c r="B3527" s="64">
        <v>40865</v>
      </c>
      <c r="C3527" s="2">
        <v>728525.6</v>
      </c>
      <c r="D3527">
        <v>0</v>
      </c>
      <c r="E3527" s="65">
        <v>46.41</v>
      </c>
      <c r="F3527" s="8">
        <v>3.53</v>
      </c>
      <c r="G3527" s="66">
        <v>211.1847207</v>
      </c>
      <c r="H3527" s="8">
        <v>7.082</v>
      </c>
      <c r="J3527" s="26"/>
      <c r="K3527"/>
    </row>
    <row r="3528" spans="1:11">
      <c r="A3528">
        <v>25</v>
      </c>
      <c r="B3528" s="64">
        <v>40872</v>
      </c>
      <c r="C3528" s="2">
        <v>1116211.39</v>
      </c>
      <c r="D3528">
        <v>1</v>
      </c>
      <c r="E3528" s="65">
        <v>43.49</v>
      </c>
      <c r="F3528" s="8">
        <v>3.492</v>
      </c>
      <c r="G3528" s="66">
        <v>211.4120757</v>
      </c>
      <c r="H3528" s="8">
        <v>7.082</v>
      </c>
      <c r="J3528" s="26"/>
      <c r="K3528"/>
    </row>
    <row r="3529" spans="1:11">
      <c r="A3529">
        <v>25</v>
      </c>
      <c r="B3529" s="64">
        <v>40879</v>
      </c>
      <c r="C3529" s="2">
        <v>878314.57</v>
      </c>
      <c r="D3529">
        <v>0</v>
      </c>
      <c r="E3529" s="65">
        <v>42.85</v>
      </c>
      <c r="F3529" s="8">
        <v>3.452</v>
      </c>
      <c r="G3529" s="66">
        <v>211.6394306</v>
      </c>
      <c r="H3529" s="8">
        <v>7.082</v>
      </c>
      <c r="J3529" s="26"/>
      <c r="K3529"/>
    </row>
    <row r="3530" spans="1:11">
      <c r="A3530">
        <v>25</v>
      </c>
      <c r="B3530" s="64">
        <v>40886</v>
      </c>
      <c r="C3530" s="2">
        <v>916446.02</v>
      </c>
      <c r="D3530">
        <v>0</v>
      </c>
      <c r="E3530" s="65">
        <v>38.69</v>
      </c>
      <c r="F3530" s="8">
        <v>3.415</v>
      </c>
      <c r="G3530" s="66">
        <v>211.8667856</v>
      </c>
      <c r="H3530" s="8">
        <v>7.082</v>
      </c>
      <c r="J3530" s="26"/>
      <c r="K3530"/>
    </row>
    <row r="3531" spans="1:11">
      <c r="A3531">
        <v>25</v>
      </c>
      <c r="B3531" s="64">
        <v>40893</v>
      </c>
      <c r="C3531" s="2">
        <v>997502.47</v>
      </c>
      <c r="D3531">
        <v>0</v>
      </c>
      <c r="E3531" s="65">
        <v>33.09</v>
      </c>
      <c r="F3531" s="8">
        <v>3.413</v>
      </c>
      <c r="G3531" s="66">
        <v>212.0685039</v>
      </c>
      <c r="H3531" s="8">
        <v>7.082</v>
      </c>
      <c r="J3531" s="26"/>
      <c r="K3531"/>
    </row>
    <row r="3532" spans="1:11">
      <c r="A3532">
        <v>25</v>
      </c>
      <c r="B3532" s="64">
        <v>40900</v>
      </c>
      <c r="C3532" s="2">
        <v>1290532.97</v>
      </c>
      <c r="D3532">
        <v>0</v>
      </c>
      <c r="E3532" s="65">
        <v>36.56</v>
      </c>
      <c r="F3532" s="8">
        <v>3.389</v>
      </c>
      <c r="G3532" s="66">
        <v>212.2360401</v>
      </c>
      <c r="H3532" s="8">
        <v>7.082</v>
      </c>
      <c r="J3532" s="26"/>
      <c r="K3532"/>
    </row>
    <row r="3533" spans="1:11">
      <c r="A3533">
        <v>25</v>
      </c>
      <c r="B3533" s="64">
        <v>40907</v>
      </c>
      <c r="C3533" s="2">
        <v>683665.37</v>
      </c>
      <c r="D3533">
        <v>1</v>
      </c>
      <c r="E3533" s="65">
        <v>32.42</v>
      </c>
      <c r="F3533" s="8">
        <v>3.389</v>
      </c>
      <c r="G3533" s="66">
        <v>212.4035763</v>
      </c>
      <c r="H3533" s="8">
        <v>7.082</v>
      </c>
      <c r="J3533" s="26"/>
      <c r="K3533"/>
    </row>
    <row r="3534" spans="1:11">
      <c r="A3534">
        <v>25</v>
      </c>
      <c r="B3534" s="64">
        <v>40914</v>
      </c>
      <c r="C3534" s="2">
        <v>636419.12</v>
      </c>
      <c r="D3534">
        <v>0</v>
      </c>
      <c r="E3534" s="65">
        <v>30.23</v>
      </c>
      <c r="F3534" s="8">
        <v>3.422</v>
      </c>
      <c r="G3534" s="66">
        <v>212.5711125</v>
      </c>
      <c r="H3534" s="8">
        <v>6.961</v>
      </c>
      <c r="J3534" s="26"/>
      <c r="K3534"/>
    </row>
    <row r="3535" spans="1:11">
      <c r="A3535">
        <v>25</v>
      </c>
      <c r="B3535" s="64">
        <v>40921</v>
      </c>
      <c r="C3535" s="2">
        <v>614764.31</v>
      </c>
      <c r="D3535">
        <v>0</v>
      </c>
      <c r="E3535" s="65">
        <v>34.6</v>
      </c>
      <c r="F3535" s="8">
        <v>3.513</v>
      </c>
      <c r="G3535" s="66">
        <v>212.7386486</v>
      </c>
      <c r="H3535" s="8">
        <v>6.961</v>
      </c>
      <c r="J3535" s="26"/>
      <c r="K3535"/>
    </row>
    <row r="3536" spans="1:11">
      <c r="A3536">
        <v>25</v>
      </c>
      <c r="B3536" s="64">
        <v>40928</v>
      </c>
      <c r="C3536" s="2">
        <v>594744.89</v>
      </c>
      <c r="D3536">
        <v>0</v>
      </c>
      <c r="E3536" s="65">
        <v>23.87</v>
      </c>
      <c r="F3536" s="8">
        <v>3.533</v>
      </c>
      <c r="G3536" s="66">
        <v>212.8336399</v>
      </c>
      <c r="H3536" s="8">
        <v>6.961</v>
      </c>
      <c r="J3536" s="26"/>
      <c r="K3536"/>
    </row>
    <row r="3537" spans="1:11">
      <c r="A3537">
        <v>25</v>
      </c>
      <c r="B3537" s="64">
        <v>40935</v>
      </c>
      <c r="C3537" s="2">
        <v>589554.29</v>
      </c>
      <c r="D3537">
        <v>0</v>
      </c>
      <c r="E3537" s="65">
        <v>32.24</v>
      </c>
      <c r="F3537" s="8">
        <v>3.567</v>
      </c>
      <c r="G3537" s="66">
        <v>212.9286312</v>
      </c>
      <c r="H3537" s="8">
        <v>6.961</v>
      </c>
      <c r="J3537" s="26"/>
      <c r="K3537"/>
    </row>
    <row r="3538" spans="1:11">
      <c r="A3538">
        <v>25</v>
      </c>
      <c r="B3538" s="64">
        <v>40942</v>
      </c>
      <c r="C3538" s="2">
        <v>642776.4</v>
      </c>
      <c r="D3538">
        <v>0</v>
      </c>
      <c r="E3538" s="65">
        <v>34.98</v>
      </c>
      <c r="F3538" s="8">
        <v>3.617</v>
      </c>
      <c r="G3538" s="66">
        <v>213.0236225</v>
      </c>
      <c r="H3538" s="8">
        <v>6.961</v>
      </c>
      <c r="J3538" s="26"/>
      <c r="K3538"/>
    </row>
    <row r="3539" spans="1:11">
      <c r="A3539">
        <v>25</v>
      </c>
      <c r="B3539" s="64">
        <v>40949</v>
      </c>
      <c r="C3539" s="2">
        <v>658984.38</v>
      </c>
      <c r="D3539">
        <v>1</v>
      </c>
      <c r="E3539" s="65">
        <v>32.47</v>
      </c>
      <c r="F3539" s="8">
        <v>3.64</v>
      </c>
      <c r="G3539" s="66">
        <v>213.1186138</v>
      </c>
      <c r="H3539" s="8">
        <v>6.961</v>
      </c>
      <c r="J3539" s="26"/>
      <c r="K3539"/>
    </row>
    <row r="3540" spans="1:11">
      <c r="A3540">
        <v>25</v>
      </c>
      <c r="B3540" s="64">
        <v>40956</v>
      </c>
      <c r="C3540" s="2">
        <v>654088.02</v>
      </c>
      <c r="D3540">
        <v>0</v>
      </c>
      <c r="E3540" s="65">
        <v>32.23</v>
      </c>
      <c r="F3540" s="8">
        <v>3.695</v>
      </c>
      <c r="G3540" s="66">
        <v>213.2732106</v>
      </c>
      <c r="H3540" s="8">
        <v>6.961</v>
      </c>
      <c r="J3540" s="26"/>
      <c r="K3540"/>
    </row>
    <row r="3541" spans="1:11">
      <c r="A3541">
        <v>25</v>
      </c>
      <c r="B3541" s="64">
        <v>40963</v>
      </c>
      <c r="C3541" s="2">
        <v>613501.05</v>
      </c>
      <c r="D3541">
        <v>0</v>
      </c>
      <c r="E3541" s="65">
        <v>35.51</v>
      </c>
      <c r="F3541" s="8">
        <v>3.739</v>
      </c>
      <c r="G3541" s="66">
        <v>213.4725116</v>
      </c>
      <c r="H3541" s="8">
        <v>6.961</v>
      </c>
      <c r="J3541" s="26"/>
      <c r="K3541"/>
    </row>
    <row r="3542" spans="1:11">
      <c r="A3542">
        <v>25</v>
      </c>
      <c r="B3542" s="64">
        <v>40970</v>
      </c>
      <c r="C3542" s="2">
        <v>643155.89</v>
      </c>
      <c r="D3542">
        <v>0</v>
      </c>
      <c r="E3542" s="65">
        <v>36.01</v>
      </c>
      <c r="F3542" s="8">
        <v>3.816</v>
      </c>
      <c r="G3542" s="66">
        <v>213.6718127</v>
      </c>
      <c r="H3542" s="8">
        <v>6.961</v>
      </c>
      <c r="J3542" s="26"/>
      <c r="K3542"/>
    </row>
    <row r="3543" spans="1:11">
      <c r="A3543">
        <v>25</v>
      </c>
      <c r="B3543" s="64">
        <v>40977</v>
      </c>
      <c r="C3543" s="2">
        <v>643711.53</v>
      </c>
      <c r="D3543">
        <v>0</v>
      </c>
      <c r="E3543" s="65">
        <v>37.44</v>
      </c>
      <c r="F3543" s="8">
        <v>3.848</v>
      </c>
      <c r="G3543" s="66">
        <v>213.8711137</v>
      </c>
      <c r="H3543" s="8">
        <v>6.961</v>
      </c>
      <c r="J3543" s="26"/>
      <c r="K3543"/>
    </row>
    <row r="3544" spans="1:11">
      <c r="A3544">
        <v>25</v>
      </c>
      <c r="B3544" s="64">
        <v>40984</v>
      </c>
      <c r="C3544" s="2">
        <v>638204.27</v>
      </c>
      <c r="D3544">
        <v>0</v>
      </c>
      <c r="E3544" s="65">
        <v>50.64</v>
      </c>
      <c r="F3544" s="8">
        <v>3.862</v>
      </c>
      <c r="G3544" s="66">
        <v>214.0167132</v>
      </c>
      <c r="H3544" s="8">
        <v>6.961</v>
      </c>
      <c r="J3544" s="26"/>
      <c r="K3544"/>
    </row>
    <row r="3545" spans="1:11">
      <c r="A3545">
        <v>25</v>
      </c>
      <c r="B3545" s="64">
        <v>40991</v>
      </c>
      <c r="C3545" s="2">
        <v>672831.78</v>
      </c>
      <c r="D3545">
        <v>0</v>
      </c>
      <c r="E3545" s="65">
        <v>62.7</v>
      </c>
      <c r="F3545" s="8">
        <v>3.9</v>
      </c>
      <c r="G3545" s="66">
        <v>214.0907105</v>
      </c>
      <c r="H3545" s="8">
        <v>6.961</v>
      </c>
      <c r="J3545" s="26"/>
      <c r="K3545"/>
    </row>
    <row r="3546" spans="1:11">
      <c r="A3546">
        <v>25</v>
      </c>
      <c r="B3546" s="64">
        <v>40998</v>
      </c>
      <c r="C3546" s="2">
        <v>684348.92</v>
      </c>
      <c r="D3546">
        <v>0</v>
      </c>
      <c r="E3546" s="65">
        <v>47.92</v>
      </c>
      <c r="F3546" s="8">
        <v>3.953</v>
      </c>
      <c r="G3546" s="66">
        <v>214.1647079</v>
      </c>
      <c r="H3546" s="8">
        <v>6.961</v>
      </c>
      <c r="J3546" s="26"/>
      <c r="K3546"/>
    </row>
    <row r="3547" spans="1:11">
      <c r="A3547">
        <v>25</v>
      </c>
      <c r="B3547" s="64">
        <v>41005</v>
      </c>
      <c r="C3547" s="2">
        <v>791356.9</v>
      </c>
      <c r="D3547">
        <v>0</v>
      </c>
      <c r="E3547" s="65">
        <v>44.73</v>
      </c>
      <c r="F3547" s="8">
        <v>3.996</v>
      </c>
      <c r="G3547" s="66">
        <v>214.2387053</v>
      </c>
      <c r="H3547" s="8">
        <v>7.139</v>
      </c>
      <c r="J3547" s="26"/>
      <c r="K3547"/>
    </row>
    <row r="3548" spans="1:11">
      <c r="A3548">
        <v>25</v>
      </c>
      <c r="B3548" s="64">
        <v>41012</v>
      </c>
      <c r="C3548" s="2">
        <v>658691.56</v>
      </c>
      <c r="D3548">
        <v>0</v>
      </c>
      <c r="E3548" s="65">
        <v>42.46</v>
      </c>
      <c r="F3548" s="8">
        <v>4.044</v>
      </c>
      <c r="G3548" s="66">
        <v>214.3127027</v>
      </c>
      <c r="H3548" s="8">
        <v>7.139</v>
      </c>
      <c r="J3548" s="26"/>
      <c r="K3548"/>
    </row>
    <row r="3549" spans="1:11">
      <c r="A3549">
        <v>25</v>
      </c>
      <c r="B3549" s="64">
        <v>41019</v>
      </c>
      <c r="C3549" s="2">
        <v>661566.48</v>
      </c>
      <c r="D3549">
        <v>0</v>
      </c>
      <c r="E3549" s="65">
        <v>57.1</v>
      </c>
      <c r="F3549" s="8">
        <v>4.027</v>
      </c>
      <c r="G3549" s="66">
        <v>214.3675045</v>
      </c>
      <c r="H3549" s="8">
        <v>7.139</v>
      </c>
      <c r="J3549" s="26"/>
      <c r="K3549"/>
    </row>
    <row r="3550" spans="1:11">
      <c r="A3550">
        <v>25</v>
      </c>
      <c r="B3550" s="64">
        <v>41026</v>
      </c>
      <c r="C3550" s="2">
        <v>655157.32</v>
      </c>
      <c r="D3550">
        <v>0</v>
      </c>
      <c r="E3550" s="65">
        <v>44.2</v>
      </c>
      <c r="F3550" s="8">
        <v>4.004</v>
      </c>
      <c r="G3550" s="66">
        <v>214.4223063</v>
      </c>
      <c r="H3550" s="8">
        <v>7.139</v>
      </c>
      <c r="J3550" s="26"/>
      <c r="K3550"/>
    </row>
    <row r="3551" spans="1:11">
      <c r="A3551">
        <v>25</v>
      </c>
      <c r="B3551" s="64">
        <v>41033</v>
      </c>
      <c r="C3551" s="2">
        <v>696421.72</v>
      </c>
      <c r="D3551">
        <v>0</v>
      </c>
      <c r="E3551" s="65">
        <v>58.76</v>
      </c>
      <c r="F3551" s="8">
        <v>3.951</v>
      </c>
      <c r="G3551" s="66">
        <v>214.4771081</v>
      </c>
      <c r="H3551" s="8">
        <v>7.139</v>
      </c>
      <c r="J3551" s="26"/>
      <c r="K3551"/>
    </row>
    <row r="3552" spans="1:11">
      <c r="A3552">
        <v>25</v>
      </c>
      <c r="B3552" s="64">
        <v>41040</v>
      </c>
      <c r="C3552" s="2">
        <v>739866.16</v>
      </c>
      <c r="D3552">
        <v>0</v>
      </c>
      <c r="E3552" s="65">
        <v>59.21</v>
      </c>
      <c r="F3552" s="8">
        <v>3.889</v>
      </c>
      <c r="G3552" s="66">
        <v>214.5319099</v>
      </c>
      <c r="H3552" s="8">
        <v>7.139</v>
      </c>
      <c r="J3552" s="26"/>
      <c r="K3552"/>
    </row>
    <row r="3553" spans="1:11">
      <c r="A3553">
        <v>25</v>
      </c>
      <c r="B3553" s="64">
        <v>41047</v>
      </c>
      <c r="C3553" s="2">
        <v>717207.19</v>
      </c>
      <c r="D3553">
        <v>0</v>
      </c>
      <c r="E3553" s="65">
        <v>58.21</v>
      </c>
      <c r="F3553" s="8">
        <v>3.848</v>
      </c>
      <c r="G3553" s="66">
        <v>214.5485571</v>
      </c>
      <c r="H3553" s="8">
        <v>7.139</v>
      </c>
      <c r="J3553" s="26"/>
      <c r="K3553"/>
    </row>
    <row r="3554" spans="1:11">
      <c r="A3554">
        <v>25</v>
      </c>
      <c r="B3554" s="64">
        <v>41054</v>
      </c>
      <c r="C3554" s="2">
        <v>783371.02</v>
      </c>
      <c r="D3554">
        <v>0</v>
      </c>
      <c r="E3554" s="65">
        <v>67.69</v>
      </c>
      <c r="F3554" s="8">
        <v>3.798</v>
      </c>
      <c r="G3554" s="66">
        <v>214.5499425</v>
      </c>
      <c r="H3554" s="8">
        <v>7.139</v>
      </c>
      <c r="J3554" s="26"/>
      <c r="K3554"/>
    </row>
    <row r="3555" spans="1:11">
      <c r="A3555">
        <v>25</v>
      </c>
      <c r="B3555" s="64">
        <v>41061</v>
      </c>
      <c r="C3555" s="2">
        <v>694765.95</v>
      </c>
      <c r="D3555">
        <v>0</v>
      </c>
      <c r="E3555" s="65">
        <v>69.54</v>
      </c>
      <c r="F3555" s="8">
        <v>3.742</v>
      </c>
      <c r="G3555" s="66">
        <v>214.5513278</v>
      </c>
      <c r="H3555" s="8">
        <v>7.139</v>
      </c>
      <c r="J3555" s="26"/>
      <c r="K3555"/>
    </row>
    <row r="3556" spans="1:11">
      <c r="A3556">
        <v>25</v>
      </c>
      <c r="B3556" s="64">
        <v>41068</v>
      </c>
      <c r="C3556" s="2">
        <v>730254.19</v>
      </c>
      <c r="D3556">
        <v>0</v>
      </c>
      <c r="E3556" s="65">
        <v>58.48</v>
      </c>
      <c r="F3556" s="8">
        <v>3.689</v>
      </c>
      <c r="G3556" s="66">
        <v>214.5527132</v>
      </c>
      <c r="H3556" s="8">
        <v>7.139</v>
      </c>
      <c r="J3556" s="26"/>
      <c r="K3556"/>
    </row>
    <row r="3557" spans="1:11">
      <c r="A3557">
        <v>25</v>
      </c>
      <c r="B3557" s="64">
        <v>41075</v>
      </c>
      <c r="C3557" s="2">
        <v>753860.89</v>
      </c>
      <c r="D3557">
        <v>0</v>
      </c>
      <c r="E3557" s="65">
        <v>68.34</v>
      </c>
      <c r="F3557" s="8">
        <v>3.62</v>
      </c>
      <c r="G3557" s="66">
        <v>214.5653243</v>
      </c>
      <c r="H3557" s="8">
        <v>7.139</v>
      </c>
      <c r="J3557" s="26"/>
      <c r="K3557"/>
    </row>
    <row r="3558" spans="1:11">
      <c r="A3558">
        <v>25</v>
      </c>
      <c r="B3558" s="64">
        <v>41082</v>
      </c>
      <c r="C3558" s="2">
        <v>721601.9</v>
      </c>
      <c r="D3558">
        <v>0</v>
      </c>
      <c r="E3558" s="65">
        <v>73.52</v>
      </c>
      <c r="F3558" s="8">
        <v>3.564</v>
      </c>
      <c r="G3558" s="66">
        <v>214.606</v>
      </c>
      <c r="H3558" s="8">
        <v>7.139</v>
      </c>
      <c r="J3558" s="26"/>
      <c r="K3558"/>
    </row>
    <row r="3559" spans="1:11">
      <c r="A3559">
        <v>25</v>
      </c>
      <c r="B3559" s="64">
        <v>41089</v>
      </c>
      <c r="C3559" s="2">
        <v>718890.81</v>
      </c>
      <c r="D3559">
        <v>0</v>
      </c>
      <c r="E3559" s="65">
        <v>69.84</v>
      </c>
      <c r="F3559" s="8">
        <v>3.506</v>
      </c>
      <c r="G3559" s="66">
        <v>214.6466757</v>
      </c>
      <c r="H3559" s="8">
        <v>7.139</v>
      </c>
      <c r="J3559" s="26"/>
      <c r="K3559"/>
    </row>
    <row r="3560" spans="1:11">
      <c r="A3560">
        <v>25</v>
      </c>
      <c r="B3560" s="64">
        <v>41096</v>
      </c>
      <c r="C3560" s="2">
        <v>753385.55</v>
      </c>
      <c r="D3560">
        <v>0</v>
      </c>
      <c r="E3560" s="65">
        <v>75.52</v>
      </c>
      <c r="F3560" s="8">
        <v>3.475</v>
      </c>
      <c r="G3560" s="66">
        <v>214.6873514</v>
      </c>
      <c r="H3560" s="8">
        <v>7.28</v>
      </c>
      <c r="J3560" s="26"/>
      <c r="K3560"/>
    </row>
    <row r="3561" spans="1:11">
      <c r="A3561">
        <v>25</v>
      </c>
      <c r="B3561" s="64">
        <v>41103</v>
      </c>
      <c r="C3561" s="2">
        <v>714093.95</v>
      </c>
      <c r="D3561">
        <v>0</v>
      </c>
      <c r="E3561" s="65">
        <v>73.87</v>
      </c>
      <c r="F3561" s="8">
        <v>3.523</v>
      </c>
      <c r="G3561" s="66">
        <v>214.728027</v>
      </c>
      <c r="H3561" s="8">
        <v>7.28</v>
      </c>
      <c r="J3561" s="26"/>
      <c r="K3561"/>
    </row>
    <row r="3562" spans="1:11">
      <c r="A3562">
        <v>25</v>
      </c>
      <c r="B3562" s="64">
        <v>41110</v>
      </c>
      <c r="C3562" s="2">
        <v>685676.58</v>
      </c>
      <c r="D3562">
        <v>0</v>
      </c>
      <c r="E3562" s="65">
        <v>74.32</v>
      </c>
      <c r="F3562" s="8">
        <v>3.567</v>
      </c>
      <c r="G3562" s="66">
        <v>214.7331351</v>
      </c>
      <c r="H3562" s="8">
        <v>7.28</v>
      </c>
      <c r="J3562" s="26"/>
      <c r="K3562"/>
    </row>
    <row r="3563" spans="1:11">
      <c r="A3563">
        <v>25</v>
      </c>
      <c r="B3563" s="64">
        <v>41117</v>
      </c>
      <c r="C3563" s="2">
        <v>659109.53</v>
      </c>
      <c r="D3563">
        <v>0</v>
      </c>
      <c r="E3563" s="65">
        <v>72.98</v>
      </c>
      <c r="F3563" s="8">
        <v>3.647</v>
      </c>
      <c r="G3563" s="66">
        <v>214.7382432</v>
      </c>
      <c r="H3563" s="8">
        <v>7.28</v>
      </c>
      <c r="J3563" s="26"/>
      <c r="K3563"/>
    </row>
    <row r="3564" spans="1:11">
      <c r="A3564">
        <v>25</v>
      </c>
      <c r="B3564" s="64">
        <v>41124</v>
      </c>
      <c r="C3564" s="2">
        <v>709724.6</v>
      </c>
      <c r="D3564">
        <v>0</v>
      </c>
      <c r="E3564" s="65">
        <v>72.08</v>
      </c>
      <c r="F3564" s="8">
        <v>3.654</v>
      </c>
      <c r="G3564" s="66">
        <v>214.7433514</v>
      </c>
      <c r="H3564" s="8">
        <v>7.28</v>
      </c>
      <c r="J3564" s="26"/>
      <c r="K3564"/>
    </row>
    <row r="3565" spans="1:11">
      <c r="A3565">
        <v>25</v>
      </c>
      <c r="B3565" s="64">
        <v>41131</v>
      </c>
      <c r="C3565" s="2">
        <v>710496.97</v>
      </c>
      <c r="D3565">
        <v>0</v>
      </c>
      <c r="E3565" s="65">
        <v>71.93</v>
      </c>
      <c r="F3565" s="8">
        <v>3.722</v>
      </c>
      <c r="G3565" s="66">
        <v>214.7484595</v>
      </c>
      <c r="H3565" s="8">
        <v>7.28</v>
      </c>
      <c r="J3565" s="26"/>
      <c r="K3565"/>
    </row>
    <row r="3566" spans="1:11">
      <c r="A3566">
        <v>25</v>
      </c>
      <c r="B3566" s="64">
        <v>41138</v>
      </c>
      <c r="C3566" s="2">
        <v>728467.72</v>
      </c>
      <c r="D3566">
        <v>0</v>
      </c>
      <c r="E3566" s="65">
        <v>66.99</v>
      </c>
      <c r="F3566" s="8">
        <v>3.807</v>
      </c>
      <c r="G3566" s="66">
        <v>214.825578</v>
      </c>
      <c r="H3566" s="8">
        <v>7.28</v>
      </c>
      <c r="J3566" s="26"/>
      <c r="K3566"/>
    </row>
    <row r="3567" spans="1:11">
      <c r="A3567">
        <v>25</v>
      </c>
      <c r="B3567" s="64">
        <v>41145</v>
      </c>
      <c r="C3567" s="2">
        <v>756527.64</v>
      </c>
      <c r="D3567">
        <v>0</v>
      </c>
      <c r="E3567" s="65">
        <v>64.53</v>
      </c>
      <c r="F3567" s="8">
        <v>3.834</v>
      </c>
      <c r="G3567" s="66">
        <v>214.9567044</v>
      </c>
      <c r="H3567" s="8">
        <v>7.28</v>
      </c>
      <c r="J3567" s="26"/>
      <c r="K3567"/>
    </row>
    <row r="3568" spans="1:11">
      <c r="A3568">
        <v>25</v>
      </c>
      <c r="B3568" s="64">
        <v>41152</v>
      </c>
      <c r="C3568" s="2">
        <v>714828.73</v>
      </c>
      <c r="D3568">
        <v>0</v>
      </c>
      <c r="E3568" s="65">
        <v>68.55</v>
      </c>
      <c r="F3568" s="8">
        <v>3.867</v>
      </c>
      <c r="G3568" s="66">
        <v>215.0878309</v>
      </c>
      <c r="H3568" s="8">
        <v>7.28</v>
      </c>
      <c r="J3568" s="26"/>
      <c r="K3568"/>
    </row>
    <row r="3569" spans="1:11">
      <c r="A3569">
        <v>25</v>
      </c>
      <c r="B3569" s="64">
        <v>41159</v>
      </c>
      <c r="C3569" s="2">
        <v>671482.9</v>
      </c>
      <c r="D3569">
        <v>1</v>
      </c>
      <c r="E3569" s="65">
        <v>72.79</v>
      </c>
      <c r="F3569" s="8">
        <v>3.911</v>
      </c>
      <c r="G3569" s="66">
        <v>215.2189573</v>
      </c>
      <c r="H3569" s="8">
        <v>7.28</v>
      </c>
      <c r="J3569" s="26"/>
      <c r="K3569"/>
    </row>
    <row r="3570" spans="1:11">
      <c r="A3570">
        <v>25</v>
      </c>
      <c r="B3570" s="64">
        <v>41166</v>
      </c>
      <c r="C3570" s="2">
        <v>657241.63</v>
      </c>
      <c r="D3570">
        <v>0</v>
      </c>
      <c r="E3570" s="65">
        <v>60.9</v>
      </c>
      <c r="F3570" s="8">
        <v>3.948</v>
      </c>
      <c r="G3570" s="66">
        <v>215.3583757</v>
      </c>
      <c r="H3570" s="8">
        <v>7.28</v>
      </c>
      <c r="J3570" s="26"/>
      <c r="K3570"/>
    </row>
    <row r="3571" spans="1:11">
      <c r="A3571">
        <v>25</v>
      </c>
      <c r="B3571" s="64">
        <v>41173</v>
      </c>
      <c r="C3571" s="2">
        <v>664745.2</v>
      </c>
      <c r="D3571">
        <v>0</v>
      </c>
      <c r="E3571" s="65">
        <v>57.6</v>
      </c>
      <c r="F3571" s="8">
        <v>4.038</v>
      </c>
      <c r="G3571" s="66">
        <v>215.5475459</v>
      </c>
      <c r="H3571" s="8">
        <v>7.28</v>
      </c>
      <c r="J3571" s="26"/>
      <c r="K3571"/>
    </row>
    <row r="3572" spans="1:11">
      <c r="A3572">
        <v>25</v>
      </c>
      <c r="B3572" s="64">
        <v>41180</v>
      </c>
      <c r="C3572" s="2">
        <v>683300.84</v>
      </c>
      <c r="D3572">
        <v>0</v>
      </c>
      <c r="E3572" s="65">
        <v>54.52</v>
      </c>
      <c r="F3572" s="8">
        <v>3.997</v>
      </c>
      <c r="G3572" s="66">
        <v>215.7367162</v>
      </c>
      <c r="H3572" s="8">
        <v>7.28</v>
      </c>
      <c r="J3572" s="26"/>
      <c r="K3572"/>
    </row>
    <row r="3573" spans="1:11">
      <c r="A3573">
        <v>25</v>
      </c>
      <c r="B3573" s="64">
        <v>41187</v>
      </c>
      <c r="C3573" s="2">
        <v>699536.73</v>
      </c>
      <c r="D3573">
        <v>0</v>
      </c>
      <c r="E3573" s="65">
        <v>57.58</v>
      </c>
      <c r="F3573" s="8">
        <v>3.985</v>
      </c>
      <c r="G3573" s="66">
        <v>215.9258865</v>
      </c>
      <c r="H3573" s="8">
        <v>7.293</v>
      </c>
      <c r="J3573" s="26"/>
      <c r="K3573"/>
    </row>
    <row r="3574" spans="1:11">
      <c r="A3574">
        <v>25</v>
      </c>
      <c r="B3574" s="64">
        <v>41194</v>
      </c>
      <c r="C3574" s="2">
        <v>697317.41</v>
      </c>
      <c r="D3574">
        <v>0</v>
      </c>
      <c r="E3574" s="65">
        <v>43.74</v>
      </c>
      <c r="F3574" s="8">
        <v>4</v>
      </c>
      <c r="G3574" s="66">
        <v>216.1150568</v>
      </c>
      <c r="H3574" s="8">
        <v>7.293</v>
      </c>
      <c r="J3574" s="26"/>
      <c r="K3574"/>
    </row>
    <row r="3575" spans="1:11">
      <c r="A3575">
        <v>25</v>
      </c>
      <c r="B3575" s="64">
        <v>41201</v>
      </c>
      <c r="C3575" s="2">
        <v>685531.85</v>
      </c>
      <c r="D3575">
        <v>0</v>
      </c>
      <c r="E3575" s="65">
        <v>51.93</v>
      </c>
      <c r="F3575" s="8">
        <v>3.969</v>
      </c>
      <c r="G3575" s="66">
        <v>216.1464699</v>
      </c>
      <c r="H3575" s="8">
        <v>7.293</v>
      </c>
      <c r="J3575" s="26"/>
      <c r="K3575"/>
    </row>
    <row r="3576" spans="1:11">
      <c r="A3576">
        <v>25</v>
      </c>
      <c r="B3576" s="64">
        <v>41208</v>
      </c>
      <c r="C3576" s="2">
        <v>688940.94</v>
      </c>
      <c r="D3576">
        <v>0</v>
      </c>
      <c r="E3576" s="65">
        <v>56.69</v>
      </c>
      <c r="F3576" s="8">
        <v>3.882</v>
      </c>
      <c r="G3576" s="66">
        <v>216.1515902</v>
      </c>
      <c r="H3576" s="8">
        <v>7.293</v>
      </c>
      <c r="J3576" s="26"/>
      <c r="K3576"/>
    </row>
    <row r="3577" spans="1:11">
      <c r="A3577">
        <v>26</v>
      </c>
      <c r="B3577" s="64">
        <v>40214</v>
      </c>
      <c r="C3577" s="2">
        <v>1034119.21</v>
      </c>
      <c r="D3577">
        <v>0</v>
      </c>
      <c r="E3577" s="65">
        <v>9.55</v>
      </c>
      <c r="F3577" s="8">
        <v>2.788</v>
      </c>
      <c r="G3577" s="66">
        <v>131.5279032</v>
      </c>
      <c r="H3577" s="8">
        <v>8.488</v>
      </c>
      <c r="J3577" s="26"/>
      <c r="K3577"/>
    </row>
    <row r="3578" spans="1:11">
      <c r="A3578">
        <v>26</v>
      </c>
      <c r="B3578" s="64">
        <v>40221</v>
      </c>
      <c r="C3578" s="2">
        <v>1015684.09</v>
      </c>
      <c r="D3578">
        <v>1</v>
      </c>
      <c r="E3578" s="65">
        <v>18.14</v>
      </c>
      <c r="F3578" s="8">
        <v>2.771</v>
      </c>
      <c r="G3578" s="66">
        <v>131.5866129</v>
      </c>
      <c r="H3578" s="8">
        <v>8.488</v>
      </c>
      <c r="J3578" s="26"/>
      <c r="K3578"/>
    </row>
    <row r="3579" spans="1:11">
      <c r="A3579">
        <v>26</v>
      </c>
      <c r="B3579" s="64">
        <v>40228</v>
      </c>
      <c r="C3579" s="2">
        <v>999348.55</v>
      </c>
      <c r="D3579">
        <v>0</v>
      </c>
      <c r="E3579" s="65">
        <v>22.62</v>
      </c>
      <c r="F3579" s="8">
        <v>2.747</v>
      </c>
      <c r="G3579" s="66">
        <v>131.637</v>
      </c>
      <c r="H3579" s="8">
        <v>8.488</v>
      </c>
      <c r="J3579" s="26"/>
      <c r="K3579"/>
    </row>
    <row r="3580" spans="1:11">
      <c r="A3580">
        <v>26</v>
      </c>
      <c r="B3580" s="64">
        <v>40235</v>
      </c>
      <c r="C3580" s="2">
        <v>855385.01</v>
      </c>
      <c r="D3580">
        <v>0</v>
      </c>
      <c r="E3580" s="65">
        <v>27.32</v>
      </c>
      <c r="F3580" s="8">
        <v>2.753</v>
      </c>
      <c r="G3580" s="66">
        <v>131.686</v>
      </c>
      <c r="H3580" s="8">
        <v>8.488</v>
      </c>
      <c r="J3580" s="26"/>
      <c r="K3580"/>
    </row>
    <row r="3581" spans="1:11">
      <c r="A3581">
        <v>26</v>
      </c>
      <c r="B3581" s="64">
        <v>40242</v>
      </c>
      <c r="C3581" s="2">
        <v>1005669.58</v>
      </c>
      <c r="D3581">
        <v>0</v>
      </c>
      <c r="E3581" s="65">
        <v>28.6</v>
      </c>
      <c r="F3581" s="8">
        <v>2.766</v>
      </c>
      <c r="G3581" s="66">
        <v>131.735</v>
      </c>
      <c r="H3581" s="8">
        <v>8.488</v>
      </c>
      <c r="J3581" s="26"/>
      <c r="K3581"/>
    </row>
    <row r="3582" spans="1:11">
      <c r="A3582">
        <v>26</v>
      </c>
      <c r="B3582" s="64">
        <v>40249</v>
      </c>
      <c r="C3582" s="2">
        <v>963382.09</v>
      </c>
      <c r="D3582">
        <v>0</v>
      </c>
      <c r="E3582" s="65">
        <v>31.1</v>
      </c>
      <c r="F3582" s="8">
        <v>2.805</v>
      </c>
      <c r="G3582" s="66">
        <v>131.784</v>
      </c>
      <c r="H3582" s="8">
        <v>8.488</v>
      </c>
      <c r="J3582" s="26"/>
      <c r="K3582"/>
    </row>
    <row r="3583" spans="1:11">
      <c r="A3583">
        <v>26</v>
      </c>
      <c r="B3583" s="64">
        <v>40256</v>
      </c>
      <c r="C3583" s="2">
        <v>903366.55</v>
      </c>
      <c r="D3583">
        <v>0</v>
      </c>
      <c r="E3583" s="65">
        <v>35.34</v>
      </c>
      <c r="F3583" s="8">
        <v>2.834</v>
      </c>
      <c r="G3583" s="66">
        <v>131.8242903</v>
      </c>
      <c r="H3583" s="8">
        <v>8.488</v>
      </c>
      <c r="J3583" s="26"/>
      <c r="K3583"/>
    </row>
    <row r="3584" spans="1:11">
      <c r="A3584">
        <v>26</v>
      </c>
      <c r="B3584" s="64">
        <v>40263</v>
      </c>
      <c r="C3584" s="2">
        <v>893613</v>
      </c>
      <c r="D3584">
        <v>0</v>
      </c>
      <c r="E3584" s="65">
        <v>35.26</v>
      </c>
      <c r="F3584" s="8">
        <v>2.831</v>
      </c>
      <c r="G3584" s="66">
        <v>131.863129</v>
      </c>
      <c r="H3584" s="8">
        <v>8.488</v>
      </c>
      <c r="J3584" s="26"/>
      <c r="K3584"/>
    </row>
    <row r="3585" spans="1:11">
      <c r="A3585">
        <v>26</v>
      </c>
      <c r="B3585" s="64">
        <v>40270</v>
      </c>
      <c r="C3585" s="2">
        <v>1029849.2</v>
      </c>
      <c r="D3585">
        <v>0</v>
      </c>
      <c r="E3585" s="65">
        <v>36.53</v>
      </c>
      <c r="F3585" s="8">
        <v>2.826</v>
      </c>
      <c r="G3585" s="66">
        <v>131.9019677</v>
      </c>
      <c r="H3585" s="8">
        <v>8.512</v>
      </c>
      <c r="J3585" s="26"/>
      <c r="K3585"/>
    </row>
    <row r="3586" spans="1:11">
      <c r="A3586">
        <v>26</v>
      </c>
      <c r="B3586" s="64">
        <v>40277</v>
      </c>
      <c r="C3586" s="2">
        <v>1022293.81</v>
      </c>
      <c r="D3586">
        <v>0</v>
      </c>
      <c r="E3586" s="65">
        <v>50.13</v>
      </c>
      <c r="F3586" s="8">
        <v>2.849</v>
      </c>
      <c r="G3586" s="66">
        <v>131.9408065</v>
      </c>
      <c r="H3586" s="8">
        <v>8.512</v>
      </c>
      <c r="J3586" s="26"/>
      <c r="K3586"/>
    </row>
    <row r="3587" spans="1:11">
      <c r="A3587">
        <v>26</v>
      </c>
      <c r="B3587" s="64">
        <v>40284</v>
      </c>
      <c r="C3587" s="2">
        <v>905548.38</v>
      </c>
      <c r="D3587">
        <v>0</v>
      </c>
      <c r="E3587" s="65">
        <v>36.6</v>
      </c>
      <c r="F3587" s="8">
        <v>2.885</v>
      </c>
      <c r="G3587" s="66">
        <v>131.9809</v>
      </c>
      <c r="H3587" s="8">
        <v>8.512</v>
      </c>
      <c r="J3587" s="26"/>
      <c r="K3587"/>
    </row>
    <row r="3588" spans="1:11">
      <c r="A3588">
        <v>26</v>
      </c>
      <c r="B3588" s="64">
        <v>40291</v>
      </c>
      <c r="C3588" s="2">
        <v>881930.87</v>
      </c>
      <c r="D3588">
        <v>0</v>
      </c>
      <c r="E3588" s="65">
        <v>39.68</v>
      </c>
      <c r="F3588" s="8">
        <v>2.895</v>
      </c>
      <c r="G3588" s="66">
        <v>132.0226667</v>
      </c>
      <c r="H3588" s="8">
        <v>8.512</v>
      </c>
      <c r="J3588" s="26"/>
      <c r="K3588"/>
    </row>
    <row r="3589" spans="1:11">
      <c r="A3589">
        <v>26</v>
      </c>
      <c r="B3589" s="64">
        <v>40298</v>
      </c>
      <c r="C3589" s="2">
        <v>904503.85</v>
      </c>
      <c r="D3589">
        <v>0</v>
      </c>
      <c r="E3589" s="65">
        <v>40.56</v>
      </c>
      <c r="F3589" s="8">
        <v>2.935</v>
      </c>
      <c r="G3589" s="66">
        <v>132.0644333</v>
      </c>
      <c r="H3589" s="8">
        <v>8.512</v>
      </c>
      <c r="J3589" s="26"/>
      <c r="K3589"/>
    </row>
    <row r="3590" spans="1:11">
      <c r="A3590">
        <v>26</v>
      </c>
      <c r="B3590" s="64">
        <v>40305</v>
      </c>
      <c r="C3590" s="2">
        <v>1074479.73</v>
      </c>
      <c r="D3590">
        <v>0</v>
      </c>
      <c r="E3590" s="65">
        <v>54.72</v>
      </c>
      <c r="F3590" s="8">
        <v>2.981</v>
      </c>
      <c r="G3590" s="66">
        <v>132.1062</v>
      </c>
      <c r="H3590" s="8">
        <v>8.512</v>
      </c>
      <c r="J3590" s="26"/>
      <c r="K3590"/>
    </row>
    <row r="3591" spans="1:11">
      <c r="A3591">
        <v>26</v>
      </c>
      <c r="B3591" s="64">
        <v>40312</v>
      </c>
      <c r="C3591" s="2">
        <v>972663.59</v>
      </c>
      <c r="D3591">
        <v>0</v>
      </c>
      <c r="E3591" s="65">
        <v>39.08</v>
      </c>
      <c r="F3591" s="8">
        <v>2.983</v>
      </c>
      <c r="G3591" s="66">
        <v>132.152129</v>
      </c>
      <c r="H3591" s="8">
        <v>8.512</v>
      </c>
      <c r="J3591" s="26"/>
      <c r="K3591"/>
    </row>
    <row r="3592" spans="1:11">
      <c r="A3592">
        <v>26</v>
      </c>
      <c r="B3592" s="64">
        <v>40319</v>
      </c>
      <c r="C3592" s="2">
        <v>986765.01</v>
      </c>
      <c r="D3592">
        <v>0</v>
      </c>
      <c r="E3592" s="65">
        <v>50.81</v>
      </c>
      <c r="F3592" s="8">
        <v>2.961</v>
      </c>
      <c r="G3592" s="66">
        <v>132.2230323</v>
      </c>
      <c r="H3592" s="8">
        <v>8.512</v>
      </c>
      <c r="J3592" s="26"/>
      <c r="K3592"/>
    </row>
    <row r="3593" spans="1:11">
      <c r="A3593">
        <v>26</v>
      </c>
      <c r="B3593" s="64">
        <v>40326</v>
      </c>
      <c r="C3593" s="2">
        <v>1069851.59</v>
      </c>
      <c r="D3593">
        <v>0</v>
      </c>
      <c r="E3593" s="65">
        <v>61.65</v>
      </c>
      <c r="F3593" s="8">
        <v>2.906</v>
      </c>
      <c r="G3593" s="66">
        <v>132.2939355</v>
      </c>
      <c r="H3593" s="8">
        <v>8.512</v>
      </c>
      <c r="J3593" s="26"/>
      <c r="K3593"/>
    </row>
    <row r="3594" spans="1:11">
      <c r="A3594">
        <v>26</v>
      </c>
      <c r="B3594" s="64">
        <v>40333</v>
      </c>
      <c r="C3594" s="2">
        <v>1003202.66</v>
      </c>
      <c r="D3594">
        <v>0</v>
      </c>
      <c r="E3594" s="65">
        <v>58.46</v>
      </c>
      <c r="F3594" s="8">
        <v>2.857</v>
      </c>
      <c r="G3594" s="66">
        <v>132.3648387</v>
      </c>
      <c r="H3594" s="8">
        <v>8.512</v>
      </c>
      <c r="J3594" s="26"/>
      <c r="K3594"/>
    </row>
    <row r="3595" spans="1:11">
      <c r="A3595">
        <v>26</v>
      </c>
      <c r="B3595" s="64">
        <v>40340</v>
      </c>
      <c r="C3595" s="2">
        <v>1073862.59</v>
      </c>
      <c r="D3595">
        <v>0</v>
      </c>
      <c r="E3595" s="65">
        <v>51.62</v>
      </c>
      <c r="F3595" s="8">
        <v>2.83</v>
      </c>
      <c r="G3595" s="66">
        <v>132.4357419</v>
      </c>
      <c r="H3595" s="8">
        <v>8.512</v>
      </c>
      <c r="J3595" s="26"/>
      <c r="K3595"/>
    </row>
    <row r="3596" spans="1:11">
      <c r="A3596">
        <v>26</v>
      </c>
      <c r="B3596" s="64">
        <v>40347</v>
      </c>
      <c r="C3596" s="2">
        <v>1001286.67</v>
      </c>
      <c r="D3596">
        <v>0</v>
      </c>
      <c r="E3596" s="65">
        <v>53.62</v>
      </c>
      <c r="F3596" s="8">
        <v>2.805</v>
      </c>
      <c r="G3596" s="66">
        <v>132.4733333</v>
      </c>
      <c r="H3596" s="8">
        <v>8.512</v>
      </c>
      <c r="J3596" s="26"/>
      <c r="K3596"/>
    </row>
    <row r="3597" spans="1:11">
      <c r="A3597">
        <v>26</v>
      </c>
      <c r="B3597" s="64">
        <v>40354</v>
      </c>
      <c r="C3597" s="2">
        <v>976242.09</v>
      </c>
      <c r="D3597">
        <v>0</v>
      </c>
      <c r="E3597" s="65">
        <v>63.78</v>
      </c>
      <c r="F3597" s="8">
        <v>2.81</v>
      </c>
      <c r="G3597" s="66">
        <v>132.4976</v>
      </c>
      <c r="H3597" s="8">
        <v>8.512</v>
      </c>
      <c r="J3597" s="26"/>
      <c r="K3597"/>
    </row>
    <row r="3598" spans="1:11">
      <c r="A3598">
        <v>26</v>
      </c>
      <c r="B3598" s="64">
        <v>40361</v>
      </c>
      <c r="C3598" s="2">
        <v>1078455.48</v>
      </c>
      <c r="D3598">
        <v>0</v>
      </c>
      <c r="E3598" s="65">
        <v>58.9</v>
      </c>
      <c r="F3598" s="8">
        <v>2.815</v>
      </c>
      <c r="G3598" s="66">
        <v>132.5218667</v>
      </c>
      <c r="H3598" s="8">
        <v>8.445</v>
      </c>
      <c r="J3598" s="26"/>
      <c r="K3598"/>
    </row>
    <row r="3599" spans="1:11">
      <c r="A3599">
        <v>26</v>
      </c>
      <c r="B3599" s="64">
        <v>40368</v>
      </c>
      <c r="C3599" s="2">
        <v>1122356.53</v>
      </c>
      <c r="D3599">
        <v>0</v>
      </c>
      <c r="E3599" s="65">
        <v>71.08</v>
      </c>
      <c r="F3599" s="8">
        <v>2.806</v>
      </c>
      <c r="G3599" s="66">
        <v>132.5461333</v>
      </c>
      <c r="H3599" s="8">
        <v>8.445</v>
      </c>
      <c r="J3599" s="26"/>
      <c r="K3599"/>
    </row>
    <row r="3600" spans="1:11">
      <c r="A3600">
        <v>26</v>
      </c>
      <c r="B3600" s="64">
        <v>40375</v>
      </c>
      <c r="C3600" s="2">
        <v>1028151.72</v>
      </c>
      <c r="D3600">
        <v>0</v>
      </c>
      <c r="E3600" s="65">
        <v>67.66</v>
      </c>
      <c r="F3600" s="8">
        <v>2.796</v>
      </c>
      <c r="G3600" s="66">
        <v>132.5667742</v>
      </c>
      <c r="H3600" s="8">
        <v>8.445</v>
      </c>
      <c r="J3600" s="26"/>
      <c r="K3600"/>
    </row>
    <row r="3601" spans="1:11">
      <c r="A3601">
        <v>26</v>
      </c>
      <c r="B3601" s="64">
        <v>40382</v>
      </c>
      <c r="C3601" s="2">
        <v>971615.62</v>
      </c>
      <c r="D3601">
        <v>0</v>
      </c>
      <c r="E3601" s="65">
        <v>65.4</v>
      </c>
      <c r="F3601" s="8">
        <v>2.784</v>
      </c>
      <c r="G3601" s="66">
        <v>132.5825806</v>
      </c>
      <c r="H3601" s="8">
        <v>8.445</v>
      </c>
      <c r="J3601" s="26"/>
      <c r="K3601"/>
    </row>
    <row r="3602" spans="1:11">
      <c r="A3602">
        <v>26</v>
      </c>
      <c r="B3602" s="64">
        <v>40389</v>
      </c>
      <c r="C3602" s="2">
        <v>1005324.28</v>
      </c>
      <c r="D3602">
        <v>0</v>
      </c>
      <c r="E3602" s="65">
        <v>63.79</v>
      </c>
      <c r="F3602" s="8">
        <v>2.792</v>
      </c>
      <c r="G3602" s="66">
        <v>132.5983871</v>
      </c>
      <c r="H3602" s="8">
        <v>8.445</v>
      </c>
      <c r="J3602" s="26"/>
      <c r="K3602"/>
    </row>
    <row r="3603" spans="1:11">
      <c r="A3603">
        <v>26</v>
      </c>
      <c r="B3603" s="64">
        <v>40396</v>
      </c>
      <c r="C3603" s="2">
        <v>1125329.77</v>
      </c>
      <c r="D3603">
        <v>0</v>
      </c>
      <c r="E3603" s="65">
        <v>62.93</v>
      </c>
      <c r="F3603" s="8">
        <v>2.792</v>
      </c>
      <c r="G3603" s="66">
        <v>132.6141935</v>
      </c>
      <c r="H3603" s="8">
        <v>8.445</v>
      </c>
      <c r="J3603" s="26"/>
      <c r="K3603"/>
    </row>
    <row r="3604" spans="1:11">
      <c r="A3604">
        <v>26</v>
      </c>
      <c r="B3604" s="64">
        <v>40403</v>
      </c>
      <c r="C3604" s="2">
        <v>1011938.29</v>
      </c>
      <c r="D3604">
        <v>0</v>
      </c>
      <c r="E3604" s="65">
        <v>61.58</v>
      </c>
      <c r="F3604" s="8">
        <v>2.81</v>
      </c>
      <c r="G3604" s="66">
        <v>132.63</v>
      </c>
      <c r="H3604" s="8">
        <v>8.445</v>
      </c>
      <c r="J3604" s="26"/>
      <c r="K3604"/>
    </row>
    <row r="3605" spans="1:11">
      <c r="A3605">
        <v>26</v>
      </c>
      <c r="B3605" s="64">
        <v>40410</v>
      </c>
      <c r="C3605" s="2">
        <v>1007385.36</v>
      </c>
      <c r="D3605">
        <v>0</v>
      </c>
      <c r="E3605" s="65">
        <v>62.68</v>
      </c>
      <c r="F3605" s="8">
        <v>2.796</v>
      </c>
      <c r="G3605" s="66">
        <v>132.6616129</v>
      </c>
      <c r="H3605" s="8">
        <v>8.445</v>
      </c>
      <c r="J3605" s="26"/>
      <c r="K3605"/>
    </row>
    <row r="3606" spans="1:11">
      <c r="A3606">
        <v>26</v>
      </c>
      <c r="B3606" s="64">
        <v>40417</v>
      </c>
      <c r="C3606" s="2">
        <v>977322.52</v>
      </c>
      <c r="D3606">
        <v>0</v>
      </c>
      <c r="E3606" s="65">
        <v>57.23</v>
      </c>
      <c r="F3606" s="8">
        <v>2.77</v>
      </c>
      <c r="G3606" s="66">
        <v>132.6932258</v>
      </c>
      <c r="H3606" s="8">
        <v>8.445</v>
      </c>
      <c r="J3606" s="26"/>
      <c r="K3606"/>
    </row>
    <row r="3607" spans="1:11">
      <c r="A3607">
        <v>26</v>
      </c>
      <c r="B3607" s="64">
        <v>40424</v>
      </c>
      <c r="C3607" s="2">
        <v>1037549.71</v>
      </c>
      <c r="D3607">
        <v>0</v>
      </c>
      <c r="E3607" s="65">
        <v>66.93</v>
      </c>
      <c r="F3607" s="8">
        <v>2.735</v>
      </c>
      <c r="G3607" s="66">
        <v>132.7248387</v>
      </c>
      <c r="H3607" s="8">
        <v>8.445</v>
      </c>
      <c r="J3607" s="26"/>
      <c r="K3607"/>
    </row>
    <row r="3608" spans="1:11">
      <c r="A3608">
        <v>26</v>
      </c>
      <c r="B3608" s="64">
        <v>40431</v>
      </c>
      <c r="C3608" s="2">
        <v>1042226.3</v>
      </c>
      <c r="D3608">
        <v>1</v>
      </c>
      <c r="E3608" s="65">
        <v>54.82</v>
      </c>
      <c r="F3608" s="8">
        <v>2.717</v>
      </c>
      <c r="G3608" s="66">
        <v>132.7564516</v>
      </c>
      <c r="H3608" s="8">
        <v>8.445</v>
      </c>
      <c r="J3608" s="26"/>
      <c r="K3608"/>
    </row>
    <row r="3609" spans="1:11">
      <c r="A3609">
        <v>26</v>
      </c>
      <c r="B3609" s="64">
        <v>40438</v>
      </c>
      <c r="C3609" s="2">
        <v>923473.7</v>
      </c>
      <c r="D3609">
        <v>0</v>
      </c>
      <c r="E3609" s="65">
        <v>50.08</v>
      </c>
      <c r="F3609" s="8">
        <v>2.716</v>
      </c>
      <c r="G3609" s="66">
        <v>132.7670667</v>
      </c>
      <c r="H3609" s="8">
        <v>8.445</v>
      </c>
      <c r="J3609" s="26"/>
      <c r="K3609"/>
    </row>
    <row r="3610" spans="1:11">
      <c r="A3610">
        <v>26</v>
      </c>
      <c r="B3610" s="64">
        <v>40445</v>
      </c>
      <c r="C3610" s="2">
        <v>868636.3</v>
      </c>
      <c r="D3610">
        <v>0</v>
      </c>
      <c r="E3610" s="65">
        <v>52.47</v>
      </c>
      <c r="F3610" s="8">
        <v>2.718</v>
      </c>
      <c r="G3610" s="66">
        <v>132.7619333</v>
      </c>
      <c r="H3610" s="8">
        <v>8.445</v>
      </c>
      <c r="J3610" s="26"/>
      <c r="K3610"/>
    </row>
    <row r="3611" spans="1:11">
      <c r="A3611">
        <v>26</v>
      </c>
      <c r="B3611" s="64">
        <v>40452</v>
      </c>
      <c r="C3611" s="2">
        <v>923221.52</v>
      </c>
      <c r="D3611">
        <v>0</v>
      </c>
      <c r="E3611" s="65">
        <v>57.8</v>
      </c>
      <c r="F3611" s="8">
        <v>2.717</v>
      </c>
      <c r="G3611" s="66">
        <v>132.7568</v>
      </c>
      <c r="H3611" s="8">
        <v>8.149</v>
      </c>
      <c r="J3611" s="26"/>
      <c r="K3611"/>
    </row>
    <row r="3612" spans="1:11">
      <c r="A3612">
        <v>26</v>
      </c>
      <c r="B3612" s="64">
        <v>40459</v>
      </c>
      <c r="C3612" s="2">
        <v>1001069.52</v>
      </c>
      <c r="D3612">
        <v>0</v>
      </c>
      <c r="E3612" s="65">
        <v>46.81</v>
      </c>
      <c r="F3612" s="8">
        <v>2.776</v>
      </c>
      <c r="G3612" s="66">
        <v>132.7516667</v>
      </c>
      <c r="H3612" s="8">
        <v>8.149</v>
      </c>
      <c r="J3612" s="26"/>
      <c r="K3612"/>
    </row>
    <row r="3613" spans="1:11">
      <c r="A3613">
        <v>26</v>
      </c>
      <c r="B3613" s="64">
        <v>40466</v>
      </c>
      <c r="C3613" s="2">
        <v>937956.89</v>
      </c>
      <c r="D3613">
        <v>0</v>
      </c>
      <c r="E3613" s="65">
        <v>39.93</v>
      </c>
      <c r="F3613" s="8">
        <v>2.878</v>
      </c>
      <c r="G3613" s="66">
        <v>132.7633548</v>
      </c>
      <c r="H3613" s="8">
        <v>8.149</v>
      </c>
      <c r="J3613" s="26"/>
      <c r="K3613"/>
    </row>
    <row r="3614" spans="1:11">
      <c r="A3614">
        <v>26</v>
      </c>
      <c r="B3614" s="64">
        <v>40473</v>
      </c>
      <c r="C3614" s="2">
        <v>916522.66</v>
      </c>
      <c r="D3614">
        <v>0</v>
      </c>
      <c r="E3614" s="65">
        <v>36.13</v>
      </c>
      <c r="F3614" s="8">
        <v>2.919</v>
      </c>
      <c r="G3614" s="66">
        <v>132.8170968</v>
      </c>
      <c r="H3614" s="8">
        <v>8.149</v>
      </c>
      <c r="J3614" s="26"/>
      <c r="K3614"/>
    </row>
    <row r="3615" spans="1:11">
      <c r="A3615">
        <v>26</v>
      </c>
      <c r="B3615" s="64">
        <v>40480</v>
      </c>
      <c r="C3615" s="2">
        <v>895069.88</v>
      </c>
      <c r="D3615">
        <v>0</v>
      </c>
      <c r="E3615" s="65">
        <v>40.3</v>
      </c>
      <c r="F3615" s="8">
        <v>2.938</v>
      </c>
      <c r="G3615" s="66">
        <v>132.8708387</v>
      </c>
      <c r="H3615" s="8">
        <v>8.149</v>
      </c>
      <c r="J3615" s="26"/>
      <c r="K3615"/>
    </row>
    <row r="3616" spans="1:11">
      <c r="A3616">
        <v>26</v>
      </c>
      <c r="B3616" s="64">
        <v>40487</v>
      </c>
      <c r="C3616" s="2">
        <v>970224.51</v>
      </c>
      <c r="D3616">
        <v>0</v>
      </c>
      <c r="E3616" s="65">
        <v>30.51</v>
      </c>
      <c r="F3616" s="8">
        <v>2.938</v>
      </c>
      <c r="G3616" s="66">
        <v>132.9245806</v>
      </c>
      <c r="H3616" s="8">
        <v>8.149</v>
      </c>
      <c r="J3616" s="26"/>
      <c r="K3616"/>
    </row>
    <row r="3617" spans="1:11">
      <c r="A3617">
        <v>26</v>
      </c>
      <c r="B3617" s="64">
        <v>40494</v>
      </c>
      <c r="C3617" s="2">
        <v>971193.01</v>
      </c>
      <c r="D3617">
        <v>0</v>
      </c>
      <c r="E3617" s="65">
        <v>37.51</v>
      </c>
      <c r="F3617" s="8">
        <v>2.961</v>
      </c>
      <c r="G3617" s="66">
        <v>132.9783226</v>
      </c>
      <c r="H3617" s="8">
        <v>8.149</v>
      </c>
      <c r="J3617" s="26"/>
      <c r="K3617"/>
    </row>
    <row r="3618" spans="1:11">
      <c r="A3618">
        <v>26</v>
      </c>
      <c r="B3618" s="64">
        <v>40501</v>
      </c>
      <c r="C3618" s="2">
        <v>901972.7</v>
      </c>
      <c r="D3618">
        <v>0</v>
      </c>
      <c r="E3618" s="65">
        <v>36.73</v>
      </c>
      <c r="F3618" s="8">
        <v>3.03</v>
      </c>
      <c r="G3618" s="66">
        <v>132.9172</v>
      </c>
      <c r="H3618" s="8">
        <v>8.149</v>
      </c>
      <c r="J3618" s="26"/>
      <c r="K3618"/>
    </row>
    <row r="3619" spans="1:11">
      <c r="A3619">
        <v>26</v>
      </c>
      <c r="B3619" s="64">
        <v>40508</v>
      </c>
      <c r="C3619" s="2">
        <v>1286833.62</v>
      </c>
      <c r="D3619">
        <v>1</v>
      </c>
      <c r="E3619" s="65">
        <v>28.11</v>
      </c>
      <c r="F3619" s="8">
        <v>3.07</v>
      </c>
      <c r="G3619" s="66">
        <v>132.8369333</v>
      </c>
      <c r="H3619" s="8">
        <v>8.149</v>
      </c>
      <c r="J3619" s="26"/>
      <c r="K3619"/>
    </row>
    <row r="3620" spans="1:11">
      <c r="A3620">
        <v>26</v>
      </c>
      <c r="B3620" s="64">
        <v>40515</v>
      </c>
      <c r="C3620" s="2">
        <v>1016143.64</v>
      </c>
      <c r="D3620">
        <v>0</v>
      </c>
      <c r="E3620" s="65">
        <v>27.73</v>
      </c>
      <c r="F3620" s="8">
        <v>3.065</v>
      </c>
      <c r="G3620" s="66">
        <v>132.7566667</v>
      </c>
      <c r="H3620" s="8">
        <v>8.149</v>
      </c>
      <c r="J3620" s="26"/>
      <c r="K3620"/>
    </row>
    <row r="3621" spans="1:11">
      <c r="A3621">
        <v>26</v>
      </c>
      <c r="B3621" s="64">
        <v>40522</v>
      </c>
      <c r="C3621" s="2">
        <v>1149612.04</v>
      </c>
      <c r="D3621">
        <v>0</v>
      </c>
      <c r="E3621" s="65">
        <v>16.6</v>
      </c>
      <c r="F3621" s="8">
        <v>3.132</v>
      </c>
      <c r="G3621" s="66">
        <v>132.6764</v>
      </c>
      <c r="H3621" s="8">
        <v>8.149</v>
      </c>
      <c r="J3621" s="26"/>
      <c r="K3621"/>
    </row>
    <row r="3622" spans="1:11">
      <c r="A3622">
        <v>26</v>
      </c>
      <c r="B3622" s="64">
        <v>40529</v>
      </c>
      <c r="C3622" s="2">
        <v>1196813.33</v>
      </c>
      <c r="D3622">
        <v>0</v>
      </c>
      <c r="E3622" s="65">
        <v>20.61</v>
      </c>
      <c r="F3622" s="8">
        <v>3.139</v>
      </c>
      <c r="G3622" s="66">
        <v>132.6804516</v>
      </c>
      <c r="H3622" s="8">
        <v>8.149</v>
      </c>
      <c r="J3622" s="26"/>
      <c r="K3622"/>
    </row>
    <row r="3623" spans="1:11">
      <c r="A3623">
        <v>26</v>
      </c>
      <c r="B3623" s="64">
        <v>40536</v>
      </c>
      <c r="C3623" s="2">
        <v>1573982.47</v>
      </c>
      <c r="D3623">
        <v>0</v>
      </c>
      <c r="E3623" s="65">
        <v>21.81</v>
      </c>
      <c r="F3623" s="8">
        <v>3.15</v>
      </c>
      <c r="G3623" s="66">
        <v>132.7477419</v>
      </c>
      <c r="H3623" s="8">
        <v>8.149</v>
      </c>
      <c r="J3623" s="26"/>
      <c r="K3623"/>
    </row>
    <row r="3624" spans="1:11">
      <c r="A3624">
        <v>26</v>
      </c>
      <c r="B3624" s="64">
        <v>40543</v>
      </c>
      <c r="C3624" s="2">
        <v>877268.29</v>
      </c>
      <c r="D3624">
        <v>1</v>
      </c>
      <c r="E3624" s="65">
        <v>18.73</v>
      </c>
      <c r="F3624" s="8">
        <v>3.177</v>
      </c>
      <c r="G3624" s="66">
        <v>132.8150323</v>
      </c>
      <c r="H3624" s="8">
        <v>8.149</v>
      </c>
      <c r="J3624" s="26"/>
      <c r="K3624"/>
    </row>
    <row r="3625" spans="1:11">
      <c r="A3625">
        <v>26</v>
      </c>
      <c r="B3625" s="64">
        <v>40550</v>
      </c>
      <c r="C3625" s="2">
        <v>938149.21</v>
      </c>
      <c r="D3625">
        <v>0</v>
      </c>
      <c r="E3625" s="65">
        <v>21.13</v>
      </c>
      <c r="F3625" s="8">
        <v>3.193</v>
      </c>
      <c r="G3625" s="66">
        <v>132.8823226</v>
      </c>
      <c r="H3625" s="8">
        <v>7.907</v>
      </c>
      <c r="J3625" s="26"/>
      <c r="K3625"/>
    </row>
    <row r="3626" spans="1:11">
      <c r="A3626">
        <v>26</v>
      </c>
      <c r="B3626" s="64">
        <v>40557</v>
      </c>
      <c r="C3626" s="2">
        <v>812323.29</v>
      </c>
      <c r="D3626">
        <v>0</v>
      </c>
      <c r="E3626" s="65">
        <v>16.7</v>
      </c>
      <c r="F3626" s="8">
        <v>3.215</v>
      </c>
      <c r="G3626" s="66">
        <v>132.9510645</v>
      </c>
      <c r="H3626" s="8">
        <v>7.907</v>
      </c>
      <c r="J3626" s="26"/>
      <c r="K3626"/>
    </row>
    <row r="3627" spans="1:11">
      <c r="A3627">
        <v>26</v>
      </c>
      <c r="B3627" s="64">
        <v>40564</v>
      </c>
      <c r="C3627" s="2">
        <v>809833.21</v>
      </c>
      <c r="D3627">
        <v>0</v>
      </c>
      <c r="E3627" s="65">
        <v>12.98</v>
      </c>
      <c r="F3627" s="8">
        <v>3.232</v>
      </c>
      <c r="G3627" s="66">
        <v>133.0285161</v>
      </c>
      <c r="H3627" s="8">
        <v>7.907</v>
      </c>
      <c r="J3627" s="26"/>
      <c r="K3627"/>
    </row>
    <row r="3628" spans="1:11">
      <c r="A3628">
        <v>26</v>
      </c>
      <c r="B3628" s="64">
        <v>40571</v>
      </c>
      <c r="C3628" s="2">
        <v>817485.14</v>
      </c>
      <c r="D3628">
        <v>0</v>
      </c>
      <c r="E3628" s="65">
        <v>5.54</v>
      </c>
      <c r="F3628" s="8">
        <v>3.243</v>
      </c>
      <c r="G3628" s="66">
        <v>133.1059677</v>
      </c>
      <c r="H3628" s="8">
        <v>7.907</v>
      </c>
      <c r="J3628" s="26"/>
      <c r="K3628"/>
    </row>
    <row r="3629" spans="1:11">
      <c r="A3629">
        <v>26</v>
      </c>
      <c r="B3629" s="64">
        <v>40578</v>
      </c>
      <c r="C3629" s="2">
        <v>911807.02</v>
      </c>
      <c r="D3629">
        <v>0</v>
      </c>
      <c r="E3629" s="65">
        <v>11.17</v>
      </c>
      <c r="F3629" s="8">
        <v>3.24</v>
      </c>
      <c r="G3629" s="66">
        <v>133.1834194</v>
      </c>
      <c r="H3629" s="8">
        <v>7.907</v>
      </c>
      <c r="J3629" s="26"/>
      <c r="K3629"/>
    </row>
    <row r="3630" spans="1:11">
      <c r="A3630">
        <v>26</v>
      </c>
      <c r="B3630" s="64">
        <v>40585</v>
      </c>
      <c r="C3630" s="2">
        <v>1010711.08</v>
      </c>
      <c r="D3630">
        <v>1</v>
      </c>
      <c r="E3630" s="65">
        <v>15.12</v>
      </c>
      <c r="F3630" s="8">
        <v>3.255</v>
      </c>
      <c r="G3630" s="66">
        <v>133.260871</v>
      </c>
      <c r="H3630" s="8">
        <v>7.907</v>
      </c>
      <c r="J3630" s="26"/>
      <c r="K3630"/>
    </row>
    <row r="3631" spans="1:11">
      <c r="A3631">
        <v>26</v>
      </c>
      <c r="B3631" s="64">
        <v>40592</v>
      </c>
      <c r="C3631" s="2">
        <v>981978.02</v>
      </c>
      <c r="D3631">
        <v>0</v>
      </c>
      <c r="E3631" s="65">
        <v>19.63</v>
      </c>
      <c r="F3631" s="8">
        <v>3.263</v>
      </c>
      <c r="G3631" s="66">
        <v>133.3701429</v>
      </c>
      <c r="H3631" s="8">
        <v>7.907</v>
      </c>
      <c r="J3631" s="26"/>
      <c r="K3631"/>
    </row>
    <row r="3632" spans="1:11">
      <c r="A3632">
        <v>26</v>
      </c>
      <c r="B3632" s="64">
        <v>40599</v>
      </c>
      <c r="C3632" s="2">
        <v>910298.44</v>
      </c>
      <c r="D3632">
        <v>0</v>
      </c>
      <c r="E3632" s="65">
        <v>16.3</v>
      </c>
      <c r="F3632" s="8">
        <v>3.281</v>
      </c>
      <c r="G3632" s="66">
        <v>133.4921429</v>
      </c>
      <c r="H3632" s="8">
        <v>7.907</v>
      </c>
      <c r="J3632" s="26"/>
      <c r="K3632"/>
    </row>
    <row r="3633" spans="1:11">
      <c r="A3633">
        <v>26</v>
      </c>
      <c r="B3633" s="64">
        <v>40606</v>
      </c>
      <c r="C3633" s="2">
        <v>945643.17</v>
      </c>
      <c r="D3633">
        <v>0</v>
      </c>
      <c r="E3633" s="65">
        <v>14.31</v>
      </c>
      <c r="F3633" s="8">
        <v>3.437</v>
      </c>
      <c r="G3633" s="66">
        <v>133.6141429</v>
      </c>
      <c r="H3633" s="8">
        <v>7.907</v>
      </c>
      <c r="J3633" s="26"/>
      <c r="K3633"/>
    </row>
    <row r="3634" spans="1:11">
      <c r="A3634">
        <v>26</v>
      </c>
      <c r="B3634" s="64">
        <v>40613</v>
      </c>
      <c r="C3634" s="2">
        <v>946614.55</v>
      </c>
      <c r="D3634">
        <v>0</v>
      </c>
      <c r="E3634" s="65">
        <v>28.13</v>
      </c>
      <c r="F3634" s="8">
        <v>3.6</v>
      </c>
      <c r="G3634" s="66">
        <v>133.7361429</v>
      </c>
      <c r="H3634" s="8">
        <v>7.907</v>
      </c>
      <c r="J3634" s="26"/>
      <c r="K3634"/>
    </row>
    <row r="3635" spans="1:11">
      <c r="A3635">
        <v>26</v>
      </c>
      <c r="B3635" s="64">
        <v>40620</v>
      </c>
      <c r="C3635" s="2">
        <v>887426.12</v>
      </c>
      <c r="D3635">
        <v>0</v>
      </c>
      <c r="E3635" s="65">
        <v>31.76</v>
      </c>
      <c r="F3635" s="8">
        <v>3.634</v>
      </c>
      <c r="G3635" s="66">
        <v>133.8492258</v>
      </c>
      <c r="H3635" s="8">
        <v>7.907</v>
      </c>
      <c r="J3635" s="26"/>
      <c r="K3635"/>
    </row>
    <row r="3636" spans="1:11">
      <c r="A3636">
        <v>26</v>
      </c>
      <c r="B3636" s="64">
        <v>40627</v>
      </c>
      <c r="C3636" s="2">
        <v>866566.54</v>
      </c>
      <c r="D3636">
        <v>0</v>
      </c>
      <c r="E3636" s="65">
        <v>22.99</v>
      </c>
      <c r="F3636" s="8">
        <v>3.624</v>
      </c>
      <c r="G3636" s="66">
        <v>133.9587419</v>
      </c>
      <c r="H3636" s="8">
        <v>7.907</v>
      </c>
      <c r="J3636" s="26"/>
      <c r="K3636"/>
    </row>
    <row r="3637" spans="1:11">
      <c r="A3637">
        <v>26</v>
      </c>
      <c r="B3637" s="64">
        <v>40634</v>
      </c>
      <c r="C3637" s="2">
        <v>849231.61</v>
      </c>
      <c r="D3637">
        <v>0</v>
      </c>
      <c r="E3637" s="65">
        <v>22.99</v>
      </c>
      <c r="F3637" s="8">
        <v>3.638</v>
      </c>
      <c r="G3637" s="66">
        <v>134.0682581</v>
      </c>
      <c r="H3637" s="8">
        <v>7.818</v>
      </c>
      <c r="J3637" s="26"/>
      <c r="K3637"/>
    </row>
    <row r="3638" spans="1:11">
      <c r="A3638">
        <v>26</v>
      </c>
      <c r="B3638" s="64">
        <v>40641</v>
      </c>
      <c r="C3638" s="2">
        <v>985229.81</v>
      </c>
      <c r="D3638">
        <v>0</v>
      </c>
      <c r="E3638" s="65">
        <v>29.09</v>
      </c>
      <c r="F3638" s="8">
        <v>3.72</v>
      </c>
      <c r="G3638" s="66">
        <v>134.1777742</v>
      </c>
      <c r="H3638" s="8">
        <v>7.818</v>
      </c>
      <c r="J3638" s="26"/>
      <c r="K3638"/>
    </row>
    <row r="3639" spans="1:11">
      <c r="A3639">
        <v>26</v>
      </c>
      <c r="B3639" s="64">
        <v>40648</v>
      </c>
      <c r="C3639" s="2">
        <v>863266.12</v>
      </c>
      <c r="D3639">
        <v>0</v>
      </c>
      <c r="E3639" s="65">
        <v>39.46</v>
      </c>
      <c r="F3639" s="8">
        <v>3.823</v>
      </c>
      <c r="G3639" s="66">
        <v>134.2784667</v>
      </c>
      <c r="H3639" s="8">
        <v>7.818</v>
      </c>
      <c r="J3639" s="26"/>
      <c r="K3639"/>
    </row>
    <row r="3640" spans="1:11">
      <c r="A3640">
        <v>26</v>
      </c>
      <c r="B3640" s="64">
        <v>40655</v>
      </c>
      <c r="C3640" s="2">
        <v>921700.61</v>
      </c>
      <c r="D3640">
        <v>0</v>
      </c>
      <c r="E3640" s="65">
        <v>33.81</v>
      </c>
      <c r="F3640" s="8">
        <v>3.919</v>
      </c>
      <c r="G3640" s="66">
        <v>134.3571</v>
      </c>
      <c r="H3640" s="8">
        <v>7.818</v>
      </c>
      <c r="J3640" s="26"/>
      <c r="K3640"/>
    </row>
    <row r="3641" spans="1:11">
      <c r="A3641">
        <v>26</v>
      </c>
      <c r="B3641" s="64">
        <v>40662</v>
      </c>
      <c r="C3641" s="2">
        <v>873450.29</v>
      </c>
      <c r="D3641">
        <v>0</v>
      </c>
      <c r="E3641" s="65">
        <v>47.17</v>
      </c>
      <c r="F3641" s="8">
        <v>3.988</v>
      </c>
      <c r="G3641" s="66">
        <v>134.4357333</v>
      </c>
      <c r="H3641" s="8">
        <v>7.818</v>
      </c>
      <c r="J3641" s="26"/>
      <c r="K3641"/>
    </row>
    <row r="3642" spans="1:11">
      <c r="A3642">
        <v>26</v>
      </c>
      <c r="B3642" s="64">
        <v>40669</v>
      </c>
      <c r="C3642" s="2">
        <v>1024778.23</v>
      </c>
      <c r="D3642">
        <v>0</v>
      </c>
      <c r="E3642" s="65">
        <v>45</v>
      </c>
      <c r="F3642" s="8">
        <v>4.078</v>
      </c>
      <c r="G3642" s="66">
        <v>134.5143667</v>
      </c>
      <c r="H3642" s="8">
        <v>7.818</v>
      </c>
      <c r="J3642" s="26"/>
      <c r="K3642"/>
    </row>
    <row r="3643" spans="1:11">
      <c r="A3643">
        <v>26</v>
      </c>
      <c r="B3643" s="64">
        <v>40676</v>
      </c>
      <c r="C3643" s="2">
        <v>941008.85</v>
      </c>
      <c r="D3643">
        <v>0</v>
      </c>
      <c r="E3643" s="65">
        <v>48.2</v>
      </c>
      <c r="F3643" s="8">
        <v>4.095</v>
      </c>
      <c r="G3643" s="66">
        <v>134.593</v>
      </c>
      <c r="H3643" s="8">
        <v>7.818</v>
      </c>
      <c r="J3643" s="26"/>
      <c r="K3643"/>
    </row>
    <row r="3644" spans="1:11">
      <c r="A3644">
        <v>26</v>
      </c>
      <c r="B3644" s="64">
        <v>40683</v>
      </c>
      <c r="C3644" s="2">
        <v>938334.62</v>
      </c>
      <c r="D3644">
        <v>0</v>
      </c>
      <c r="E3644" s="65">
        <v>48.86</v>
      </c>
      <c r="F3644" s="8">
        <v>4.101</v>
      </c>
      <c r="G3644" s="66">
        <v>134.6803871</v>
      </c>
      <c r="H3644" s="8">
        <v>7.818</v>
      </c>
      <c r="J3644" s="26"/>
      <c r="K3644"/>
    </row>
    <row r="3645" spans="1:11">
      <c r="A3645">
        <v>26</v>
      </c>
      <c r="B3645" s="64">
        <v>40690</v>
      </c>
      <c r="C3645" s="2">
        <v>996723.58</v>
      </c>
      <c r="D3645">
        <v>0</v>
      </c>
      <c r="E3645" s="65">
        <v>56.74</v>
      </c>
      <c r="F3645" s="8">
        <v>4.034</v>
      </c>
      <c r="G3645" s="66">
        <v>134.7677742</v>
      </c>
      <c r="H3645" s="8">
        <v>7.818</v>
      </c>
      <c r="J3645" s="26"/>
      <c r="K3645"/>
    </row>
    <row r="3646" spans="1:11">
      <c r="A3646">
        <v>26</v>
      </c>
      <c r="B3646" s="64">
        <v>40697</v>
      </c>
      <c r="C3646" s="2">
        <v>1054454.4</v>
      </c>
      <c r="D3646">
        <v>0</v>
      </c>
      <c r="E3646" s="65">
        <v>60.49</v>
      </c>
      <c r="F3646" s="8">
        <v>3.973</v>
      </c>
      <c r="G3646" s="66">
        <v>134.8551613</v>
      </c>
      <c r="H3646" s="8">
        <v>7.818</v>
      </c>
      <c r="J3646" s="26"/>
      <c r="K3646"/>
    </row>
    <row r="3647" spans="1:11">
      <c r="A3647">
        <v>26</v>
      </c>
      <c r="B3647" s="64">
        <v>40704</v>
      </c>
      <c r="C3647" s="2">
        <v>1094058.68</v>
      </c>
      <c r="D3647">
        <v>0</v>
      </c>
      <c r="E3647" s="65">
        <v>59.85</v>
      </c>
      <c r="F3647" s="8">
        <v>3.924</v>
      </c>
      <c r="G3647" s="66">
        <v>134.9425484</v>
      </c>
      <c r="H3647" s="8">
        <v>7.818</v>
      </c>
      <c r="J3647" s="26"/>
      <c r="K3647"/>
    </row>
    <row r="3648" spans="1:11">
      <c r="A3648">
        <v>26</v>
      </c>
      <c r="B3648" s="64">
        <v>40711</v>
      </c>
      <c r="C3648" s="2">
        <v>981646.46</v>
      </c>
      <c r="D3648">
        <v>0</v>
      </c>
      <c r="E3648" s="65">
        <v>54.5</v>
      </c>
      <c r="F3648" s="8">
        <v>3.873</v>
      </c>
      <c r="G3648" s="66">
        <v>135.0837333</v>
      </c>
      <c r="H3648" s="8">
        <v>7.818</v>
      </c>
      <c r="J3648" s="26"/>
      <c r="K3648"/>
    </row>
    <row r="3649" spans="1:11">
      <c r="A3649">
        <v>26</v>
      </c>
      <c r="B3649" s="64">
        <v>40718</v>
      </c>
      <c r="C3649" s="2">
        <v>997474.93</v>
      </c>
      <c r="D3649">
        <v>0</v>
      </c>
      <c r="E3649" s="65">
        <v>56.94</v>
      </c>
      <c r="F3649" s="8">
        <v>3.851</v>
      </c>
      <c r="G3649" s="66">
        <v>135.2652667</v>
      </c>
      <c r="H3649" s="8">
        <v>7.818</v>
      </c>
      <c r="J3649" s="26"/>
      <c r="K3649"/>
    </row>
    <row r="3650" spans="1:11">
      <c r="A3650">
        <v>26</v>
      </c>
      <c r="B3650" s="64">
        <v>40725</v>
      </c>
      <c r="C3650" s="2">
        <v>1070119.09</v>
      </c>
      <c r="D3650">
        <v>0</v>
      </c>
      <c r="E3650" s="65">
        <v>59.89</v>
      </c>
      <c r="F3650" s="8">
        <v>3.815</v>
      </c>
      <c r="G3650" s="66">
        <v>135.4468</v>
      </c>
      <c r="H3650" s="8">
        <v>7.767</v>
      </c>
      <c r="J3650" s="26"/>
      <c r="K3650"/>
    </row>
    <row r="3651" spans="1:11">
      <c r="A3651">
        <v>26</v>
      </c>
      <c r="B3651" s="64">
        <v>40732</v>
      </c>
      <c r="C3651" s="2">
        <v>1133807.03</v>
      </c>
      <c r="D3651">
        <v>0</v>
      </c>
      <c r="E3651" s="65">
        <v>63.34</v>
      </c>
      <c r="F3651" s="8">
        <v>3.784</v>
      </c>
      <c r="G3651" s="66">
        <v>135.6283333</v>
      </c>
      <c r="H3651" s="8">
        <v>7.767</v>
      </c>
      <c r="J3651" s="26"/>
      <c r="K3651"/>
    </row>
    <row r="3652" spans="1:11">
      <c r="A3652">
        <v>26</v>
      </c>
      <c r="B3652" s="64">
        <v>40739</v>
      </c>
      <c r="C3652" s="2">
        <v>1021534.7</v>
      </c>
      <c r="D3652">
        <v>0</v>
      </c>
      <c r="E3652" s="65">
        <v>64.43</v>
      </c>
      <c r="F3652" s="8">
        <v>3.827</v>
      </c>
      <c r="G3652" s="66">
        <v>135.7837419</v>
      </c>
      <c r="H3652" s="8">
        <v>7.767</v>
      </c>
      <c r="J3652" s="26"/>
      <c r="K3652"/>
    </row>
    <row r="3653" spans="1:11">
      <c r="A3653">
        <v>26</v>
      </c>
      <c r="B3653" s="64">
        <v>40746</v>
      </c>
      <c r="C3653" s="2">
        <v>1017867.8</v>
      </c>
      <c r="D3653">
        <v>0</v>
      </c>
      <c r="E3653" s="65">
        <v>69.52</v>
      </c>
      <c r="F3653" s="8">
        <v>3.882</v>
      </c>
      <c r="G3653" s="66">
        <v>135.8738387</v>
      </c>
      <c r="H3653" s="8">
        <v>7.767</v>
      </c>
      <c r="J3653" s="26"/>
      <c r="K3653"/>
    </row>
    <row r="3654" spans="1:11">
      <c r="A3654">
        <v>26</v>
      </c>
      <c r="B3654" s="64">
        <v>40753</v>
      </c>
      <c r="C3654" s="2">
        <v>1005360.5</v>
      </c>
      <c r="D3654">
        <v>0</v>
      </c>
      <c r="E3654" s="65">
        <v>63.32</v>
      </c>
      <c r="F3654" s="8">
        <v>3.898</v>
      </c>
      <c r="G3654" s="66">
        <v>135.9639355</v>
      </c>
      <c r="H3654" s="8">
        <v>7.767</v>
      </c>
      <c r="J3654" s="26"/>
      <c r="K3654"/>
    </row>
    <row r="3655" spans="1:11">
      <c r="A3655">
        <v>26</v>
      </c>
      <c r="B3655" s="64">
        <v>40760</v>
      </c>
      <c r="C3655" s="2">
        <v>1107552.43</v>
      </c>
      <c r="D3655">
        <v>0</v>
      </c>
      <c r="E3655" s="65">
        <v>63.16</v>
      </c>
      <c r="F3655" s="8">
        <v>3.903</v>
      </c>
      <c r="G3655" s="66">
        <v>136.0540323</v>
      </c>
      <c r="H3655" s="8">
        <v>7.767</v>
      </c>
      <c r="J3655" s="26"/>
      <c r="K3655"/>
    </row>
    <row r="3656" spans="1:11">
      <c r="A3656">
        <v>26</v>
      </c>
      <c r="B3656" s="64">
        <v>40767</v>
      </c>
      <c r="C3656" s="2">
        <v>1087644.5</v>
      </c>
      <c r="D3656">
        <v>0</v>
      </c>
      <c r="E3656" s="65">
        <v>62.99</v>
      </c>
      <c r="F3656" s="8">
        <v>3.88</v>
      </c>
      <c r="G3656" s="66">
        <v>136.144129</v>
      </c>
      <c r="H3656" s="8">
        <v>7.767</v>
      </c>
      <c r="J3656" s="26"/>
      <c r="K3656"/>
    </row>
    <row r="3657" spans="1:11">
      <c r="A3657">
        <v>26</v>
      </c>
      <c r="B3657" s="64">
        <v>40774</v>
      </c>
      <c r="C3657" s="2">
        <v>1021766.75</v>
      </c>
      <c r="D3657">
        <v>0</v>
      </c>
      <c r="E3657" s="65">
        <v>60.58</v>
      </c>
      <c r="F3657" s="8">
        <v>3.82</v>
      </c>
      <c r="G3657" s="66">
        <v>136.183129</v>
      </c>
      <c r="H3657" s="8">
        <v>7.767</v>
      </c>
      <c r="J3657" s="26"/>
      <c r="K3657"/>
    </row>
    <row r="3658" spans="1:11">
      <c r="A3658">
        <v>26</v>
      </c>
      <c r="B3658" s="64">
        <v>40781</v>
      </c>
      <c r="C3658" s="2">
        <v>1064617.62</v>
      </c>
      <c r="D3658">
        <v>0</v>
      </c>
      <c r="E3658" s="65">
        <v>61.1</v>
      </c>
      <c r="F3658" s="8">
        <v>3.796</v>
      </c>
      <c r="G3658" s="66">
        <v>136.2136129</v>
      </c>
      <c r="H3658" s="8">
        <v>7.767</v>
      </c>
      <c r="J3658" s="26"/>
      <c r="K3658"/>
    </row>
    <row r="3659" spans="1:11">
      <c r="A3659">
        <v>26</v>
      </c>
      <c r="B3659" s="64">
        <v>40788</v>
      </c>
      <c r="C3659" s="2">
        <v>1040143.14</v>
      </c>
      <c r="D3659">
        <v>0</v>
      </c>
      <c r="E3659" s="65">
        <v>59.67</v>
      </c>
      <c r="F3659" s="8">
        <v>3.784</v>
      </c>
      <c r="G3659" s="66">
        <v>136.2440968</v>
      </c>
      <c r="H3659" s="8">
        <v>7.767</v>
      </c>
      <c r="J3659" s="26"/>
      <c r="K3659"/>
    </row>
    <row r="3660" spans="1:11">
      <c r="A3660">
        <v>26</v>
      </c>
      <c r="B3660" s="64">
        <v>40795</v>
      </c>
      <c r="C3660" s="2">
        <v>1069710.97</v>
      </c>
      <c r="D3660">
        <v>1</v>
      </c>
      <c r="E3660" s="65">
        <v>60.98</v>
      </c>
      <c r="F3660" s="8">
        <v>3.809</v>
      </c>
      <c r="G3660" s="66">
        <v>136.2745806</v>
      </c>
      <c r="H3660" s="8">
        <v>7.767</v>
      </c>
      <c r="J3660" s="26"/>
      <c r="K3660"/>
    </row>
    <row r="3661" spans="1:11">
      <c r="A3661">
        <v>26</v>
      </c>
      <c r="B3661" s="64">
        <v>40802</v>
      </c>
      <c r="C3661" s="2">
        <v>951569.84</v>
      </c>
      <c r="D3661">
        <v>0</v>
      </c>
      <c r="E3661" s="65">
        <v>55.19</v>
      </c>
      <c r="F3661" s="8">
        <v>3.809</v>
      </c>
      <c r="G3661" s="66">
        <v>136.3145</v>
      </c>
      <c r="H3661" s="8">
        <v>7.767</v>
      </c>
      <c r="J3661" s="26"/>
      <c r="K3661"/>
    </row>
    <row r="3662" spans="1:11">
      <c r="A3662">
        <v>26</v>
      </c>
      <c r="B3662" s="64">
        <v>40809</v>
      </c>
      <c r="C3662" s="2">
        <v>923644.6</v>
      </c>
      <c r="D3662">
        <v>0</v>
      </c>
      <c r="E3662" s="65">
        <v>50.72</v>
      </c>
      <c r="F3662" s="8">
        <v>3.758</v>
      </c>
      <c r="G3662" s="66">
        <v>136.367</v>
      </c>
      <c r="H3662" s="8">
        <v>7.767</v>
      </c>
      <c r="J3662" s="26"/>
      <c r="K3662"/>
    </row>
    <row r="3663" spans="1:11">
      <c r="A3663">
        <v>26</v>
      </c>
      <c r="B3663" s="64">
        <v>40816</v>
      </c>
      <c r="C3663" s="2">
        <v>959339.51</v>
      </c>
      <c r="D3663">
        <v>0</v>
      </c>
      <c r="E3663" s="65">
        <v>59.42</v>
      </c>
      <c r="F3663" s="8">
        <v>3.684</v>
      </c>
      <c r="G3663" s="66">
        <v>136.4195</v>
      </c>
      <c r="H3663" s="8">
        <v>7.767</v>
      </c>
      <c r="J3663" s="26"/>
      <c r="K3663"/>
    </row>
    <row r="3664" spans="1:11">
      <c r="A3664">
        <v>26</v>
      </c>
      <c r="B3664" s="64">
        <v>40823</v>
      </c>
      <c r="C3664" s="2">
        <v>1130022.99</v>
      </c>
      <c r="D3664">
        <v>0</v>
      </c>
      <c r="E3664" s="65">
        <v>46.84</v>
      </c>
      <c r="F3664" s="8">
        <v>3.633</v>
      </c>
      <c r="G3664" s="66">
        <v>136.472</v>
      </c>
      <c r="H3664" s="8">
        <v>7.598</v>
      </c>
      <c r="J3664" s="26"/>
      <c r="K3664"/>
    </row>
    <row r="3665" spans="1:11">
      <c r="A3665">
        <v>26</v>
      </c>
      <c r="B3665" s="64">
        <v>40830</v>
      </c>
      <c r="C3665" s="2">
        <v>987886.08</v>
      </c>
      <c r="D3665">
        <v>0</v>
      </c>
      <c r="E3665" s="65">
        <v>53.91</v>
      </c>
      <c r="F3665" s="8">
        <v>3.583</v>
      </c>
      <c r="G3665" s="66">
        <v>136.5150968</v>
      </c>
      <c r="H3665" s="8">
        <v>7.598</v>
      </c>
      <c r="J3665" s="26"/>
      <c r="K3665"/>
    </row>
    <row r="3666" spans="1:11">
      <c r="A3666">
        <v>26</v>
      </c>
      <c r="B3666" s="64">
        <v>40837</v>
      </c>
      <c r="C3666" s="2">
        <v>974907.28</v>
      </c>
      <c r="D3666">
        <v>0</v>
      </c>
      <c r="E3666" s="65">
        <v>45.23</v>
      </c>
      <c r="F3666" s="8">
        <v>3.618</v>
      </c>
      <c r="G3666" s="66">
        <v>136.5017742</v>
      </c>
      <c r="H3666" s="8">
        <v>7.598</v>
      </c>
      <c r="J3666" s="26"/>
      <c r="K3666"/>
    </row>
    <row r="3667" spans="1:11">
      <c r="A3667">
        <v>26</v>
      </c>
      <c r="B3667" s="64">
        <v>40844</v>
      </c>
      <c r="C3667" s="2">
        <v>972256.98</v>
      </c>
      <c r="D3667">
        <v>0</v>
      </c>
      <c r="E3667" s="65">
        <v>35.06</v>
      </c>
      <c r="F3667" s="8">
        <v>3.604</v>
      </c>
      <c r="G3667" s="66">
        <v>136.4884516</v>
      </c>
      <c r="H3667" s="8">
        <v>7.598</v>
      </c>
      <c r="J3667" s="26"/>
      <c r="K3667"/>
    </row>
    <row r="3668" spans="1:11">
      <c r="A3668">
        <v>26</v>
      </c>
      <c r="B3668" s="64">
        <v>40851</v>
      </c>
      <c r="C3668" s="2">
        <v>988950.75</v>
      </c>
      <c r="D3668">
        <v>0</v>
      </c>
      <c r="E3668" s="65">
        <v>31.7</v>
      </c>
      <c r="F3668" s="8">
        <v>3.586</v>
      </c>
      <c r="G3668" s="66">
        <v>136.475129</v>
      </c>
      <c r="H3668" s="8">
        <v>7.598</v>
      </c>
      <c r="J3668" s="26"/>
      <c r="K3668"/>
    </row>
    <row r="3669" spans="1:11">
      <c r="A3669">
        <v>26</v>
      </c>
      <c r="B3669" s="64">
        <v>40858</v>
      </c>
      <c r="C3669" s="2">
        <v>1077640.13</v>
      </c>
      <c r="D3669">
        <v>0</v>
      </c>
      <c r="E3669" s="65">
        <v>40.08</v>
      </c>
      <c r="F3669" s="8">
        <v>3.57</v>
      </c>
      <c r="G3669" s="66">
        <v>136.4618065</v>
      </c>
      <c r="H3669" s="8">
        <v>7.598</v>
      </c>
      <c r="J3669" s="26"/>
      <c r="K3669"/>
    </row>
    <row r="3670" spans="1:11">
      <c r="A3670">
        <v>26</v>
      </c>
      <c r="B3670" s="64">
        <v>40865</v>
      </c>
      <c r="C3670" s="2">
        <v>946091.79</v>
      </c>
      <c r="D3670">
        <v>0</v>
      </c>
      <c r="E3670" s="65">
        <v>37.78</v>
      </c>
      <c r="F3670" s="8">
        <v>3.571</v>
      </c>
      <c r="G3670" s="66">
        <v>136.4666667</v>
      </c>
      <c r="H3670" s="8">
        <v>7.598</v>
      </c>
      <c r="J3670" s="26"/>
      <c r="K3670"/>
    </row>
    <row r="3671" spans="1:11">
      <c r="A3671">
        <v>26</v>
      </c>
      <c r="B3671" s="64">
        <v>40872</v>
      </c>
      <c r="C3671" s="2">
        <v>1282320.05</v>
      </c>
      <c r="D3671">
        <v>1</v>
      </c>
      <c r="E3671" s="65">
        <v>31.07</v>
      </c>
      <c r="F3671" s="8">
        <v>3.536</v>
      </c>
      <c r="G3671" s="66">
        <v>136.4788</v>
      </c>
      <c r="H3671" s="8">
        <v>7.598</v>
      </c>
      <c r="J3671" s="26"/>
      <c r="K3671"/>
    </row>
    <row r="3672" spans="1:11">
      <c r="A3672">
        <v>26</v>
      </c>
      <c r="B3672" s="64">
        <v>40879</v>
      </c>
      <c r="C3672" s="2">
        <v>1012498.49</v>
      </c>
      <c r="D3672">
        <v>0</v>
      </c>
      <c r="E3672" s="65">
        <v>36.74</v>
      </c>
      <c r="F3672" s="8">
        <v>3.501</v>
      </c>
      <c r="G3672" s="66">
        <v>136.4909333</v>
      </c>
      <c r="H3672" s="8">
        <v>7.598</v>
      </c>
      <c r="J3672" s="26"/>
      <c r="K3672"/>
    </row>
    <row r="3673" spans="1:11">
      <c r="A3673">
        <v>26</v>
      </c>
      <c r="B3673" s="64">
        <v>40886</v>
      </c>
      <c r="C3673" s="2">
        <v>1148987.46</v>
      </c>
      <c r="D3673">
        <v>0</v>
      </c>
      <c r="E3673" s="65">
        <v>34.24</v>
      </c>
      <c r="F3673" s="8">
        <v>3.47</v>
      </c>
      <c r="G3673" s="66">
        <v>136.5030667</v>
      </c>
      <c r="H3673" s="8">
        <v>7.598</v>
      </c>
      <c r="J3673" s="26"/>
      <c r="K3673"/>
    </row>
    <row r="3674" spans="1:11">
      <c r="A3674">
        <v>26</v>
      </c>
      <c r="B3674" s="64">
        <v>40893</v>
      </c>
      <c r="C3674" s="2">
        <v>1204807.83</v>
      </c>
      <c r="D3674">
        <v>0</v>
      </c>
      <c r="E3674" s="65">
        <v>28.24</v>
      </c>
      <c r="F3674" s="8">
        <v>3.445</v>
      </c>
      <c r="G3674" s="66">
        <v>136.5335161</v>
      </c>
      <c r="H3674" s="8">
        <v>7.598</v>
      </c>
      <c r="J3674" s="26"/>
      <c r="K3674"/>
    </row>
    <row r="3675" spans="1:11">
      <c r="A3675">
        <v>26</v>
      </c>
      <c r="B3675" s="64">
        <v>40900</v>
      </c>
      <c r="C3675" s="2">
        <v>1515175.01</v>
      </c>
      <c r="D3675">
        <v>0</v>
      </c>
      <c r="E3675" s="65">
        <v>22.53</v>
      </c>
      <c r="F3675" s="8">
        <v>3.413</v>
      </c>
      <c r="G3675" s="66">
        <v>136.5883871</v>
      </c>
      <c r="H3675" s="8">
        <v>7.598</v>
      </c>
      <c r="J3675" s="26"/>
      <c r="K3675"/>
    </row>
    <row r="3676" spans="1:11">
      <c r="A3676">
        <v>26</v>
      </c>
      <c r="B3676" s="64">
        <v>40907</v>
      </c>
      <c r="C3676" s="2">
        <v>972834.42</v>
      </c>
      <c r="D3676">
        <v>1</v>
      </c>
      <c r="E3676" s="65">
        <v>18.8</v>
      </c>
      <c r="F3676" s="8">
        <v>3.402</v>
      </c>
      <c r="G3676" s="66">
        <v>136.6432581</v>
      </c>
      <c r="H3676" s="8">
        <v>7.598</v>
      </c>
      <c r="J3676" s="26"/>
      <c r="K3676"/>
    </row>
    <row r="3677" spans="1:11">
      <c r="A3677">
        <v>26</v>
      </c>
      <c r="B3677" s="64">
        <v>40914</v>
      </c>
      <c r="C3677" s="2">
        <v>971557.62</v>
      </c>
      <c r="D3677">
        <v>0</v>
      </c>
      <c r="E3677" s="65">
        <v>22.94</v>
      </c>
      <c r="F3677" s="8">
        <v>3.439</v>
      </c>
      <c r="G3677" s="66">
        <v>136.698129</v>
      </c>
      <c r="H3677" s="8">
        <v>7.467</v>
      </c>
      <c r="J3677" s="26"/>
      <c r="K3677"/>
    </row>
    <row r="3678" spans="1:11">
      <c r="A3678">
        <v>26</v>
      </c>
      <c r="B3678" s="64">
        <v>40921</v>
      </c>
      <c r="C3678" s="2">
        <v>836305.65</v>
      </c>
      <c r="D3678">
        <v>0</v>
      </c>
      <c r="E3678" s="65">
        <v>25.55</v>
      </c>
      <c r="F3678" s="8">
        <v>3.523</v>
      </c>
      <c r="G3678" s="66">
        <v>136.753</v>
      </c>
      <c r="H3678" s="8">
        <v>7.467</v>
      </c>
      <c r="J3678" s="26"/>
      <c r="K3678"/>
    </row>
    <row r="3679" spans="1:11">
      <c r="A3679">
        <v>26</v>
      </c>
      <c r="B3679" s="64">
        <v>40928</v>
      </c>
      <c r="C3679" s="2">
        <v>838751.5</v>
      </c>
      <c r="D3679">
        <v>0</v>
      </c>
      <c r="E3679" s="65">
        <v>15.22</v>
      </c>
      <c r="F3679" s="8">
        <v>3.542</v>
      </c>
      <c r="G3679" s="66">
        <v>136.8564194</v>
      </c>
      <c r="H3679" s="8">
        <v>7.467</v>
      </c>
      <c r="J3679" s="26"/>
      <c r="K3679"/>
    </row>
    <row r="3680" spans="1:11">
      <c r="A3680">
        <v>26</v>
      </c>
      <c r="B3680" s="64">
        <v>40935</v>
      </c>
      <c r="C3680" s="2">
        <v>820059.89</v>
      </c>
      <c r="D3680">
        <v>0</v>
      </c>
      <c r="E3680" s="65">
        <v>24.16</v>
      </c>
      <c r="F3680" s="8">
        <v>3.568</v>
      </c>
      <c r="G3680" s="66">
        <v>136.9598387</v>
      </c>
      <c r="H3680" s="8">
        <v>7.467</v>
      </c>
      <c r="J3680" s="26"/>
      <c r="K3680"/>
    </row>
    <row r="3681" spans="1:11">
      <c r="A3681">
        <v>26</v>
      </c>
      <c r="B3681" s="64">
        <v>40942</v>
      </c>
      <c r="C3681" s="2">
        <v>939158.25</v>
      </c>
      <c r="D3681">
        <v>0</v>
      </c>
      <c r="E3681" s="65">
        <v>25.24</v>
      </c>
      <c r="F3681" s="8">
        <v>3.633</v>
      </c>
      <c r="G3681" s="66">
        <v>137.0632581</v>
      </c>
      <c r="H3681" s="8">
        <v>7.467</v>
      </c>
      <c r="J3681" s="26"/>
      <c r="K3681"/>
    </row>
    <row r="3682" spans="1:11">
      <c r="A3682">
        <v>26</v>
      </c>
      <c r="B3682" s="64">
        <v>40949</v>
      </c>
      <c r="C3682" s="2">
        <v>1081005.64</v>
      </c>
      <c r="D3682">
        <v>1</v>
      </c>
      <c r="E3682" s="65">
        <v>23.89</v>
      </c>
      <c r="F3682" s="8">
        <v>3.655</v>
      </c>
      <c r="G3682" s="66">
        <v>137.1666774</v>
      </c>
      <c r="H3682" s="8">
        <v>7.467</v>
      </c>
      <c r="J3682" s="26"/>
      <c r="K3682"/>
    </row>
    <row r="3683" spans="1:11">
      <c r="A3683">
        <v>26</v>
      </c>
      <c r="B3683" s="64">
        <v>40956</v>
      </c>
      <c r="C3683" s="2">
        <v>965788.76</v>
      </c>
      <c r="D3683">
        <v>0</v>
      </c>
      <c r="E3683" s="65">
        <v>23.9</v>
      </c>
      <c r="F3683" s="8">
        <v>3.703</v>
      </c>
      <c r="G3683" s="66">
        <v>137.2583103</v>
      </c>
      <c r="H3683" s="8">
        <v>7.467</v>
      </c>
      <c r="J3683" s="26"/>
      <c r="K3683"/>
    </row>
    <row r="3684" spans="1:11">
      <c r="A3684">
        <v>26</v>
      </c>
      <c r="B3684" s="64">
        <v>40963</v>
      </c>
      <c r="C3684" s="2">
        <v>917924.47</v>
      </c>
      <c r="D3684">
        <v>0</v>
      </c>
      <c r="E3684" s="65">
        <v>28.06</v>
      </c>
      <c r="F3684" s="8">
        <v>3.751</v>
      </c>
      <c r="G3684" s="66">
        <v>137.3411034</v>
      </c>
      <c r="H3684" s="8">
        <v>7.467</v>
      </c>
      <c r="J3684" s="26"/>
      <c r="K3684"/>
    </row>
    <row r="3685" spans="1:11">
      <c r="A3685">
        <v>26</v>
      </c>
      <c r="B3685" s="64">
        <v>40970</v>
      </c>
      <c r="C3685" s="2">
        <v>955641.74</v>
      </c>
      <c r="D3685">
        <v>0</v>
      </c>
      <c r="E3685" s="65">
        <v>22.49</v>
      </c>
      <c r="F3685" s="8">
        <v>3.827</v>
      </c>
      <c r="G3685" s="66">
        <v>137.4238966</v>
      </c>
      <c r="H3685" s="8">
        <v>7.467</v>
      </c>
      <c r="J3685" s="26"/>
      <c r="K3685"/>
    </row>
    <row r="3686" spans="1:11">
      <c r="A3686">
        <v>26</v>
      </c>
      <c r="B3686" s="64">
        <v>40977</v>
      </c>
      <c r="C3686" s="2">
        <v>1028569.01</v>
      </c>
      <c r="D3686">
        <v>0</v>
      </c>
      <c r="E3686" s="65">
        <v>29.03</v>
      </c>
      <c r="F3686" s="8">
        <v>3.876</v>
      </c>
      <c r="G3686" s="66">
        <v>137.5066897</v>
      </c>
      <c r="H3686" s="8">
        <v>7.467</v>
      </c>
      <c r="J3686" s="26"/>
      <c r="K3686"/>
    </row>
    <row r="3687" spans="1:11">
      <c r="A3687">
        <v>26</v>
      </c>
      <c r="B3687" s="64">
        <v>40984</v>
      </c>
      <c r="C3687" s="2">
        <v>919503.4</v>
      </c>
      <c r="D3687">
        <v>0</v>
      </c>
      <c r="E3687" s="65">
        <v>35.06</v>
      </c>
      <c r="F3687" s="8">
        <v>3.867</v>
      </c>
      <c r="G3687" s="66">
        <v>137.5843871</v>
      </c>
      <c r="H3687" s="8">
        <v>7.467</v>
      </c>
      <c r="J3687" s="26"/>
      <c r="K3687"/>
    </row>
    <row r="3688" spans="1:11">
      <c r="A3688">
        <v>26</v>
      </c>
      <c r="B3688" s="64">
        <v>40991</v>
      </c>
      <c r="C3688" s="2">
        <v>874790.68</v>
      </c>
      <c r="D3688">
        <v>0</v>
      </c>
      <c r="E3688" s="65">
        <v>49.97</v>
      </c>
      <c r="F3688" s="8">
        <v>3.889</v>
      </c>
      <c r="G3688" s="66">
        <v>137.6552903</v>
      </c>
      <c r="H3688" s="8">
        <v>7.467</v>
      </c>
      <c r="J3688" s="26"/>
      <c r="K3688"/>
    </row>
    <row r="3689" spans="1:11">
      <c r="A3689">
        <v>26</v>
      </c>
      <c r="B3689" s="64">
        <v>40998</v>
      </c>
      <c r="C3689" s="2">
        <v>922018.43</v>
      </c>
      <c r="D3689">
        <v>0</v>
      </c>
      <c r="E3689" s="65">
        <v>33.33</v>
      </c>
      <c r="F3689" s="8">
        <v>3.921</v>
      </c>
      <c r="G3689" s="66">
        <v>137.7261935</v>
      </c>
      <c r="H3689" s="8">
        <v>7.467</v>
      </c>
      <c r="J3689" s="26"/>
      <c r="K3689"/>
    </row>
    <row r="3690" spans="1:11">
      <c r="A3690">
        <v>26</v>
      </c>
      <c r="B3690" s="64">
        <v>41005</v>
      </c>
      <c r="C3690" s="2">
        <v>1116829.23</v>
      </c>
      <c r="D3690">
        <v>0</v>
      </c>
      <c r="E3690" s="65">
        <v>33.35</v>
      </c>
      <c r="F3690" s="8">
        <v>3.957</v>
      </c>
      <c r="G3690" s="66">
        <v>137.7970968</v>
      </c>
      <c r="H3690" s="8">
        <v>7.489</v>
      </c>
      <c r="J3690" s="26"/>
      <c r="K3690"/>
    </row>
    <row r="3691" spans="1:11">
      <c r="A3691">
        <v>26</v>
      </c>
      <c r="B3691" s="64">
        <v>41012</v>
      </c>
      <c r="C3691" s="2">
        <v>889670.29</v>
      </c>
      <c r="D3691">
        <v>0</v>
      </c>
      <c r="E3691" s="65">
        <v>36.9</v>
      </c>
      <c r="F3691" s="8">
        <v>4.025</v>
      </c>
      <c r="G3691" s="66">
        <v>137.868</v>
      </c>
      <c r="H3691" s="8">
        <v>7.489</v>
      </c>
      <c r="J3691" s="26"/>
      <c r="K3691"/>
    </row>
    <row r="3692" spans="1:11">
      <c r="A3692">
        <v>26</v>
      </c>
      <c r="B3692" s="64">
        <v>41019</v>
      </c>
      <c r="C3692" s="2">
        <v>923600.02</v>
      </c>
      <c r="D3692">
        <v>0</v>
      </c>
      <c r="E3692" s="65">
        <v>50.81</v>
      </c>
      <c r="F3692" s="8">
        <v>4.046</v>
      </c>
      <c r="G3692" s="66">
        <v>137.9230667</v>
      </c>
      <c r="H3692" s="8">
        <v>7.489</v>
      </c>
      <c r="J3692" s="26"/>
      <c r="K3692"/>
    </row>
    <row r="3693" spans="1:11">
      <c r="A3693">
        <v>26</v>
      </c>
      <c r="B3693" s="64">
        <v>41026</v>
      </c>
      <c r="C3693" s="2">
        <v>911969</v>
      </c>
      <c r="D3693">
        <v>0</v>
      </c>
      <c r="E3693" s="65">
        <v>43.6</v>
      </c>
      <c r="F3693" s="8">
        <v>4.023</v>
      </c>
      <c r="G3693" s="66">
        <v>137.9781333</v>
      </c>
      <c r="H3693" s="8">
        <v>7.489</v>
      </c>
      <c r="J3693" s="26"/>
      <c r="K3693"/>
    </row>
    <row r="3694" spans="1:11">
      <c r="A3694">
        <v>26</v>
      </c>
      <c r="B3694" s="64">
        <v>41033</v>
      </c>
      <c r="C3694" s="2">
        <v>946573.29</v>
      </c>
      <c r="D3694">
        <v>0</v>
      </c>
      <c r="E3694" s="65">
        <v>40.29</v>
      </c>
      <c r="F3694" s="8">
        <v>3.991</v>
      </c>
      <c r="G3694" s="66">
        <v>138.0332</v>
      </c>
      <c r="H3694" s="8">
        <v>7.489</v>
      </c>
      <c r="J3694" s="26"/>
      <c r="K3694"/>
    </row>
    <row r="3695" spans="1:11">
      <c r="A3695">
        <v>26</v>
      </c>
      <c r="B3695" s="64">
        <v>41040</v>
      </c>
      <c r="C3695" s="2">
        <v>1062548.73</v>
      </c>
      <c r="D3695">
        <v>0</v>
      </c>
      <c r="E3695" s="65">
        <v>47.11</v>
      </c>
      <c r="F3695" s="8">
        <v>3.947</v>
      </c>
      <c r="G3695" s="66">
        <v>138.0882667</v>
      </c>
      <c r="H3695" s="8">
        <v>7.489</v>
      </c>
      <c r="J3695" s="26"/>
      <c r="K3695"/>
    </row>
    <row r="3696" spans="1:11">
      <c r="A3696">
        <v>26</v>
      </c>
      <c r="B3696" s="64">
        <v>41047</v>
      </c>
      <c r="C3696" s="2">
        <v>978082.84</v>
      </c>
      <c r="D3696">
        <v>0</v>
      </c>
      <c r="E3696" s="65">
        <v>52.55</v>
      </c>
      <c r="F3696" s="8">
        <v>3.899</v>
      </c>
      <c r="G3696" s="66">
        <v>138.1065806</v>
      </c>
      <c r="H3696" s="8">
        <v>7.489</v>
      </c>
      <c r="J3696" s="26"/>
      <c r="K3696"/>
    </row>
    <row r="3697" spans="1:11">
      <c r="A3697">
        <v>26</v>
      </c>
      <c r="B3697" s="64">
        <v>41054</v>
      </c>
      <c r="C3697" s="2">
        <v>1067310.74</v>
      </c>
      <c r="D3697">
        <v>0</v>
      </c>
      <c r="E3697" s="65">
        <v>58.2</v>
      </c>
      <c r="F3697" s="8">
        <v>3.85</v>
      </c>
      <c r="G3697" s="66">
        <v>138.1101935</v>
      </c>
      <c r="H3697" s="8">
        <v>7.489</v>
      </c>
      <c r="J3697" s="26"/>
      <c r="K3697"/>
    </row>
    <row r="3698" spans="1:11">
      <c r="A3698">
        <v>26</v>
      </c>
      <c r="B3698" s="64">
        <v>41061</v>
      </c>
      <c r="C3698" s="2">
        <v>1015853.03</v>
      </c>
      <c r="D3698">
        <v>0</v>
      </c>
      <c r="E3698" s="65">
        <v>58.51</v>
      </c>
      <c r="F3698" s="8">
        <v>3.798</v>
      </c>
      <c r="G3698" s="66">
        <v>138.1138065</v>
      </c>
      <c r="H3698" s="8">
        <v>7.489</v>
      </c>
      <c r="J3698" s="26"/>
      <c r="K3698"/>
    </row>
    <row r="3699" spans="1:11">
      <c r="A3699">
        <v>26</v>
      </c>
      <c r="B3699" s="64">
        <v>41068</v>
      </c>
      <c r="C3699" s="2">
        <v>1106176.83</v>
      </c>
      <c r="D3699">
        <v>0</v>
      </c>
      <c r="E3699" s="65">
        <v>49.43</v>
      </c>
      <c r="F3699" s="8">
        <v>3.746</v>
      </c>
      <c r="G3699" s="66">
        <v>138.1174194</v>
      </c>
      <c r="H3699" s="8">
        <v>7.489</v>
      </c>
      <c r="J3699" s="26"/>
      <c r="K3699"/>
    </row>
    <row r="3700" spans="1:11">
      <c r="A3700">
        <v>26</v>
      </c>
      <c r="B3700" s="64">
        <v>41075</v>
      </c>
      <c r="C3700" s="2">
        <v>1029248.22</v>
      </c>
      <c r="D3700">
        <v>0</v>
      </c>
      <c r="E3700" s="65">
        <v>57.84</v>
      </c>
      <c r="F3700" s="8">
        <v>3.683</v>
      </c>
      <c r="G3700" s="66">
        <v>138.1295333</v>
      </c>
      <c r="H3700" s="8">
        <v>7.489</v>
      </c>
      <c r="J3700" s="26"/>
      <c r="K3700"/>
    </row>
    <row r="3701" spans="1:11">
      <c r="A3701">
        <v>26</v>
      </c>
      <c r="B3701" s="64">
        <v>41082</v>
      </c>
      <c r="C3701" s="2">
        <v>1056282.91</v>
      </c>
      <c r="D3701">
        <v>0</v>
      </c>
      <c r="E3701" s="65">
        <v>63.04</v>
      </c>
      <c r="F3701" s="8">
        <v>3.629</v>
      </c>
      <c r="G3701" s="66">
        <v>138.1629</v>
      </c>
      <c r="H3701" s="8">
        <v>7.489</v>
      </c>
      <c r="J3701" s="26"/>
      <c r="K3701"/>
    </row>
    <row r="3702" spans="1:11">
      <c r="A3702">
        <v>26</v>
      </c>
      <c r="B3702" s="64">
        <v>41089</v>
      </c>
      <c r="C3702" s="2">
        <v>1051190.44</v>
      </c>
      <c r="D3702">
        <v>0</v>
      </c>
      <c r="E3702" s="65">
        <v>60.71</v>
      </c>
      <c r="F3702" s="8">
        <v>3.577</v>
      </c>
      <c r="G3702" s="66">
        <v>138.1962667</v>
      </c>
      <c r="H3702" s="8">
        <v>7.489</v>
      </c>
      <c r="J3702" s="26"/>
      <c r="K3702"/>
    </row>
    <row r="3703" spans="1:11">
      <c r="A3703">
        <v>26</v>
      </c>
      <c r="B3703" s="64">
        <v>41096</v>
      </c>
      <c r="C3703" s="2">
        <v>1180470.8</v>
      </c>
      <c r="D3703">
        <v>0</v>
      </c>
      <c r="E3703" s="65">
        <v>64.94</v>
      </c>
      <c r="F3703" s="8">
        <v>3.538</v>
      </c>
      <c r="G3703" s="66">
        <v>138.2296333</v>
      </c>
      <c r="H3703" s="8">
        <v>7.405</v>
      </c>
      <c r="J3703" s="26"/>
      <c r="K3703"/>
    </row>
    <row r="3704" spans="1:11">
      <c r="A3704">
        <v>26</v>
      </c>
      <c r="B3704" s="64">
        <v>41103</v>
      </c>
      <c r="C3704" s="2">
        <v>1063149.78</v>
      </c>
      <c r="D3704">
        <v>0</v>
      </c>
      <c r="E3704" s="65">
        <v>64.47</v>
      </c>
      <c r="F3704" s="8">
        <v>3.561</v>
      </c>
      <c r="G3704" s="66">
        <v>138.263</v>
      </c>
      <c r="H3704" s="8">
        <v>7.405</v>
      </c>
      <c r="J3704" s="26"/>
      <c r="K3704"/>
    </row>
    <row r="3705" spans="1:11">
      <c r="A3705">
        <v>26</v>
      </c>
      <c r="B3705" s="64">
        <v>41110</v>
      </c>
      <c r="C3705" s="2">
        <v>1049625.9</v>
      </c>
      <c r="D3705">
        <v>0</v>
      </c>
      <c r="E3705" s="65">
        <v>66.75</v>
      </c>
      <c r="F3705" s="8">
        <v>3.61</v>
      </c>
      <c r="G3705" s="66">
        <v>138.2331935</v>
      </c>
      <c r="H3705" s="8">
        <v>7.405</v>
      </c>
      <c r="J3705" s="26"/>
      <c r="K3705"/>
    </row>
    <row r="3706" spans="1:11">
      <c r="A3706">
        <v>26</v>
      </c>
      <c r="B3706" s="64">
        <v>41117</v>
      </c>
      <c r="C3706" s="2">
        <v>1031745.14</v>
      </c>
      <c r="D3706">
        <v>0</v>
      </c>
      <c r="E3706" s="65">
        <v>64.12</v>
      </c>
      <c r="F3706" s="8">
        <v>3.701</v>
      </c>
      <c r="G3706" s="66">
        <v>138.2033871</v>
      </c>
      <c r="H3706" s="8">
        <v>7.405</v>
      </c>
      <c r="J3706" s="26"/>
      <c r="K3706"/>
    </row>
    <row r="3707" spans="1:11">
      <c r="A3707">
        <v>26</v>
      </c>
      <c r="B3707" s="64">
        <v>41124</v>
      </c>
      <c r="C3707" s="2">
        <v>1090915.09</v>
      </c>
      <c r="D3707">
        <v>0</v>
      </c>
      <c r="E3707" s="65">
        <v>65.6</v>
      </c>
      <c r="F3707" s="8">
        <v>3.698</v>
      </c>
      <c r="G3707" s="66">
        <v>138.1735806</v>
      </c>
      <c r="H3707" s="8">
        <v>7.405</v>
      </c>
      <c r="J3707" s="26"/>
      <c r="K3707"/>
    </row>
    <row r="3708" spans="1:11">
      <c r="A3708">
        <v>26</v>
      </c>
      <c r="B3708" s="64">
        <v>41131</v>
      </c>
      <c r="C3708" s="2">
        <v>1121476.51</v>
      </c>
      <c r="D3708">
        <v>0</v>
      </c>
      <c r="E3708" s="65">
        <v>67.01</v>
      </c>
      <c r="F3708" s="8">
        <v>3.772</v>
      </c>
      <c r="G3708" s="66">
        <v>138.1437742</v>
      </c>
      <c r="H3708" s="8">
        <v>7.405</v>
      </c>
      <c r="J3708" s="26"/>
      <c r="K3708"/>
    </row>
    <row r="3709" spans="1:11">
      <c r="A3709">
        <v>26</v>
      </c>
      <c r="B3709" s="64">
        <v>41138</v>
      </c>
      <c r="C3709" s="2">
        <v>1068292.56</v>
      </c>
      <c r="D3709">
        <v>0</v>
      </c>
      <c r="E3709" s="65">
        <v>65.54</v>
      </c>
      <c r="F3709" s="8">
        <v>3.84</v>
      </c>
      <c r="G3709" s="66">
        <v>138.1857097</v>
      </c>
      <c r="H3709" s="8">
        <v>7.405</v>
      </c>
      <c r="J3709" s="26"/>
      <c r="K3709"/>
    </row>
    <row r="3710" spans="1:11">
      <c r="A3710">
        <v>26</v>
      </c>
      <c r="B3710" s="64">
        <v>41145</v>
      </c>
      <c r="C3710" s="2">
        <v>1022704.2</v>
      </c>
      <c r="D3710">
        <v>0</v>
      </c>
      <c r="E3710" s="65">
        <v>62.08</v>
      </c>
      <c r="F3710" s="8">
        <v>3.874</v>
      </c>
      <c r="G3710" s="66">
        <v>138.2814516</v>
      </c>
      <c r="H3710" s="8">
        <v>7.405</v>
      </c>
      <c r="J3710" s="26"/>
      <c r="K3710"/>
    </row>
    <row r="3711" spans="1:11">
      <c r="A3711">
        <v>26</v>
      </c>
      <c r="B3711" s="64">
        <v>41152</v>
      </c>
      <c r="C3711" s="2">
        <v>1053495.51</v>
      </c>
      <c r="D3711">
        <v>0</v>
      </c>
      <c r="E3711" s="65">
        <v>63.69</v>
      </c>
      <c r="F3711" s="8">
        <v>3.884</v>
      </c>
      <c r="G3711" s="66">
        <v>138.3771935</v>
      </c>
      <c r="H3711" s="8">
        <v>7.405</v>
      </c>
      <c r="J3711" s="26"/>
      <c r="K3711"/>
    </row>
    <row r="3712" spans="1:11">
      <c r="A3712">
        <v>26</v>
      </c>
      <c r="B3712" s="64">
        <v>41159</v>
      </c>
      <c r="C3712" s="2">
        <v>1081874.03</v>
      </c>
      <c r="D3712">
        <v>1</v>
      </c>
      <c r="E3712" s="65">
        <v>61.58</v>
      </c>
      <c r="F3712" s="8">
        <v>3.921</v>
      </c>
      <c r="G3712" s="66">
        <v>138.4729355</v>
      </c>
      <c r="H3712" s="8">
        <v>7.405</v>
      </c>
      <c r="J3712" s="26"/>
      <c r="K3712"/>
    </row>
    <row r="3713" spans="1:11">
      <c r="A3713">
        <v>26</v>
      </c>
      <c r="B3713" s="64">
        <v>41166</v>
      </c>
      <c r="C3713" s="2">
        <v>986131.94</v>
      </c>
      <c r="D3713">
        <v>0</v>
      </c>
      <c r="E3713" s="65">
        <v>57.69</v>
      </c>
      <c r="F3713" s="8">
        <v>3.988</v>
      </c>
      <c r="G3713" s="66">
        <v>138.5673</v>
      </c>
      <c r="H3713" s="8">
        <v>7.405</v>
      </c>
      <c r="J3713" s="26"/>
      <c r="K3713"/>
    </row>
    <row r="3714" spans="1:11">
      <c r="A3714">
        <v>26</v>
      </c>
      <c r="B3714" s="64">
        <v>41173</v>
      </c>
      <c r="C3714" s="2">
        <v>961084.08</v>
      </c>
      <c r="D3714">
        <v>0</v>
      </c>
      <c r="E3714" s="65">
        <v>52.68</v>
      </c>
      <c r="F3714" s="8">
        <v>4.056</v>
      </c>
      <c r="G3714" s="66">
        <v>138.6534</v>
      </c>
      <c r="H3714" s="8">
        <v>7.405</v>
      </c>
      <c r="J3714" s="26"/>
      <c r="K3714"/>
    </row>
    <row r="3715" spans="1:11">
      <c r="A3715">
        <v>26</v>
      </c>
      <c r="B3715" s="64">
        <v>41180</v>
      </c>
      <c r="C3715" s="2">
        <v>964726.37</v>
      </c>
      <c r="D3715">
        <v>0</v>
      </c>
      <c r="E3715" s="65">
        <v>50.66</v>
      </c>
      <c r="F3715" s="8">
        <v>4.018</v>
      </c>
      <c r="G3715" s="66">
        <v>138.7395</v>
      </c>
      <c r="H3715" s="8">
        <v>7.405</v>
      </c>
      <c r="J3715" s="26"/>
      <c r="K3715"/>
    </row>
    <row r="3716" spans="1:11">
      <c r="A3716">
        <v>26</v>
      </c>
      <c r="B3716" s="64">
        <v>41187</v>
      </c>
      <c r="C3716" s="2">
        <v>1095504.26</v>
      </c>
      <c r="D3716">
        <v>0</v>
      </c>
      <c r="E3716" s="65">
        <v>54.07</v>
      </c>
      <c r="F3716" s="8">
        <v>4.027</v>
      </c>
      <c r="G3716" s="66">
        <v>138.8256</v>
      </c>
      <c r="H3716" s="8">
        <v>7.138</v>
      </c>
      <c r="J3716" s="26"/>
      <c r="K3716"/>
    </row>
    <row r="3717" spans="1:11">
      <c r="A3717">
        <v>26</v>
      </c>
      <c r="B3717" s="64">
        <v>41194</v>
      </c>
      <c r="C3717" s="2">
        <v>1044639.69</v>
      </c>
      <c r="D3717">
        <v>0</v>
      </c>
      <c r="E3717" s="65">
        <v>45.19</v>
      </c>
      <c r="F3717" s="8">
        <v>4.029</v>
      </c>
      <c r="G3717" s="66">
        <v>138.9117</v>
      </c>
      <c r="H3717" s="8">
        <v>7.138</v>
      </c>
      <c r="J3717" s="26"/>
      <c r="K3717"/>
    </row>
    <row r="3718" spans="1:11">
      <c r="A3718">
        <v>26</v>
      </c>
      <c r="B3718" s="64">
        <v>41201</v>
      </c>
      <c r="C3718" s="2">
        <v>975578.02</v>
      </c>
      <c r="D3718">
        <v>0</v>
      </c>
      <c r="E3718" s="65">
        <v>43.51</v>
      </c>
      <c r="F3718" s="8">
        <v>4</v>
      </c>
      <c r="G3718" s="66">
        <v>138.8336129</v>
      </c>
      <c r="H3718" s="8">
        <v>7.138</v>
      </c>
      <c r="J3718" s="26"/>
      <c r="K3718"/>
    </row>
    <row r="3719" spans="1:11">
      <c r="A3719">
        <v>26</v>
      </c>
      <c r="B3719" s="64">
        <v>41208</v>
      </c>
      <c r="C3719" s="2">
        <v>958619.8</v>
      </c>
      <c r="D3719">
        <v>0</v>
      </c>
      <c r="E3719" s="65">
        <v>46.95</v>
      </c>
      <c r="F3719" s="8">
        <v>3.917</v>
      </c>
      <c r="G3719" s="66">
        <v>138.7281613</v>
      </c>
      <c r="H3719" s="8">
        <v>7.138</v>
      </c>
      <c r="J3719" s="26"/>
      <c r="K3719"/>
    </row>
    <row r="3720" spans="1:11">
      <c r="A3720">
        <v>27</v>
      </c>
      <c r="B3720" s="64">
        <v>40214</v>
      </c>
      <c r="C3720" s="2">
        <v>1874289.79</v>
      </c>
      <c r="D3720">
        <v>0</v>
      </c>
      <c r="E3720" s="65">
        <v>27.19</v>
      </c>
      <c r="F3720" s="8">
        <v>2.954</v>
      </c>
      <c r="G3720" s="66">
        <v>135.3524608</v>
      </c>
      <c r="H3720" s="8">
        <v>8.237</v>
      </c>
      <c r="J3720" s="26"/>
      <c r="K3720"/>
    </row>
    <row r="3721" spans="1:11">
      <c r="A3721">
        <v>27</v>
      </c>
      <c r="B3721" s="64">
        <v>40221</v>
      </c>
      <c r="C3721" s="2">
        <v>1745362.72</v>
      </c>
      <c r="D3721">
        <v>1</v>
      </c>
      <c r="E3721" s="65">
        <v>29.81</v>
      </c>
      <c r="F3721" s="8">
        <v>2.94</v>
      </c>
      <c r="G3721" s="66">
        <v>135.4113076</v>
      </c>
      <c r="H3721" s="8">
        <v>8.237</v>
      </c>
      <c r="J3721" s="26"/>
      <c r="K3721"/>
    </row>
    <row r="3722" spans="1:11">
      <c r="A3722">
        <v>27</v>
      </c>
      <c r="B3722" s="64">
        <v>40228</v>
      </c>
      <c r="C3722" s="2">
        <v>1945070.33</v>
      </c>
      <c r="D3722">
        <v>0</v>
      </c>
      <c r="E3722" s="65">
        <v>32.44</v>
      </c>
      <c r="F3722" s="8">
        <v>2.909</v>
      </c>
      <c r="G3722" s="66">
        <v>135.4657781</v>
      </c>
      <c r="H3722" s="8">
        <v>8.237</v>
      </c>
      <c r="J3722" s="26"/>
      <c r="K3722"/>
    </row>
    <row r="3723" spans="1:11">
      <c r="A3723">
        <v>27</v>
      </c>
      <c r="B3723" s="64">
        <v>40235</v>
      </c>
      <c r="C3723" s="2">
        <v>1390934.27</v>
      </c>
      <c r="D3723">
        <v>0</v>
      </c>
      <c r="E3723" s="65">
        <v>36</v>
      </c>
      <c r="F3723" s="8">
        <v>2.91</v>
      </c>
      <c r="G3723" s="66">
        <v>135.5195191</v>
      </c>
      <c r="H3723" s="8">
        <v>8.237</v>
      </c>
      <c r="J3723" s="26"/>
      <c r="K3723"/>
    </row>
    <row r="3724" spans="1:11">
      <c r="A3724">
        <v>27</v>
      </c>
      <c r="B3724" s="64">
        <v>40242</v>
      </c>
      <c r="C3724" s="2">
        <v>1313729.72</v>
      </c>
      <c r="D3724">
        <v>0</v>
      </c>
      <c r="E3724" s="65">
        <v>38.07</v>
      </c>
      <c r="F3724" s="8">
        <v>2.919</v>
      </c>
      <c r="G3724" s="66">
        <v>135.5732602</v>
      </c>
      <c r="H3724" s="8">
        <v>8.237</v>
      </c>
      <c r="J3724" s="26"/>
      <c r="K3724"/>
    </row>
    <row r="3725" spans="1:11">
      <c r="A3725">
        <v>27</v>
      </c>
      <c r="B3725" s="64">
        <v>40249</v>
      </c>
      <c r="C3725" s="2">
        <v>1925113.12</v>
      </c>
      <c r="D3725">
        <v>0</v>
      </c>
      <c r="E3725" s="65">
        <v>45.98</v>
      </c>
      <c r="F3725" s="8">
        <v>2.938</v>
      </c>
      <c r="G3725" s="66">
        <v>135.6270013</v>
      </c>
      <c r="H3725" s="8">
        <v>8.237</v>
      </c>
      <c r="J3725" s="26"/>
      <c r="K3725"/>
    </row>
    <row r="3726" spans="1:11">
      <c r="A3726">
        <v>27</v>
      </c>
      <c r="B3726" s="64">
        <v>40256</v>
      </c>
      <c r="C3726" s="2">
        <v>1700627.97</v>
      </c>
      <c r="D3726">
        <v>0</v>
      </c>
      <c r="E3726" s="65">
        <v>49.04</v>
      </c>
      <c r="F3726" s="8">
        <v>2.96</v>
      </c>
      <c r="G3726" s="66">
        <v>135.6682247</v>
      </c>
      <c r="H3726" s="8">
        <v>8.237</v>
      </c>
      <c r="J3726" s="26"/>
      <c r="K3726"/>
    </row>
    <row r="3727" spans="1:11">
      <c r="A3727">
        <v>27</v>
      </c>
      <c r="B3727" s="64">
        <v>40263</v>
      </c>
      <c r="C3727" s="2">
        <v>1836714.84</v>
      </c>
      <c r="D3727">
        <v>0</v>
      </c>
      <c r="E3727" s="65">
        <v>52.34</v>
      </c>
      <c r="F3727" s="8">
        <v>2.963</v>
      </c>
      <c r="G3727" s="66">
        <v>135.7073618</v>
      </c>
      <c r="H3727" s="8">
        <v>8.237</v>
      </c>
      <c r="J3727" s="26"/>
      <c r="K3727"/>
    </row>
    <row r="3728" spans="1:11">
      <c r="A3728">
        <v>27</v>
      </c>
      <c r="B3728" s="64">
        <v>40270</v>
      </c>
      <c r="C3728" s="2">
        <v>2053952.97</v>
      </c>
      <c r="D3728">
        <v>0</v>
      </c>
      <c r="E3728" s="65">
        <v>46.9</v>
      </c>
      <c r="F3728" s="8">
        <v>2.957</v>
      </c>
      <c r="G3728" s="66">
        <v>135.7464988</v>
      </c>
      <c r="H3728" s="8">
        <v>8.058</v>
      </c>
      <c r="J3728" s="26"/>
      <c r="K3728"/>
    </row>
    <row r="3729" spans="1:11">
      <c r="A3729">
        <v>27</v>
      </c>
      <c r="B3729" s="64">
        <v>40277</v>
      </c>
      <c r="C3729" s="2">
        <v>1955814.13</v>
      </c>
      <c r="D3729">
        <v>0</v>
      </c>
      <c r="E3729" s="65">
        <v>62.62</v>
      </c>
      <c r="F3729" s="8">
        <v>2.992</v>
      </c>
      <c r="G3729" s="66">
        <v>135.7856359</v>
      </c>
      <c r="H3729" s="8">
        <v>8.058</v>
      </c>
      <c r="J3729" s="26"/>
      <c r="K3729"/>
    </row>
    <row r="3730" spans="1:11">
      <c r="A3730">
        <v>27</v>
      </c>
      <c r="B3730" s="64">
        <v>40284</v>
      </c>
      <c r="C3730" s="2">
        <v>1857500.96</v>
      </c>
      <c r="D3730">
        <v>0</v>
      </c>
      <c r="E3730" s="65">
        <v>54.95</v>
      </c>
      <c r="F3730" s="8">
        <v>3.01</v>
      </c>
      <c r="G3730" s="66">
        <v>135.82725</v>
      </c>
      <c r="H3730" s="8">
        <v>8.058</v>
      </c>
      <c r="J3730" s="26"/>
      <c r="K3730"/>
    </row>
    <row r="3731" spans="1:11">
      <c r="A3731">
        <v>27</v>
      </c>
      <c r="B3731" s="64">
        <v>40291</v>
      </c>
      <c r="C3731" s="2">
        <v>1850205.47</v>
      </c>
      <c r="D3731">
        <v>0</v>
      </c>
      <c r="E3731" s="65">
        <v>53.91</v>
      </c>
      <c r="F3731" s="8">
        <v>3.021</v>
      </c>
      <c r="G3731" s="66">
        <v>135.8721667</v>
      </c>
      <c r="H3731" s="8">
        <v>8.058</v>
      </c>
      <c r="J3731" s="26"/>
      <c r="K3731"/>
    </row>
    <row r="3732" spans="1:11">
      <c r="A3732">
        <v>27</v>
      </c>
      <c r="B3732" s="64">
        <v>40298</v>
      </c>
      <c r="C3732" s="2">
        <v>1805885.04</v>
      </c>
      <c r="D3732">
        <v>0</v>
      </c>
      <c r="E3732" s="65">
        <v>53.55</v>
      </c>
      <c r="F3732" s="8">
        <v>3.042</v>
      </c>
      <c r="G3732" s="66">
        <v>135.9170833</v>
      </c>
      <c r="H3732" s="8">
        <v>8.058</v>
      </c>
      <c r="J3732" s="26"/>
      <c r="K3732"/>
    </row>
    <row r="3733" spans="1:11">
      <c r="A3733">
        <v>27</v>
      </c>
      <c r="B3733" s="64">
        <v>40305</v>
      </c>
      <c r="C3733" s="2">
        <v>1939458.84</v>
      </c>
      <c r="D3733">
        <v>0</v>
      </c>
      <c r="E3733" s="65">
        <v>69.02</v>
      </c>
      <c r="F3733" s="8">
        <v>3.095</v>
      </c>
      <c r="G3733" s="66">
        <v>135.962</v>
      </c>
      <c r="H3733" s="8">
        <v>8.058</v>
      </c>
      <c r="J3733" s="26"/>
      <c r="K3733"/>
    </row>
    <row r="3734" spans="1:11">
      <c r="A3734">
        <v>27</v>
      </c>
      <c r="B3734" s="64">
        <v>40312</v>
      </c>
      <c r="C3734" s="2">
        <v>1842465.78</v>
      </c>
      <c r="D3734">
        <v>0</v>
      </c>
      <c r="E3734" s="65">
        <v>53.82</v>
      </c>
      <c r="F3734" s="8">
        <v>3.112</v>
      </c>
      <c r="G3734" s="66">
        <v>136.010394</v>
      </c>
      <c r="H3734" s="8">
        <v>8.058</v>
      </c>
      <c r="J3734" s="26"/>
      <c r="K3734"/>
    </row>
    <row r="3735" spans="1:11">
      <c r="A3735">
        <v>27</v>
      </c>
      <c r="B3735" s="64">
        <v>40319</v>
      </c>
      <c r="C3735" s="2">
        <v>1836595.58</v>
      </c>
      <c r="D3735">
        <v>0</v>
      </c>
      <c r="E3735" s="65">
        <v>63.31</v>
      </c>
      <c r="F3735" s="8">
        <v>3.096</v>
      </c>
      <c r="G3735" s="66">
        <v>136.0796521</v>
      </c>
      <c r="H3735" s="8">
        <v>8.058</v>
      </c>
      <c r="J3735" s="26"/>
      <c r="K3735"/>
    </row>
    <row r="3736" spans="1:11">
      <c r="A3736">
        <v>27</v>
      </c>
      <c r="B3736" s="64">
        <v>40326</v>
      </c>
      <c r="C3736" s="2">
        <v>1962468.67</v>
      </c>
      <c r="D3736">
        <v>0</v>
      </c>
      <c r="E3736" s="65">
        <v>67.88</v>
      </c>
      <c r="F3736" s="8">
        <v>3.046</v>
      </c>
      <c r="G3736" s="66">
        <v>136.1489101</v>
      </c>
      <c r="H3736" s="8">
        <v>8.058</v>
      </c>
      <c r="J3736" s="26"/>
      <c r="K3736"/>
    </row>
    <row r="3737" spans="1:11">
      <c r="A3737">
        <v>27</v>
      </c>
      <c r="B3737" s="64">
        <v>40333</v>
      </c>
      <c r="C3737" s="2">
        <v>2073102.59</v>
      </c>
      <c r="D3737">
        <v>0</v>
      </c>
      <c r="E3737" s="65">
        <v>74.29</v>
      </c>
      <c r="F3737" s="8">
        <v>3.006</v>
      </c>
      <c r="G3737" s="66">
        <v>136.2181682</v>
      </c>
      <c r="H3737" s="8">
        <v>8.058</v>
      </c>
      <c r="J3737" s="26"/>
      <c r="K3737"/>
    </row>
    <row r="3738" spans="1:11">
      <c r="A3738">
        <v>27</v>
      </c>
      <c r="B3738" s="64">
        <v>40340</v>
      </c>
      <c r="C3738" s="2">
        <v>1873812.93</v>
      </c>
      <c r="D3738">
        <v>0</v>
      </c>
      <c r="E3738" s="65">
        <v>68.9</v>
      </c>
      <c r="F3738" s="8">
        <v>2.972</v>
      </c>
      <c r="G3738" s="66">
        <v>136.2874263</v>
      </c>
      <c r="H3738" s="8">
        <v>8.058</v>
      </c>
      <c r="J3738" s="26"/>
      <c r="K3738"/>
    </row>
    <row r="3739" spans="1:11">
      <c r="A3739">
        <v>27</v>
      </c>
      <c r="B3739" s="64">
        <v>40347</v>
      </c>
      <c r="C3739" s="2">
        <v>1887182.27</v>
      </c>
      <c r="D3739">
        <v>0</v>
      </c>
      <c r="E3739" s="65">
        <v>70</v>
      </c>
      <c r="F3739" s="8">
        <v>2.942</v>
      </c>
      <c r="G3739" s="66">
        <v>136.3243393</v>
      </c>
      <c r="H3739" s="8">
        <v>8.058</v>
      </c>
      <c r="J3739" s="26"/>
      <c r="K3739"/>
    </row>
    <row r="3740" spans="1:11">
      <c r="A3740">
        <v>27</v>
      </c>
      <c r="B3740" s="64">
        <v>40354</v>
      </c>
      <c r="C3740" s="2">
        <v>1962625.01</v>
      </c>
      <c r="D3740">
        <v>0</v>
      </c>
      <c r="E3740" s="65">
        <v>78.02</v>
      </c>
      <c r="F3740" s="8">
        <v>2.958</v>
      </c>
      <c r="G3740" s="66">
        <v>136.3483143</v>
      </c>
      <c r="H3740" s="8">
        <v>8.058</v>
      </c>
      <c r="J3740" s="26"/>
      <c r="K3740"/>
    </row>
    <row r="3741" spans="1:11">
      <c r="A3741">
        <v>27</v>
      </c>
      <c r="B3741" s="64">
        <v>40361</v>
      </c>
      <c r="C3741" s="2">
        <v>2024554.1</v>
      </c>
      <c r="D3741">
        <v>0</v>
      </c>
      <c r="E3741" s="65">
        <v>76.25</v>
      </c>
      <c r="F3741" s="8">
        <v>2.958</v>
      </c>
      <c r="G3741" s="66">
        <v>136.3722893</v>
      </c>
      <c r="H3741" s="8">
        <v>7.982</v>
      </c>
      <c r="J3741" s="26"/>
      <c r="K3741"/>
    </row>
    <row r="3742" spans="1:11">
      <c r="A3742">
        <v>27</v>
      </c>
      <c r="B3742" s="64">
        <v>40368</v>
      </c>
      <c r="C3742" s="2">
        <v>2119163.01</v>
      </c>
      <c r="D3742">
        <v>0</v>
      </c>
      <c r="E3742" s="65">
        <v>82.69</v>
      </c>
      <c r="F3742" s="8">
        <v>2.94</v>
      </c>
      <c r="G3742" s="66">
        <v>136.3962643</v>
      </c>
      <c r="H3742" s="8">
        <v>7.982</v>
      </c>
      <c r="J3742" s="26"/>
      <c r="K3742"/>
    </row>
    <row r="3743" spans="1:11">
      <c r="A3743">
        <v>27</v>
      </c>
      <c r="B3743" s="64">
        <v>40375</v>
      </c>
      <c r="C3743" s="2">
        <v>1880691.64</v>
      </c>
      <c r="D3743">
        <v>0</v>
      </c>
      <c r="E3743" s="65">
        <v>78.26</v>
      </c>
      <c r="F3743" s="8">
        <v>2.933</v>
      </c>
      <c r="G3743" s="66">
        <v>136.4179827</v>
      </c>
      <c r="H3743" s="8">
        <v>7.982</v>
      </c>
      <c r="J3743" s="26"/>
      <c r="K3743"/>
    </row>
    <row r="3744" spans="1:11">
      <c r="A3744">
        <v>27</v>
      </c>
      <c r="B3744" s="64">
        <v>40382</v>
      </c>
      <c r="C3744" s="2">
        <v>1808250.71</v>
      </c>
      <c r="D3744">
        <v>0</v>
      </c>
      <c r="E3744" s="65">
        <v>81.56</v>
      </c>
      <c r="F3744" s="8">
        <v>2.924</v>
      </c>
      <c r="G3744" s="66">
        <v>136.4366924</v>
      </c>
      <c r="H3744" s="8">
        <v>7.982</v>
      </c>
      <c r="J3744" s="26"/>
      <c r="K3744"/>
    </row>
    <row r="3745" spans="1:11">
      <c r="A3745">
        <v>27</v>
      </c>
      <c r="B3745" s="64">
        <v>40389</v>
      </c>
      <c r="C3745" s="2">
        <v>1816489.53</v>
      </c>
      <c r="D3745">
        <v>0</v>
      </c>
      <c r="E3745" s="65">
        <v>79.78</v>
      </c>
      <c r="F3745" s="8">
        <v>2.932</v>
      </c>
      <c r="G3745" s="66">
        <v>136.4554021</v>
      </c>
      <c r="H3745" s="8">
        <v>7.982</v>
      </c>
      <c r="J3745" s="26"/>
      <c r="K3745"/>
    </row>
    <row r="3746" spans="1:11">
      <c r="A3746">
        <v>27</v>
      </c>
      <c r="B3746" s="64">
        <v>40396</v>
      </c>
      <c r="C3746" s="2">
        <v>1908036.68</v>
      </c>
      <c r="D3746">
        <v>0</v>
      </c>
      <c r="E3746" s="65">
        <v>77.45</v>
      </c>
      <c r="F3746" s="8">
        <v>2.942</v>
      </c>
      <c r="G3746" s="66">
        <v>136.4741118</v>
      </c>
      <c r="H3746" s="8">
        <v>7.982</v>
      </c>
      <c r="J3746" s="26"/>
      <c r="K3746"/>
    </row>
    <row r="3747" spans="1:11">
      <c r="A3747">
        <v>27</v>
      </c>
      <c r="B3747" s="64">
        <v>40403</v>
      </c>
      <c r="C3747" s="2">
        <v>1864436.12</v>
      </c>
      <c r="D3747">
        <v>0</v>
      </c>
      <c r="E3747" s="65">
        <v>77.36</v>
      </c>
      <c r="F3747" s="8">
        <v>2.923</v>
      </c>
      <c r="G3747" s="66">
        <v>136.4928214</v>
      </c>
      <c r="H3747" s="8">
        <v>7.982</v>
      </c>
      <c r="J3747" s="26"/>
      <c r="K3747"/>
    </row>
    <row r="3748" spans="1:11">
      <c r="A3748">
        <v>27</v>
      </c>
      <c r="B3748" s="64">
        <v>40410</v>
      </c>
      <c r="C3748" s="2">
        <v>1936878.46</v>
      </c>
      <c r="D3748">
        <v>0</v>
      </c>
      <c r="E3748" s="65">
        <v>75.16</v>
      </c>
      <c r="F3748" s="8">
        <v>2.913</v>
      </c>
      <c r="G3748" s="66">
        <v>136.5249182</v>
      </c>
      <c r="H3748" s="8">
        <v>7.982</v>
      </c>
      <c r="J3748" s="26"/>
      <c r="K3748"/>
    </row>
    <row r="3749" spans="1:11">
      <c r="A3749">
        <v>27</v>
      </c>
      <c r="B3749" s="64">
        <v>40417</v>
      </c>
      <c r="C3749" s="2">
        <v>1870684.21</v>
      </c>
      <c r="D3749">
        <v>0</v>
      </c>
      <c r="E3749" s="65">
        <v>70.31</v>
      </c>
      <c r="F3749" s="8">
        <v>2.885</v>
      </c>
      <c r="G3749" s="66">
        <v>136.557015</v>
      </c>
      <c r="H3749" s="8">
        <v>7.982</v>
      </c>
      <c r="J3749" s="26"/>
      <c r="K3749"/>
    </row>
    <row r="3750" spans="1:11">
      <c r="A3750">
        <v>27</v>
      </c>
      <c r="B3750" s="64">
        <v>40424</v>
      </c>
      <c r="C3750" s="2">
        <v>1908110.9</v>
      </c>
      <c r="D3750">
        <v>0</v>
      </c>
      <c r="E3750" s="65">
        <v>78.52</v>
      </c>
      <c r="F3750" s="8">
        <v>2.86</v>
      </c>
      <c r="G3750" s="66">
        <v>136.5891118</v>
      </c>
      <c r="H3750" s="8">
        <v>7.982</v>
      </c>
      <c r="J3750" s="26"/>
      <c r="K3750"/>
    </row>
    <row r="3751" spans="1:11">
      <c r="A3751">
        <v>27</v>
      </c>
      <c r="B3751" s="64">
        <v>40431</v>
      </c>
      <c r="C3751" s="2">
        <v>1913494.81</v>
      </c>
      <c r="D3751">
        <v>1</v>
      </c>
      <c r="E3751" s="65">
        <v>70.38</v>
      </c>
      <c r="F3751" s="8">
        <v>2.837</v>
      </c>
      <c r="G3751" s="66">
        <v>136.6212085</v>
      </c>
      <c r="H3751" s="8">
        <v>7.982</v>
      </c>
      <c r="J3751" s="26"/>
      <c r="K3751"/>
    </row>
    <row r="3752" spans="1:11">
      <c r="A3752">
        <v>27</v>
      </c>
      <c r="B3752" s="64">
        <v>40438</v>
      </c>
      <c r="C3752" s="2">
        <v>1629978.46</v>
      </c>
      <c r="D3752">
        <v>0</v>
      </c>
      <c r="E3752" s="65">
        <v>64.5</v>
      </c>
      <c r="F3752" s="8">
        <v>2.846</v>
      </c>
      <c r="G3752" s="66">
        <v>136.6338071</v>
      </c>
      <c r="H3752" s="8">
        <v>7.982</v>
      </c>
      <c r="J3752" s="26"/>
      <c r="K3752"/>
    </row>
    <row r="3753" spans="1:11">
      <c r="A3753">
        <v>27</v>
      </c>
      <c r="B3753" s="64">
        <v>40445</v>
      </c>
      <c r="C3753" s="2">
        <v>1597002.71</v>
      </c>
      <c r="D3753">
        <v>0</v>
      </c>
      <c r="E3753" s="65">
        <v>67.08</v>
      </c>
      <c r="F3753" s="8">
        <v>2.837</v>
      </c>
      <c r="G3753" s="66">
        <v>136.6317821</v>
      </c>
      <c r="H3753" s="8">
        <v>7.982</v>
      </c>
      <c r="J3753" s="26"/>
      <c r="K3753"/>
    </row>
    <row r="3754" spans="1:11">
      <c r="A3754">
        <v>27</v>
      </c>
      <c r="B3754" s="64">
        <v>40452</v>
      </c>
      <c r="C3754" s="2">
        <v>1543532.83</v>
      </c>
      <c r="D3754">
        <v>0</v>
      </c>
      <c r="E3754" s="65">
        <v>70.19</v>
      </c>
      <c r="F3754" s="8">
        <v>2.84</v>
      </c>
      <c r="G3754" s="66">
        <v>136.6297571</v>
      </c>
      <c r="H3754" s="8">
        <v>8.021</v>
      </c>
      <c r="J3754" s="26"/>
      <c r="K3754"/>
    </row>
    <row r="3755" spans="1:11">
      <c r="A3755">
        <v>27</v>
      </c>
      <c r="B3755" s="64">
        <v>40459</v>
      </c>
      <c r="C3755" s="2">
        <v>1707662.87</v>
      </c>
      <c r="D3755">
        <v>0</v>
      </c>
      <c r="E3755" s="65">
        <v>57.78</v>
      </c>
      <c r="F3755" s="8">
        <v>2.903</v>
      </c>
      <c r="G3755" s="66">
        <v>136.6277321</v>
      </c>
      <c r="H3755" s="8">
        <v>8.021</v>
      </c>
      <c r="J3755" s="26"/>
      <c r="K3755"/>
    </row>
    <row r="3756" spans="1:11">
      <c r="A3756">
        <v>27</v>
      </c>
      <c r="B3756" s="64">
        <v>40466</v>
      </c>
      <c r="C3756" s="2">
        <v>1728388.2</v>
      </c>
      <c r="D3756">
        <v>0</v>
      </c>
      <c r="E3756" s="65">
        <v>58.38</v>
      </c>
      <c r="F3756" s="8">
        <v>2.999</v>
      </c>
      <c r="G3756" s="66">
        <v>136.6401935</v>
      </c>
      <c r="H3756" s="8">
        <v>8.021</v>
      </c>
      <c r="J3756" s="26"/>
      <c r="K3756"/>
    </row>
    <row r="3757" spans="1:11">
      <c r="A3757">
        <v>27</v>
      </c>
      <c r="B3757" s="64">
        <v>40473</v>
      </c>
      <c r="C3757" s="2">
        <v>1693935.29</v>
      </c>
      <c r="D3757">
        <v>0</v>
      </c>
      <c r="E3757" s="65">
        <v>52.82</v>
      </c>
      <c r="F3757" s="8">
        <v>3.049</v>
      </c>
      <c r="G3757" s="66">
        <v>136.688871</v>
      </c>
      <c r="H3757" s="8">
        <v>8.021</v>
      </c>
      <c r="J3757" s="26"/>
      <c r="K3757"/>
    </row>
    <row r="3758" spans="1:11">
      <c r="A3758">
        <v>27</v>
      </c>
      <c r="B3758" s="64">
        <v>40480</v>
      </c>
      <c r="C3758" s="2">
        <v>1688955.49</v>
      </c>
      <c r="D3758">
        <v>0</v>
      </c>
      <c r="E3758" s="65">
        <v>61.02</v>
      </c>
      <c r="F3758" s="8">
        <v>3.055</v>
      </c>
      <c r="G3758" s="66">
        <v>136.7375484</v>
      </c>
      <c r="H3758" s="8">
        <v>8.021</v>
      </c>
      <c r="J3758" s="26"/>
      <c r="K3758"/>
    </row>
    <row r="3759" spans="1:11">
      <c r="A3759">
        <v>27</v>
      </c>
      <c r="B3759" s="64">
        <v>40487</v>
      </c>
      <c r="C3759" s="2">
        <v>1686010.02</v>
      </c>
      <c r="D3759">
        <v>0</v>
      </c>
      <c r="E3759" s="65">
        <v>45.91</v>
      </c>
      <c r="F3759" s="8">
        <v>3.049</v>
      </c>
      <c r="G3759" s="66">
        <v>136.7862258</v>
      </c>
      <c r="H3759" s="8">
        <v>8.021</v>
      </c>
      <c r="J3759" s="26"/>
      <c r="K3759"/>
    </row>
    <row r="3760" spans="1:11">
      <c r="A3760">
        <v>27</v>
      </c>
      <c r="B3760" s="64">
        <v>40494</v>
      </c>
      <c r="C3760" s="2">
        <v>1828010.25</v>
      </c>
      <c r="D3760">
        <v>0</v>
      </c>
      <c r="E3760" s="65">
        <v>45.9</v>
      </c>
      <c r="F3760" s="8">
        <v>3.065</v>
      </c>
      <c r="G3760" s="66">
        <v>136.8349032</v>
      </c>
      <c r="H3760" s="8">
        <v>8.021</v>
      </c>
      <c r="J3760" s="26"/>
      <c r="K3760"/>
    </row>
    <row r="3761" spans="1:11">
      <c r="A3761">
        <v>27</v>
      </c>
      <c r="B3761" s="64">
        <v>40501</v>
      </c>
      <c r="C3761" s="2">
        <v>1704785.74</v>
      </c>
      <c r="D3761">
        <v>0</v>
      </c>
      <c r="E3761" s="65">
        <v>50.81</v>
      </c>
      <c r="F3761" s="8">
        <v>3.138</v>
      </c>
      <c r="G3761" s="66">
        <v>136.7715714</v>
      </c>
      <c r="H3761" s="8">
        <v>8.021</v>
      </c>
      <c r="J3761" s="26"/>
      <c r="K3761"/>
    </row>
    <row r="3762" spans="1:11">
      <c r="A3762">
        <v>27</v>
      </c>
      <c r="B3762" s="64">
        <v>40508</v>
      </c>
      <c r="C3762" s="2">
        <v>2627910.75</v>
      </c>
      <c r="D3762">
        <v>1</v>
      </c>
      <c r="E3762" s="65">
        <v>46.67</v>
      </c>
      <c r="F3762" s="8">
        <v>3.186</v>
      </c>
      <c r="G3762" s="66">
        <v>136.6895714</v>
      </c>
      <c r="H3762" s="8">
        <v>8.021</v>
      </c>
      <c r="J3762" s="26"/>
      <c r="K3762"/>
    </row>
    <row r="3763" spans="1:11">
      <c r="A3763">
        <v>27</v>
      </c>
      <c r="B3763" s="64">
        <v>40515</v>
      </c>
      <c r="C3763" s="2">
        <v>1884343.67</v>
      </c>
      <c r="D3763">
        <v>0</v>
      </c>
      <c r="E3763" s="65">
        <v>41.81</v>
      </c>
      <c r="F3763" s="8">
        <v>3.2</v>
      </c>
      <c r="G3763" s="66">
        <v>136.6075714</v>
      </c>
      <c r="H3763" s="8">
        <v>8.021</v>
      </c>
      <c r="J3763" s="26"/>
      <c r="K3763"/>
    </row>
    <row r="3764" spans="1:11">
      <c r="A3764">
        <v>27</v>
      </c>
      <c r="B3764" s="64">
        <v>40522</v>
      </c>
      <c r="C3764" s="2">
        <v>2139733.68</v>
      </c>
      <c r="D3764">
        <v>0</v>
      </c>
      <c r="E3764" s="65">
        <v>30.83</v>
      </c>
      <c r="F3764" s="8">
        <v>3.255</v>
      </c>
      <c r="G3764" s="66">
        <v>136.5255714</v>
      </c>
      <c r="H3764" s="8">
        <v>8.021</v>
      </c>
      <c r="J3764" s="26"/>
      <c r="K3764"/>
    </row>
    <row r="3765" spans="1:11">
      <c r="A3765">
        <v>27</v>
      </c>
      <c r="B3765" s="64">
        <v>40529</v>
      </c>
      <c r="C3765" s="2">
        <v>2350098.36</v>
      </c>
      <c r="D3765">
        <v>0</v>
      </c>
      <c r="E3765" s="65">
        <v>31.62</v>
      </c>
      <c r="F3765" s="8">
        <v>3.301</v>
      </c>
      <c r="G3765" s="66">
        <v>136.5292811</v>
      </c>
      <c r="H3765" s="8">
        <v>8.021</v>
      </c>
      <c r="J3765" s="26"/>
      <c r="K3765"/>
    </row>
    <row r="3766" spans="1:11">
      <c r="A3766">
        <v>27</v>
      </c>
      <c r="B3766" s="64">
        <v>40536</v>
      </c>
      <c r="C3766" s="2">
        <v>3078162.08</v>
      </c>
      <c r="D3766">
        <v>0</v>
      </c>
      <c r="E3766" s="65">
        <v>31.34</v>
      </c>
      <c r="F3766" s="8">
        <v>3.309</v>
      </c>
      <c r="G3766" s="66">
        <v>136.597273</v>
      </c>
      <c r="H3766" s="8">
        <v>8.021</v>
      </c>
      <c r="J3766" s="26"/>
      <c r="K3766"/>
    </row>
    <row r="3767" spans="1:11">
      <c r="A3767">
        <v>27</v>
      </c>
      <c r="B3767" s="64">
        <v>40543</v>
      </c>
      <c r="C3767" s="2">
        <v>1440963</v>
      </c>
      <c r="D3767">
        <v>1</v>
      </c>
      <c r="E3767" s="65">
        <v>29.59</v>
      </c>
      <c r="F3767" s="8">
        <v>3.336</v>
      </c>
      <c r="G3767" s="66">
        <v>136.665265</v>
      </c>
      <c r="H3767" s="8">
        <v>8.021</v>
      </c>
      <c r="J3767" s="26"/>
      <c r="K3767"/>
    </row>
    <row r="3768" spans="1:11">
      <c r="A3768">
        <v>27</v>
      </c>
      <c r="B3768" s="64">
        <v>40550</v>
      </c>
      <c r="C3768" s="2">
        <v>1568159.48</v>
      </c>
      <c r="D3768">
        <v>0</v>
      </c>
      <c r="E3768" s="65">
        <v>34.42</v>
      </c>
      <c r="F3768" s="8">
        <v>3.351</v>
      </c>
      <c r="G3768" s="66">
        <v>136.7332569</v>
      </c>
      <c r="H3768" s="8">
        <v>7.827</v>
      </c>
      <c r="J3768" s="26"/>
      <c r="K3768"/>
    </row>
    <row r="3769" spans="1:11">
      <c r="A3769">
        <v>27</v>
      </c>
      <c r="B3769" s="64">
        <v>40557</v>
      </c>
      <c r="C3769" s="2">
        <v>1532308.62</v>
      </c>
      <c r="D3769">
        <v>0</v>
      </c>
      <c r="E3769" s="65">
        <v>25.7</v>
      </c>
      <c r="F3769" s="8">
        <v>3.367</v>
      </c>
      <c r="G3769" s="66">
        <v>136.803477</v>
      </c>
      <c r="H3769" s="8">
        <v>7.827</v>
      </c>
      <c r="J3769" s="26"/>
      <c r="K3769"/>
    </row>
    <row r="3770" spans="1:11">
      <c r="A3770">
        <v>27</v>
      </c>
      <c r="B3770" s="64">
        <v>40564</v>
      </c>
      <c r="C3770" s="2">
        <v>1517029.9</v>
      </c>
      <c r="D3770">
        <v>0</v>
      </c>
      <c r="E3770" s="65">
        <v>30.13</v>
      </c>
      <c r="F3770" s="8">
        <v>3.391</v>
      </c>
      <c r="G3770" s="66">
        <v>136.8870657</v>
      </c>
      <c r="H3770" s="8">
        <v>7.827</v>
      </c>
      <c r="J3770" s="26"/>
      <c r="K3770"/>
    </row>
    <row r="3771" spans="1:11">
      <c r="A3771">
        <v>27</v>
      </c>
      <c r="B3771" s="64">
        <v>40571</v>
      </c>
      <c r="C3771" s="2">
        <v>1421111.55</v>
      </c>
      <c r="D3771">
        <v>0</v>
      </c>
      <c r="E3771" s="65">
        <v>23.64</v>
      </c>
      <c r="F3771" s="8">
        <v>3.402</v>
      </c>
      <c r="G3771" s="66">
        <v>136.9706544</v>
      </c>
      <c r="H3771" s="8">
        <v>7.827</v>
      </c>
      <c r="J3771" s="26"/>
      <c r="K3771"/>
    </row>
    <row r="3772" spans="1:11">
      <c r="A3772">
        <v>27</v>
      </c>
      <c r="B3772" s="64">
        <v>40578</v>
      </c>
      <c r="C3772" s="2">
        <v>1628100.79</v>
      </c>
      <c r="D3772">
        <v>0</v>
      </c>
      <c r="E3772" s="65">
        <v>28.7</v>
      </c>
      <c r="F3772" s="8">
        <v>3.4</v>
      </c>
      <c r="G3772" s="66">
        <v>137.0542431</v>
      </c>
      <c r="H3772" s="8">
        <v>7.827</v>
      </c>
      <c r="J3772" s="26"/>
      <c r="K3772"/>
    </row>
    <row r="3773" spans="1:11">
      <c r="A3773">
        <v>27</v>
      </c>
      <c r="B3773" s="64">
        <v>40585</v>
      </c>
      <c r="C3773" s="2">
        <v>1636224.77</v>
      </c>
      <c r="D3773">
        <v>1</v>
      </c>
      <c r="E3773" s="65">
        <v>30.45</v>
      </c>
      <c r="F3773" s="8">
        <v>3.416</v>
      </c>
      <c r="G3773" s="66">
        <v>137.1378318</v>
      </c>
      <c r="H3773" s="8">
        <v>7.827</v>
      </c>
      <c r="J3773" s="26"/>
      <c r="K3773"/>
    </row>
    <row r="3774" spans="1:11">
      <c r="A3774">
        <v>27</v>
      </c>
      <c r="B3774" s="64">
        <v>40592</v>
      </c>
      <c r="C3774" s="2">
        <v>1709365.19</v>
      </c>
      <c r="D3774">
        <v>0</v>
      </c>
      <c r="E3774" s="65">
        <v>39.32</v>
      </c>
      <c r="F3774" s="8">
        <v>3.42</v>
      </c>
      <c r="G3774" s="66">
        <v>137.2511849</v>
      </c>
      <c r="H3774" s="8">
        <v>7.827</v>
      </c>
      <c r="J3774" s="26"/>
      <c r="K3774"/>
    </row>
    <row r="3775" spans="1:11">
      <c r="A3775">
        <v>27</v>
      </c>
      <c r="B3775" s="64">
        <v>40599</v>
      </c>
      <c r="C3775" s="2">
        <v>1688935.71</v>
      </c>
      <c r="D3775">
        <v>0</v>
      </c>
      <c r="E3775" s="65">
        <v>33.05</v>
      </c>
      <c r="F3775" s="8">
        <v>3.452</v>
      </c>
      <c r="G3775" s="66">
        <v>137.3764439</v>
      </c>
      <c r="H3775" s="8">
        <v>7.827</v>
      </c>
      <c r="J3775" s="26"/>
      <c r="K3775"/>
    </row>
    <row r="3776" spans="1:11">
      <c r="A3776">
        <v>27</v>
      </c>
      <c r="B3776" s="64">
        <v>40606</v>
      </c>
      <c r="C3776" s="2">
        <v>1656130.67</v>
      </c>
      <c r="D3776">
        <v>0</v>
      </c>
      <c r="E3776" s="65">
        <v>36.99</v>
      </c>
      <c r="F3776" s="8">
        <v>3.605</v>
      </c>
      <c r="G3776" s="66">
        <v>137.5017028</v>
      </c>
      <c r="H3776" s="8">
        <v>7.827</v>
      </c>
      <c r="J3776" s="26"/>
      <c r="K3776"/>
    </row>
    <row r="3777" spans="1:11">
      <c r="A3777">
        <v>27</v>
      </c>
      <c r="B3777" s="64">
        <v>40613</v>
      </c>
      <c r="C3777" s="2">
        <v>1613259.77</v>
      </c>
      <c r="D3777">
        <v>0</v>
      </c>
      <c r="E3777" s="65">
        <v>43.64</v>
      </c>
      <c r="F3777" s="8">
        <v>3.752</v>
      </c>
      <c r="G3777" s="66">
        <v>137.6269617</v>
      </c>
      <c r="H3777" s="8">
        <v>7.827</v>
      </c>
      <c r="J3777" s="26"/>
      <c r="K3777"/>
    </row>
    <row r="3778" spans="1:11">
      <c r="A3778">
        <v>27</v>
      </c>
      <c r="B3778" s="64">
        <v>40620</v>
      </c>
      <c r="C3778" s="2">
        <v>1624539.21</v>
      </c>
      <c r="D3778">
        <v>0</v>
      </c>
      <c r="E3778" s="65">
        <v>46.65</v>
      </c>
      <c r="F3778" s="8">
        <v>3.796</v>
      </c>
      <c r="G3778" s="66">
        <v>137.7398929</v>
      </c>
      <c r="H3778" s="8">
        <v>7.827</v>
      </c>
      <c r="J3778" s="26"/>
      <c r="K3778"/>
    </row>
    <row r="3779" spans="1:11">
      <c r="A3779">
        <v>27</v>
      </c>
      <c r="B3779" s="64">
        <v>40627</v>
      </c>
      <c r="C3779" s="2">
        <v>1554651.08</v>
      </c>
      <c r="D3779">
        <v>0</v>
      </c>
      <c r="E3779" s="65">
        <v>40.11</v>
      </c>
      <c r="F3779" s="8">
        <v>3.789</v>
      </c>
      <c r="G3779" s="66">
        <v>137.8478929</v>
      </c>
      <c r="H3779" s="8">
        <v>7.827</v>
      </c>
      <c r="J3779" s="26"/>
      <c r="K3779"/>
    </row>
    <row r="3780" spans="1:11">
      <c r="A3780">
        <v>27</v>
      </c>
      <c r="B3780" s="64">
        <v>40634</v>
      </c>
      <c r="C3780" s="2">
        <v>1628868.28</v>
      </c>
      <c r="D3780">
        <v>0</v>
      </c>
      <c r="E3780" s="65">
        <v>37.27</v>
      </c>
      <c r="F3780" s="8">
        <v>3.811</v>
      </c>
      <c r="G3780" s="66">
        <v>137.9558929</v>
      </c>
      <c r="H3780" s="8">
        <v>7.725</v>
      </c>
      <c r="J3780" s="26"/>
      <c r="K3780"/>
    </row>
    <row r="3781" spans="1:11">
      <c r="A3781">
        <v>27</v>
      </c>
      <c r="B3781" s="64">
        <v>40641</v>
      </c>
      <c r="C3781" s="2">
        <v>1689844.18</v>
      </c>
      <c r="D3781">
        <v>0</v>
      </c>
      <c r="E3781" s="65">
        <v>46.87</v>
      </c>
      <c r="F3781" s="8">
        <v>3.895</v>
      </c>
      <c r="G3781" s="66">
        <v>138.0638929</v>
      </c>
      <c r="H3781" s="8">
        <v>7.725</v>
      </c>
      <c r="J3781" s="26"/>
      <c r="K3781"/>
    </row>
    <row r="3782" spans="1:11">
      <c r="A3782">
        <v>27</v>
      </c>
      <c r="B3782" s="64">
        <v>40648</v>
      </c>
      <c r="C3782" s="2">
        <v>1727175.61</v>
      </c>
      <c r="D3782">
        <v>0</v>
      </c>
      <c r="E3782" s="65">
        <v>52.24</v>
      </c>
      <c r="F3782" s="8">
        <v>3.981</v>
      </c>
      <c r="G3782" s="66">
        <v>138.1646952</v>
      </c>
      <c r="H3782" s="8">
        <v>7.725</v>
      </c>
      <c r="J3782" s="26"/>
      <c r="K3782"/>
    </row>
    <row r="3783" spans="1:11">
      <c r="A3783">
        <v>27</v>
      </c>
      <c r="B3783" s="64">
        <v>40655</v>
      </c>
      <c r="C3783" s="2">
        <v>1921655.48</v>
      </c>
      <c r="D3783">
        <v>0</v>
      </c>
      <c r="E3783" s="65">
        <v>50.02</v>
      </c>
      <c r="F3783" s="8">
        <v>4.061</v>
      </c>
      <c r="G3783" s="66">
        <v>138.2475036</v>
      </c>
      <c r="H3783" s="8">
        <v>7.725</v>
      </c>
      <c r="J3783" s="26"/>
      <c r="K3783"/>
    </row>
    <row r="3784" spans="1:11">
      <c r="A3784">
        <v>27</v>
      </c>
      <c r="B3784" s="64">
        <v>40662</v>
      </c>
      <c r="C3784" s="2">
        <v>1642074.64</v>
      </c>
      <c r="D3784">
        <v>0</v>
      </c>
      <c r="E3784" s="65">
        <v>61.71</v>
      </c>
      <c r="F3784" s="8">
        <v>4.117</v>
      </c>
      <c r="G3784" s="66">
        <v>138.3303119</v>
      </c>
      <c r="H3784" s="8">
        <v>7.725</v>
      </c>
      <c r="J3784" s="26"/>
      <c r="K3784"/>
    </row>
    <row r="3785" spans="1:11">
      <c r="A3785">
        <v>27</v>
      </c>
      <c r="B3785" s="64">
        <v>40669</v>
      </c>
      <c r="C3785" s="2">
        <v>1757041.96</v>
      </c>
      <c r="D3785">
        <v>0</v>
      </c>
      <c r="E3785" s="65">
        <v>56.48</v>
      </c>
      <c r="F3785" s="8">
        <v>4.192</v>
      </c>
      <c r="G3785" s="66">
        <v>138.4131202</v>
      </c>
      <c r="H3785" s="8">
        <v>7.725</v>
      </c>
      <c r="J3785" s="26"/>
      <c r="K3785"/>
    </row>
    <row r="3786" spans="1:11">
      <c r="A3786">
        <v>27</v>
      </c>
      <c r="B3786" s="64">
        <v>40676</v>
      </c>
      <c r="C3786" s="2">
        <v>1763545.32</v>
      </c>
      <c r="D3786">
        <v>0</v>
      </c>
      <c r="E3786" s="65">
        <v>60.07</v>
      </c>
      <c r="F3786" s="8">
        <v>4.211</v>
      </c>
      <c r="G3786" s="66">
        <v>138.4959286</v>
      </c>
      <c r="H3786" s="8">
        <v>7.725</v>
      </c>
      <c r="J3786" s="26"/>
      <c r="K3786"/>
    </row>
    <row r="3787" spans="1:11">
      <c r="A3787">
        <v>27</v>
      </c>
      <c r="B3787" s="64">
        <v>40683</v>
      </c>
      <c r="C3787" s="2">
        <v>1725268.56</v>
      </c>
      <c r="D3787">
        <v>0</v>
      </c>
      <c r="E3787" s="65">
        <v>60.22</v>
      </c>
      <c r="F3787" s="8">
        <v>4.202</v>
      </c>
      <c r="G3787" s="66">
        <v>138.587106</v>
      </c>
      <c r="H3787" s="8">
        <v>7.725</v>
      </c>
      <c r="J3787" s="26"/>
      <c r="K3787"/>
    </row>
    <row r="3788" spans="1:11">
      <c r="A3788">
        <v>27</v>
      </c>
      <c r="B3788" s="64">
        <v>40690</v>
      </c>
      <c r="C3788" s="2">
        <v>1820723.17</v>
      </c>
      <c r="D3788">
        <v>0</v>
      </c>
      <c r="E3788" s="65">
        <v>66.43</v>
      </c>
      <c r="F3788" s="8">
        <v>4.134</v>
      </c>
      <c r="G3788" s="66">
        <v>138.6782834</v>
      </c>
      <c r="H3788" s="8">
        <v>7.725</v>
      </c>
      <c r="J3788" s="26"/>
      <c r="K3788"/>
    </row>
    <row r="3789" spans="1:11">
      <c r="A3789">
        <v>27</v>
      </c>
      <c r="B3789" s="64">
        <v>40697</v>
      </c>
      <c r="C3789" s="2">
        <v>2053708.01</v>
      </c>
      <c r="D3789">
        <v>0</v>
      </c>
      <c r="E3789" s="65">
        <v>74.17</v>
      </c>
      <c r="F3789" s="8">
        <v>4.069</v>
      </c>
      <c r="G3789" s="66">
        <v>138.7694608</v>
      </c>
      <c r="H3789" s="8">
        <v>7.725</v>
      </c>
      <c r="J3789" s="26"/>
      <c r="K3789"/>
    </row>
    <row r="3790" spans="1:11">
      <c r="A3790">
        <v>27</v>
      </c>
      <c r="B3790" s="64">
        <v>40704</v>
      </c>
      <c r="C3790" s="2">
        <v>1817914.71</v>
      </c>
      <c r="D3790">
        <v>0</v>
      </c>
      <c r="E3790" s="65">
        <v>73.26</v>
      </c>
      <c r="F3790" s="8">
        <v>4.025</v>
      </c>
      <c r="G3790" s="66">
        <v>138.8606382</v>
      </c>
      <c r="H3790" s="8">
        <v>7.725</v>
      </c>
      <c r="J3790" s="26"/>
      <c r="K3790"/>
    </row>
    <row r="3791" spans="1:11">
      <c r="A3791">
        <v>27</v>
      </c>
      <c r="B3791" s="64">
        <v>40711</v>
      </c>
      <c r="C3791" s="2">
        <v>1814740.09</v>
      </c>
      <c r="D3791">
        <v>0</v>
      </c>
      <c r="E3791" s="65">
        <v>67.03</v>
      </c>
      <c r="F3791" s="8">
        <v>3.989</v>
      </c>
      <c r="G3791" s="66">
        <v>139.0028333</v>
      </c>
      <c r="H3791" s="8">
        <v>7.725</v>
      </c>
      <c r="J3791" s="26"/>
      <c r="K3791"/>
    </row>
    <row r="3792" spans="1:11">
      <c r="A3792">
        <v>27</v>
      </c>
      <c r="B3792" s="64">
        <v>40718</v>
      </c>
      <c r="C3792" s="2">
        <v>1811455.15</v>
      </c>
      <c r="D3792">
        <v>0</v>
      </c>
      <c r="E3792" s="65">
        <v>72.02</v>
      </c>
      <c r="F3792" s="8">
        <v>3.964</v>
      </c>
      <c r="G3792" s="66">
        <v>139.1832917</v>
      </c>
      <c r="H3792" s="8">
        <v>7.725</v>
      </c>
      <c r="J3792" s="26"/>
      <c r="K3792"/>
    </row>
    <row r="3793" spans="1:11">
      <c r="A3793">
        <v>27</v>
      </c>
      <c r="B3793" s="64">
        <v>40725</v>
      </c>
      <c r="C3793" s="2">
        <v>1949983.93</v>
      </c>
      <c r="D3793">
        <v>0</v>
      </c>
      <c r="E3793" s="65">
        <v>73.76</v>
      </c>
      <c r="F3793" s="8">
        <v>3.916</v>
      </c>
      <c r="G3793" s="66">
        <v>139.36375</v>
      </c>
      <c r="H3793" s="8">
        <v>7.85</v>
      </c>
      <c r="J3793" s="26"/>
      <c r="K3793"/>
    </row>
    <row r="3794" spans="1:11">
      <c r="A3794">
        <v>27</v>
      </c>
      <c r="B3794" s="64">
        <v>40732</v>
      </c>
      <c r="C3794" s="2">
        <v>2000055.27</v>
      </c>
      <c r="D3794">
        <v>0</v>
      </c>
      <c r="E3794" s="65">
        <v>76.87</v>
      </c>
      <c r="F3794" s="8">
        <v>3.886</v>
      </c>
      <c r="G3794" s="66">
        <v>139.5442083</v>
      </c>
      <c r="H3794" s="8">
        <v>7.85</v>
      </c>
      <c r="J3794" s="26"/>
      <c r="K3794"/>
    </row>
    <row r="3795" spans="1:11">
      <c r="A3795">
        <v>27</v>
      </c>
      <c r="B3795" s="64">
        <v>40739</v>
      </c>
      <c r="C3795" s="2">
        <v>1762155.79</v>
      </c>
      <c r="D3795">
        <v>0</v>
      </c>
      <c r="E3795" s="65">
        <v>77.83</v>
      </c>
      <c r="F3795" s="8">
        <v>3.915</v>
      </c>
      <c r="G3795" s="66">
        <v>139.7006325</v>
      </c>
      <c r="H3795" s="8">
        <v>7.85</v>
      </c>
      <c r="J3795" s="26"/>
      <c r="K3795"/>
    </row>
    <row r="3796" spans="1:11">
      <c r="A3796">
        <v>27</v>
      </c>
      <c r="B3796" s="64">
        <v>40746</v>
      </c>
      <c r="C3796" s="2">
        <v>1754879.45</v>
      </c>
      <c r="D3796">
        <v>0</v>
      </c>
      <c r="E3796" s="65">
        <v>82.28</v>
      </c>
      <c r="F3796" s="8">
        <v>3.972</v>
      </c>
      <c r="G3796" s="66">
        <v>139.7969712</v>
      </c>
      <c r="H3796" s="8">
        <v>7.85</v>
      </c>
      <c r="J3796" s="26"/>
      <c r="K3796"/>
    </row>
    <row r="3797" spans="1:11">
      <c r="A3797">
        <v>27</v>
      </c>
      <c r="B3797" s="64">
        <v>40753</v>
      </c>
      <c r="C3797" s="2">
        <v>1744879.06</v>
      </c>
      <c r="D3797">
        <v>0</v>
      </c>
      <c r="E3797" s="65">
        <v>79.41</v>
      </c>
      <c r="F3797" s="8">
        <v>4.004</v>
      </c>
      <c r="G3797" s="66">
        <v>139.8933099</v>
      </c>
      <c r="H3797" s="8">
        <v>7.85</v>
      </c>
      <c r="J3797" s="26"/>
      <c r="K3797"/>
    </row>
    <row r="3798" spans="1:11">
      <c r="A3798">
        <v>27</v>
      </c>
      <c r="B3798" s="64">
        <v>40760</v>
      </c>
      <c r="C3798" s="2">
        <v>1747289.53</v>
      </c>
      <c r="D3798">
        <v>0</v>
      </c>
      <c r="E3798" s="65">
        <v>78.14</v>
      </c>
      <c r="F3798" s="8">
        <v>4.02</v>
      </c>
      <c r="G3798" s="66">
        <v>139.9896486</v>
      </c>
      <c r="H3798" s="8">
        <v>7.85</v>
      </c>
      <c r="J3798" s="26"/>
      <c r="K3798"/>
    </row>
    <row r="3799" spans="1:11">
      <c r="A3799">
        <v>27</v>
      </c>
      <c r="B3799" s="64">
        <v>40767</v>
      </c>
      <c r="C3799" s="2">
        <v>1758437.96</v>
      </c>
      <c r="D3799">
        <v>0</v>
      </c>
      <c r="E3799" s="65">
        <v>76.67</v>
      </c>
      <c r="F3799" s="8">
        <v>3.995</v>
      </c>
      <c r="G3799" s="66">
        <v>140.0859873</v>
      </c>
      <c r="H3799" s="8">
        <v>7.85</v>
      </c>
      <c r="J3799" s="26"/>
      <c r="K3799"/>
    </row>
    <row r="3800" spans="1:11">
      <c r="A3800">
        <v>27</v>
      </c>
      <c r="B3800" s="64">
        <v>40774</v>
      </c>
      <c r="C3800" s="2">
        <v>1781905.24</v>
      </c>
      <c r="D3800">
        <v>0</v>
      </c>
      <c r="E3800" s="65">
        <v>72.97</v>
      </c>
      <c r="F3800" s="8">
        <v>3.942</v>
      </c>
      <c r="G3800" s="66">
        <v>140.1289205</v>
      </c>
      <c r="H3800" s="8">
        <v>7.85</v>
      </c>
      <c r="J3800" s="26"/>
      <c r="K3800"/>
    </row>
    <row r="3801" spans="1:11">
      <c r="A3801">
        <v>27</v>
      </c>
      <c r="B3801" s="64">
        <v>40781</v>
      </c>
      <c r="C3801" s="2">
        <v>2034400.78</v>
      </c>
      <c r="D3801">
        <v>0</v>
      </c>
      <c r="E3801" s="65">
        <v>72.88</v>
      </c>
      <c r="F3801" s="8">
        <v>3.906</v>
      </c>
      <c r="G3801" s="66">
        <v>140.1629528</v>
      </c>
      <c r="H3801" s="8">
        <v>7.85</v>
      </c>
      <c r="J3801" s="26"/>
      <c r="K3801"/>
    </row>
    <row r="3802" spans="1:11">
      <c r="A3802">
        <v>27</v>
      </c>
      <c r="B3802" s="64">
        <v>40788</v>
      </c>
      <c r="C3802" s="2">
        <v>1511717.53</v>
      </c>
      <c r="D3802">
        <v>0</v>
      </c>
      <c r="E3802" s="65">
        <v>71.44</v>
      </c>
      <c r="F3802" s="8">
        <v>3.879</v>
      </c>
      <c r="G3802" s="66">
        <v>140.196985</v>
      </c>
      <c r="H3802" s="8">
        <v>7.85</v>
      </c>
      <c r="J3802" s="26"/>
      <c r="K3802"/>
    </row>
    <row r="3803" spans="1:11">
      <c r="A3803">
        <v>27</v>
      </c>
      <c r="B3803" s="64">
        <v>40795</v>
      </c>
      <c r="C3803" s="2">
        <v>1911470.84</v>
      </c>
      <c r="D3803">
        <v>1</v>
      </c>
      <c r="E3803" s="65">
        <v>70.93</v>
      </c>
      <c r="F3803" s="8">
        <v>3.93</v>
      </c>
      <c r="G3803" s="66">
        <v>140.2310173</v>
      </c>
      <c r="H3803" s="8">
        <v>7.85</v>
      </c>
      <c r="J3803" s="26"/>
      <c r="K3803"/>
    </row>
    <row r="3804" spans="1:11">
      <c r="A3804">
        <v>27</v>
      </c>
      <c r="B3804" s="64">
        <v>40802</v>
      </c>
      <c r="C3804" s="2">
        <v>1613773.9</v>
      </c>
      <c r="D3804">
        <v>0</v>
      </c>
      <c r="E3804" s="65">
        <v>69.65</v>
      </c>
      <c r="F3804" s="8">
        <v>3.937</v>
      </c>
      <c r="G3804" s="66">
        <v>140.2735</v>
      </c>
      <c r="H3804" s="8">
        <v>7.85</v>
      </c>
      <c r="J3804" s="26"/>
      <c r="K3804"/>
    </row>
    <row r="3805" spans="1:11">
      <c r="A3805">
        <v>27</v>
      </c>
      <c r="B3805" s="64">
        <v>40809</v>
      </c>
      <c r="C3805" s="2">
        <v>1606208.68</v>
      </c>
      <c r="D3805">
        <v>0</v>
      </c>
      <c r="E3805" s="65">
        <v>63.61</v>
      </c>
      <c r="F3805" s="8">
        <v>3.899</v>
      </c>
      <c r="G3805" s="66">
        <v>140.32725</v>
      </c>
      <c r="H3805" s="8">
        <v>7.85</v>
      </c>
      <c r="J3805" s="26"/>
      <c r="K3805"/>
    </row>
    <row r="3806" spans="1:11">
      <c r="A3806">
        <v>27</v>
      </c>
      <c r="B3806" s="64">
        <v>40816</v>
      </c>
      <c r="C3806" s="2">
        <v>1599626.26</v>
      </c>
      <c r="D3806">
        <v>0</v>
      </c>
      <c r="E3806" s="65">
        <v>70.92</v>
      </c>
      <c r="F3806" s="8">
        <v>3.858</v>
      </c>
      <c r="G3806" s="66">
        <v>140.381</v>
      </c>
      <c r="H3806" s="8">
        <v>7.85</v>
      </c>
      <c r="J3806" s="26"/>
      <c r="K3806"/>
    </row>
    <row r="3807" spans="1:11">
      <c r="A3807">
        <v>27</v>
      </c>
      <c r="B3807" s="64">
        <v>40823</v>
      </c>
      <c r="C3807" s="2">
        <v>1672339.27</v>
      </c>
      <c r="D3807">
        <v>0</v>
      </c>
      <c r="E3807" s="65">
        <v>56.91</v>
      </c>
      <c r="F3807" s="8">
        <v>3.775</v>
      </c>
      <c r="G3807" s="66">
        <v>140.43475</v>
      </c>
      <c r="H3807" s="8">
        <v>7.906</v>
      </c>
      <c r="J3807" s="26"/>
      <c r="K3807"/>
    </row>
    <row r="3808" spans="1:11">
      <c r="A3808">
        <v>27</v>
      </c>
      <c r="B3808" s="64">
        <v>40830</v>
      </c>
      <c r="C3808" s="2">
        <v>1682652.51</v>
      </c>
      <c r="D3808">
        <v>0</v>
      </c>
      <c r="E3808" s="65">
        <v>64.78</v>
      </c>
      <c r="F3808" s="8">
        <v>3.744</v>
      </c>
      <c r="G3808" s="66">
        <v>140.4784194</v>
      </c>
      <c r="H3808" s="8">
        <v>7.906</v>
      </c>
      <c r="J3808" s="26"/>
      <c r="K3808"/>
    </row>
    <row r="3809" spans="1:11">
      <c r="A3809">
        <v>27</v>
      </c>
      <c r="B3809" s="64">
        <v>40837</v>
      </c>
      <c r="C3809" s="2">
        <v>1689591.44</v>
      </c>
      <c r="D3809">
        <v>0</v>
      </c>
      <c r="E3809" s="65">
        <v>59.62</v>
      </c>
      <c r="F3809" s="8">
        <v>3.757</v>
      </c>
      <c r="G3809" s="66">
        <v>140.4616048</v>
      </c>
      <c r="H3809" s="8">
        <v>7.906</v>
      </c>
      <c r="J3809" s="26"/>
      <c r="K3809"/>
    </row>
    <row r="3810" spans="1:11">
      <c r="A3810">
        <v>27</v>
      </c>
      <c r="B3810" s="64">
        <v>40844</v>
      </c>
      <c r="C3810" s="2">
        <v>1710372.4</v>
      </c>
      <c r="D3810">
        <v>0</v>
      </c>
      <c r="E3810" s="65">
        <v>51.81</v>
      </c>
      <c r="F3810" s="8">
        <v>3.757</v>
      </c>
      <c r="G3810" s="66">
        <v>140.4447903</v>
      </c>
      <c r="H3810" s="8">
        <v>7.906</v>
      </c>
      <c r="J3810" s="26"/>
      <c r="K3810"/>
    </row>
    <row r="3811" spans="1:11">
      <c r="A3811">
        <v>27</v>
      </c>
      <c r="B3811" s="64">
        <v>40851</v>
      </c>
      <c r="C3811" s="2">
        <v>1621109.3</v>
      </c>
      <c r="D3811">
        <v>0</v>
      </c>
      <c r="E3811" s="65">
        <v>44.46</v>
      </c>
      <c r="F3811" s="8">
        <v>3.738</v>
      </c>
      <c r="G3811" s="66">
        <v>140.4279758</v>
      </c>
      <c r="H3811" s="8">
        <v>7.906</v>
      </c>
      <c r="J3811" s="26"/>
      <c r="K3811"/>
    </row>
    <row r="3812" spans="1:11">
      <c r="A3812">
        <v>27</v>
      </c>
      <c r="B3812" s="64">
        <v>40858</v>
      </c>
      <c r="C3812" s="2">
        <v>1800728.07</v>
      </c>
      <c r="D3812">
        <v>0</v>
      </c>
      <c r="E3812" s="65">
        <v>49.69</v>
      </c>
      <c r="F3812" s="8">
        <v>3.719</v>
      </c>
      <c r="G3812" s="66">
        <v>140.4111613</v>
      </c>
      <c r="H3812" s="8">
        <v>7.906</v>
      </c>
      <c r="J3812" s="26"/>
      <c r="K3812"/>
    </row>
    <row r="3813" spans="1:11">
      <c r="A3813">
        <v>27</v>
      </c>
      <c r="B3813" s="64">
        <v>40865</v>
      </c>
      <c r="C3813" s="2">
        <v>1723739.44</v>
      </c>
      <c r="D3813">
        <v>0</v>
      </c>
      <c r="E3813" s="65">
        <v>51.42</v>
      </c>
      <c r="F3813" s="8">
        <v>3.717</v>
      </c>
      <c r="G3813" s="66">
        <v>140.4127857</v>
      </c>
      <c r="H3813" s="8">
        <v>7.906</v>
      </c>
      <c r="J3813" s="26"/>
      <c r="K3813"/>
    </row>
    <row r="3814" spans="1:11">
      <c r="A3814">
        <v>27</v>
      </c>
      <c r="B3814" s="64">
        <v>40872</v>
      </c>
      <c r="C3814" s="2">
        <v>2504400.71</v>
      </c>
      <c r="D3814">
        <v>1</v>
      </c>
      <c r="E3814" s="65">
        <v>47.88</v>
      </c>
      <c r="F3814" s="8">
        <v>3.689</v>
      </c>
      <c r="G3814" s="66">
        <v>140.4217857</v>
      </c>
      <c r="H3814" s="8">
        <v>7.906</v>
      </c>
      <c r="J3814" s="26"/>
      <c r="K3814"/>
    </row>
    <row r="3815" spans="1:11">
      <c r="A3815">
        <v>27</v>
      </c>
      <c r="B3815" s="64">
        <v>40879</v>
      </c>
      <c r="C3815" s="2">
        <v>1806924.74</v>
      </c>
      <c r="D3815">
        <v>0</v>
      </c>
      <c r="E3815" s="65">
        <v>50.55</v>
      </c>
      <c r="F3815" s="8">
        <v>3.666</v>
      </c>
      <c r="G3815" s="66">
        <v>140.4307857</v>
      </c>
      <c r="H3815" s="8">
        <v>7.906</v>
      </c>
      <c r="J3815" s="26"/>
      <c r="K3815"/>
    </row>
    <row r="3816" spans="1:11">
      <c r="A3816">
        <v>27</v>
      </c>
      <c r="B3816" s="64">
        <v>40886</v>
      </c>
      <c r="C3816" s="2">
        <v>2014665.98</v>
      </c>
      <c r="D3816">
        <v>0</v>
      </c>
      <c r="E3816" s="65">
        <v>46.28</v>
      </c>
      <c r="F3816" s="8">
        <v>3.627</v>
      </c>
      <c r="G3816" s="66">
        <v>140.4397857</v>
      </c>
      <c r="H3816" s="8">
        <v>7.906</v>
      </c>
      <c r="J3816" s="26"/>
      <c r="K3816"/>
    </row>
    <row r="3817" spans="1:11">
      <c r="A3817">
        <v>27</v>
      </c>
      <c r="B3817" s="64">
        <v>40893</v>
      </c>
      <c r="C3817" s="2">
        <v>2205919.86</v>
      </c>
      <c r="D3817">
        <v>0</v>
      </c>
      <c r="E3817" s="65">
        <v>40.68</v>
      </c>
      <c r="F3817" s="8">
        <v>3.611</v>
      </c>
      <c r="G3817" s="66">
        <v>140.4700795</v>
      </c>
      <c r="H3817" s="8">
        <v>7.906</v>
      </c>
      <c r="J3817" s="26"/>
      <c r="K3817"/>
    </row>
    <row r="3818" spans="1:11">
      <c r="A3818">
        <v>27</v>
      </c>
      <c r="B3818" s="64">
        <v>40900</v>
      </c>
      <c r="C3818" s="2">
        <v>2739019.75</v>
      </c>
      <c r="D3818">
        <v>0</v>
      </c>
      <c r="E3818" s="65">
        <v>41.59</v>
      </c>
      <c r="F3818" s="8">
        <v>3.587</v>
      </c>
      <c r="G3818" s="66">
        <v>140.528765</v>
      </c>
      <c r="H3818" s="8">
        <v>7.906</v>
      </c>
      <c r="J3818" s="26"/>
      <c r="K3818"/>
    </row>
    <row r="3819" spans="1:11">
      <c r="A3819">
        <v>27</v>
      </c>
      <c r="B3819" s="64">
        <v>40907</v>
      </c>
      <c r="C3819" s="2">
        <v>1650604.6</v>
      </c>
      <c r="D3819">
        <v>1</v>
      </c>
      <c r="E3819" s="65">
        <v>37.85</v>
      </c>
      <c r="F3819" s="8">
        <v>3.566</v>
      </c>
      <c r="G3819" s="66">
        <v>140.5874505</v>
      </c>
      <c r="H3819" s="8">
        <v>7.906</v>
      </c>
      <c r="J3819" s="26"/>
      <c r="K3819"/>
    </row>
    <row r="3820" spans="1:11">
      <c r="A3820">
        <v>27</v>
      </c>
      <c r="B3820" s="64">
        <v>40914</v>
      </c>
      <c r="C3820" s="2">
        <v>1535287.4</v>
      </c>
      <c r="D3820">
        <v>0</v>
      </c>
      <c r="E3820" s="65">
        <v>35.8</v>
      </c>
      <c r="F3820" s="8">
        <v>3.585</v>
      </c>
      <c r="G3820" s="66">
        <v>140.6461359</v>
      </c>
      <c r="H3820" s="8">
        <v>8.009</v>
      </c>
      <c r="J3820" s="26"/>
      <c r="K3820"/>
    </row>
    <row r="3821" spans="1:11">
      <c r="A3821">
        <v>27</v>
      </c>
      <c r="B3821" s="64">
        <v>40921</v>
      </c>
      <c r="C3821" s="2">
        <v>1492399.13</v>
      </c>
      <c r="D3821">
        <v>0</v>
      </c>
      <c r="E3821" s="65">
        <v>41.3</v>
      </c>
      <c r="F3821" s="8">
        <v>3.666</v>
      </c>
      <c r="G3821" s="66">
        <v>140.7048214</v>
      </c>
      <c r="H3821" s="8">
        <v>8.009</v>
      </c>
      <c r="J3821" s="26"/>
      <c r="K3821"/>
    </row>
    <row r="3822" spans="1:11">
      <c r="A3822">
        <v>27</v>
      </c>
      <c r="B3822" s="64">
        <v>40928</v>
      </c>
      <c r="C3822" s="2">
        <v>1542131.05</v>
      </c>
      <c r="D3822">
        <v>0</v>
      </c>
      <c r="E3822" s="65">
        <v>30.35</v>
      </c>
      <c r="F3822" s="8">
        <v>3.705</v>
      </c>
      <c r="G3822" s="66">
        <v>140.8086118</v>
      </c>
      <c r="H3822" s="8">
        <v>8.009</v>
      </c>
      <c r="J3822" s="26"/>
      <c r="K3822"/>
    </row>
    <row r="3823" spans="1:11">
      <c r="A3823">
        <v>27</v>
      </c>
      <c r="B3823" s="64">
        <v>40935</v>
      </c>
      <c r="C3823" s="2">
        <v>1263534.86</v>
      </c>
      <c r="D3823">
        <v>0</v>
      </c>
      <c r="E3823" s="65">
        <v>36.96</v>
      </c>
      <c r="F3823" s="8">
        <v>3.737</v>
      </c>
      <c r="G3823" s="66">
        <v>140.9124021</v>
      </c>
      <c r="H3823" s="8">
        <v>8.009</v>
      </c>
      <c r="J3823" s="26"/>
      <c r="K3823"/>
    </row>
    <row r="3824" spans="1:11">
      <c r="A3824">
        <v>27</v>
      </c>
      <c r="B3824" s="64">
        <v>40942</v>
      </c>
      <c r="C3824" s="2">
        <v>1564246.02</v>
      </c>
      <c r="D3824">
        <v>0</v>
      </c>
      <c r="E3824" s="65">
        <v>42.52</v>
      </c>
      <c r="F3824" s="8">
        <v>3.796</v>
      </c>
      <c r="G3824" s="66">
        <v>141.0161924</v>
      </c>
      <c r="H3824" s="8">
        <v>8.009</v>
      </c>
      <c r="J3824" s="26"/>
      <c r="K3824"/>
    </row>
    <row r="3825" spans="1:11">
      <c r="A3825">
        <v>27</v>
      </c>
      <c r="B3825" s="64">
        <v>40949</v>
      </c>
      <c r="C3825" s="2">
        <v>1651605.35</v>
      </c>
      <c r="D3825">
        <v>1</v>
      </c>
      <c r="E3825" s="65">
        <v>37.86</v>
      </c>
      <c r="F3825" s="8">
        <v>3.826</v>
      </c>
      <c r="G3825" s="66">
        <v>141.1199827</v>
      </c>
      <c r="H3825" s="8">
        <v>8.009</v>
      </c>
      <c r="J3825" s="26"/>
      <c r="K3825"/>
    </row>
    <row r="3826" spans="1:11">
      <c r="A3826">
        <v>27</v>
      </c>
      <c r="B3826" s="64">
        <v>40956</v>
      </c>
      <c r="C3826" s="2">
        <v>1606221.56</v>
      </c>
      <c r="D3826">
        <v>0</v>
      </c>
      <c r="E3826" s="65">
        <v>37.24</v>
      </c>
      <c r="F3826" s="8">
        <v>3.874</v>
      </c>
      <c r="G3826" s="66">
        <v>141.2140357</v>
      </c>
      <c r="H3826" s="8">
        <v>8.009</v>
      </c>
      <c r="J3826" s="26"/>
      <c r="K3826"/>
    </row>
    <row r="3827" spans="1:11">
      <c r="A3827">
        <v>27</v>
      </c>
      <c r="B3827" s="64">
        <v>40963</v>
      </c>
      <c r="C3827" s="2">
        <v>1648602.39</v>
      </c>
      <c r="D3827">
        <v>0</v>
      </c>
      <c r="E3827" s="65">
        <v>41.74</v>
      </c>
      <c r="F3827" s="8">
        <v>3.917</v>
      </c>
      <c r="G3827" s="66">
        <v>141.3007857</v>
      </c>
      <c r="H3827" s="8">
        <v>8.009</v>
      </c>
      <c r="J3827" s="26"/>
      <c r="K3827"/>
    </row>
    <row r="3828" spans="1:11">
      <c r="A3828">
        <v>27</v>
      </c>
      <c r="B3828" s="64">
        <v>40970</v>
      </c>
      <c r="C3828" s="2">
        <v>1509323.09</v>
      </c>
      <c r="D3828">
        <v>0</v>
      </c>
      <c r="E3828" s="65">
        <v>40.07</v>
      </c>
      <c r="F3828" s="8">
        <v>3.983</v>
      </c>
      <c r="G3828" s="66">
        <v>141.3875357</v>
      </c>
      <c r="H3828" s="8">
        <v>8.009</v>
      </c>
      <c r="J3828" s="26"/>
      <c r="K3828"/>
    </row>
    <row r="3829" spans="1:11">
      <c r="A3829">
        <v>27</v>
      </c>
      <c r="B3829" s="64">
        <v>40977</v>
      </c>
      <c r="C3829" s="2">
        <v>1607343.41</v>
      </c>
      <c r="D3829">
        <v>0</v>
      </c>
      <c r="E3829" s="65">
        <v>44.32</v>
      </c>
      <c r="F3829" s="8">
        <v>4.021</v>
      </c>
      <c r="G3829" s="66">
        <v>141.4742857</v>
      </c>
      <c r="H3829" s="8">
        <v>8.009</v>
      </c>
      <c r="J3829" s="26"/>
      <c r="K3829"/>
    </row>
    <row r="3830" spans="1:11">
      <c r="A3830">
        <v>27</v>
      </c>
      <c r="B3830" s="64">
        <v>40984</v>
      </c>
      <c r="C3830" s="2">
        <v>1635984.07</v>
      </c>
      <c r="D3830">
        <v>0</v>
      </c>
      <c r="E3830" s="65">
        <v>49.6</v>
      </c>
      <c r="F3830" s="8">
        <v>4.021</v>
      </c>
      <c r="G3830" s="66">
        <v>141.55478</v>
      </c>
      <c r="H3830" s="8">
        <v>8.009</v>
      </c>
      <c r="J3830" s="26"/>
      <c r="K3830"/>
    </row>
    <row r="3831" spans="1:11">
      <c r="A3831">
        <v>27</v>
      </c>
      <c r="B3831" s="64">
        <v>40991</v>
      </c>
      <c r="C3831" s="2">
        <v>1620839.34</v>
      </c>
      <c r="D3831">
        <v>0</v>
      </c>
      <c r="E3831" s="65">
        <v>57.3</v>
      </c>
      <c r="F3831" s="8">
        <v>4.054</v>
      </c>
      <c r="G3831" s="66">
        <v>141.6269332</v>
      </c>
      <c r="H3831" s="8">
        <v>8.009</v>
      </c>
      <c r="J3831" s="26"/>
      <c r="K3831"/>
    </row>
    <row r="3832" spans="1:11">
      <c r="A3832">
        <v>27</v>
      </c>
      <c r="B3832" s="64">
        <v>40998</v>
      </c>
      <c r="C3832" s="2">
        <v>1615494.14</v>
      </c>
      <c r="D3832">
        <v>0</v>
      </c>
      <c r="E3832" s="65">
        <v>49.4</v>
      </c>
      <c r="F3832" s="8">
        <v>4.098</v>
      </c>
      <c r="G3832" s="66">
        <v>141.6990864</v>
      </c>
      <c r="H3832" s="8">
        <v>8.009</v>
      </c>
      <c r="J3832" s="26"/>
      <c r="K3832"/>
    </row>
    <row r="3833" spans="1:11">
      <c r="A3833">
        <v>27</v>
      </c>
      <c r="B3833" s="64">
        <v>41005</v>
      </c>
      <c r="C3833" s="2">
        <v>1899013.34</v>
      </c>
      <c r="D3833">
        <v>0</v>
      </c>
      <c r="E3833" s="65">
        <v>48.73</v>
      </c>
      <c r="F3833" s="8">
        <v>4.143</v>
      </c>
      <c r="G3833" s="66">
        <v>141.7712396</v>
      </c>
      <c r="H3833" s="8">
        <v>8.253</v>
      </c>
      <c r="J3833" s="26"/>
      <c r="K3833"/>
    </row>
    <row r="3834" spans="1:11">
      <c r="A3834">
        <v>27</v>
      </c>
      <c r="B3834" s="64">
        <v>41012</v>
      </c>
      <c r="C3834" s="2">
        <v>1650405.21</v>
      </c>
      <c r="D3834">
        <v>0</v>
      </c>
      <c r="E3834" s="65">
        <v>52.22</v>
      </c>
      <c r="F3834" s="8">
        <v>4.187</v>
      </c>
      <c r="G3834" s="66">
        <v>141.8433929</v>
      </c>
      <c r="H3834" s="8">
        <v>8.253</v>
      </c>
      <c r="J3834" s="26"/>
      <c r="K3834"/>
    </row>
    <row r="3835" spans="1:11">
      <c r="A3835">
        <v>27</v>
      </c>
      <c r="B3835" s="64">
        <v>41019</v>
      </c>
      <c r="C3835" s="2">
        <v>1639999.47</v>
      </c>
      <c r="D3835">
        <v>0</v>
      </c>
      <c r="E3835" s="65">
        <v>62.62</v>
      </c>
      <c r="F3835" s="8">
        <v>4.17</v>
      </c>
      <c r="G3835" s="66">
        <v>141.9015262</v>
      </c>
      <c r="H3835" s="8">
        <v>8.253</v>
      </c>
      <c r="J3835" s="26"/>
      <c r="K3835"/>
    </row>
    <row r="3836" spans="1:11">
      <c r="A3836">
        <v>27</v>
      </c>
      <c r="B3836" s="64">
        <v>41026</v>
      </c>
      <c r="C3836" s="2">
        <v>1565498.84</v>
      </c>
      <c r="D3836">
        <v>0</v>
      </c>
      <c r="E3836" s="65">
        <v>52.33</v>
      </c>
      <c r="F3836" s="8">
        <v>4.163</v>
      </c>
      <c r="G3836" s="66">
        <v>141.9596595</v>
      </c>
      <c r="H3836" s="8">
        <v>8.253</v>
      </c>
      <c r="J3836" s="26"/>
      <c r="K3836"/>
    </row>
    <row r="3837" spans="1:11">
      <c r="A3837">
        <v>27</v>
      </c>
      <c r="B3837" s="64">
        <v>41033</v>
      </c>
      <c r="C3837" s="2">
        <v>1669388.45</v>
      </c>
      <c r="D3837">
        <v>0</v>
      </c>
      <c r="E3837" s="65">
        <v>53.68</v>
      </c>
      <c r="F3837" s="8">
        <v>4.124</v>
      </c>
      <c r="G3837" s="66">
        <v>142.0177929</v>
      </c>
      <c r="H3837" s="8">
        <v>8.253</v>
      </c>
      <c r="J3837" s="26"/>
      <c r="K3837"/>
    </row>
    <row r="3838" spans="1:11">
      <c r="A3838">
        <v>27</v>
      </c>
      <c r="B3838" s="64">
        <v>41040</v>
      </c>
      <c r="C3838" s="2">
        <v>1674306.31</v>
      </c>
      <c r="D3838">
        <v>0</v>
      </c>
      <c r="E3838" s="65">
        <v>58.97</v>
      </c>
      <c r="F3838" s="8">
        <v>4.055</v>
      </c>
      <c r="G3838" s="66">
        <v>142.0759262</v>
      </c>
      <c r="H3838" s="8">
        <v>8.253</v>
      </c>
      <c r="J3838" s="26"/>
      <c r="K3838"/>
    </row>
    <row r="3839" spans="1:11">
      <c r="A3839">
        <v>27</v>
      </c>
      <c r="B3839" s="64">
        <v>41047</v>
      </c>
      <c r="C3839" s="2">
        <v>1707158.82</v>
      </c>
      <c r="D3839">
        <v>0</v>
      </c>
      <c r="E3839" s="65">
        <v>65.15</v>
      </c>
      <c r="F3839" s="8">
        <v>4.029</v>
      </c>
      <c r="G3839" s="66">
        <v>142.0970115</v>
      </c>
      <c r="H3839" s="8">
        <v>8.253</v>
      </c>
      <c r="J3839" s="26"/>
      <c r="K3839"/>
    </row>
    <row r="3840" spans="1:11">
      <c r="A3840">
        <v>27</v>
      </c>
      <c r="B3840" s="64">
        <v>41054</v>
      </c>
      <c r="C3840" s="2">
        <v>1818906.73</v>
      </c>
      <c r="D3840">
        <v>0</v>
      </c>
      <c r="E3840" s="65">
        <v>64.77</v>
      </c>
      <c r="F3840" s="8">
        <v>3.979</v>
      </c>
      <c r="G3840" s="66">
        <v>142.1032776</v>
      </c>
      <c r="H3840" s="8">
        <v>8.253</v>
      </c>
      <c r="J3840" s="26"/>
      <c r="K3840"/>
    </row>
    <row r="3841" spans="1:11">
      <c r="A3841">
        <v>27</v>
      </c>
      <c r="B3841" s="64">
        <v>41061</v>
      </c>
      <c r="C3841" s="2">
        <v>1900638.6</v>
      </c>
      <c r="D3841">
        <v>0</v>
      </c>
      <c r="E3841" s="65">
        <v>73.4</v>
      </c>
      <c r="F3841" s="8">
        <v>3.915</v>
      </c>
      <c r="G3841" s="66">
        <v>142.1095438</v>
      </c>
      <c r="H3841" s="8">
        <v>8.253</v>
      </c>
      <c r="J3841" s="26"/>
      <c r="K3841"/>
    </row>
    <row r="3842" spans="1:11">
      <c r="A3842">
        <v>27</v>
      </c>
      <c r="B3842" s="64">
        <v>41068</v>
      </c>
      <c r="C3842" s="2">
        <v>1764756.31</v>
      </c>
      <c r="D3842">
        <v>0</v>
      </c>
      <c r="E3842" s="65">
        <v>64.05</v>
      </c>
      <c r="F3842" s="8">
        <v>3.871</v>
      </c>
      <c r="G3842" s="66">
        <v>142.1158099</v>
      </c>
      <c r="H3842" s="8">
        <v>8.253</v>
      </c>
      <c r="J3842" s="26"/>
      <c r="K3842"/>
    </row>
    <row r="3843" spans="1:11">
      <c r="A3843">
        <v>27</v>
      </c>
      <c r="B3843" s="64">
        <v>41075</v>
      </c>
      <c r="C3843" s="2">
        <v>1773500.56</v>
      </c>
      <c r="D3843">
        <v>0</v>
      </c>
      <c r="E3843" s="65">
        <v>69.52</v>
      </c>
      <c r="F3843" s="8">
        <v>3.786</v>
      </c>
      <c r="G3843" s="66">
        <v>142.1292548</v>
      </c>
      <c r="H3843" s="8">
        <v>8.253</v>
      </c>
      <c r="J3843" s="26"/>
      <c r="K3843"/>
    </row>
    <row r="3844" spans="1:11">
      <c r="A3844">
        <v>27</v>
      </c>
      <c r="B3844" s="64">
        <v>41082</v>
      </c>
      <c r="C3844" s="2">
        <v>1837884.79</v>
      </c>
      <c r="D3844">
        <v>0</v>
      </c>
      <c r="E3844" s="65">
        <v>73.23</v>
      </c>
      <c r="F3844" s="8">
        <v>3.722</v>
      </c>
      <c r="G3844" s="66">
        <v>142.1606464</v>
      </c>
      <c r="H3844" s="8">
        <v>8.253</v>
      </c>
      <c r="J3844" s="26"/>
      <c r="K3844"/>
    </row>
    <row r="3845" spans="1:11">
      <c r="A3845">
        <v>27</v>
      </c>
      <c r="B3845" s="64">
        <v>41089</v>
      </c>
      <c r="C3845" s="2">
        <v>1842555.32</v>
      </c>
      <c r="D3845">
        <v>0</v>
      </c>
      <c r="E3845" s="65">
        <v>73.94</v>
      </c>
      <c r="F3845" s="8">
        <v>3.667</v>
      </c>
      <c r="G3845" s="66">
        <v>142.1920381</v>
      </c>
      <c r="H3845" s="8">
        <v>8.253</v>
      </c>
      <c r="J3845" s="26"/>
      <c r="K3845"/>
    </row>
    <row r="3846" spans="1:11">
      <c r="A3846">
        <v>27</v>
      </c>
      <c r="B3846" s="64">
        <v>41096</v>
      </c>
      <c r="C3846" s="2">
        <v>2062224.92</v>
      </c>
      <c r="D3846">
        <v>0</v>
      </c>
      <c r="E3846" s="65">
        <v>82.08</v>
      </c>
      <c r="F3846" s="8">
        <v>3.646</v>
      </c>
      <c r="G3846" s="66">
        <v>142.2234298</v>
      </c>
      <c r="H3846" s="8">
        <v>8.239</v>
      </c>
      <c r="J3846" s="26"/>
      <c r="K3846"/>
    </row>
    <row r="3847" spans="1:11">
      <c r="A3847">
        <v>27</v>
      </c>
      <c r="B3847" s="64">
        <v>41103</v>
      </c>
      <c r="C3847" s="2">
        <v>1755889.53</v>
      </c>
      <c r="D3847">
        <v>0</v>
      </c>
      <c r="E3847" s="65">
        <v>78.95</v>
      </c>
      <c r="F3847" s="8">
        <v>3.689</v>
      </c>
      <c r="G3847" s="66">
        <v>142.2548214</v>
      </c>
      <c r="H3847" s="8">
        <v>8.239</v>
      </c>
      <c r="J3847" s="26"/>
      <c r="K3847"/>
    </row>
    <row r="3848" spans="1:11">
      <c r="A3848">
        <v>27</v>
      </c>
      <c r="B3848" s="64">
        <v>41110</v>
      </c>
      <c r="C3848" s="2">
        <v>1730913.66</v>
      </c>
      <c r="D3848">
        <v>0</v>
      </c>
      <c r="E3848" s="65">
        <v>78.64</v>
      </c>
      <c r="F3848" s="8">
        <v>3.732</v>
      </c>
      <c r="G3848" s="66">
        <v>142.2337569</v>
      </c>
      <c r="H3848" s="8">
        <v>8.239</v>
      </c>
      <c r="J3848" s="26"/>
      <c r="K3848"/>
    </row>
    <row r="3849" spans="1:11">
      <c r="A3849">
        <v>27</v>
      </c>
      <c r="B3849" s="64">
        <v>41117</v>
      </c>
      <c r="C3849" s="2">
        <v>1625883.71</v>
      </c>
      <c r="D3849">
        <v>0</v>
      </c>
      <c r="E3849" s="65">
        <v>76.01</v>
      </c>
      <c r="F3849" s="8">
        <v>3.82</v>
      </c>
      <c r="G3849" s="66">
        <v>142.2126924</v>
      </c>
      <c r="H3849" s="8">
        <v>8.239</v>
      </c>
      <c r="J3849" s="26"/>
      <c r="K3849"/>
    </row>
    <row r="3850" spans="1:11">
      <c r="A3850">
        <v>27</v>
      </c>
      <c r="B3850" s="64">
        <v>41124</v>
      </c>
      <c r="C3850" s="2">
        <v>1705810.84</v>
      </c>
      <c r="D3850">
        <v>0</v>
      </c>
      <c r="E3850" s="65">
        <v>75.22</v>
      </c>
      <c r="F3850" s="8">
        <v>3.819</v>
      </c>
      <c r="G3850" s="66">
        <v>142.1916279</v>
      </c>
      <c r="H3850" s="8">
        <v>8.239</v>
      </c>
      <c r="J3850" s="26"/>
      <c r="K3850"/>
    </row>
    <row r="3851" spans="1:11">
      <c r="A3851">
        <v>27</v>
      </c>
      <c r="B3851" s="64">
        <v>41131</v>
      </c>
      <c r="C3851" s="2">
        <v>1720537.26</v>
      </c>
      <c r="D3851">
        <v>0</v>
      </c>
      <c r="E3851" s="65">
        <v>78.44</v>
      </c>
      <c r="F3851" s="8">
        <v>3.863</v>
      </c>
      <c r="G3851" s="66">
        <v>142.1705634</v>
      </c>
      <c r="H3851" s="8">
        <v>8.239</v>
      </c>
      <c r="J3851" s="26"/>
      <c r="K3851"/>
    </row>
    <row r="3852" spans="1:11">
      <c r="A3852">
        <v>27</v>
      </c>
      <c r="B3852" s="64">
        <v>41138</v>
      </c>
      <c r="C3852" s="2">
        <v>1735339.59</v>
      </c>
      <c r="D3852">
        <v>0</v>
      </c>
      <c r="E3852" s="65">
        <v>76.51</v>
      </c>
      <c r="F3852" s="8">
        <v>3.963</v>
      </c>
      <c r="G3852" s="66">
        <v>142.2157385</v>
      </c>
      <c r="H3852" s="8">
        <v>8.239</v>
      </c>
      <c r="J3852" s="26"/>
      <c r="K3852"/>
    </row>
    <row r="3853" spans="1:11">
      <c r="A3853">
        <v>27</v>
      </c>
      <c r="B3853" s="64">
        <v>41145</v>
      </c>
      <c r="C3853" s="2">
        <v>1780443.36</v>
      </c>
      <c r="D3853">
        <v>0</v>
      </c>
      <c r="E3853" s="65">
        <v>72.93</v>
      </c>
      <c r="F3853" s="8">
        <v>3.997</v>
      </c>
      <c r="G3853" s="66">
        <v>142.3105933</v>
      </c>
      <c r="H3853" s="8">
        <v>8.239</v>
      </c>
      <c r="J3853" s="26"/>
      <c r="K3853"/>
    </row>
    <row r="3854" spans="1:11">
      <c r="A3854">
        <v>27</v>
      </c>
      <c r="B3854" s="64">
        <v>41152</v>
      </c>
      <c r="C3854" s="2">
        <v>1731935.43</v>
      </c>
      <c r="D3854">
        <v>0</v>
      </c>
      <c r="E3854" s="65">
        <v>75</v>
      </c>
      <c r="F3854" s="8">
        <v>4.026</v>
      </c>
      <c r="G3854" s="66">
        <v>142.4054482</v>
      </c>
      <c r="H3854" s="8">
        <v>8.239</v>
      </c>
      <c r="J3854" s="26"/>
      <c r="K3854"/>
    </row>
    <row r="3855" spans="1:11">
      <c r="A3855">
        <v>27</v>
      </c>
      <c r="B3855" s="64">
        <v>41159</v>
      </c>
      <c r="C3855" s="2">
        <v>1840955.23</v>
      </c>
      <c r="D3855">
        <v>1</v>
      </c>
      <c r="E3855" s="65">
        <v>76</v>
      </c>
      <c r="F3855" s="8">
        <v>4.076</v>
      </c>
      <c r="G3855" s="66">
        <v>142.500303</v>
      </c>
      <c r="H3855" s="8">
        <v>8.239</v>
      </c>
      <c r="J3855" s="26"/>
      <c r="K3855"/>
    </row>
    <row r="3856" spans="1:11">
      <c r="A3856">
        <v>27</v>
      </c>
      <c r="B3856" s="64">
        <v>41166</v>
      </c>
      <c r="C3856" s="2">
        <v>1519604.5</v>
      </c>
      <c r="D3856">
        <v>0</v>
      </c>
      <c r="E3856" s="65">
        <v>68.72</v>
      </c>
      <c r="F3856" s="8">
        <v>4.088</v>
      </c>
      <c r="G3856" s="66">
        <v>142.5938833</v>
      </c>
      <c r="H3856" s="8">
        <v>8.239</v>
      </c>
      <c r="J3856" s="26"/>
      <c r="K3856"/>
    </row>
    <row r="3857" spans="1:11">
      <c r="A3857">
        <v>27</v>
      </c>
      <c r="B3857" s="64">
        <v>41173</v>
      </c>
      <c r="C3857" s="2">
        <v>1557485.75</v>
      </c>
      <c r="D3857">
        <v>0</v>
      </c>
      <c r="E3857" s="65">
        <v>66.1</v>
      </c>
      <c r="F3857" s="8">
        <v>4.203</v>
      </c>
      <c r="G3857" s="66">
        <v>142.6798167</v>
      </c>
      <c r="H3857" s="8">
        <v>8.239</v>
      </c>
      <c r="J3857" s="26"/>
      <c r="K3857"/>
    </row>
    <row r="3858" spans="1:11">
      <c r="A3858">
        <v>27</v>
      </c>
      <c r="B3858" s="64">
        <v>41180</v>
      </c>
      <c r="C3858" s="2">
        <v>1540687.63</v>
      </c>
      <c r="D3858">
        <v>0</v>
      </c>
      <c r="E3858" s="65">
        <v>64.92</v>
      </c>
      <c r="F3858" s="8">
        <v>4.158</v>
      </c>
      <c r="G3858" s="66">
        <v>142.76575</v>
      </c>
      <c r="H3858" s="8">
        <v>8.239</v>
      </c>
      <c r="J3858" s="26"/>
      <c r="K3858"/>
    </row>
    <row r="3859" spans="1:11">
      <c r="A3859">
        <v>27</v>
      </c>
      <c r="B3859" s="64">
        <v>41187</v>
      </c>
      <c r="C3859" s="2">
        <v>1591816.88</v>
      </c>
      <c r="D3859">
        <v>0</v>
      </c>
      <c r="E3859" s="65">
        <v>64.5</v>
      </c>
      <c r="F3859" s="8">
        <v>4.151</v>
      </c>
      <c r="G3859" s="66">
        <v>142.8516833</v>
      </c>
      <c r="H3859" s="8">
        <v>8</v>
      </c>
      <c r="J3859" s="26"/>
      <c r="K3859"/>
    </row>
    <row r="3860" spans="1:11">
      <c r="A3860">
        <v>27</v>
      </c>
      <c r="B3860" s="64">
        <v>41194</v>
      </c>
      <c r="C3860" s="2">
        <v>1660081.29</v>
      </c>
      <c r="D3860">
        <v>0</v>
      </c>
      <c r="E3860" s="65">
        <v>55.4</v>
      </c>
      <c r="F3860" s="8">
        <v>4.186</v>
      </c>
      <c r="G3860" s="66">
        <v>142.9376167</v>
      </c>
      <c r="H3860" s="8">
        <v>8</v>
      </c>
      <c r="J3860" s="26"/>
      <c r="K3860"/>
    </row>
    <row r="3861" spans="1:11">
      <c r="A3861">
        <v>27</v>
      </c>
      <c r="B3861" s="64">
        <v>41201</v>
      </c>
      <c r="C3861" s="2">
        <v>1620374.24</v>
      </c>
      <c r="D3861">
        <v>0</v>
      </c>
      <c r="E3861" s="65">
        <v>56.53</v>
      </c>
      <c r="F3861" s="8">
        <v>4.153</v>
      </c>
      <c r="G3861" s="66">
        <v>142.8633629</v>
      </c>
      <c r="H3861" s="8">
        <v>8</v>
      </c>
      <c r="J3861" s="26"/>
      <c r="K3861"/>
    </row>
    <row r="3862" spans="1:11">
      <c r="A3862">
        <v>27</v>
      </c>
      <c r="B3862" s="64">
        <v>41208</v>
      </c>
      <c r="C3862" s="2">
        <v>1703047.74</v>
      </c>
      <c r="D3862">
        <v>0</v>
      </c>
      <c r="E3862" s="65">
        <v>58.99</v>
      </c>
      <c r="F3862" s="8">
        <v>4.071</v>
      </c>
      <c r="G3862" s="66">
        <v>142.7624113</v>
      </c>
      <c r="H3862" s="8">
        <v>8</v>
      </c>
      <c r="J3862" s="26"/>
      <c r="K3862"/>
    </row>
    <row r="3863" spans="1:11">
      <c r="A3863">
        <v>28</v>
      </c>
      <c r="B3863" s="64">
        <v>40214</v>
      </c>
      <c r="C3863" s="2">
        <v>1672352.29</v>
      </c>
      <c r="D3863">
        <v>0</v>
      </c>
      <c r="E3863" s="65">
        <v>49.47</v>
      </c>
      <c r="F3863" s="8">
        <v>2.962</v>
      </c>
      <c r="G3863" s="66">
        <v>126.4420645</v>
      </c>
      <c r="H3863" s="8">
        <v>13.975</v>
      </c>
      <c r="J3863" s="26"/>
      <c r="K3863"/>
    </row>
    <row r="3864" spans="1:11">
      <c r="A3864">
        <v>28</v>
      </c>
      <c r="B3864" s="64">
        <v>40221</v>
      </c>
      <c r="C3864" s="2">
        <v>1558968.49</v>
      </c>
      <c r="D3864">
        <v>1</v>
      </c>
      <c r="E3864" s="65">
        <v>47.87</v>
      </c>
      <c r="F3864" s="8">
        <v>2.946</v>
      </c>
      <c r="G3864" s="66">
        <v>126.4962581</v>
      </c>
      <c r="H3864" s="8">
        <v>13.975</v>
      </c>
      <c r="J3864" s="26"/>
      <c r="K3864"/>
    </row>
    <row r="3865" spans="1:11">
      <c r="A3865">
        <v>28</v>
      </c>
      <c r="B3865" s="64">
        <v>40228</v>
      </c>
      <c r="C3865" s="2">
        <v>1491300.42</v>
      </c>
      <c r="D3865">
        <v>0</v>
      </c>
      <c r="E3865" s="65">
        <v>54.83</v>
      </c>
      <c r="F3865" s="8">
        <v>2.915</v>
      </c>
      <c r="G3865" s="66">
        <v>126.5262857</v>
      </c>
      <c r="H3865" s="8">
        <v>13.975</v>
      </c>
      <c r="J3865" s="26"/>
      <c r="K3865"/>
    </row>
    <row r="3866" spans="1:11">
      <c r="A3866">
        <v>28</v>
      </c>
      <c r="B3866" s="64">
        <v>40235</v>
      </c>
      <c r="C3866" s="2">
        <v>1542173.33</v>
      </c>
      <c r="D3866">
        <v>0</v>
      </c>
      <c r="E3866" s="65">
        <v>50.23</v>
      </c>
      <c r="F3866" s="8">
        <v>2.825</v>
      </c>
      <c r="G3866" s="66">
        <v>126.5522857</v>
      </c>
      <c r="H3866" s="8">
        <v>13.975</v>
      </c>
      <c r="J3866" s="26"/>
      <c r="K3866"/>
    </row>
    <row r="3867" spans="1:11">
      <c r="A3867">
        <v>28</v>
      </c>
      <c r="B3867" s="64">
        <v>40242</v>
      </c>
      <c r="C3867" s="2">
        <v>1608435.45</v>
      </c>
      <c r="D3867">
        <v>0</v>
      </c>
      <c r="E3867" s="65">
        <v>53.77</v>
      </c>
      <c r="F3867" s="8">
        <v>2.987</v>
      </c>
      <c r="G3867" s="66">
        <v>126.5782857</v>
      </c>
      <c r="H3867" s="8">
        <v>13.975</v>
      </c>
      <c r="J3867" s="26"/>
      <c r="K3867"/>
    </row>
    <row r="3868" spans="1:11">
      <c r="A3868">
        <v>28</v>
      </c>
      <c r="B3868" s="64">
        <v>40249</v>
      </c>
      <c r="C3868" s="2">
        <v>1326877.11</v>
      </c>
      <c r="D3868">
        <v>0</v>
      </c>
      <c r="E3868" s="65">
        <v>50.11</v>
      </c>
      <c r="F3868" s="8">
        <v>2.925</v>
      </c>
      <c r="G3868" s="66">
        <v>126.6042857</v>
      </c>
      <c r="H3868" s="8">
        <v>13.975</v>
      </c>
      <c r="J3868" s="26"/>
      <c r="K3868"/>
    </row>
    <row r="3869" spans="1:11">
      <c r="A3869">
        <v>28</v>
      </c>
      <c r="B3869" s="64">
        <v>40256</v>
      </c>
      <c r="C3869" s="2">
        <v>1279819.43</v>
      </c>
      <c r="D3869">
        <v>0</v>
      </c>
      <c r="E3869" s="65">
        <v>59.57</v>
      </c>
      <c r="F3869" s="8">
        <v>3.054</v>
      </c>
      <c r="G3869" s="66">
        <v>126.6066452</v>
      </c>
      <c r="H3869" s="8">
        <v>13.975</v>
      </c>
      <c r="J3869" s="26"/>
      <c r="K3869"/>
    </row>
    <row r="3870" spans="1:11">
      <c r="A3870">
        <v>28</v>
      </c>
      <c r="B3870" s="64">
        <v>40263</v>
      </c>
      <c r="C3870" s="2">
        <v>1245268.77</v>
      </c>
      <c r="D3870">
        <v>0</v>
      </c>
      <c r="E3870" s="65">
        <v>60.06</v>
      </c>
      <c r="F3870" s="8">
        <v>3.083</v>
      </c>
      <c r="G3870" s="66">
        <v>126.6050645</v>
      </c>
      <c r="H3870" s="8">
        <v>13.975</v>
      </c>
      <c r="J3870" s="26"/>
      <c r="K3870"/>
    </row>
    <row r="3871" spans="1:11">
      <c r="A3871">
        <v>28</v>
      </c>
      <c r="B3871" s="64">
        <v>40270</v>
      </c>
      <c r="C3871" s="2">
        <v>1441559.4</v>
      </c>
      <c r="D3871">
        <v>0</v>
      </c>
      <c r="E3871" s="65">
        <v>59.84</v>
      </c>
      <c r="F3871" s="8">
        <v>3.086</v>
      </c>
      <c r="G3871" s="66">
        <v>126.6034839</v>
      </c>
      <c r="H3871" s="8">
        <v>14.099</v>
      </c>
      <c r="J3871" s="26"/>
      <c r="K3871"/>
    </row>
    <row r="3872" spans="1:11">
      <c r="A3872">
        <v>28</v>
      </c>
      <c r="B3872" s="64">
        <v>40277</v>
      </c>
      <c r="C3872" s="2">
        <v>1382359.21</v>
      </c>
      <c r="D3872">
        <v>0</v>
      </c>
      <c r="E3872" s="65">
        <v>59.25</v>
      </c>
      <c r="F3872" s="8">
        <v>3.09</v>
      </c>
      <c r="G3872" s="66">
        <v>126.6019032</v>
      </c>
      <c r="H3872" s="8">
        <v>14.099</v>
      </c>
      <c r="J3872" s="26"/>
      <c r="K3872"/>
    </row>
    <row r="3873" spans="1:11">
      <c r="A3873">
        <v>28</v>
      </c>
      <c r="B3873" s="64">
        <v>40284</v>
      </c>
      <c r="C3873" s="2">
        <v>1268240.66</v>
      </c>
      <c r="D3873">
        <v>0</v>
      </c>
      <c r="E3873" s="65">
        <v>64.95</v>
      </c>
      <c r="F3873" s="8">
        <v>3.109</v>
      </c>
      <c r="G3873" s="66">
        <v>126.5621</v>
      </c>
      <c r="H3873" s="8">
        <v>14.099</v>
      </c>
      <c r="J3873" s="26"/>
      <c r="K3873"/>
    </row>
    <row r="3874" spans="1:11">
      <c r="A3874">
        <v>28</v>
      </c>
      <c r="B3874" s="64">
        <v>40291</v>
      </c>
      <c r="C3874" s="2">
        <v>1244177.21</v>
      </c>
      <c r="D3874">
        <v>0</v>
      </c>
      <c r="E3874" s="65">
        <v>64.55</v>
      </c>
      <c r="F3874" s="8">
        <v>3.05</v>
      </c>
      <c r="G3874" s="66">
        <v>126.4713333</v>
      </c>
      <c r="H3874" s="8">
        <v>14.099</v>
      </c>
      <c r="J3874" s="26"/>
      <c r="K3874"/>
    </row>
    <row r="3875" spans="1:11">
      <c r="A3875">
        <v>28</v>
      </c>
      <c r="B3875" s="64">
        <v>40298</v>
      </c>
      <c r="C3875" s="2">
        <v>1186971.02</v>
      </c>
      <c r="D3875">
        <v>0</v>
      </c>
      <c r="E3875" s="65">
        <v>67.38</v>
      </c>
      <c r="F3875" s="8">
        <v>3.105</v>
      </c>
      <c r="G3875" s="66">
        <v>126.3805667</v>
      </c>
      <c r="H3875" s="8">
        <v>14.099</v>
      </c>
      <c r="J3875" s="26"/>
      <c r="K3875"/>
    </row>
    <row r="3876" spans="1:11">
      <c r="A3876">
        <v>28</v>
      </c>
      <c r="B3876" s="64">
        <v>40305</v>
      </c>
      <c r="C3876" s="2">
        <v>1532893.22</v>
      </c>
      <c r="D3876">
        <v>0</v>
      </c>
      <c r="E3876" s="65">
        <v>70.15</v>
      </c>
      <c r="F3876" s="8">
        <v>3.127</v>
      </c>
      <c r="G3876" s="66">
        <v>126.2898</v>
      </c>
      <c r="H3876" s="8">
        <v>14.099</v>
      </c>
      <c r="J3876" s="26"/>
      <c r="K3876"/>
    </row>
    <row r="3877" spans="1:11">
      <c r="A3877">
        <v>28</v>
      </c>
      <c r="B3877" s="64">
        <v>40312</v>
      </c>
      <c r="C3877" s="2">
        <v>1245898.73</v>
      </c>
      <c r="D3877">
        <v>0</v>
      </c>
      <c r="E3877" s="65">
        <v>68.44</v>
      </c>
      <c r="F3877" s="8">
        <v>3.145</v>
      </c>
      <c r="G3877" s="66">
        <v>126.2085484</v>
      </c>
      <c r="H3877" s="8">
        <v>14.099</v>
      </c>
      <c r="J3877" s="26"/>
      <c r="K3877"/>
    </row>
    <row r="3878" spans="1:11">
      <c r="A3878">
        <v>28</v>
      </c>
      <c r="B3878" s="64">
        <v>40319</v>
      </c>
      <c r="C3878" s="2">
        <v>1217923.71</v>
      </c>
      <c r="D3878">
        <v>0</v>
      </c>
      <c r="E3878" s="65">
        <v>76.2</v>
      </c>
      <c r="F3878" s="8">
        <v>3.12</v>
      </c>
      <c r="G3878" s="66">
        <v>126.1843871</v>
      </c>
      <c r="H3878" s="8">
        <v>14.099</v>
      </c>
      <c r="J3878" s="26"/>
      <c r="K3878"/>
    </row>
    <row r="3879" spans="1:11">
      <c r="A3879">
        <v>28</v>
      </c>
      <c r="B3879" s="64">
        <v>40326</v>
      </c>
      <c r="C3879" s="2">
        <v>1176588.25</v>
      </c>
      <c r="D3879">
        <v>0</v>
      </c>
      <c r="E3879" s="65">
        <v>67.84</v>
      </c>
      <c r="F3879" s="8">
        <v>3.058</v>
      </c>
      <c r="G3879" s="66">
        <v>126.1602258</v>
      </c>
      <c r="H3879" s="8">
        <v>14.099</v>
      </c>
      <c r="J3879" s="26"/>
      <c r="K3879"/>
    </row>
    <row r="3880" spans="1:11">
      <c r="A3880">
        <v>28</v>
      </c>
      <c r="B3880" s="64">
        <v>40333</v>
      </c>
      <c r="C3880" s="2">
        <v>1543678.02</v>
      </c>
      <c r="D3880">
        <v>0</v>
      </c>
      <c r="E3880" s="65">
        <v>81.39</v>
      </c>
      <c r="F3880" s="8">
        <v>2.941</v>
      </c>
      <c r="G3880" s="66">
        <v>126.1360645</v>
      </c>
      <c r="H3880" s="8">
        <v>14.099</v>
      </c>
      <c r="J3880" s="26"/>
      <c r="K3880"/>
    </row>
    <row r="3881" spans="1:11">
      <c r="A3881">
        <v>28</v>
      </c>
      <c r="B3881" s="64">
        <v>40340</v>
      </c>
      <c r="C3881" s="2">
        <v>1348995.17</v>
      </c>
      <c r="D3881">
        <v>0</v>
      </c>
      <c r="E3881" s="65">
        <v>90.84</v>
      </c>
      <c r="F3881" s="8">
        <v>2.949</v>
      </c>
      <c r="G3881" s="66">
        <v>126.1119032</v>
      </c>
      <c r="H3881" s="8">
        <v>14.099</v>
      </c>
      <c r="J3881" s="26"/>
      <c r="K3881"/>
    </row>
    <row r="3882" spans="1:11">
      <c r="A3882">
        <v>28</v>
      </c>
      <c r="B3882" s="64">
        <v>40347</v>
      </c>
      <c r="C3882" s="2">
        <v>1267619.06</v>
      </c>
      <c r="D3882">
        <v>0</v>
      </c>
      <c r="E3882" s="65">
        <v>81.06</v>
      </c>
      <c r="F3882" s="8">
        <v>3.043</v>
      </c>
      <c r="G3882" s="66">
        <v>126.114</v>
      </c>
      <c r="H3882" s="8">
        <v>14.099</v>
      </c>
      <c r="J3882" s="26"/>
      <c r="K3882"/>
    </row>
    <row r="3883" spans="1:11">
      <c r="A3883">
        <v>28</v>
      </c>
      <c r="B3883" s="64">
        <v>40354</v>
      </c>
      <c r="C3883" s="2">
        <v>1231025.07</v>
      </c>
      <c r="D3883">
        <v>0</v>
      </c>
      <c r="E3883" s="65">
        <v>87.27</v>
      </c>
      <c r="F3883" s="8">
        <v>3.084</v>
      </c>
      <c r="G3883" s="66">
        <v>126.1266</v>
      </c>
      <c r="H3883" s="8">
        <v>14.099</v>
      </c>
      <c r="J3883" s="26"/>
      <c r="K3883"/>
    </row>
    <row r="3884" spans="1:11">
      <c r="A3884">
        <v>28</v>
      </c>
      <c r="B3884" s="64">
        <v>40361</v>
      </c>
      <c r="C3884" s="2">
        <v>1399960.15</v>
      </c>
      <c r="D3884">
        <v>0</v>
      </c>
      <c r="E3884" s="65">
        <v>91.98</v>
      </c>
      <c r="F3884" s="8">
        <v>3.105</v>
      </c>
      <c r="G3884" s="66">
        <v>126.1392</v>
      </c>
      <c r="H3884" s="8">
        <v>14.18</v>
      </c>
      <c r="J3884" s="26"/>
      <c r="K3884"/>
    </row>
    <row r="3885" spans="1:11">
      <c r="A3885">
        <v>28</v>
      </c>
      <c r="B3885" s="64">
        <v>40368</v>
      </c>
      <c r="C3885" s="2">
        <v>1340293.87</v>
      </c>
      <c r="D3885">
        <v>0</v>
      </c>
      <c r="E3885" s="65">
        <v>90.37</v>
      </c>
      <c r="F3885" s="8">
        <v>3.1</v>
      </c>
      <c r="G3885" s="66">
        <v>126.1518</v>
      </c>
      <c r="H3885" s="8">
        <v>14.18</v>
      </c>
      <c r="J3885" s="26"/>
      <c r="K3885"/>
    </row>
    <row r="3886" spans="1:11">
      <c r="A3886">
        <v>28</v>
      </c>
      <c r="B3886" s="64">
        <v>40375</v>
      </c>
      <c r="C3886" s="2">
        <v>1225336.41</v>
      </c>
      <c r="D3886">
        <v>0</v>
      </c>
      <c r="E3886" s="65">
        <v>97.18</v>
      </c>
      <c r="F3886" s="8">
        <v>3.094</v>
      </c>
      <c r="G3886" s="66">
        <v>126.1498065</v>
      </c>
      <c r="H3886" s="8">
        <v>14.18</v>
      </c>
      <c r="J3886" s="26"/>
      <c r="K3886"/>
    </row>
    <row r="3887" spans="1:11">
      <c r="A3887">
        <v>28</v>
      </c>
      <c r="B3887" s="64">
        <v>40382</v>
      </c>
      <c r="C3887" s="2">
        <v>1205884.98</v>
      </c>
      <c r="D3887">
        <v>0</v>
      </c>
      <c r="E3887" s="65">
        <v>99.22</v>
      </c>
      <c r="F3887" s="8">
        <v>3.112</v>
      </c>
      <c r="G3887" s="66">
        <v>126.1283548</v>
      </c>
      <c r="H3887" s="8">
        <v>14.18</v>
      </c>
      <c r="J3887" s="26"/>
      <c r="K3887"/>
    </row>
    <row r="3888" spans="1:11">
      <c r="A3888">
        <v>28</v>
      </c>
      <c r="B3888" s="64">
        <v>40389</v>
      </c>
      <c r="C3888" s="2">
        <v>1150204.71</v>
      </c>
      <c r="D3888">
        <v>0</v>
      </c>
      <c r="E3888" s="65">
        <v>96.31</v>
      </c>
      <c r="F3888" s="8">
        <v>3.017</v>
      </c>
      <c r="G3888" s="66">
        <v>126.1069032</v>
      </c>
      <c r="H3888" s="8">
        <v>14.18</v>
      </c>
      <c r="J3888" s="26"/>
      <c r="K3888"/>
    </row>
    <row r="3889" spans="1:11">
      <c r="A3889">
        <v>28</v>
      </c>
      <c r="B3889" s="64">
        <v>40396</v>
      </c>
      <c r="C3889" s="2">
        <v>1523101.38</v>
      </c>
      <c r="D3889">
        <v>0</v>
      </c>
      <c r="E3889" s="65">
        <v>92.95</v>
      </c>
      <c r="F3889" s="8">
        <v>3.123</v>
      </c>
      <c r="G3889" s="66">
        <v>126.0854516</v>
      </c>
      <c r="H3889" s="8">
        <v>14.18</v>
      </c>
      <c r="J3889" s="26"/>
      <c r="K3889"/>
    </row>
    <row r="3890" spans="1:11">
      <c r="A3890">
        <v>28</v>
      </c>
      <c r="B3890" s="64">
        <v>40403</v>
      </c>
      <c r="C3890" s="2">
        <v>1218688.09</v>
      </c>
      <c r="D3890">
        <v>0</v>
      </c>
      <c r="E3890" s="65">
        <v>87.01</v>
      </c>
      <c r="F3890" s="8">
        <v>3.159</v>
      </c>
      <c r="G3890" s="66">
        <v>126.064</v>
      </c>
      <c r="H3890" s="8">
        <v>14.18</v>
      </c>
      <c r="J3890" s="26"/>
      <c r="K3890"/>
    </row>
    <row r="3891" spans="1:11">
      <c r="A3891">
        <v>28</v>
      </c>
      <c r="B3891" s="64">
        <v>40410</v>
      </c>
      <c r="C3891" s="2">
        <v>1195897.6</v>
      </c>
      <c r="D3891">
        <v>0</v>
      </c>
      <c r="E3891" s="65">
        <v>92.81</v>
      </c>
      <c r="F3891" s="8">
        <v>3.041</v>
      </c>
      <c r="G3891" s="66">
        <v>126.0766452</v>
      </c>
      <c r="H3891" s="8">
        <v>14.18</v>
      </c>
      <c r="J3891" s="26"/>
      <c r="K3891"/>
    </row>
    <row r="3892" spans="1:11">
      <c r="A3892">
        <v>28</v>
      </c>
      <c r="B3892" s="64">
        <v>40417</v>
      </c>
      <c r="C3892" s="2">
        <v>1191585.92</v>
      </c>
      <c r="D3892">
        <v>0</v>
      </c>
      <c r="E3892" s="65">
        <v>93.19</v>
      </c>
      <c r="F3892" s="8">
        <v>3.129</v>
      </c>
      <c r="G3892" s="66">
        <v>126.0892903</v>
      </c>
      <c r="H3892" s="8">
        <v>14.18</v>
      </c>
      <c r="J3892" s="26"/>
      <c r="K3892"/>
    </row>
    <row r="3893" spans="1:11">
      <c r="A3893">
        <v>28</v>
      </c>
      <c r="B3893" s="64">
        <v>40424</v>
      </c>
      <c r="C3893" s="2">
        <v>1523410.71</v>
      </c>
      <c r="D3893">
        <v>0</v>
      </c>
      <c r="E3893" s="65">
        <v>83.12</v>
      </c>
      <c r="F3893" s="8">
        <v>3.087</v>
      </c>
      <c r="G3893" s="66">
        <v>126.1019355</v>
      </c>
      <c r="H3893" s="8">
        <v>14.18</v>
      </c>
      <c r="J3893" s="26"/>
      <c r="K3893"/>
    </row>
    <row r="3894" spans="1:11">
      <c r="A3894">
        <v>28</v>
      </c>
      <c r="B3894" s="64">
        <v>40431</v>
      </c>
      <c r="C3894" s="2">
        <v>1246062.17</v>
      </c>
      <c r="D3894">
        <v>1</v>
      </c>
      <c r="E3894" s="65">
        <v>83.63</v>
      </c>
      <c r="F3894" s="8">
        <v>3.044</v>
      </c>
      <c r="G3894" s="66">
        <v>126.1145806</v>
      </c>
      <c r="H3894" s="8">
        <v>14.18</v>
      </c>
      <c r="J3894" s="26"/>
      <c r="K3894"/>
    </row>
    <row r="3895" spans="1:11">
      <c r="A3895">
        <v>28</v>
      </c>
      <c r="B3895" s="64">
        <v>40438</v>
      </c>
      <c r="C3895" s="2">
        <v>1159812.35</v>
      </c>
      <c r="D3895">
        <v>0</v>
      </c>
      <c r="E3895" s="65">
        <v>82.45</v>
      </c>
      <c r="F3895" s="8">
        <v>3.028</v>
      </c>
      <c r="G3895" s="66">
        <v>126.1454667</v>
      </c>
      <c r="H3895" s="8">
        <v>14.18</v>
      </c>
      <c r="J3895" s="26"/>
      <c r="K3895"/>
    </row>
    <row r="3896" spans="1:11">
      <c r="A3896">
        <v>28</v>
      </c>
      <c r="B3896" s="64">
        <v>40445</v>
      </c>
      <c r="C3896" s="2">
        <v>1111797.21</v>
      </c>
      <c r="D3896">
        <v>0</v>
      </c>
      <c r="E3896" s="65">
        <v>81.77</v>
      </c>
      <c r="F3896" s="8">
        <v>2.939</v>
      </c>
      <c r="G3896" s="66">
        <v>126.1900333</v>
      </c>
      <c r="H3896" s="8">
        <v>14.18</v>
      </c>
      <c r="J3896" s="26"/>
      <c r="K3896"/>
    </row>
    <row r="3897" spans="1:11">
      <c r="A3897">
        <v>28</v>
      </c>
      <c r="B3897" s="64">
        <v>40452</v>
      </c>
      <c r="C3897" s="2">
        <v>1203080.41</v>
      </c>
      <c r="D3897">
        <v>0</v>
      </c>
      <c r="E3897" s="65">
        <v>85.2</v>
      </c>
      <c r="F3897" s="8">
        <v>3.001</v>
      </c>
      <c r="G3897" s="66">
        <v>126.2346</v>
      </c>
      <c r="H3897" s="8">
        <v>14.313</v>
      </c>
      <c r="J3897" s="26"/>
      <c r="K3897"/>
    </row>
    <row r="3898" spans="1:11">
      <c r="A3898">
        <v>28</v>
      </c>
      <c r="B3898" s="64">
        <v>40459</v>
      </c>
      <c r="C3898" s="2">
        <v>1334571.87</v>
      </c>
      <c r="D3898">
        <v>0</v>
      </c>
      <c r="E3898" s="65">
        <v>71.82</v>
      </c>
      <c r="F3898" s="8">
        <v>3.013</v>
      </c>
      <c r="G3898" s="66">
        <v>126.2791667</v>
      </c>
      <c r="H3898" s="8">
        <v>14.313</v>
      </c>
      <c r="J3898" s="26"/>
      <c r="K3898"/>
    </row>
    <row r="3899" spans="1:11">
      <c r="A3899">
        <v>28</v>
      </c>
      <c r="B3899" s="64">
        <v>40466</v>
      </c>
      <c r="C3899" s="2">
        <v>1158062.99</v>
      </c>
      <c r="D3899">
        <v>0</v>
      </c>
      <c r="E3899" s="65">
        <v>75</v>
      </c>
      <c r="F3899" s="8">
        <v>2.976</v>
      </c>
      <c r="G3899" s="66">
        <v>126.3266774</v>
      </c>
      <c r="H3899" s="8">
        <v>14.313</v>
      </c>
      <c r="J3899" s="26"/>
      <c r="K3899"/>
    </row>
    <row r="3900" spans="1:11">
      <c r="A3900">
        <v>28</v>
      </c>
      <c r="B3900" s="64">
        <v>40473</v>
      </c>
      <c r="C3900" s="2">
        <v>1120619.32</v>
      </c>
      <c r="D3900">
        <v>0</v>
      </c>
      <c r="E3900" s="65">
        <v>68.85</v>
      </c>
      <c r="F3900" s="8">
        <v>3.014</v>
      </c>
      <c r="G3900" s="66">
        <v>126.3815484</v>
      </c>
      <c r="H3900" s="8">
        <v>14.313</v>
      </c>
      <c r="J3900" s="26"/>
      <c r="K3900"/>
    </row>
    <row r="3901" spans="1:11">
      <c r="A3901">
        <v>28</v>
      </c>
      <c r="B3901" s="64">
        <v>40480</v>
      </c>
      <c r="C3901" s="2">
        <v>1231688.48</v>
      </c>
      <c r="D3901">
        <v>0</v>
      </c>
      <c r="E3901" s="65">
        <v>61.09</v>
      </c>
      <c r="F3901" s="8">
        <v>3.016</v>
      </c>
      <c r="G3901" s="66">
        <v>126.4364194</v>
      </c>
      <c r="H3901" s="8">
        <v>14.313</v>
      </c>
      <c r="J3901" s="26"/>
      <c r="K3901"/>
    </row>
    <row r="3902" spans="1:11">
      <c r="A3902">
        <v>28</v>
      </c>
      <c r="B3902" s="64">
        <v>40487</v>
      </c>
      <c r="C3902" s="2">
        <v>1501663.26</v>
      </c>
      <c r="D3902">
        <v>0</v>
      </c>
      <c r="E3902" s="65">
        <v>65.49</v>
      </c>
      <c r="F3902" s="8">
        <v>3.129</v>
      </c>
      <c r="G3902" s="66">
        <v>126.4912903</v>
      </c>
      <c r="H3902" s="8">
        <v>14.313</v>
      </c>
      <c r="J3902" s="26"/>
      <c r="K3902"/>
    </row>
    <row r="3903" spans="1:11">
      <c r="A3903">
        <v>28</v>
      </c>
      <c r="B3903" s="64">
        <v>40494</v>
      </c>
      <c r="C3903" s="2">
        <v>1266460.45</v>
      </c>
      <c r="D3903">
        <v>0</v>
      </c>
      <c r="E3903" s="65">
        <v>57.79</v>
      </c>
      <c r="F3903" s="8">
        <v>3.13</v>
      </c>
      <c r="G3903" s="66">
        <v>126.5461613</v>
      </c>
      <c r="H3903" s="8">
        <v>14.313</v>
      </c>
      <c r="J3903" s="26"/>
      <c r="K3903"/>
    </row>
    <row r="3904" spans="1:11">
      <c r="A3904">
        <v>28</v>
      </c>
      <c r="B3904" s="64">
        <v>40501</v>
      </c>
      <c r="C3904" s="2">
        <v>1179315.72</v>
      </c>
      <c r="D3904">
        <v>0</v>
      </c>
      <c r="E3904" s="65">
        <v>58.18</v>
      </c>
      <c r="F3904" s="8">
        <v>3.161</v>
      </c>
      <c r="G3904" s="66">
        <v>126.6072</v>
      </c>
      <c r="H3904" s="8">
        <v>14.313</v>
      </c>
      <c r="J3904" s="26"/>
      <c r="K3904"/>
    </row>
    <row r="3905" spans="1:11">
      <c r="A3905">
        <v>28</v>
      </c>
      <c r="B3905" s="64">
        <v>40508</v>
      </c>
      <c r="C3905" s="2">
        <v>1937033.5</v>
      </c>
      <c r="D3905">
        <v>1</v>
      </c>
      <c r="E3905" s="65">
        <v>47.66</v>
      </c>
      <c r="F3905" s="8">
        <v>3.162</v>
      </c>
      <c r="G3905" s="66">
        <v>126.6692667</v>
      </c>
      <c r="H3905" s="8">
        <v>14.313</v>
      </c>
      <c r="J3905" s="26"/>
      <c r="K3905"/>
    </row>
    <row r="3906" spans="1:11">
      <c r="A3906">
        <v>28</v>
      </c>
      <c r="B3906" s="64">
        <v>40515</v>
      </c>
      <c r="C3906" s="2">
        <v>1447916.29</v>
      </c>
      <c r="D3906">
        <v>0</v>
      </c>
      <c r="E3906" s="65">
        <v>43.33</v>
      </c>
      <c r="F3906" s="8">
        <v>3.041</v>
      </c>
      <c r="G3906" s="66">
        <v>126.7313333</v>
      </c>
      <c r="H3906" s="8">
        <v>14.313</v>
      </c>
      <c r="J3906" s="26"/>
      <c r="K3906"/>
    </row>
    <row r="3907" spans="1:11">
      <c r="A3907">
        <v>28</v>
      </c>
      <c r="B3907" s="64">
        <v>40522</v>
      </c>
      <c r="C3907" s="2">
        <v>1466164.49</v>
      </c>
      <c r="D3907">
        <v>0</v>
      </c>
      <c r="E3907" s="65">
        <v>50.01</v>
      </c>
      <c r="F3907" s="8">
        <v>3.203</v>
      </c>
      <c r="G3907" s="66">
        <v>126.7934</v>
      </c>
      <c r="H3907" s="8">
        <v>14.313</v>
      </c>
      <c r="J3907" s="26"/>
      <c r="K3907"/>
    </row>
    <row r="3908" spans="1:11">
      <c r="A3908">
        <v>28</v>
      </c>
      <c r="B3908" s="64">
        <v>40529</v>
      </c>
      <c r="C3908" s="2">
        <v>1510443.62</v>
      </c>
      <c r="D3908">
        <v>0</v>
      </c>
      <c r="E3908" s="65">
        <v>52.77</v>
      </c>
      <c r="F3908" s="8">
        <v>3.236</v>
      </c>
      <c r="G3908" s="66">
        <v>126.8794839</v>
      </c>
      <c r="H3908" s="8">
        <v>14.313</v>
      </c>
      <c r="J3908" s="26"/>
      <c r="K3908"/>
    </row>
    <row r="3909" spans="1:11">
      <c r="A3909">
        <v>28</v>
      </c>
      <c r="B3909" s="64">
        <v>40536</v>
      </c>
      <c r="C3909" s="2">
        <v>2026026.39</v>
      </c>
      <c r="D3909">
        <v>0</v>
      </c>
      <c r="E3909" s="65">
        <v>52.02</v>
      </c>
      <c r="F3909" s="8">
        <v>3.236</v>
      </c>
      <c r="G3909" s="66">
        <v>126.9835806</v>
      </c>
      <c r="H3909" s="8">
        <v>14.313</v>
      </c>
      <c r="J3909" s="26"/>
      <c r="K3909"/>
    </row>
    <row r="3910" spans="1:11">
      <c r="A3910">
        <v>28</v>
      </c>
      <c r="B3910" s="64">
        <v>40543</v>
      </c>
      <c r="C3910" s="2">
        <v>1090558.57</v>
      </c>
      <c r="D3910">
        <v>1</v>
      </c>
      <c r="E3910" s="65">
        <v>45.64</v>
      </c>
      <c r="F3910" s="8">
        <v>3.148</v>
      </c>
      <c r="G3910" s="66">
        <v>127.0876774</v>
      </c>
      <c r="H3910" s="8">
        <v>14.313</v>
      </c>
      <c r="J3910" s="26"/>
      <c r="K3910"/>
    </row>
    <row r="3911" spans="1:11">
      <c r="A3911">
        <v>28</v>
      </c>
      <c r="B3911" s="64">
        <v>40550</v>
      </c>
      <c r="C3911" s="2">
        <v>1402902.47</v>
      </c>
      <c r="D3911">
        <v>0</v>
      </c>
      <c r="E3911" s="65">
        <v>37.64</v>
      </c>
      <c r="F3911" s="8">
        <v>3.287</v>
      </c>
      <c r="G3911" s="66">
        <v>127.1917742</v>
      </c>
      <c r="H3911" s="8">
        <v>14.021</v>
      </c>
      <c r="J3911" s="26"/>
      <c r="K3911"/>
    </row>
    <row r="3912" spans="1:11">
      <c r="A3912">
        <v>28</v>
      </c>
      <c r="B3912" s="64">
        <v>40557</v>
      </c>
      <c r="C3912" s="2">
        <v>1098286.61</v>
      </c>
      <c r="D3912">
        <v>0</v>
      </c>
      <c r="E3912" s="65">
        <v>43.15</v>
      </c>
      <c r="F3912" s="8">
        <v>3.312</v>
      </c>
      <c r="G3912" s="66">
        <v>127.3009355</v>
      </c>
      <c r="H3912" s="8">
        <v>14.021</v>
      </c>
      <c r="J3912" s="26"/>
      <c r="K3912"/>
    </row>
    <row r="3913" spans="1:11">
      <c r="A3913">
        <v>28</v>
      </c>
      <c r="B3913" s="64">
        <v>40564</v>
      </c>
      <c r="C3913" s="2">
        <v>1079669.11</v>
      </c>
      <c r="D3913">
        <v>0</v>
      </c>
      <c r="E3913" s="65">
        <v>53.53</v>
      </c>
      <c r="F3913" s="8">
        <v>3.223</v>
      </c>
      <c r="G3913" s="66">
        <v>127.4404839</v>
      </c>
      <c r="H3913" s="8">
        <v>14.021</v>
      </c>
      <c r="J3913" s="26"/>
      <c r="K3913"/>
    </row>
    <row r="3914" spans="1:11">
      <c r="A3914">
        <v>28</v>
      </c>
      <c r="B3914" s="64">
        <v>40571</v>
      </c>
      <c r="C3914" s="2">
        <v>1127859.69</v>
      </c>
      <c r="D3914">
        <v>0</v>
      </c>
      <c r="E3914" s="65">
        <v>50.74</v>
      </c>
      <c r="F3914" s="8">
        <v>3.342</v>
      </c>
      <c r="G3914" s="66">
        <v>127.5800323</v>
      </c>
      <c r="H3914" s="8">
        <v>14.021</v>
      </c>
      <c r="J3914" s="26"/>
      <c r="K3914"/>
    </row>
    <row r="3915" spans="1:11">
      <c r="A3915">
        <v>28</v>
      </c>
      <c r="B3915" s="64">
        <v>40578</v>
      </c>
      <c r="C3915" s="2">
        <v>1564897.32</v>
      </c>
      <c r="D3915">
        <v>0</v>
      </c>
      <c r="E3915" s="65">
        <v>45.14</v>
      </c>
      <c r="F3915" s="8">
        <v>3.348</v>
      </c>
      <c r="G3915" s="66">
        <v>127.7195806</v>
      </c>
      <c r="H3915" s="8">
        <v>14.021</v>
      </c>
      <c r="J3915" s="26"/>
      <c r="K3915"/>
    </row>
    <row r="3916" spans="1:11">
      <c r="A3916">
        <v>28</v>
      </c>
      <c r="B3916" s="64">
        <v>40585</v>
      </c>
      <c r="C3916" s="2">
        <v>1397301.38</v>
      </c>
      <c r="D3916">
        <v>1</v>
      </c>
      <c r="E3916" s="65">
        <v>51.3</v>
      </c>
      <c r="F3916" s="8">
        <v>3.381</v>
      </c>
      <c r="G3916" s="66">
        <v>127.859129</v>
      </c>
      <c r="H3916" s="8">
        <v>14.021</v>
      </c>
      <c r="J3916" s="26"/>
      <c r="K3916"/>
    </row>
    <row r="3917" spans="1:11">
      <c r="A3917">
        <v>28</v>
      </c>
      <c r="B3917" s="64">
        <v>40592</v>
      </c>
      <c r="C3917" s="2">
        <v>1514828.82</v>
      </c>
      <c r="D3917">
        <v>0</v>
      </c>
      <c r="E3917" s="65">
        <v>53.35</v>
      </c>
      <c r="F3917" s="8">
        <v>3.43</v>
      </c>
      <c r="G3917" s="66">
        <v>127.99525</v>
      </c>
      <c r="H3917" s="8">
        <v>14.021</v>
      </c>
      <c r="J3917" s="26"/>
      <c r="K3917"/>
    </row>
    <row r="3918" spans="1:11">
      <c r="A3918">
        <v>28</v>
      </c>
      <c r="B3918" s="64">
        <v>40599</v>
      </c>
      <c r="C3918" s="2">
        <v>1311796.91</v>
      </c>
      <c r="D3918">
        <v>0</v>
      </c>
      <c r="E3918" s="65">
        <v>48.45</v>
      </c>
      <c r="F3918" s="8">
        <v>3.53</v>
      </c>
      <c r="G3918" s="66">
        <v>128.13</v>
      </c>
      <c r="H3918" s="8">
        <v>14.021</v>
      </c>
      <c r="J3918" s="26"/>
      <c r="K3918"/>
    </row>
    <row r="3919" spans="1:11">
      <c r="A3919">
        <v>28</v>
      </c>
      <c r="B3919" s="64">
        <v>40606</v>
      </c>
      <c r="C3919" s="2">
        <v>1723736.91</v>
      </c>
      <c r="D3919">
        <v>0</v>
      </c>
      <c r="E3919" s="65">
        <v>51.72</v>
      </c>
      <c r="F3919" s="8">
        <v>3.674</v>
      </c>
      <c r="G3919" s="66">
        <v>128.26475</v>
      </c>
      <c r="H3919" s="8">
        <v>14.021</v>
      </c>
      <c r="J3919" s="26"/>
      <c r="K3919"/>
    </row>
    <row r="3920" spans="1:11">
      <c r="A3920">
        <v>28</v>
      </c>
      <c r="B3920" s="64">
        <v>40613</v>
      </c>
      <c r="C3920" s="2">
        <v>1380836.35</v>
      </c>
      <c r="D3920">
        <v>0</v>
      </c>
      <c r="E3920" s="65">
        <v>57.75</v>
      </c>
      <c r="F3920" s="8">
        <v>3.818</v>
      </c>
      <c r="G3920" s="66">
        <v>128.3995</v>
      </c>
      <c r="H3920" s="8">
        <v>14.021</v>
      </c>
      <c r="J3920" s="26"/>
      <c r="K3920"/>
    </row>
    <row r="3921" spans="1:11">
      <c r="A3921">
        <v>28</v>
      </c>
      <c r="B3921" s="64">
        <v>40620</v>
      </c>
      <c r="C3921" s="2">
        <v>1286413.71</v>
      </c>
      <c r="D3921">
        <v>0</v>
      </c>
      <c r="E3921" s="65">
        <v>64.21</v>
      </c>
      <c r="F3921" s="8">
        <v>3.692</v>
      </c>
      <c r="G3921" s="66">
        <v>128.5121935</v>
      </c>
      <c r="H3921" s="8">
        <v>14.021</v>
      </c>
      <c r="J3921" s="26"/>
      <c r="K3921"/>
    </row>
    <row r="3922" spans="1:11">
      <c r="A3922">
        <v>28</v>
      </c>
      <c r="B3922" s="64">
        <v>40627</v>
      </c>
      <c r="C3922" s="2">
        <v>1201059.72</v>
      </c>
      <c r="D3922">
        <v>0</v>
      </c>
      <c r="E3922" s="65">
        <v>54.4</v>
      </c>
      <c r="F3922" s="8">
        <v>3.909</v>
      </c>
      <c r="G3922" s="66">
        <v>128.6160645</v>
      </c>
      <c r="H3922" s="8">
        <v>14.021</v>
      </c>
      <c r="J3922" s="26"/>
      <c r="K3922"/>
    </row>
    <row r="3923" spans="1:11">
      <c r="A3923">
        <v>28</v>
      </c>
      <c r="B3923" s="64">
        <v>40634</v>
      </c>
      <c r="C3923" s="2">
        <v>1336838.41</v>
      </c>
      <c r="D3923">
        <v>0</v>
      </c>
      <c r="E3923" s="65">
        <v>63.63</v>
      </c>
      <c r="F3923" s="8">
        <v>3.772</v>
      </c>
      <c r="G3923" s="66">
        <v>128.7199355</v>
      </c>
      <c r="H3923" s="8">
        <v>13.736</v>
      </c>
      <c r="J3923" s="26"/>
      <c r="K3923"/>
    </row>
    <row r="3924" spans="1:11">
      <c r="A3924">
        <v>28</v>
      </c>
      <c r="B3924" s="64">
        <v>40641</v>
      </c>
      <c r="C3924" s="2">
        <v>1414713.5</v>
      </c>
      <c r="D3924">
        <v>0</v>
      </c>
      <c r="E3924" s="65">
        <v>64.47</v>
      </c>
      <c r="F3924" s="8">
        <v>4.003</v>
      </c>
      <c r="G3924" s="66">
        <v>128.8238065</v>
      </c>
      <c r="H3924" s="8">
        <v>13.736</v>
      </c>
      <c r="J3924" s="26"/>
      <c r="K3924"/>
    </row>
    <row r="3925" spans="1:11">
      <c r="A3925">
        <v>28</v>
      </c>
      <c r="B3925" s="64">
        <v>40648</v>
      </c>
      <c r="C3925" s="2">
        <v>1240126.07</v>
      </c>
      <c r="D3925">
        <v>0</v>
      </c>
      <c r="E3925" s="65">
        <v>57.63</v>
      </c>
      <c r="F3925" s="8">
        <v>3.868</v>
      </c>
      <c r="G3925" s="66">
        <v>128.9107333</v>
      </c>
      <c r="H3925" s="8">
        <v>13.736</v>
      </c>
      <c r="J3925" s="26"/>
      <c r="K3925"/>
    </row>
    <row r="3926" spans="1:11">
      <c r="A3926">
        <v>28</v>
      </c>
      <c r="B3926" s="64">
        <v>40655</v>
      </c>
      <c r="C3926" s="2">
        <v>1297452</v>
      </c>
      <c r="D3926">
        <v>0</v>
      </c>
      <c r="E3926" s="65">
        <v>72.12</v>
      </c>
      <c r="F3926" s="8">
        <v>4.134</v>
      </c>
      <c r="G3926" s="66">
        <v>128.9553</v>
      </c>
      <c r="H3926" s="8">
        <v>13.736</v>
      </c>
      <c r="J3926" s="26"/>
      <c r="K3926"/>
    </row>
    <row r="3927" spans="1:11">
      <c r="A3927">
        <v>28</v>
      </c>
      <c r="B3927" s="64">
        <v>40662</v>
      </c>
      <c r="C3927" s="2">
        <v>1222367.9</v>
      </c>
      <c r="D3927">
        <v>0</v>
      </c>
      <c r="E3927" s="65">
        <v>68.27</v>
      </c>
      <c r="F3927" s="8">
        <v>4.151</v>
      </c>
      <c r="G3927" s="66">
        <v>128.9998667</v>
      </c>
      <c r="H3927" s="8">
        <v>13.736</v>
      </c>
      <c r="J3927" s="26"/>
      <c r="K3927"/>
    </row>
    <row r="3928" spans="1:11">
      <c r="A3928">
        <v>28</v>
      </c>
      <c r="B3928" s="64">
        <v>40669</v>
      </c>
      <c r="C3928" s="2">
        <v>1515890.38</v>
      </c>
      <c r="D3928">
        <v>0</v>
      </c>
      <c r="E3928" s="65">
        <v>68.4</v>
      </c>
      <c r="F3928" s="8">
        <v>4.193</v>
      </c>
      <c r="G3928" s="66">
        <v>129.0444333</v>
      </c>
      <c r="H3928" s="8">
        <v>13.736</v>
      </c>
      <c r="J3928" s="26"/>
      <c r="K3928"/>
    </row>
    <row r="3929" spans="1:11">
      <c r="A3929">
        <v>28</v>
      </c>
      <c r="B3929" s="64">
        <v>40676</v>
      </c>
      <c r="C3929" s="2">
        <v>1253316.3</v>
      </c>
      <c r="D3929">
        <v>0</v>
      </c>
      <c r="E3929" s="65">
        <v>70.93</v>
      </c>
      <c r="F3929" s="8">
        <v>4.202</v>
      </c>
      <c r="G3929" s="66">
        <v>129.089</v>
      </c>
      <c r="H3929" s="8">
        <v>13.736</v>
      </c>
      <c r="J3929" s="26"/>
      <c r="K3929"/>
    </row>
    <row r="3930" spans="1:11">
      <c r="A3930">
        <v>28</v>
      </c>
      <c r="B3930" s="64">
        <v>40683</v>
      </c>
      <c r="C3930" s="2">
        <v>1151282.31</v>
      </c>
      <c r="D3930">
        <v>0</v>
      </c>
      <c r="E3930" s="65">
        <v>66.59</v>
      </c>
      <c r="F3930" s="8">
        <v>4.169</v>
      </c>
      <c r="G3930" s="66">
        <v>129.0756774</v>
      </c>
      <c r="H3930" s="8">
        <v>13.736</v>
      </c>
      <c r="J3930" s="26"/>
      <c r="K3930"/>
    </row>
    <row r="3931" spans="1:11">
      <c r="A3931">
        <v>28</v>
      </c>
      <c r="B3931" s="64">
        <v>40690</v>
      </c>
      <c r="C3931" s="2">
        <v>1160043.98</v>
      </c>
      <c r="D3931">
        <v>0</v>
      </c>
      <c r="E3931" s="65">
        <v>76.67</v>
      </c>
      <c r="F3931" s="8">
        <v>4.087</v>
      </c>
      <c r="G3931" s="66">
        <v>129.0623548</v>
      </c>
      <c r="H3931" s="8">
        <v>13.736</v>
      </c>
      <c r="J3931" s="26"/>
      <c r="K3931"/>
    </row>
    <row r="3932" spans="1:11">
      <c r="A3932">
        <v>28</v>
      </c>
      <c r="B3932" s="64">
        <v>40697</v>
      </c>
      <c r="C3932" s="2">
        <v>1403779.25</v>
      </c>
      <c r="D3932">
        <v>0</v>
      </c>
      <c r="E3932" s="65">
        <v>71.81</v>
      </c>
      <c r="F3932" s="8">
        <v>4.031</v>
      </c>
      <c r="G3932" s="66">
        <v>129.0490323</v>
      </c>
      <c r="H3932" s="8">
        <v>13.736</v>
      </c>
      <c r="J3932" s="26"/>
      <c r="K3932"/>
    </row>
    <row r="3933" spans="1:11">
      <c r="A3933">
        <v>28</v>
      </c>
      <c r="B3933" s="64">
        <v>40704</v>
      </c>
      <c r="C3933" s="2">
        <v>1339972.83</v>
      </c>
      <c r="D3933">
        <v>0</v>
      </c>
      <c r="E3933" s="65">
        <v>78.72</v>
      </c>
      <c r="F3933" s="8">
        <v>3.981</v>
      </c>
      <c r="G3933" s="66">
        <v>129.0357097</v>
      </c>
      <c r="H3933" s="8">
        <v>13.736</v>
      </c>
      <c r="J3933" s="26"/>
      <c r="K3933"/>
    </row>
    <row r="3934" spans="1:11">
      <c r="A3934">
        <v>28</v>
      </c>
      <c r="B3934" s="64">
        <v>40711</v>
      </c>
      <c r="C3934" s="2">
        <v>1268503.49</v>
      </c>
      <c r="D3934">
        <v>0</v>
      </c>
      <c r="E3934" s="65">
        <v>86.84</v>
      </c>
      <c r="F3934" s="8">
        <v>3.935</v>
      </c>
      <c r="G3934" s="66">
        <v>129.0432</v>
      </c>
      <c r="H3934" s="8">
        <v>13.736</v>
      </c>
      <c r="J3934" s="26"/>
      <c r="K3934"/>
    </row>
    <row r="3935" spans="1:11">
      <c r="A3935">
        <v>28</v>
      </c>
      <c r="B3935" s="64">
        <v>40718</v>
      </c>
      <c r="C3935" s="2">
        <v>1208809.34</v>
      </c>
      <c r="D3935">
        <v>0</v>
      </c>
      <c r="E3935" s="65">
        <v>88.95</v>
      </c>
      <c r="F3935" s="8">
        <v>3.898</v>
      </c>
      <c r="G3935" s="66">
        <v>129.0663</v>
      </c>
      <c r="H3935" s="8">
        <v>13.736</v>
      </c>
      <c r="J3935" s="26"/>
      <c r="K3935"/>
    </row>
    <row r="3936" spans="1:11">
      <c r="A3936">
        <v>28</v>
      </c>
      <c r="B3936" s="64">
        <v>40725</v>
      </c>
      <c r="C3936" s="2">
        <v>1319054.57</v>
      </c>
      <c r="D3936">
        <v>0</v>
      </c>
      <c r="E3936" s="65">
        <v>89.85</v>
      </c>
      <c r="F3936" s="8">
        <v>3.842</v>
      </c>
      <c r="G3936" s="66">
        <v>129.0894</v>
      </c>
      <c r="H3936" s="8">
        <v>13.503</v>
      </c>
      <c r="J3936" s="26"/>
      <c r="K3936"/>
    </row>
    <row r="3937" spans="1:11">
      <c r="A3937">
        <v>28</v>
      </c>
      <c r="B3937" s="64">
        <v>40732</v>
      </c>
      <c r="C3937" s="2">
        <v>1459655.85</v>
      </c>
      <c r="D3937">
        <v>0</v>
      </c>
      <c r="E3937" s="65">
        <v>89.9</v>
      </c>
      <c r="F3937" s="8">
        <v>3.705</v>
      </c>
      <c r="G3937" s="66">
        <v>129.1125</v>
      </c>
      <c r="H3937" s="8">
        <v>13.503</v>
      </c>
      <c r="J3937" s="26"/>
      <c r="K3937"/>
    </row>
    <row r="3938" spans="1:11">
      <c r="A3938">
        <v>28</v>
      </c>
      <c r="B3938" s="64">
        <v>40739</v>
      </c>
      <c r="C3938" s="2">
        <v>1197373.13</v>
      </c>
      <c r="D3938">
        <v>0</v>
      </c>
      <c r="E3938" s="65">
        <v>88.1</v>
      </c>
      <c r="F3938" s="8">
        <v>3.692</v>
      </c>
      <c r="G3938" s="66">
        <v>129.1338387</v>
      </c>
      <c r="H3938" s="8">
        <v>13.503</v>
      </c>
      <c r="J3938" s="26"/>
      <c r="K3938"/>
    </row>
    <row r="3939" spans="1:11">
      <c r="A3939">
        <v>28</v>
      </c>
      <c r="B3939" s="64">
        <v>40746</v>
      </c>
      <c r="C3939" s="2">
        <v>1165870.54</v>
      </c>
      <c r="D3939">
        <v>0</v>
      </c>
      <c r="E3939" s="65">
        <v>91.17</v>
      </c>
      <c r="F3939" s="8">
        <v>3.794</v>
      </c>
      <c r="G3939" s="66">
        <v>129.1507742</v>
      </c>
      <c r="H3939" s="8">
        <v>13.503</v>
      </c>
      <c r="J3939" s="26"/>
      <c r="K3939"/>
    </row>
    <row r="3940" spans="1:11">
      <c r="A3940">
        <v>28</v>
      </c>
      <c r="B3940" s="64">
        <v>40753</v>
      </c>
      <c r="C3940" s="2">
        <v>1114530.29</v>
      </c>
      <c r="D3940">
        <v>0</v>
      </c>
      <c r="E3940" s="65">
        <v>93.29</v>
      </c>
      <c r="F3940" s="8">
        <v>3.805</v>
      </c>
      <c r="G3940" s="66">
        <v>129.1677097</v>
      </c>
      <c r="H3940" s="8">
        <v>13.503</v>
      </c>
      <c r="J3940" s="26"/>
      <c r="K3940"/>
    </row>
    <row r="3941" spans="1:11">
      <c r="A3941">
        <v>28</v>
      </c>
      <c r="B3941" s="64">
        <v>40760</v>
      </c>
      <c r="C3941" s="2">
        <v>1523870.89</v>
      </c>
      <c r="D3941">
        <v>0</v>
      </c>
      <c r="E3941" s="65">
        <v>90.61</v>
      </c>
      <c r="F3941" s="8">
        <v>3.803</v>
      </c>
      <c r="G3941" s="66">
        <v>129.1846452</v>
      </c>
      <c r="H3941" s="8">
        <v>13.503</v>
      </c>
      <c r="J3941" s="26"/>
      <c r="K3941"/>
    </row>
    <row r="3942" spans="1:11">
      <c r="A3942">
        <v>28</v>
      </c>
      <c r="B3942" s="64">
        <v>40767</v>
      </c>
      <c r="C3942" s="2">
        <v>1218764.94</v>
      </c>
      <c r="D3942">
        <v>0</v>
      </c>
      <c r="E3942" s="65">
        <v>91.04</v>
      </c>
      <c r="F3942" s="8">
        <v>3.701</v>
      </c>
      <c r="G3942" s="66">
        <v>129.2015806</v>
      </c>
      <c r="H3942" s="8">
        <v>13.503</v>
      </c>
      <c r="J3942" s="26"/>
      <c r="K3942"/>
    </row>
    <row r="3943" spans="1:11">
      <c r="A3943">
        <v>28</v>
      </c>
      <c r="B3943" s="64">
        <v>40774</v>
      </c>
      <c r="C3943" s="2">
        <v>1200019.74</v>
      </c>
      <c r="D3943">
        <v>0</v>
      </c>
      <c r="E3943" s="65">
        <v>91.74</v>
      </c>
      <c r="F3943" s="8">
        <v>3.743</v>
      </c>
      <c r="G3943" s="66">
        <v>129.2405806</v>
      </c>
      <c r="H3943" s="8">
        <v>13.503</v>
      </c>
      <c r="J3943" s="26"/>
      <c r="K3943"/>
    </row>
    <row r="3944" spans="1:11">
      <c r="A3944">
        <v>28</v>
      </c>
      <c r="B3944" s="64">
        <v>40781</v>
      </c>
      <c r="C3944" s="2">
        <v>1166479.51</v>
      </c>
      <c r="D3944">
        <v>0</v>
      </c>
      <c r="E3944" s="65">
        <v>94.61</v>
      </c>
      <c r="F3944" s="8">
        <v>3.74</v>
      </c>
      <c r="G3944" s="66">
        <v>129.2832581</v>
      </c>
      <c r="H3944" s="8">
        <v>13.503</v>
      </c>
      <c r="J3944" s="26"/>
      <c r="K3944"/>
    </row>
    <row r="3945" spans="1:11">
      <c r="A3945">
        <v>28</v>
      </c>
      <c r="B3945" s="64">
        <v>40788</v>
      </c>
      <c r="C3945" s="2">
        <v>1468871.49</v>
      </c>
      <c r="D3945">
        <v>0</v>
      </c>
      <c r="E3945" s="65">
        <v>93.66</v>
      </c>
      <c r="F3945" s="8">
        <v>3.798</v>
      </c>
      <c r="G3945" s="66">
        <v>129.3259355</v>
      </c>
      <c r="H3945" s="8">
        <v>13.503</v>
      </c>
      <c r="J3945" s="26"/>
      <c r="K3945"/>
    </row>
    <row r="3946" spans="1:11">
      <c r="A3946">
        <v>28</v>
      </c>
      <c r="B3946" s="64">
        <v>40795</v>
      </c>
      <c r="C3946" s="2">
        <v>1310087</v>
      </c>
      <c r="D3946">
        <v>1</v>
      </c>
      <c r="E3946" s="65">
        <v>88</v>
      </c>
      <c r="F3946" s="8">
        <v>3.913</v>
      </c>
      <c r="G3946" s="66">
        <v>129.3686129</v>
      </c>
      <c r="H3946" s="8">
        <v>13.503</v>
      </c>
      <c r="J3946" s="26"/>
      <c r="K3946"/>
    </row>
    <row r="3947" spans="1:11">
      <c r="A3947">
        <v>28</v>
      </c>
      <c r="B3947" s="64">
        <v>40802</v>
      </c>
      <c r="C3947" s="2">
        <v>1159212.1</v>
      </c>
      <c r="D3947">
        <v>0</v>
      </c>
      <c r="E3947" s="65">
        <v>76.36</v>
      </c>
      <c r="F3947" s="8">
        <v>3.918</v>
      </c>
      <c r="G3947" s="66">
        <v>129.4306</v>
      </c>
      <c r="H3947" s="8">
        <v>13.503</v>
      </c>
      <c r="J3947" s="26"/>
      <c r="K3947"/>
    </row>
    <row r="3948" spans="1:11">
      <c r="A3948">
        <v>28</v>
      </c>
      <c r="B3948" s="64">
        <v>40809</v>
      </c>
      <c r="C3948" s="2">
        <v>1109105.92</v>
      </c>
      <c r="D3948">
        <v>0</v>
      </c>
      <c r="E3948" s="65">
        <v>82.95</v>
      </c>
      <c r="F3948" s="8">
        <v>3.789</v>
      </c>
      <c r="G3948" s="66">
        <v>129.5183333</v>
      </c>
      <c r="H3948" s="8">
        <v>13.503</v>
      </c>
      <c r="J3948" s="26"/>
      <c r="K3948"/>
    </row>
    <row r="3949" spans="1:11">
      <c r="A3949">
        <v>28</v>
      </c>
      <c r="B3949" s="64">
        <v>40816</v>
      </c>
      <c r="C3949" s="2">
        <v>1120731.76</v>
      </c>
      <c r="D3949">
        <v>0</v>
      </c>
      <c r="E3949" s="65">
        <v>83.26</v>
      </c>
      <c r="F3949" s="8">
        <v>3.877</v>
      </c>
      <c r="G3949" s="66">
        <v>129.6060667</v>
      </c>
      <c r="H3949" s="8">
        <v>13.503</v>
      </c>
      <c r="J3949" s="26"/>
      <c r="K3949"/>
    </row>
    <row r="3950" spans="1:11">
      <c r="A3950">
        <v>28</v>
      </c>
      <c r="B3950" s="64">
        <v>40823</v>
      </c>
      <c r="C3950" s="2">
        <v>1557314.58</v>
      </c>
      <c r="D3950">
        <v>0</v>
      </c>
      <c r="E3950" s="65">
        <v>70.44</v>
      </c>
      <c r="F3950" s="8">
        <v>3.827</v>
      </c>
      <c r="G3950" s="66">
        <v>129.6938</v>
      </c>
      <c r="H3950" s="8">
        <v>12.89</v>
      </c>
      <c r="J3950" s="26"/>
      <c r="K3950"/>
    </row>
    <row r="3951" spans="1:11">
      <c r="A3951">
        <v>28</v>
      </c>
      <c r="B3951" s="64">
        <v>40830</v>
      </c>
      <c r="C3951" s="2">
        <v>1220984.94</v>
      </c>
      <c r="D3951">
        <v>0</v>
      </c>
      <c r="E3951" s="65">
        <v>67.31</v>
      </c>
      <c r="F3951" s="8">
        <v>3.805</v>
      </c>
      <c r="G3951" s="66">
        <v>129.7706452</v>
      </c>
      <c r="H3951" s="8">
        <v>12.89</v>
      </c>
      <c r="J3951" s="26"/>
      <c r="K3951"/>
    </row>
    <row r="3952" spans="1:11">
      <c r="A3952">
        <v>28</v>
      </c>
      <c r="B3952" s="64">
        <v>40837</v>
      </c>
      <c r="C3952" s="2">
        <v>1203172.05</v>
      </c>
      <c r="D3952">
        <v>0</v>
      </c>
      <c r="E3952" s="65">
        <v>73.05</v>
      </c>
      <c r="F3952" s="8">
        <v>3.842</v>
      </c>
      <c r="G3952" s="66">
        <v>129.7821613</v>
      </c>
      <c r="H3952" s="8">
        <v>12.89</v>
      </c>
      <c r="J3952" s="26"/>
      <c r="K3952"/>
    </row>
    <row r="3953" spans="1:11">
      <c r="A3953">
        <v>28</v>
      </c>
      <c r="B3953" s="64">
        <v>40844</v>
      </c>
      <c r="C3953" s="2">
        <v>1242746.06</v>
      </c>
      <c r="D3953">
        <v>0</v>
      </c>
      <c r="E3953" s="65">
        <v>67.41</v>
      </c>
      <c r="F3953" s="8">
        <v>3.727</v>
      </c>
      <c r="G3953" s="66">
        <v>129.7936774</v>
      </c>
      <c r="H3953" s="8">
        <v>12.89</v>
      </c>
      <c r="J3953" s="26"/>
      <c r="K3953"/>
    </row>
    <row r="3954" spans="1:11">
      <c r="A3954">
        <v>28</v>
      </c>
      <c r="B3954" s="64">
        <v>40851</v>
      </c>
      <c r="C3954" s="2">
        <v>1576654.67</v>
      </c>
      <c r="D3954">
        <v>0</v>
      </c>
      <c r="E3954" s="65">
        <v>59.77</v>
      </c>
      <c r="F3954" s="8">
        <v>3.828</v>
      </c>
      <c r="G3954" s="66">
        <v>129.8051935</v>
      </c>
      <c r="H3954" s="8">
        <v>12.89</v>
      </c>
      <c r="J3954" s="26"/>
      <c r="K3954"/>
    </row>
    <row r="3955" spans="1:11">
      <c r="A3955">
        <v>28</v>
      </c>
      <c r="B3955" s="64">
        <v>40858</v>
      </c>
      <c r="C3955" s="2">
        <v>1402654.95</v>
      </c>
      <c r="D3955">
        <v>0</v>
      </c>
      <c r="E3955" s="65">
        <v>48.76</v>
      </c>
      <c r="F3955" s="8">
        <v>3.824</v>
      </c>
      <c r="G3955" s="66">
        <v>129.8167097</v>
      </c>
      <c r="H3955" s="8">
        <v>12.89</v>
      </c>
      <c r="J3955" s="26"/>
      <c r="K3955"/>
    </row>
    <row r="3956" spans="1:11">
      <c r="A3956">
        <v>28</v>
      </c>
      <c r="B3956" s="64">
        <v>40865</v>
      </c>
      <c r="C3956" s="2">
        <v>1255081.22</v>
      </c>
      <c r="D3956">
        <v>0</v>
      </c>
      <c r="E3956" s="65">
        <v>54.2</v>
      </c>
      <c r="F3956" s="8">
        <v>3.813</v>
      </c>
      <c r="G3956" s="66">
        <v>129.8268333</v>
      </c>
      <c r="H3956" s="8">
        <v>12.89</v>
      </c>
      <c r="J3956" s="26"/>
      <c r="K3956"/>
    </row>
    <row r="3957" spans="1:11">
      <c r="A3957">
        <v>28</v>
      </c>
      <c r="B3957" s="64">
        <v>40872</v>
      </c>
      <c r="C3957" s="2">
        <v>1929738.27</v>
      </c>
      <c r="D3957">
        <v>1</v>
      </c>
      <c r="E3957" s="65">
        <v>53.25</v>
      </c>
      <c r="F3957" s="8">
        <v>3.622</v>
      </c>
      <c r="G3957" s="66">
        <v>129.8364</v>
      </c>
      <c r="H3957" s="8">
        <v>12.89</v>
      </c>
      <c r="J3957" s="26"/>
      <c r="K3957"/>
    </row>
    <row r="3958" spans="1:11">
      <c r="A3958">
        <v>28</v>
      </c>
      <c r="B3958" s="64">
        <v>40879</v>
      </c>
      <c r="C3958" s="2">
        <v>1368130.35</v>
      </c>
      <c r="D3958">
        <v>0</v>
      </c>
      <c r="E3958" s="65">
        <v>52.5</v>
      </c>
      <c r="F3958" s="8">
        <v>3.701</v>
      </c>
      <c r="G3958" s="66">
        <v>129.8459667</v>
      </c>
      <c r="H3958" s="8">
        <v>12.89</v>
      </c>
      <c r="J3958" s="26"/>
      <c r="K3958"/>
    </row>
    <row r="3959" spans="1:11">
      <c r="A3959">
        <v>28</v>
      </c>
      <c r="B3959" s="64">
        <v>40886</v>
      </c>
      <c r="C3959" s="2">
        <v>1467024.3</v>
      </c>
      <c r="D3959">
        <v>0</v>
      </c>
      <c r="E3959" s="65">
        <v>42.17</v>
      </c>
      <c r="F3959" s="8">
        <v>3.644</v>
      </c>
      <c r="G3959" s="66">
        <v>129.8555333</v>
      </c>
      <c r="H3959" s="8">
        <v>12.89</v>
      </c>
      <c r="J3959" s="26"/>
      <c r="K3959"/>
    </row>
    <row r="3960" spans="1:11">
      <c r="A3960">
        <v>28</v>
      </c>
      <c r="B3960" s="64">
        <v>40893</v>
      </c>
      <c r="C3960" s="2">
        <v>1429954.66</v>
      </c>
      <c r="D3960">
        <v>0</v>
      </c>
      <c r="E3960" s="65">
        <v>43.29</v>
      </c>
      <c r="F3960" s="8">
        <v>3.6</v>
      </c>
      <c r="G3960" s="66">
        <v>129.8980645</v>
      </c>
      <c r="H3960" s="8">
        <v>12.89</v>
      </c>
      <c r="J3960" s="26"/>
      <c r="K3960"/>
    </row>
    <row r="3961" spans="1:11">
      <c r="A3961">
        <v>28</v>
      </c>
      <c r="B3961" s="64">
        <v>40900</v>
      </c>
      <c r="C3961" s="2">
        <v>1796203.51</v>
      </c>
      <c r="D3961">
        <v>0</v>
      </c>
      <c r="E3961" s="65">
        <v>45.4</v>
      </c>
      <c r="F3961" s="8">
        <v>3.541</v>
      </c>
      <c r="G3961" s="66">
        <v>129.9845484</v>
      </c>
      <c r="H3961" s="8">
        <v>12.89</v>
      </c>
      <c r="J3961" s="26"/>
      <c r="K3961"/>
    </row>
    <row r="3962" spans="1:11">
      <c r="A3962">
        <v>28</v>
      </c>
      <c r="B3962" s="64">
        <v>40907</v>
      </c>
      <c r="C3962" s="2">
        <v>1270036.53</v>
      </c>
      <c r="D3962">
        <v>1</v>
      </c>
      <c r="E3962" s="65">
        <v>44.64</v>
      </c>
      <c r="F3962" s="8">
        <v>3.428</v>
      </c>
      <c r="G3962" s="66">
        <v>130.0710323</v>
      </c>
      <c r="H3962" s="8">
        <v>12.89</v>
      </c>
      <c r="J3962" s="26"/>
      <c r="K3962"/>
    </row>
    <row r="3963" spans="1:11">
      <c r="A3963">
        <v>28</v>
      </c>
      <c r="B3963" s="64">
        <v>40914</v>
      </c>
      <c r="C3963" s="2">
        <v>1466046.07</v>
      </c>
      <c r="D3963">
        <v>0</v>
      </c>
      <c r="E3963" s="65">
        <v>50.43</v>
      </c>
      <c r="F3963" s="8">
        <v>3.599</v>
      </c>
      <c r="G3963" s="66">
        <v>130.1575161</v>
      </c>
      <c r="H3963" s="8">
        <v>12.187</v>
      </c>
      <c r="J3963" s="26"/>
      <c r="K3963"/>
    </row>
    <row r="3964" spans="1:11">
      <c r="A3964">
        <v>28</v>
      </c>
      <c r="B3964" s="64">
        <v>40921</v>
      </c>
      <c r="C3964" s="2">
        <v>1161190.29</v>
      </c>
      <c r="D3964">
        <v>0</v>
      </c>
      <c r="E3964" s="65">
        <v>48.07</v>
      </c>
      <c r="F3964" s="8">
        <v>3.657</v>
      </c>
      <c r="G3964" s="66">
        <v>130.244</v>
      </c>
      <c r="H3964" s="8">
        <v>12.187</v>
      </c>
      <c r="J3964" s="26"/>
      <c r="K3964"/>
    </row>
    <row r="3965" spans="1:11">
      <c r="A3965">
        <v>28</v>
      </c>
      <c r="B3965" s="64">
        <v>40928</v>
      </c>
      <c r="C3965" s="2">
        <v>1129540.48</v>
      </c>
      <c r="D3965">
        <v>0</v>
      </c>
      <c r="E3965" s="65">
        <v>46.2</v>
      </c>
      <c r="F3965" s="8">
        <v>3.66</v>
      </c>
      <c r="G3965" s="66">
        <v>130.2792258</v>
      </c>
      <c r="H3965" s="8">
        <v>12.187</v>
      </c>
      <c r="J3965" s="26"/>
      <c r="K3965"/>
    </row>
    <row r="3966" spans="1:11">
      <c r="A3966">
        <v>28</v>
      </c>
      <c r="B3966" s="64">
        <v>40935</v>
      </c>
      <c r="C3966" s="2">
        <v>1132948.48</v>
      </c>
      <c r="D3966">
        <v>0</v>
      </c>
      <c r="E3966" s="65">
        <v>50.43</v>
      </c>
      <c r="F3966" s="8">
        <v>3.675</v>
      </c>
      <c r="G3966" s="66">
        <v>130.3144516</v>
      </c>
      <c r="H3966" s="8">
        <v>12.187</v>
      </c>
      <c r="J3966" s="26"/>
      <c r="K3966"/>
    </row>
    <row r="3967" spans="1:11">
      <c r="A3967">
        <v>28</v>
      </c>
      <c r="B3967" s="64">
        <v>40942</v>
      </c>
      <c r="C3967" s="2">
        <v>1531599.44</v>
      </c>
      <c r="D3967">
        <v>0</v>
      </c>
      <c r="E3967" s="65">
        <v>50.58</v>
      </c>
      <c r="F3967" s="8">
        <v>3.702</v>
      </c>
      <c r="G3967" s="66">
        <v>130.3496774</v>
      </c>
      <c r="H3967" s="8">
        <v>12.187</v>
      </c>
      <c r="J3967" s="26"/>
      <c r="K3967"/>
    </row>
    <row r="3968" spans="1:11">
      <c r="A3968">
        <v>28</v>
      </c>
      <c r="B3968" s="64">
        <v>40949</v>
      </c>
      <c r="C3968" s="2">
        <v>1572966.15</v>
      </c>
      <c r="D3968">
        <v>1</v>
      </c>
      <c r="E3968" s="65">
        <v>52.27</v>
      </c>
      <c r="F3968" s="8">
        <v>3.722</v>
      </c>
      <c r="G3968" s="66">
        <v>130.3849032</v>
      </c>
      <c r="H3968" s="8">
        <v>12.187</v>
      </c>
      <c r="J3968" s="26"/>
      <c r="K3968"/>
    </row>
    <row r="3969" spans="1:11">
      <c r="A3969">
        <v>28</v>
      </c>
      <c r="B3969" s="64">
        <v>40956</v>
      </c>
      <c r="C3969" s="2">
        <v>1501503.68</v>
      </c>
      <c r="D3969">
        <v>0</v>
      </c>
      <c r="E3969" s="65">
        <v>51.8</v>
      </c>
      <c r="F3969" s="8">
        <v>3.781</v>
      </c>
      <c r="G3969" s="66">
        <v>130.4546207</v>
      </c>
      <c r="H3969" s="8">
        <v>12.187</v>
      </c>
      <c r="J3969" s="26"/>
      <c r="K3969"/>
    </row>
    <row r="3970" spans="1:11">
      <c r="A3970">
        <v>28</v>
      </c>
      <c r="B3970" s="64">
        <v>40963</v>
      </c>
      <c r="C3970" s="2">
        <v>1323487.91</v>
      </c>
      <c r="D3970">
        <v>0</v>
      </c>
      <c r="E3970" s="65">
        <v>53.13</v>
      </c>
      <c r="F3970" s="8">
        <v>3.95</v>
      </c>
      <c r="G3970" s="66">
        <v>130.5502069</v>
      </c>
      <c r="H3970" s="8">
        <v>12.187</v>
      </c>
      <c r="J3970" s="26"/>
      <c r="K3970"/>
    </row>
    <row r="3971" spans="1:11">
      <c r="A3971">
        <v>28</v>
      </c>
      <c r="B3971" s="64">
        <v>40970</v>
      </c>
      <c r="C3971" s="2">
        <v>1451740.57</v>
      </c>
      <c r="D3971">
        <v>0</v>
      </c>
      <c r="E3971" s="65">
        <v>52.27</v>
      </c>
      <c r="F3971" s="8">
        <v>4.178</v>
      </c>
      <c r="G3971" s="66">
        <v>130.6457931</v>
      </c>
      <c r="H3971" s="8">
        <v>12.187</v>
      </c>
      <c r="J3971" s="26"/>
      <c r="K3971"/>
    </row>
    <row r="3972" spans="1:11">
      <c r="A3972">
        <v>28</v>
      </c>
      <c r="B3972" s="64">
        <v>40977</v>
      </c>
      <c r="C3972" s="2">
        <v>1680764.06</v>
      </c>
      <c r="D3972">
        <v>0</v>
      </c>
      <c r="E3972" s="65">
        <v>54.54</v>
      </c>
      <c r="F3972" s="8">
        <v>4.25</v>
      </c>
      <c r="G3972" s="66">
        <v>130.7413793</v>
      </c>
      <c r="H3972" s="8">
        <v>12.187</v>
      </c>
      <c r="J3972" s="26"/>
      <c r="K3972"/>
    </row>
    <row r="3973" spans="1:11">
      <c r="A3973">
        <v>28</v>
      </c>
      <c r="B3973" s="64">
        <v>40984</v>
      </c>
      <c r="C3973" s="2">
        <v>1337875.49</v>
      </c>
      <c r="D3973">
        <v>0</v>
      </c>
      <c r="E3973" s="65">
        <v>64.44</v>
      </c>
      <c r="F3973" s="8">
        <v>4.273</v>
      </c>
      <c r="G3973" s="66">
        <v>130.8261935</v>
      </c>
      <c r="H3973" s="8">
        <v>12.187</v>
      </c>
      <c r="J3973" s="26"/>
      <c r="K3973"/>
    </row>
    <row r="3974" spans="1:11">
      <c r="A3974">
        <v>28</v>
      </c>
      <c r="B3974" s="64">
        <v>40991</v>
      </c>
      <c r="C3974" s="2">
        <v>1216059.41</v>
      </c>
      <c r="D3974">
        <v>0</v>
      </c>
      <c r="E3974" s="65">
        <v>56.26</v>
      </c>
      <c r="F3974" s="8">
        <v>4.038</v>
      </c>
      <c r="G3974" s="66">
        <v>130.8966452</v>
      </c>
      <c r="H3974" s="8">
        <v>12.187</v>
      </c>
      <c r="J3974" s="26"/>
      <c r="K3974"/>
    </row>
    <row r="3975" spans="1:11">
      <c r="A3975">
        <v>28</v>
      </c>
      <c r="B3975" s="64">
        <v>40998</v>
      </c>
      <c r="C3975" s="2">
        <v>1209524.11</v>
      </c>
      <c r="D3975">
        <v>0</v>
      </c>
      <c r="E3975" s="65">
        <v>64.36</v>
      </c>
      <c r="F3975" s="8">
        <v>4.294</v>
      </c>
      <c r="G3975" s="66">
        <v>130.9670968</v>
      </c>
      <c r="H3975" s="8">
        <v>12.187</v>
      </c>
      <c r="J3975" s="26"/>
      <c r="K3975"/>
    </row>
    <row r="3976" spans="1:11">
      <c r="A3976">
        <v>28</v>
      </c>
      <c r="B3976" s="64">
        <v>41005</v>
      </c>
      <c r="C3976" s="2">
        <v>1559592.79</v>
      </c>
      <c r="D3976">
        <v>0</v>
      </c>
      <c r="E3976" s="65">
        <v>64.05</v>
      </c>
      <c r="F3976" s="8">
        <v>4.121</v>
      </c>
      <c r="G3976" s="66">
        <v>131.0375484</v>
      </c>
      <c r="H3976" s="8">
        <v>11.627</v>
      </c>
      <c r="J3976" s="26"/>
      <c r="K3976"/>
    </row>
    <row r="3977" spans="1:11">
      <c r="A3977">
        <v>28</v>
      </c>
      <c r="B3977" s="64">
        <v>41012</v>
      </c>
      <c r="C3977" s="2">
        <v>1290684.95</v>
      </c>
      <c r="D3977">
        <v>0</v>
      </c>
      <c r="E3977" s="65">
        <v>64.28</v>
      </c>
      <c r="F3977" s="8">
        <v>4.254</v>
      </c>
      <c r="G3977" s="66">
        <v>131.108</v>
      </c>
      <c r="H3977" s="8">
        <v>11.627</v>
      </c>
      <c r="J3977" s="26"/>
      <c r="K3977"/>
    </row>
    <row r="3978" spans="1:11">
      <c r="A3978">
        <v>28</v>
      </c>
      <c r="B3978" s="64">
        <v>41019</v>
      </c>
      <c r="C3978" s="2">
        <v>1180797.2</v>
      </c>
      <c r="D3978">
        <v>0</v>
      </c>
      <c r="E3978" s="65">
        <v>66.73</v>
      </c>
      <c r="F3978" s="8">
        <v>4.222</v>
      </c>
      <c r="G3978" s="66">
        <v>131.1173333</v>
      </c>
      <c r="H3978" s="8">
        <v>11.627</v>
      </c>
      <c r="J3978" s="26"/>
      <c r="K3978"/>
    </row>
    <row r="3979" spans="1:11">
      <c r="A3979">
        <v>28</v>
      </c>
      <c r="B3979" s="64">
        <v>41026</v>
      </c>
      <c r="C3979" s="2">
        <v>1170456.16</v>
      </c>
      <c r="D3979">
        <v>0</v>
      </c>
      <c r="E3979" s="65">
        <v>77.99</v>
      </c>
      <c r="F3979" s="8">
        <v>4.193</v>
      </c>
      <c r="G3979" s="66">
        <v>131.1266667</v>
      </c>
      <c r="H3979" s="8">
        <v>11.627</v>
      </c>
      <c r="J3979" s="26"/>
      <c r="K3979"/>
    </row>
    <row r="3980" spans="1:11">
      <c r="A3980">
        <v>28</v>
      </c>
      <c r="B3980" s="64">
        <v>41033</v>
      </c>
      <c r="C3980" s="2">
        <v>1450628.85</v>
      </c>
      <c r="D3980">
        <v>0</v>
      </c>
      <c r="E3980" s="65">
        <v>76.03</v>
      </c>
      <c r="F3980" s="8">
        <v>4.171</v>
      </c>
      <c r="G3980" s="66">
        <v>131.136</v>
      </c>
      <c r="H3980" s="8">
        <v>11.627</v>
      </c>
      <c r="J3980" s="26"/>
      <c r="K3980"/>
    </row>
    <row r="3981" spans="1:11">
      <c r="A3981">
        <v>28</v>
      </c>
      <c r="B3981" s="64">
        <v>41040</v>
      </c>
      <c r="C3981" s="2">
        <v>1264575.18</v>
      </c>
      <c r="D3981">
        <v>0</v>
      </c>
      <c r="E3981" s="65">
        <v>77.27</v>
      </c>
      <c r="F3981" s="8">
        <v>4.186</v>
      </c>
      <c r="G3981" s="66">
        <v>131.1453333</v>
      </c>
      <c r="H3981" s="8">
        <v>11.627</v>
      </c>
      <c r="J3981" s="26"/>
      <c r="K3981"/>
    </row>
    <row r="3982" spans="1:11">
      <c r="A3982">
        <v>28</v>
      </c>
      <c r="B3982" s="64">
        <v>41047</v>
      </c>
      <c r="C3982" s="2">
        <v>1213310.45</v>
      </c>
      <c r="D3982">
        <v>0</v>
      </c>
      <c r="E3982" s="65">
        <v>84.51</v>
      </c>
      <c r="F3982" s="8">
        <v>4.11</v>
      </c>
      <c r="G3982" s="66">
        <v>131.0983226</v>
      </c>
      <c r="H3982" s="8">
        <v>11.627</v>
      </c>
      <c r="J3982" s="26"/>
      <c r="K3982"/>
    </row>
    <row r="3983" spans="1:11">
      <c r="A3983">
        <v>28</v>
      </c>
      <c r="B3983" s="64">
        <v>41054</v>
      </c>
      <c r="C3983" s="2">
        <v>1151214.41</v>
      </c>
      <c r="D3983">
        <v>0</v>
      </c>
      <c r="E3983" s="65">
        <v>83.84</v>
      </c>
      <c r="F3983" s="8">
        <v>4.293</v>
      </c>
      <c r="G3983" s="66">
        <v>131.0287742</v>
      </c>
      <c r="H3983" s="8">
        <v>11.627</v>
      </c>
      <c r="J3983" s="26"/>
      <c r="K3983"/>
    </row>
    <row r="3984" spans="1:11">
      <c r="A3984">
        <v>28</v>
      </c>
      <c r="B3984" s="64">
        <v>41061</v>
      </c>
      <c r="C3984" s="2">
        <v>1245480.95</v>
      </c>
      <c r="D3984">
        <v>0</v>
      </c>
      <c r="E3984" s="65">
        <v>78.11</v>
      </c>
      <c r="F3984" s="8">
        <v>4.277</v>
      </c>
      <c r="G3984" s="66">
        <v>130.9592258</v>
      </c>
      <c r="H3984" s="8">
        <v>11.627</v>
      </c>
      <c r="J3984" s="26"/>
      <c r="K3984"/>
    </row>
    <row r="3985" spans="1:11">
      <c r="A3985">
        <v>28</v>
      </c>
      <c r="B3985" s="64">
        <v>41068</v>
      </c>
      <c r="C3985" s="2">
        <v>1440687.69</v>
      </c>
      <c r="D3985">
        <v>0</v>
      </c>
      <c r="E3985" s="65">
        <v>84.83</v>
      </c>
      <c r="F3985" s="8">
        <v>4.103</v>
      </c>
      <c r="G3985" s="66">
        <v>130.8896774</v>
      </c>
      <c r="H3985" s="8">
        <v>11.627</v>
      </c>
      <c r="J3985" s="26"/>
      <c r="K3985"/>
    </row>
    <row r="3986" spans="1:11">
      <c r="A3986">
        <v>28</v>
      </c>
      <c r="B3986" s="64">
        <v>41075</v>
      </c>
      <c r="C3986" s="2">
        <v>1229760.97</v>
      </c>
      <c r="D3986">
        <v>0</v>
      </c>
      <c r="E3986" s="65">
        <v>85.94</v>
      </c>
      <c r="F3986" s="8">
        <v>4.144</v>
      </c>
      <c r="G3986" s="66">
        <v>130.8295333</v>
      </c>
      <c r="H3986" s="8">
        <v>11.627</v>
      </c>
      <c r="J3986" s="26"/>
      <c r="K3986"/>
    </row>
    <row r="3987" spans="1:11">
      <c r="A3987">
        <v>28</v>
      </c>
      <c r="B3987" s="64">
        <v>41082</v>
      </c>
      <c r="C3987" s="2">
        <v>1180671.55</v>
      </c>
      <c r="D3987">
        <v>0</v>
      </c>
      <c r="E3987" s="65">
        <v>91.61</v>
      </c>
      <c r="F3987" s="8">
        <v>4.014</v>
      </c>
      <c r="G3987" s="66">
        <v>130.7929</v>
      </c>
      <c r="H3987" s="8">
        <v>11.627</v>
      </c>
      <c r="J3987" s="26"/>
      <c r="K3987"/>
    </row>
    <row r="3988" spans="1:11">
      <c r="A3988">
        <v>28</v>
      </c>
      <c r="B3988" s="64">
        <v>41089</v>
      </c>
      <c r="C3988" s="2">
        <v>1129031.98</v>
      </c>
      <c r="D3988">
        <v>0</v>
      </c>
      <c r="E3988" s="65">
        <v>90.47</v>
      </c>
      <c r="F3988" s="8">
        <v>3.875</v>
      </c>
      <c r="G3988" s="66">
        <v>130.7562667</v>
      </c>
      <c r="H3988" s="8">
        <v>11.627</v>
      </c>
      <c r="J3988" s="26"/>
      <c r="K3988"/>
    </row>
    <row r="3989" spans="1:11">
      <c r="A3989">
        <v>28</v>
      </c>
      <c r="B3989" s="64">
        <v>41096</v>
      </c>
      <c r="C3989" s="2">
        <v>1500863.54</v>
      </c>
      <c r="D3989">
        <v>0</v>
      </c>
      <c r="E3989" s="65">
        <v>89.13</v>
      </c>
      <c r="F3989" s="8">
        <v>3.765</v>
      </c>
      <c r="G3989" s="66">
        <v>130.7196333</v>
      </c>
      <c r="H3989" s="8">
        <v>10.926</v>
      </c>
      <c r="J3989" s="26"/>
      <c r="K3989"/>
    </row>
    <row r="3990" spans="1:11">
      <c r="A3990">
        <v>28</v>
      </c>
      <c r="B3990" s="64">
        <v>41103</v>
      </c>
      <c r="C3990" s="2">
        <v>1179915.04</v>
      </c>
      <c r="D3990">
        <v>0</v>
      </c>
      <c r="E3990" s="65">
        <v>95.61</v>
      </c>
      <c r="F3990" s="8">
        <v>3.723</v>
      </c>
      <c r="G3990" s="66">
        <v>130.683</v>
      </c>
      <c r="H3990" s="8">
        <v>10.926</v>
      </c>
      <c r="J3990" s="26"/>
      <c r="K3990"/>
    </row>
    <row r="3991" spans="1:11">
      <c r="A3991">
        <v>28</v>
      </c>
      <c r="B3991" s="64">
        <v>41110</v>
      </c>
      <c r="C3991" s="2">
        <v>1149427.48</v>
      </c>
      <c r="D3991">
        <v>0</v>
      </c>
      <c r="E3991" s="65">
        <v>85.53</v>
      </c>
      <c r="F3991" s="8">
        <v>3.726</v>
      </c>
      <c r="G3991" s="66">
        <v>130.7012903</v>
      </c>
      <c r="H3991" s="8">
        <v>10.926</v>
      </c>
      <c r="J3991" s="26"/>
      <c r="K3991"/>
    </row>
    <row r="3992" spans="1:11">
      <c r="A3992">
        <v>28</v>
      </c>
      <c r="B3992" s="64">
        <v>41117</v>
      </c>
      <c r="C3992" s="2">
        <v>1135035.09</v>
      </c>
      <c r="D3992">
        <v>0</v>
      </c>
      <c r="E3992" s="65">
        <v>93.47</v>
      </c>
      <c r="F3992" s="8">
        <v>3.769</v>
      </c>
      <c r="G3992" s="66">
        <v>130.7195806</v>
      </c>
      <c r="H3992" s="8">
        <v>10.926</v>
      </c>
      <c r="J3992" s="26"/>
      <c r="K3992"/>
    </row>
    <row r="3993" spans="1:11">
      <c r="A3993">
        <v>28</v>
      </c>
      <c r="B3993" s="64">
        <v>41124</v>
      </c>
      <c r="C3993" s="2">
        <v>1376520.1</v>
      </c>
      <c r="D3993">
        <v>0</v>
      </c>
      <c r="E3993" s="65">
        <v>88.16</v>
      </c>
      <c r="F3993" s="8">
        <v>3.76</v>
      </c>
      <c r="G3993" s="66">
        <v>130.737871</v>
      </c>
      <c r="H3993" s="8">
        <v>10.926</v>
      </c>
      <c r="J3993" s="26"/>
      <c r="K3993"/>
    </row>
    <row r="3994" spans="1:11">
      <c r="A3994">
        <v>28</v>
      </c>
      <c r="B3994" s="64">
        <v>41131</v>
      </c>
      <c r="C3994" s="2">
        <v>1269113.41</v>
      </c>
      <c r="D3994">
        <v>0</v>
      </c>
      <c r="E3994" s="65">
        <v>95.91</v>
      </c>
      <c r="F3994" s="8">
        <v>3.811</v>
      </c>
      <c r="G3994" s="66">
        <v>130.7561613</v>
      </c>
      <c r="H3994" s="8">
        <v>10.926</v>
      </c>
      <c r="J3994" s="26"/>
      <c r="K3994"/>
    </row>
    <row r="3995" spans="1:11">
      <c r="A3995">
        <v>28</v>
      </c>
      <c r="B3995" s="64">
        <v>41138</v>
      </c>
      <c r="C3995" s="2">
        <v>1184198.41</v>
      </c>
      <c r="D3995">
        <v>0</v>
      </c>
      <c r="E3995" s="65">
        <v>94.87</v>
      </c>
      <c r="F3995" s="8">
        <v>4.002</v>
      </c>
      <c r="G3995" s="66">
        <v>130.7909677</v>
      </c>
      <c r="H3995" s="8">
        <v>10.926</v>
      </c>
      <c r="J3995" s="26"/>
      <c r="K3995"/>
    </row>
    <row r="3996" spans="1:11">
      <c r="A3996">
        <v>28</v>
      </c>
      <c r="B3996" s="64">
        <v>41145</v>
      </c>
      <c r="C3996" s="2">
        <v>1199309.59</v>
      </c>
      <c r="D3996">
        <v>0</v>
      </c>
      <c r="E3996" s="65">
        <v>85.32</v>
      </c>
      <c r="F3996" s="8">
        <v>4.055</v>
      </c>
      <c r="G3996" s="66">
        <v>130.8381613</v>
      </c>
      <c r="H3996" s="8">
        <v>10.926</v>
      </c>
      <c r="J3996" s="26"/>
      <c r="K3996"/>
    </row>
    <row r="3997" spans="1:11">
      <c r="A3997">
        <v>28</v>
      </c>
      <c r="B3997" s="64">
        <v>41152</v>
      </c>
      <c r="C3997" s="2">
        <v>1227118.75</v>
      </c>
      <c r="D3997">
        <v>0</v>
      </c>
      <c r="E3997" s="65">
        <v>89.78</v>
      </c>
      <c r="F3997" s="8">
        <v>4.093</v>
      </c>
      <c r="G3997" s="66">
        <v>130.8853548</v>
      </c>
      <c r="H3997" s="8">
        <v>10.926</v>
      </c>
      <c r="J3997" s="26"/>
      <c r="K3997"/>
    </row>
    <row r="3998" spans="1:11">
      <c r="A3998">
        <v>28</v>
      </c>
      <c r="B3998" s="64">
        <v>41159</v>
      </c>
      <c r="C3998" s="2">
        <v>1469693.99</v>
      </c>
      <c r="D3998">
        <v>1</v>
      </c>
      <c r="E3998" s="65">
        <v>88.52</v>
      </c>
      <c r="F3998" s="8">
        <v>4.124</v>
      </c>
      <c r="G3998" s="66">
        <v>130.9325484</v>
      </c>
      <c r="H3998" s="8">
        <v>10.926</v>
      </c>
      <c r="J3998" s="26"/>
      <c r="K3998"/>
    </row>
    <row r="3999" spans="1:11">
      <c r="A3999">
        <v>28</v>
      </c>
      <c r="B3999" s="64">
        <v>41166</v>
      </c>
      <c r="C3999" s="2">
        <v>1124660.77</v>
      </c>
      <c r="D3999">
        <v>0</v>
      </c>
      <c r="E3999" s="65">
        <v>83.64</v>
      </c>
      <c r="F3999" s="8">
        <v>4.133</v>
      </c>
      <c r="G3999" s="66">
        <v>130.9776667</v>
      </c>
      <c r="H3999" s="8">
        <v>10.926</v>
      </c>
      <c r="J3999" s="26"/>
      <c r="K3999"/>
    </row>
    <row r="4000" spans="1:11">
      <c r="A4000">
        <v>28</v>
      </c>
      <c r="B4000" s="64">
        <v>41173</v>
      </c>
      <c r="C4000" s="2">
        <v>1135340.19</v>
      </c>
      <c r="D4000">
        <v>0</v>
      </c>
      <c r="E4000" s="65">
        <v>82.97</v>
      </c>
      <c r="F4000" s="8">
        <v>4.125</v>
      </c>
      <c r="G4000" s="66">
        <v>131.0103333</v>
      </c>
      <c r="H4000" s="8">
        <v>10.926</v>
      </c>
      <c r="J4000" s="26"/>
      <c r="K4000"/>
    </row>
    <row r="4001" spans="1:11">
      <c r="A4001">
        <v>28</v>
      </c>
      <c r="B4001" s="64">
        <v>41180</v>
      </c>
      <c r="C4001" s="2">
        <v>1129508.61</v>
      </c>
      <c r="D4001">
        <v>0</v>
      </c>
      <c r="E4001" s="65">
        <v>81.22</v>
      </c>
      <c r="F4001" s="8">
        <v>3.966</v>
      </c>
      <c r="G4001" s="66">
        <v>131.043</v>
      </c>
      <c r="H4001" s="8">
        <v>10.926</v>
      </c>
      <c r="J4001" s="26"/>
      <c r="K4001"/>
    </row>
    <row r="4002" spans="1:11">
      <c r="A4002">
        <v>28</v>
      </c>
      <c r="B4002" s="64">
        <v>41187</v>
      </c>
      <c r="C4002" s="2">
        <v>1462941.03</v>
      </c>
      <c r="D4002">
        <v>0</v>
      </c>
      <c r="E4002" s="65">
        <v>81.61</v>
      </c>
      <c r="F4002" s="8">
        <v>3.966</v>
      </c>
      <c r="G4002" s="66">
        <v>131.0756667</v>
      </c>
      <c r="H4002" s="8">
        <v>10.199</v>
      </c>
      <c r="J4002" s="26"/>
      <c r="K4002"/>
    </row>
    <row r="4003" spans="1:11">
      <c r="A4003">
        <v>28</v>
      </c>
      <c r="B4003" s="64">
        <v>41194</v>
      </c>
      <c r="C4003" s="2">
        <v>1205536.71</v>
      </c>
      <c r="D4003">
        <v>0</v>
      </c>
      <c r="E4003" s="65">
        <v>71.74</v>
      </c>
      <c r="F4003" s="8">
        <v>4.468</v>
      </c>
      <c r="G4003" s="66">
        <v>131.1083333</v>
      </c>
      <c r="H4003" s="8">
        <v>10.199</v>
      </c>
      <c r="J4003" s="26"/>
      <c r="K4003"/>
    </row>
    <row r="4004" spans="1:11">
      <c r="A4004">
        <v>28</v>
      </c>
      <c r="B4004" s="64">
        <v>41201</v>
      </c>
      <c r="C4004" s="2">
        <v>1143724.48</v>
      </c>
      <c r="D4004">
        <v>0</v>
      </c>
      <c r="E4004" s="65">
        <v>68.66</v>
      </c>
      <c r="F4004" s="8">
        <v>4.449</v>
      </c>
      <c r="G4004" s="66">
        <v>131.1499677</v>
      </c>
      <c r="H4004" s="8">
        <v>10.199</v>
      </c>
      <c r="J4004" s="26"/>
      <c r="K4004"/>
    </row>
    <row r="4005" spans="1:11">
      <c r="A4005">
        <v>28</v>
      </c>
      <c r="B4005" s="64">
        <v>41208</v>
      </c>
      <c r="C4005" s="2">
        <v>1213860.61</v>
      </c>
      <c r="D4005">
        <v>0</v>
      </c>
      <c r="E4005" s="65">
        <v>65.95</v>
      </c>
      <c r="F4005" s="8">
        <v>4.301</v>
      </c>
      <c r="G4005" s="66">
        <v>131.1930968</v>
      </c>
      <c r="H4005" s="8">
        <v>10.199</v>
      </c>
      <c r="J4005" s="26"/>
      <c r="K4005"/>
    </row>
    <row r="4006" spans="1:11">
      <c r="A4006">
        <v>29</v>
      </c>
      <c r="B4006" s="64">
        <v>40214</v>
      </c>
      <c r="C4006" s="2">
        <v>538634.46</v>
      </c>
      <c r="D4006">
        <v>0</v>
      </c>
      <c r="E4006" s="65">
        <v>24.36</v>
      </c>
      <c r="F4006" s="8">
        <v>2.788</v>
      </c>
      <c r="G4006" s="66">
        <v>131.5279032</v>
      </c>
      <c r="H4006" s="8">
        <v>10.064</v>
      </c>
      <c r="J4006" s="26"/>
      <c r="K4006"/>
    </row>
    <row r="4007" spans="1:11">
      <c r="A4007">
        <v>29</v>
      </c>
      <c r="B4007" s="64">
        <v>40221</v>
      </c>
      <c r="C4007" s="2">
        <v>529672.95</v>
      </c>
      <c r="D4007">
        <v>1</v>
      </c>
      <c r="E4007" s="65">
        <v>28.14</v>
      </c>
      <c r="F4007" s="8">
        <v>2.771</v>
      </c>
      <c r="G4007" s="66">
        <v>131.5866129</v>
      </c>
      <c r="H4007" s="8">
        <v>10.064</v>
      </c>
      <c r="J4007" s="26"/>
      <c r="K4007"/>
    </row>
    <row r="4008" spans="1:11">
      <c r="A4008">
        <v>29</v>
      </c>
      <c r="B4008" s="64">
        <v>40228</v>
      </c>
      <c r="C4008" s="2">
        <v>542399.07</v>
      </c>
      <c r="D4008">
        <v>0</v>
      </c>
      <c r="E4008" s="65">
        <v>31.96</v>
      </c>
      <c r="F4008" s="8">
        <v>2.747</v>
      </c>
      <c r="G4008" s="66">
        <v>131.637</v>
      </c>
      <c r="H4008" s="8">
        <v>10.064</v>
      </c>
      <c r="J4008" s="26"/>
      <c r="K4008"/>
    </row>
    <row r="4009" spans="1:11">
      <c r="A4009">
        <v>29</v>
      </c>
      <c r="B4009" s="64">
        <v>40235</v>
      </c>
      <c r="C4009" s="2">
        <v>488417.61</v>
      </c>
      <c r="D4009">
        <v>0</v>
      </c>
      <c r="E4009" s="65">
        <v>35.98</v>
      </c>
      <c r="F4009" s="8">
        <v>2.753</v>
      </c>
      <c r="G4009" s="66">
        <v>131.686</v>
      </c>
      <c r="H4009" s="8">
        <v>10.064</v>
      </c>
      <c r="J4009" s="26"/>
      <c r="K4009"/>
    </row>
    <row r="4010" spans="1:11">
      <c r="A4010">
        <v>29</v>
      </c>
      <c r="B4010" s="64">
        <v>40242</v>
      </c>
      <c r="C4010" s="2">
        <v>535087.91</v>
      </c>
      <c r="D4010">
        <v>0</v>
      </c>
      <c r="E4010" s="65">
        <v>36.82</v>
      </c>
      <c r="F4010" s="8">
        <v>2.766</v>
      </c>
      <c r="G4010" s="66">
        <v>131.735</v>
      </c>
      <c r="H4010" s="8">
        <v>10.064</v>
      </c>
      <c r="J4010" s="26"/>
      <c r="K4010"/>
    </row>
    <row r="4011" spans="1:11">
      <c r="A4011">
        <v>29</v>
      </c>
      <c r="B4011" s="64">
        <v>40249</v>
      </c>
      <c r="C4011" s="2">
        <v>519042.49</v>
      </c>
      <c r="D4011">
        <v>0</v>
      </c>
      <c r="E4011" s="65">
        <v>43.43</v>
      </c>
      <c r="F4011" s="8">
        <v>2.805</v>
      </c>
      <c r="G4011" s="66">
        <v>131.784</v>
      </c>
      <c r="H4011" s="8">
        <v>10.064</v>
      </c>
      <c r="J4011" s="26"/>
      <c r="K4011"/>
    </row>
    <row r="4012" spans="1:11">
      <c r="A4012">
        <v>29</v>
      </c>
      <c r="B4012" s="64">
        <v>40256</v>
      </c>
      <c r="C4012" s="2">
        <v>496851.6</v>
      </c>
      <c r="D4012">
        <v>0</v>
      </c>
      <c r="E4012" s="65">
        <v>46.03</v>
      </c>
      <c r="F4012" s="8">
        <v>2.834</v>
      </c>
      <c r="G4012" s="66">
        <v>131.8242903</v>
      </c>
      <c r="H4012" s="8">
        <v>10.064</v>
      </c>
      <c r="J4012" s="26"/>
      <c r="K4012"/>
    </row>
    <row r="4013" spans="1:11">
      <c r="A4013">
        <v>29</v>
      </c>
      <c r="B4013" s="64">
        <v>40263</v>
      </c>
      <c r="C4013" s="2">
        <v>552985.34</v>
      </c>
      <c r="D4013">
        <v>0</v>
      </c>
      <c r="E4013" s="65">
        <v>48.56</v>
      </c>
      <c r="F4013" s="8">
        <v>2.831</v>
      </c>
      <c r="G4013" s="66">
        <v>131.863129</v>
      </c>
      <c r="H4013" s="8">
        <v>10.064</v>
      </c>
      <c r="J4013" s="26"/>
      <c r="K4013"/>
    </row>
    <row r="4014" spans="1:11">
      <c r="A4014">
        <v>29</v>
      </c>
      <c r="B4014" s="64">
        <v>40270</v>
      </c>
      <c r="C4014" s="2">
        <v>599629.25</v>
      </c>
      <c r="D4014">
        <v>0</v>
      </c>
      <c r="E4014" s="65">
        <v>44.96</v>
      </c>
      <c r="F4014" s="8">
        <v>2.826</v>
      </c>
      <c r="G4014" s="66">
        <v>131.9019677</v>
      </c>
      <c r="H4014" s="8">
        <v>10.16</v>
      </c>
      <c r="J4014" s="26"/>
      <c r="K4014"/>
    </row>
    <row r="4015" spans="1:11">
      <c r="A4015">
        <v>29</v>
      </c>
      <c r="B4015" s="64">
        <v>40277</v>
      </c>
      <c r="C4015" s="2">
        <v>569937.23</v>
      </c>
      <c r="D4015">
        <v>0</v>
      </c>
      <c r="E4015" s="65">
        <v>57.06</v>
      </c>
      <c r="F4015" s="8">
        <v>2.849</v>
      </c>
      <c r="G4015" s="66">
        <v>131.9408065</v>
      </c>
      <c r="H4015" s="8">
        <v>10.16</v>
      </c>
      <c r="J4015" s="26"/>
      <c r="K4015"/>
    </row>
    <row r="4016" spans="1:11">
      <c r="A4016">
        <v>29</v>
      </c>
      <c r="B4016" s="64">
        <v>40284</v>
      </c>
      <c r="C4016" s="2">
        <v>509100.84</v>
      </c>
      <c r="D4016">
        <v>0</v>
      </c>
      <c r="E4016" s="65">
        <v>51.14</v>
      </c>
      <c r="F4016" s="8">
        <v>2.885</v>
      </c>
      <c r="G4016" s="66">
        <v>131.9809</v>
      </c>
      <c r="H4016" s="8">
        <v>10.16</v>
      </c>
      <c r="J4016" s="26"/>
      <c r="K4016"/>
    </row>
    <row r="4017" spans="1:11">
      <c r="A4017">
        <v>29</v>
      </c>
      <c r="B4017" s="64">
        <v>40291</v>
      </c>
      <c r="C4017" s="2">
        <v>505329.66</v>
      </c>
      <c r="D4017">
        <v>0</v>
      </c>
      <c r="E4017" s="65">
        <v>51.04</v>
      </c>
      <c r="F4017" s="8">
        <v>2.895</v>
      </c>
      <c r="G4017" s="66">
        <v>132.0226667</v>
      </c>
      <c r="H4017" s="8">
        <v>10.16</v>
      </c>
      <c r="J4017" s="26"/>
      <c r="K4017"/>
    </row>
    <row r="4018" spans="1:11">
      <c r="A4018">
        <v>29</v>
      </c>
      <c r="B4018" s="64">
        <v>40298</v>
      </c>
      <c r="C4018" s="2">
        <v>501013.47</v>
      </c>
      <c r="D4018">
        <v>0</v>
      </c>
      <c r="E4018" s="65">
        <v>50.96</v>
      </c>
      <c r="F4018" s="8">
        <v>2.935</v>
      </c>
      <c r="G4018" s="66">
        <v>132.0644333</v>
      </c>
      <c r="H4018" s="8">
        <v>10.16</v>
      </c>
      <c r="J4018" s="26"/>
      <c r="K4018"/>
    </row>
    <row r="4019" spans="1:11">
      <c r="A4019">
        <v>29</v>
      </c>
      <c r="B4019" s="64">
        <v>40305</v>
      </c>
      <c r="C4019" s="2">
        <v>568497.35</v>
      </c>
      <c r="D4019">
        <v>0</v>
      </c>
      <c r="E4019" s="65">
        <v>63.81</v>
      </c>
      <c r="F4019" s="8">
        <v>2.981</v>
      </c>
      <c r="G4019" s="66">
        <v>132.1062</v>
      </c>
      <c r="H4019" s="8">
        <v>10.16</v>
      </c>
      <c r="J4019" s="26"/>
      <c r="K4019"/>
    </row>
    <row r="4020" spans="1:11">
      <c r="A4020">
        <v>29</v>
      </c>
      <c r="B4020" s="64">
        <v>40312</v>
      </c>
      <c r="C4020" s="2">
        <v>518940.88</v>
      </c>
      <c r="D4020">
        <v>0</v>
      </c>
      <c r="E4020" s="65">
        <v>50.99</v>
      </c>
      <c r="F4020" s="8">
        <v>2.983</v>
      </c>
      <c r="G4020" s="66">
        <v>132.152129</v>
      </c>
      <c r="H4020" s="8">
        <v>10.16</v>
      </c>
      <c r="J4020" s="26"/>
      <c r="K4020"/>
    </row>
    <row r="4021" spans="1:11">
      <c r="A4021">
        <v>29</v>
      </c>
      <c r="B4021" s="64">
        <v>40319</v>
      </c>
      <c r="C4021" s="2">
        <v>502021.82</v>
      </c>
      <c r="D4021">
        <v>0</v>
      </c>
      <c r="E4021" s="65">
        <v>59.99</v>
      </c>
      <c r="F4021" s="8">
        <v>2.961</v>
      </c>
      <c r="G4021" s="66">
        <v>132.2230323</v>
      </c>
      <c r="H4021" s="8">
        <v>10.16</v>
      </c>
      <c r="J4021" s="26"/>
      <c r="K4021"/>
    </row>
    <row r="4022" spans="1:11">
      <c r="A4022">
        <v>29</v>
      </c>
      <c r="B4022" s="64">
        <v>40326</v>
      </c>
      <c r="C4022" s="2">
        <v>577627.66</v>
      </c>
      <c r="D4022">
        <v>0</v>
      </c>
      <c r="E4022" s="65">
        <v>65.64</v>
      </c>
      <c r="F4022" s="8">
        <v>2.906</v>
      </c>
      <c r="G4022" s="66">
        <v>132.2939355</v>
      </c>
      <c r="H4022" s="8">
        <v>10.16</v>
      </c>
      <c r="J4022" s="26"/>
      <c r="K4022"/>
    </row>
    <row r="4023" spans="1:11">
      <c r="A4023">
        <v>29</v>
      </c>
      <c r="B4023" s="64">
        <v>40333</v>
      </c>
      <c r="C4023" s="2">
        <v>588017.66</v>
      </c>
      <c r="D4023">
        <v>0</v>
      </c>
      <c r="E4023" s="65">
        <v>69.49</v>
      </c>
      <c r="F4023" s="8">
        <v>2.857</v>
      </c>
      <c r="G4023" s="66">
        <v>132.3648387</v>
      </c>
      <c r="H4023" s="8">
        <v>10.16</v>
      </c>
      <c r="J4023" s="26"/>
      <c r="K4023"/>
    </row>
    <row r="4024" spans="1:11">
      <c r="A4024">
        <v>29</v>
      </c>
      <c r="B4024" s="64">
        <v>40340</v>
      </c>
      <c r="C4024" s="2">
        <v>540716.58</v>
      </c>
      <c r="D4024">
        <v>0</v>
      </c>
      <c r="E4024" s="65">
        <v>65.01</v>
      </c>
      <c r="F4024" s="8">
        <v>2.83</v>
      </c>
      <c r="G4024" s="66">
        <v>132.4357419</v>
      </c>
      <c r="H4024" s="8">
        <v>10.16</v>
      </c>
      <c r="J4024" s="26"/>
      <c r="K4024"/>
    </row>
    <row r="4025" spans="1:11">
      <c r="A4025">
        <v>29</v>
      </c>
      <c r="B4025" s="64">
        <v>40347</v>
      </c>
      <c r="C4025" s="2">
        <v>558731.74</v>
      </c>
      <c r="D4025">
        <v>0</v>
      </c>
      <c r="E4025" s="65">
        <v>67.13</v>
      </c>
      <c r="F4025" s="8">
        <v>2.805</v>
      </c>
      <c r="G4025" s="66">
        <v>132.4733333</v>
      </c>
      <c r="H4025" s="8">
        <v>10.16</v>
      </c>
      <c r="J4025" s="26"/>
      <c r="K4025"/>
    </row>
    <row r="4026" spans="1:11">
      <c r="A4026">
        <v>29</v>
      </c>
      <c r="B4026" s="64">
        <v>40354</v>
      </c>
      <c r="C4026" s="2">
        <v>585548.79</v>
      </c>
      <c r="D4026">
        <v>0</v>
      </c>
      <c r="E4026" s="65">
        <v>74.37</v>
      </c>
      <c r="F4026" s="8">
        <v>2.81</v>
      </c>
      <c r="G4026" s="66">
        <v>132.4976</v>
      </c>
      <c r="H4026" s="8">
        <v>10.16</v>
      </c>
      <c r="J4026" s="26"/>
      <c r="K4026"/>
    </row>
    <row r="4027" spans="1:11">
      <c r="A4027">
        <v>29</v>
      </c>
      <c r="B4027" s="64">
        <v>40361</v>
      </c>
      <c r="C4027" s="2">
        <v>581473.55</v>
      </c>
      <c r="D4027">
        <v>0</v>
      </c>
      <c r="E4027" s="65">
        <v>72.88</v>
      </c>
      <c r="F4027" s="8">
        <v>2.815</v>
      </c>
      <c r="G4027" s="66">
        <v>132.5218667</v>
      </c>
      <c r="H4027" s="8">
        <v>10.409</v>
      </c>
      <c r="J4027" s="26"/>
      <c r="K4027"/>
    </row>
    <row r="4028" spans="1:11">
      <c r="A4028">
        <v>29</v>
      </c>
      <c r="B4028" s="64">
        <v>40368</v>
      </c>
      <c r="C4028" s="2">
        <v>563449.43</v>
      </c>
      <c r="D4028">
        <v>0</v>
      </c>
      <c r="E4028" s="65">
        <v>79.22</v>
      </c>
      <c r="F4028" s="8">
        <v>2.806</v>
      </c>
      <c r="G4028" s="66">
        <v>132.5461333</v>
      </c>
      <c r="H4028" s="8">
        <v>10.409</v>
      </c>
      <c r="J4028" s="26"/>
      <c r="K4028"/>
    </row>
    <row r="4029" spans="1:11">
      <c r="A4029">
        <v>29</v>
      </c>
      <c r="B4029" s="64">
        <v>40375</v>
      </c>
      <c r="C4029" s="2">
        <v>512292.01</v>
      </c>
      <c r="D4029">
        <v>0</v>
      </c>
      <c r="E4029" s="65">
        <v>76.3</v>
      </c>
      <c r="F4029" s="8">
        <v>2.796</v>
      </c>
      <c r="G4029" s="66">
        <v>132.5667742</v>
      </c>
      <c r="H4029" s="8">
        <v>10.409</v>
      </c>
      <c r="J4029" s="26"/>
      <c r="K4029"/>
    </row>
    <row r="4030" spans="1:11">
      <c r="A4030">
        <v>29</v>
      </c>
      <c r="B4030" s="64">
        <v>40382</v>
      </c>
      <c r="C4030" s="2">
        <v>506502.09</v>
      </c>
      <c r="D4030">
        <v>0</v>
      </c>
      <c r="E4030" s="65">
        <v>76.91</v>
      </c>
      <c r="F4030" s="8">
        <v>2.784</v>
      </c>
      <c r="G4030" s="66">
        <v>132.5825806</v>
      </c>
      <c r="H4030" s="8">
        <v>10.409</v>
      </c>
      <c r="J4030" s="26"/>
      <c r="K4030"/>
    </row>
    <row r="4031" spans="1:11">
      <c r="A4031">
        <v>29</v>
      </c>
      <c r="B4031" s="64">
        <v>40389</v>
      </c>
      <c r="C4031" s="2">
        <v>509872.77</v>
      </c>
      <c r="D4031">
        <v>0</v>
      </c>
      <c r="E4031" s="65">
        <v>76.35</v>
      </c>
      <c r="F4031" s="8">
        <v>2.792</v>
      </c>
      <c r="G4031" s="66">
        <v>132.5983871</v>
      </c>
      <c r="H4031" s="8">
        <v>10.409</v>
      </c>
      <c r="J4031" s="26"/>
      <c r="K4031"/>
    </row>
    <row r="4032" spans="1:11">
      <c r="A4032">
        <v>29</v>
      </c>
      <c r="B4032" s="64">
        <v>40396</v>
      </c>
      <c r="C4032" s="2">
        <v>519787.93</v>
      </c>
      <c r="D4032">
        <v>0</v>
      </c>
      <c r="E4032" s="65">
        <v>74.37</v>
      </c>
      <c r="F4032" s="8">
        <v>2.792</v>
      </c>
      <c r="G4032" s="66">
        <v>132.6141935</v>
      </c>
      <c r="H4032" s="8">
        <v>10.409</v>
      </c>
      <c r="J4032" s="26"/>
      <c r="K4032"/>
    </row>
    <row r="4033" spans="1:11">
      <c r="A4033">
        <v>29</v>
      </c>
      <c r="B4033" s="64">
        <v>40403</v>
      </c>
      <c r="C4033" s="2">
        <v>495269</v>
      </c>
      <c r="D4033">
        <v>0</v>
      </c>
      <c r="E4033" s="65">
        <v>74.75</v>
      </c>
      <c r="F4033" s="8">
        <v>2.81</v>
      </c>
      <c r="G4033" s="66">
        <v>132.63</v>
      </c>
      <c r="H4033" s="8">
        <v>10.409</v>
      </c>
      <c r="J4033" s="26"/>
      <c r="K4033"/>
    </row>
    <row r="4034" spans="1:11">
      <c r="A4034">
        <v>29</v>
      </c>
      <c r="B4034" s="64">
        <v>40410</v>
      </c>
      <c r="C4034" s="2">
        <v>531640.19</v>
      </c>
      <c r="D4034">
        <v>0</v>
      </c>
      <c r="E4034" s="65">
        <v>73.21</v>
      </c>
      <c r="F4034" s="8">
        <v>2.796</v>
      </c>
      <c r="G4034" s="66">
        <v>132.6616129</v>
      </c>
      <c r="H4034" s="8">
        <v>10.409</v>
      </c>
      <c r="J4034" s="26"/>
      <c r="K4034"/>
    </row>
    <row r="4035" spans="1:11">
      <c r="A4035">
        <v>29</v>
      </c>
      <c r="B4035" s="64">
        <v>40417</v>
      </c>
      <c r="C4035" s="2">
        <v>545766.13</v>
      </c>
      <c r="D4035">
        <v>0</v>
      </c>
      <c r="E4035" s="65">
        <v>68.99</v>
      </c>
      <c r="F4035" s="8">
        <v>2.77</v>
      </c>
      <c r="G4035" s="66">
        <v>132.6932258</v>
      </c>
      <c r="H4035" s="8">
        <v>10.409</v>
      </c>
      <c r="J4035" s="26"/>
      <c r="K4035"/>
    </row>
    <row r="4036" spans="1:11">
      <c r="A4036">
        <v>29</v>
      </c>
      <c r="B4036" s="64">
        <v>40424</v>
      </c>
      <c r="C4036" s="2">
        <v>579272.38</v>
      </c>
      <c r="D4036">
        <v>0</v>
      </c>
      <c r="E4036" s="65">
        <v>75.85</v>
      </c>
      <c r="F4036" s="8">
        <v>2.735</v>
      </c>
      <c r="G4036" s="66">
        <v>132.7248387</v>
      </c>
      <c r="H4036" s="8">
        <v>10.409</v>
      </c>
      <c r="J4036" s="26"/>
      <c r="K4036"/>
    </row>
    <row r="4037" spans="1:11">
      <c r="A4037">
        <v>29</v>
      </c>
      <c r="B4037" s="64">
        <v>40431</v>
      </c>
      <c r="C4037" s="2">
        <v>491290.37</v>
      </c>
      <c r="D4037">
        <v>1</v>
      </c>
      <c r="E4037" s="65">
        <v>68.6</v>
      </c>
      <c r="F4037" s="8">
        <v>2.717</v>
      </c>
      <c r="G4037" s="66">
        <v>132.7564516</v>
      </c>
      <c r="H4037" s="8">
        <v>10.409</v>
      </c>
      <c r="J4037" s="26"/>
      <c r="K4037"/>
    </row>
    <row r="4038" spans="1:11">
      <c r="A4038">
        <v>29</v>
      </c>
      <c r="B4038" s="64">
        <v>40438</v>
      </c>
      <c r="C4038" s="2">
        <v>463752.89</v>
      </c>
      <c r="D4038">
        <v>0</v>
      </c>
      <c r="E4038" s="65">
        <v>62.49</v>
      </c>
      <c r="F4038" s="8">
        <v>2.716</v>
      </c>
      <c r="G4038" s="66">
        <v>132.7670667</v>
      </c>
      <c r="H4038" s="8">
        <v>10.409</v>
      </c>
      <c r="J4038" s="26"/>
      <c r="K4038"/>
    </row>
    <row r="4039" spans="1:11">
      <c r="A4039">
        <v>29</v>
      </c>
      <c r="B4039" s="64">
        <v>40445</v>
      </c>
      <c r="C4039" s="2">
        <v>465338.41</v>
      </c>
      <c r="D4039">
        <v>0</v>
      </c>
      <c r="E4039" s="65">
        <v>65.14</v>
      </c>
      <c r="F4039" s="8">
        <v>2.718</v>
      </c>
      <c r="G4039" s="66">
        <v>132.7619333</v>
      </c>
      <c r="H4039" s="8">
        <v>10.409</v>
      </c>
      <c r="J4039" s="26"/>
      <c r="K4039"/>
    </row>
    <row r="4040" spans="1:11">
      <c r="A4040">
        <v>29</v>
      </c>
      <c r="B4040" s="64">
        <v>40452</v>
      </c>
      <c r="C4040" s="2">
        <v>474698.01</v>
      </c>
      <c r="D4040">
        <v>0</v>
      </c>
      <c r="E4040" s="65">
        <v>69.31</v>
      </c>
      <c r="F4040" s="8">
        <v>2.717</v>
      </c>
      <c r="G4040" s="66">
        <v>132.7568</v>
      </c>
      <c r="H4040" s="8">
        <v>10.524</v>
      </c>
      <c r="J4040" s="26"/>
      <c r="K4040"/>
    </row>
    <row r="4041" spans="1:11">
      <c r="A4041">
        <v>29</v>
      </c>
      <c r="B4041" s="64">
        <v>40459</v>
      </c>
      <c r="C4041" s="2">
        <v>530059.06</v>
      </c>
      <c r="D4041">
        <v>0</v>
      </c>
      <c r="E4041" s="65">
        <v>56.32</v>
      </c>
      <c r="F4041" s="8">
        <v>2.776</v>
      </c>
      <c r="G4041" s="66">
        <v>132.7516667</v>
      </c>
      <c r="H4041" s="8">
        <v>10.524</v>
      </c>
      <c r="J4041" s="26"/>
      <c r="K4041"/>
    </row>
    <row r="4042" spans="1:11">
      <c r="A4042">
        <v>29</v>
      </c>
      <c r="B4042" s="64">
        <v>40466</v>
      </c>
      <c r="C4042" s="2">
        <v>483011.69</v>
      </c>
      <c r="D4042">
        <v>0</v>
      </c>
      <c r="E4042" s="65">
        <v>55.23</v>
      </c>
      <c r="F4042" s="8">
        <v>2.878</v>
      </c>
      <c r="G4042" s="66">
        <v>132.7633548</v>
      </c>
      <c r="H4042" s="8">
        <v>10.524</v>
      </c>
      <c r="J4042" s="26"/>
      <c r="K4042"/>
    </row>
    <row r="4043" spans="1:11">
      <c r="A4043">
        <v>29</v>
      </c>
      <c r="B4043" s="64">
        <v>40473</v>
      </c>
      <c r="C4043" s="2">
        <v>505221.17</v>
      </c>
      <c r="D4043">
        <v>0</v>
      </c>
      <c r="E4043" s="65">
        <v>50.24</v>
      </c>
      <c r="F4043" s="8">
        <v>2.919</v>
      </c>
      <c r="G4043" s="66">
        <v>132.8170968</v>
      </c>
      <c r="H4043" s="8">
        <v>10.524</v>
      </c>
      <c r="J4043" s="26"/>
      <c r="K4043"/>
    </row>
    <row r="4044" spans="1:11">
      <c r="A4044">
        <v>29</v>
      </c>
      <c r="B4044" s="64">
        <v>40480</v>
      </c>
      <c r="C4044" s="2">
        <v>527058.59</v>
      </c>
      <c r="D4044">
        <v>0</v>
      </c>
      <c r="E4044" s="65">
        <v>57.73</v>
      </c>
      <c r="F4044" s="8">
        <v>2.938</v>
      </c>
      <c r="G4044" s="66">
        <v>132.8708387</v>
      </c>
      <c r="H4044" s="8">
        <v>10.524</v>
      </c>
      <c r="J4044" s="26"/>
      <c r="K4044"/>
    </row>
    <row r="4045" spans="1:11">
      <c r="A4045">
        <v>29</v>
      </c>
      <c r="B4045" s="64">
        <v>40487</v>
      </c>
      <c r="C4045" s="2">
        <v>521002.97</v>
      </c>
      <c r="D4045">
        <v>0</v>
      </c>
      <c r="E4045" s="65">
        <v>44.34</v>
      </c>
      <c r="F4045" s="8">
        <v>2.938</v>
      </c>
      <c r="G4045" s="66">
        <v>132.9245806</v>
      </c>
      <c r="H4045" s="8">
        <v>10.524</v>
      </c>
      <c r="J4045" s="26"/>
      <c r="K4045"/>
    </row>
    <row r="4046" spans="1:11">
      <c r="A4046">
        <v>29</v>
      </c>
      <c r="B4046" s="64">
        <v>40494</v>
      </c>
      <c r="C4046" s="2">
        <v>524450.7</v>
      </c>
      <c r="D4046">
        <v>0</v>
      </c>
      <c r="E4046" s="65">
        <v>44.42</v>
      </c>
      <c r="F4046" s="8">
        <v>2.961</v>
      </c>
      <c r="G4046" s="66">
        <v>132.9783226</v>
      </c>
      <c r="H4046" s="8">
        <v>10.524</v>
      </c>
      <c r="J4046" s="26"/>
      <c r="K4046"/>
    </row>
    <row r="4047" spans="1:11">
      <c r="A4047">
        <v>29</v>
      </c>
      <c r="B4047" s="64">
        <v>40501</v>
      </c>
      <c r="C4047" s="2">
        <v>508174.55</v>
      </c>
      <c r="D4047">
        <v>0</v>
      </c>
      <c r="E4047" s="65">
        <v>48.62</v>
      </c>
      <c r="F4047" s="8">
        <v>3.03</v>
      </c>
      <c r="G4047" s="66">
        <v>132.9172</v>
      </c>
      <c r="H4047" s="8">
        <v>10.524</v>
      </c>
      <c r="J4047" s="26"/>
      <c r="K4047"/>
    </row>
    <row r="4048" spans="1:11">
      <c r="A4048">
        <v>29</v>
      </c>
      <c r="B4048" s="64">
        <v>40508</v>
      </c>
      <c r="C4048" s="2">
        <v>975268.91</v>
      </c>
      <c r="D4048">
        <v>1</v>
      </c>
      <c r="E4048" s="65">
        <v>44.61</v>
      </c>
      <c r="F4048" s="8">
        <v>3.07</v>
      </c>
      <c r="G4048" s="66">
        <v>132.8369333</v>
      </c>
      <c r="H4048" s="8">
        <v>10.524</v>
      </c>
      <c r="J4048" s="26"/>
      <c r="K4048"/>
    </row>
    <row r="4049" spans="1:11">
      <c r="A4049">
        <v>29</v>
      </c>
      <c r="B4049" s="64">
        <v>40515</v>
      </c>
      <c r="C4049" s="2">
        <v>642678.53</v>
      </c>
      <c r="D4049">
        <v>0</v>
      </c>
      <c r="E4049" s="65">
        <v>39.42</v>
      </c>
      <c r="F4049" s="8">
        <v>3.065</v>
      </c>
      <c r="G4049" s="66">
        <v>132.7566667</v>
      </c>
      <c r="H4049" s="8">
        <v>10.524</v>
      </c>
      <c r="J4049" s="26"/>
      <c r="K4049"/>
    </row>
    <row r="4050" spans="1:11">
      <c r="A4050">
        <v>29</v>
      </c>
      <c r="B4050" s="64">
        <v>40522</v>
      </c>
      <c r="C4050" s="2">
        <v>713834.74</v>
      </c>
      <c r="D4050">
        <v>0</v>
      </c>
      <c r="E4050" s="65">
        <v>28.43</v>
      </c>
      <c r="F4050" s="8">
        <v>3.132</v>
      </c>
      <c r="G4050" s="66">
        <v>132.6764</v>
      </c>
      <c r="H4050" s="8">
        <v>10.524</v>
      </c>
      <c r="J4050" s="26"/>
      <c r="K4050"/>
    </row>
    <row r="4051" spans="1:11">
      <c r="A4051">
        <v>29</v>
      </c>
      <c r="B4051" s="64">
        <v>40529</v>
      </c>
      <c r="C4051" s="2">
        <v>850538.25</v>
      </c>
      <c r="D4051">
        <v>0</v>
      </c>
      <c r="E4051" s="65">
        <v>30.46</v>
      </c>
      <c r="F4051" s="8">
        <v>3.139</v>
      </c>
      <c r="G4051" s="66">
        <v>132.6804516</v>
      </c>
      <c r="H4051" s="8">
        <v>10.524</v>
      </c>
      <c r="J4051" s="26"/>
      <c r="K4051"/>
    </row>
    <row r="4052" spans="1:11">
      <c r="A4052">
        <v>29</v>
      </c>
      <c r="B4052" s="64">
        <v>40536</v>
      </c>
      <c r="C4052" s="2">
        <v>1130926.79</v>
      </c>
      <c r="D4052">
        <v>0</v>
      </c>
      <c r="E4052" s="65">
        <v>29.76</v>
      </c>
      <c r="F4052" s="8">
        <v>3.15</v>
      </c>
      <c r="G4052" s="66">
        <v>132.7477419</v>
      </c>
      <c r="H4052" s="8">
        <v>10.524</v>
      </c>
      <c r="J4052" s="26"/>
      <c r="K4052"/>
    </row>
    <row r="4053" spans="1:11">
      <c r="A4053">
        <v>29</v>
      </c>
      <c r="B4053" s="64">
        <v>40543</v>
      </c>
      <c r="C4053" s="2">
        <v>465992.02</v>
      </c>
      <c r="D4053">
        <v>1</v>
      </c>
      <c r="E4053" s="65">
        <v>28.49</v>
      </c>
      <c r="F4053" s="8">
        <v>3.177</v>
      </c>
      <c r="G4053" s="66">
        <v>132.8150323</v>
      </c>
      <c r="H4053" s="8">
        <v>10.524</v>
      </c>
      <c r="J4053" s="26"/>
      <c r="K4053"/>
    </row>
    <row r="4054" spans="1:11">
      <c r="A4054">
        <v>29</v>
      </c>
      <c r="B4054" s="64">
        <v>40550</v>
      </c>
      <c r="C4054" s="2">
        <v>455952.18</v>
      </c>
      <c r="D4054">
        <v>0</v>
      </c>
      <c r="E4054" s="65">
        <v>32.56</v>
      </c>
      <c r="F4054" s="8">
        <v>3.193</v>
      </c>
      <c r="G4054" s="66">
        <v>132.8823226</v>
      </c>
      <c r="H4054" s="8">
        <v>10.256</v>
      </c>
      <c r="J4054" s="26"/>
      <c r="K4054"/>
    </row>
    <row r="4055" spans="1:11">
      <c r="A4055">
        <v>29</v>
      </c>
      <c r="B4055" s="64">
        <v>40557</v>
      </c>
      <c r="C4055" s="2">
        <v>426905.26</v>
      </c>
      <c r="D4055">
        <v>0</v>
      </c>
      <c r="E4055" s="65">
        <v>24.76</v>
      </c>
      <c r="F4055" s="8">
        <v>3.215</v>
      </c>
      <c r="G4055" s="66">
        <v>132.9510645</v>
      </c>
      <c r="H4055" s="8">
        <v>10.256</v>
      </c>
      <c r="J4055" s="26"/>
      <c r="K4055"/>
    </row>
    <row r="4056" spans="1:11">
      <c r="A4056">
        <v>29</v>
      </c>
      <c r="B4056" s="64">
        <v>40564</v>
      </c>
      <c r="C4056" s="2">
        <v>445134.15</v>
      </c>
      <c r="D4056">
        <v>0</v>
      </c>
      <c r="E4056" s="65">
        <v>26.8</v>
      </c>
      <c r="F4056" s="8">
        <v>3.232</v>
      </c>
      <c r="G4056" s="66">
        <v>133.0285161</v>
      </c>
      <c r="H4056" s="8">
        <v>10.256</v>
      </c>
      <c r="J4056" s="26"/>
      <c r="K4056"/>
    </row>
    <row r="4057" spans="1:11">
      <c r="A4057">
        <v>29</v>
      </c>
      <c r="B4057" s="64">
        <v>40571</v>
      </c>
      <c r="C4057" s="2">
        <v>410426.97</v>
      </c>
      <c r="D4057">
        <v>0</v>
      </c>
      <c r="E4057" s="65">
        <v>20.61</v>
      </c>
      <c r="F4057" s="8">
        <v>3.243</v>
      </c>
      <c r="G4057" s="66">
        <v>133.1059677</v>
      </c>
      <c r="H4057" s="8">
        <v>10.256</v>
      </c>
      <c r="J4057" s="26"/>
      <c r="K4057"/>
    </row>
    <row r="4058" spans="1:11">
      <c r="A4058">
        <v>29</v>
      </c>
      <c r="B4058" s="64">
        <v>40578</v>
      </c>
      <c r="C4058" s="2">
        <v>504126.89</v>
      </c>
      <c r="D4058">
        <v>0</v>
      </c>
      <c r="E4058" s="65">
        <v>26.39</v>
      </c>
      <c r="F4058" s="8">
        <v>3.24</v>
      </c>
      <c r="G4058" s="66">
        <v>133.1834194</v>
      </c>
      <c r="H4058" s="8">
        <v>10.256</v>
      </c>
      <c r="J4058" s="26"/>
      <c r="K4058"/>
    </row>
    <row r="4059" spans="1:11">
      <c r="A4059">
        <v>29</v>
      </c>
      <c r="B4059" s="64">
        <v>40585</v>
      </c>
      <c r="C4059" s="2">
        <v>550387.78</v>
      </c>
      <c r="D4059">
        <v>1</v>
      </c>
      <c r="E4059" s="65">
        <v>28.89</v>
      </c>
      <c r="F4059" s="8">
        <v>3.255</v>
      </c>
      <c r="G4059" s="66">
        <v>133.260871</v>
      </c>
      <c r="H4059" s="8">
        <v>10.256</v>
      </c>
      <c r="J4059" s="26"/>
      <c r="K4059"/>
    </row>
    <row r="4060" spans="1:11">
      <c r="A4060">
        <v>29</v>
      </c>
      <c r="B4060" s="64">
        <v>40592</v>
      </c>
      <c r="C4060" s="2">
        <v>542529.21</v>
      </c>
      <c r="D4060">
        <v>0</v>
      </c>
      <c r="E4060" s="65">
        <v>35.34</v>
      </c>
      <c r="F4060" s="8">
        <v>3.263</v>
      </c>
      <c r="G4060" s="66">
        <v>133.3701429</v>
      </c>
      <c r="H4060" s="8">
        <v>10.256</v>
      </c>
      <c r="J4060" s="26"/>
      <c r="K4060"/>
    </row>
    <row r="4061" spans="1:11">
      <c r="A4061">
        <v>29</v>
      </c>
      <c r="B4061" s="64">
        <v>40599</v>
      </c>
      <c r="C4061" s="2">
        <v>483660.15</v>
      </c>
      <c r="D4061">
        <v>0</v>
      </c>
      <c r="E4061" s="65">
        <v>30.23</v>
      </c>
      <c r="F4061" s="8">
        <v>3.281</v>
      </c>
      <c r="G4061" s="66">
        <v>133.4921429</v>
      </c>
      <c r="H4061" s="8">
        <v>10.256</v>
      </c>
      <c r="J4061" s="26"/>
      <c r="K4061"/>
    </row>
    <row r="4062" spans="1:11">
      <c r="A4062">
        <v>29</v>
      </c>
      <c r="B4062" s="64">
        <v>40606</v>
      </c>
      <c r="C4062" s="2">
        <v>536031.67</v>
      </c>
      <c r="D4062">
        <v>0</v>
      </c>
      <c r="E4062" s="65">
        <v>33.52</v>
      </c>
      <c r="F4062" s="8">
        <v>3.437</v>
      </c>
      <c r="G4062" s="66">
        <v>133.6141429</v>
      </c>
      <c r="H4062" s="8">
        <v>10.256</v>
      </c>
      <c r="J4062" s="26"/>
      <c r="K4062"/>
    </row>
    <row r="4063" spans="1:11">
      <c r="A4063">
        <v>29</v>
      </c>
      <c r="B4063" s="64">
        <v>40613</v>
      </c>
      <c r="C4063" s="2">
        <v>493430.45</v>
      </c>
      <c r="D4063">
        <v>0</v>
      </c>
      <c r="E4063" s="65">
        <v>41.42</v>
      </c>
      <c r="F4063" s="8">
        <v>3.6</v>
      </c>
      <c r="G4063" s="66">
        <v>133.7361429</v>
      </c>
      <c r="H4063" s="8">
        <v>10.256</v>
      </c>
      <c r="J4063" s="26"/>
      <c r="K4063"/>
    </row>
    <row r="4064" spans="1:11">
      <c r="A4064">
        <v>29</v>
      </c>
      <c r="B4064" s="64">
        <v>40620</v>
      </c>
      <c r="C4064" s="2">
        <v>493653.43</v>
      </c>
      <c r="D4064">
        <v>0</v>
      </c>
      <c r="E4064" s="65">
        <v>43.38</v>
      </c>
      <c r="F4064" s="8">
        <v>3.634</v>
      </c>
      <c r="G4064" s="66">
        <v>133.8492258</v>
      </c>
      <c r="H4064" s="8">
        <v>10.256</v>
      </c>
      <c r="J4064" s="26"/>
      <c r="K4064"/>
    </row>
    <row r="4065" spans="1:11">
      <c r="A4065">
        <v>29</v>
      </c>
      <c r="B4065" s="64">
        <v>40627</v>
      </c>
      <c r="C4065" s="2">
        <v>478773.05</v>
      </c>
      <c r="D4065">
        <v>0</v>
      </c>
      <c r="E4065" s="65">
        <v>38.77</v>
      </c>
      <c r="F4065" s="8">
        <v>3.624</v>
      </c>
      <c r="G4065" s="66">
        <v>133.9587419</v>
      </c>
      <c r="H4065" s="8">
        <v>10.256</v>
      </c>
      <c r="J4065" s="26"/>
      <c r="K4065"/>
    </row>
    <row r="4066" spans="1:11">
      <c r="A4066">
        <v>29</v>
      </c>
      <c r="B4066" s="64">
        <v>40634</v>
      </c>
      <c r="C4066" s="2">
        <v>475615.26</v>
      </c>
      <c r="D4066">
        <v>0</v>
      </c>
      <c r="E4066" s="65">
        <v>36.04</v>
      </c>
      <c r="F4066" s="8">
        <v>3.638</v>
      </c>
      <c r="G4066" s="66">
        <v>134.0682581</v>
      </c>
      <c r="H4066" s="8">
        <v>9.966</v>
      </c>
      <c r="J4066" s="26"/>
      <c r="K4066"/>
    </row>
    <row r="4067" spans="1:11">
      <c r="A4067">
        <v>29</v>
      </c>
      <c r="B4067" s="64">
        <v>40641</v>
      </c>
      <c r="C4067" s="2">
        <v>505304.33</v>
      </c>
      <c r="D4067">
        <v>0</v>
      </c>
      <c r="E4067" s="65">
        <v>44.42</v>
      </c>
      <c r="F4067" s="8">
        <v>3.72</v>
      </c>
      <c r="G4067" s="66">
        <v>134.1777742</v>
      </c>
      <c r="H4067" s="8">
        <v>9.966</v>
      </c>
      <c r="J4067" s="26"/>
      <c r="K4067"/>
    </row>
    <row r="4068" spans="1:11">
      <c r="A4068">
        <v>29</v>
      </c>
      <c r="B4068" s="64">
        <v>40648</v>
      </c>
      <c r="C4068" s="2">
        <v>518245.97</v>
      </c>
      <c r="D4068">
        <v>0</v>
      </c>
      <c r="E4068" s="65">
        <v>48.88</v>
      </c>
      <c r="F4068" s="8">
        <v>3.823</v>
      </c>
      <c r="G4068" s="66">
        <v>134.2784667</v>
      </c>
      <c r="H4068" s="8">
        <v>9.966</v>
      </c>
      <c r="J4068" s="26"/>
      <c r="K4068"/>
    </row>
    <row r="4069" spans="1:11">
      <c r="A4069">
        <v>29</v>
      </c>
      <c r="B4069" s="64">
        <v>40655</v>
      </c>
      <c r="C4069" s="2">
        <v>589252.69</v>
      </c>
      <c r="D4069">
        <v>0</v>
      </c>
      <c r="E4069" s="65">
        <v>47.76</v>
      </c>
      <c r="F4069" s="8">
        <v>3.919</v>
      </c>
      <c r="G4069" s="66">
        <v>134.3571</v>
      </c>
      <c r="H4069" s="8">
        <v>9.966</v>
      </c>
      <c r="J4069" s="26"/>
      <c r="K4069"/>
    </row>
    <row r="4070" spans="1:11">
      <c r="A4070">
        <v>29</v>
      </c>
      <c r="B4070" s="64">
        <v>40662</v>
      </c>
      <c r="C4070" s="2">
        <v>493078.64</v>
      </c>
      <c r="D4070">
        <v>0</v>
      </c>
      <c r="E4070" s="65">
        <v>57.2</v>
      </c>
      <c r="F4070" s="8">
        <v>3.988</v>
      </c>
      <c r="G4070" s="66">
        <v>134.4357333</v>
      </c>
      <c r="H4070" s="8">
        <v>9.966</v>
      </c>
      <c r="J4070" s="26"/>
      <c r="K4070"/>
    </row>
    <row r="4071" spans="1:11">
      <c r="A4071">
        <v>29</v>
      </c>
      <c r="B4071" s="64">
        <v>40669</v>
      </c>
      <c r="C4071" s="2">
        <v>534372.53</v>
      </c>
      <c r="D4071">
        <v>0</v>
      </c>
      <c r="E4071" s="65">
        <v>53.63</v>
      </c>
      <c r="F4071" s="8">
        <v>4.078</v>
      </c>
      <c r="G4071" s="66">
        <v>134.5143667</v>
      </c>
      <c r="H4071" s="8">
        <v>9.966</v>
      </c>
      <c r="J4071" s="26"/>
      <c r="K4071"/>
    </row>
    <row r="4072" spans="1:11">
      <c r="A4072">
        <v>29</v>
      </c>
      <c r="B4072" s="64">
        <v>40676</v>
      </c>
      <c r="C4072" s="2">
        <v>549551.02</v>
      </c>
      <c r="D4072">
        <v>0</v>
      </c>
      <c r="E4072" s="65">
        <v>57.71</v>
      </c>
      <c r="F4072" s="8">
        <v>4.095</v>
      </c>
      <c r="G4072" s="66">
        <v>134.593</v>
      </c>
      <c r="H4072" s="8">
        <v>9.966</v>
      </c>
      <c r="J4072" s="26"/>
      <c r="K4072"/>
    </row>
    <row r="4073" spans="1:11">
      <c r="A4073">
        <v>29</v>
      </c>
      <c r="B4073" s="64">
        <v>40683</v>
      </c>
      <c r="C4073" s="2">
        <v>492932.51</v>
      </c>
      <c r="D4073">
        <v>0</v>
      </c>
      <c r="E4073" s="65">
        <v>58.56</v>
      </c>
      <c r="F4073" s="8">
        <v>4.101</v>
      </c>
      <c r="G4073" s="66">
        <v>134.6803871</v>
      </c>
      <c r="H4073" s="8">
        <v>9.966</v>
      </c>
      <c r="J4073" s="26"/>
      <c r="K4073"/>
    </row>
    <row r="4074" spans="1:11">
      <c r="A4074">
        <v>29</v>
      </c>
      <c r="B4074" s="64">
        <v>40690</v>
      </c>
      <c r="C4074" s="2">
        <v>550735.64</v>
      </c>
      <c r="D4074">
        <v>0</v>
      </c>
      <c r="E4074" s="65">
        <v>62.59</v>
      </c>
      <c r="F4074" s="8">
        <v>4.034</v>
      </c>
      <c r="G4074" s="66">
        <v>134.7677742</v>
      </c>
      <c r="H4074" s="8">
        <v>9.966</v>
      </c>
      <c r="J4074" s="26"/>
      <c r="K4074"/>
    </row>
    <row r="4075" spans="1:11">
      <c r="A4075">
        <v>29</v>
      </c>
      <c r="B4075" s="64">
        <v>40697</v>
      </c>
      <c r="C4075" s="2">
        <v>598251.57</v>
      </c>
      <c r="D4075">
        <v>0</v>
      </c>
      <c r="E4075" s="65">
        <v>70.09</v>
      </c>
      <c r="F4075" s="8">
        <v>3.973</v>
      </c>
      <c r="G4075" s="66">
        <v>134.8551613</v>
      </c>
      <c r="H4075" s="8">
        <v>9.966</v>
      </c>
      <c r="J4075" s="26"/>
      <c r="K4075"/>
    </row>
    <row r="4076" spans="1:11">
      <c r="A4076">
        <v>29</v>
      </c>
      <c r="B4076" s="64">
        <v>40704</v>
      </c>
      <c r="C4076" s="2">
        <v>558431.44</v>
      </c>
      <c r="D4076">
        <v>0</v>
      </c>
      <c r="E4076" s="65">
        <v>69.53</v>
      </c>
      <c r="F4076" s="8">
        <v>3.924</v>
      </c>
      <c r="G4076" s="66">
        <v>134.9425484</v>
      </c>
      <c r="H4076" s="8">
        <v>9.966</v>
      </c>
      <c r="J4076" s="26"/>
      <c r="K4076"/>
    </row>
    <row r="4077" spans="1:11">
      <c r="A4077">
        <v>29</v>
      </c>
      <c r="B4077" s="64">
        <v>40711</v>
      </c>
      <c r="C4077" s="2">
        <v>536914.17</v>
      </c>
      <c r="D4077">
        <v>0</v>
      </c>
      <c r="E4077" s="65">
        <v>63.97</v>
      </c>
      <c r="F4077" s="8">
        <v>3.873</v>
      </c>
      <c r="G4077" s="66">
        <v>135.0837333</v>
      </c>
      <c r="H4077" s="8">
        <v>9.966</v>
      </c>
      <c r="J4077" s="26"/>
      <c r="K4077"/>
    </row>
    <row r="4078" spans="1:11">
      <c r="A4078">
        <v>29</v>
      </c>
      <c r="B4078" s="64">
        <v>40718</v>
      </c>
      <c r="C4078" s="2">
        <v>545368.17</v>
      </c>
      <c r="D4078">
        <v>0</v>
      </c>
      <c r="E4078" s="65">
        <v>68.53</v>
      </c>
      <c r="F4078" s="8">
        <v>3.851</v>
      </c>
      <c r="G4078" s="66">
        <v>135.2652667</v>
      </c>
      <c r="H4078" s="8">
        <v>9.966</v>
      </c>
      <c r="J4078" s="26"/>
      <c r="K4078"/>
    </row>
    <row r="4079" spans="1:11">
      <c r="A4079">
        <v>29</v>
      </c>
      <c r="B4079" s="64">
        <v>40725</v>
      </c>
      <c r="C4079" s="2">
        <v>567114.6</v>
      </c>
      <c r="D4079">
        <v>0</v>
      </c>
      <c r="E4079" s="65">
        <v>70.8</v>
      </c>
      <c r="F4079" s="8">
        <v>3.815</v>
      </c>
      <c r="G4079" s="66">
        <v>135.4468</v>
      </c>
      <c r="H4079" s="8">
        <v>9.863</v>
      </c>
      <c r="J4079" s="26"/>
      <c r="K4079"/>
    </row>
    <row r="4080" spans="1:11">
      <c r="A4080">
        <v>29</v>
      </c>
      <c r="B4080" s="64">
        <v>40732</v>
      </c>
      <c r="C4080" s="2">
        <v>547586.07</v>
      </c>
      <c r="D4080">
        <v>0</v>
      </c>
      <c r="E4080" s="65">
        <v>74.22</v>
      </c>
      <c r="F4080" s="8">
        <v>3.784</v>
      </c>
      <c r="G4080" s="66">
        <v>135.6283333</v>
      </c>
      <c r="H4080" s="8">
        <v>9.863</v>
      </c>
      <c r="J4080" s="26"/>
      <c r="K4080"/>
    </row>
    <row r="4081" spans="1:11">
      <c r="A4081">
        <v>29</v>
      </c>
      <c r="B4081" s="64">
        <v>40739</v>
      </c>
      <c r="C4081" s="2">
        <v>505246.15</v>
      </c>
      <c r="D4081">
        <v>0</v>
      </c>
      <c r="E4081" s="65">
        <v>75.2</v>
      </c>
      <c r="F4081" s="8">
        <v>3.827</v>
      </c>
      <c r="G4081" s="66">
        <v>135.7837419</v>
      </c>
      <c r="H4081" s="8">
        <v>9.863</v>
      </c>
      <c r="J4081" s="26"/>
      <c r="K4081"/>
    </row>
    <row r="4082" spans="1:11">
      <c r="A4082">
        <v>29</v>
      </c>
      <c r="B4082" s="64">
        <v>40746</v>
      </c>
      <c r="C4082" s="2">
        <v>507335.75</v>
      </c>
      <c r="D4082">
        <v>0</v>
      </c>
      <c r="E4082" s="65">
        <v>77.79</v>
      </c>
      <c r="F4082" s="8">
        <v>3.882</v>
      </c>
      <c r="G4082" s="66">
        <v>135.8738387</v>
      </c>
      <c r="H4082" s="8">
        <v>9.863</v>
      </c>
      <c r="J4082" s="26"/>
      <c r="K4082"/>
    </row>
    <row r="4083" spans="1:11">
      <c r="A4083">
        <v>29</v>
      </c>
      <c r="B4083" s="64">
        <v>40753</v>
      </c>
      <c r="C4083" s="2">
        <v>474653.06</v>
      </c>
      <c r="D4083">
        <v>0</v>
      </c>
      <c r="E4083" s="65">
        <v>75.32</v>
      </c>
      <c r="F4083" s="8">
        <v>3.898</v>
      </c>
      <c r="G4083" s="66">
        <v>135.9639355</v>
      </c>
      <c r="H4083" s="8">
        <v>9.863</v>
      </c>
      <c r="J4083" s="26"/>
      <c r="K4083"/>
    </row>
    <row r="4084" spans="1:11">
      <c r="A4084">
        <v>29</v>
      </c>
      <c r="B4084" s="64">
        <v>40760</v>
      </c>
      <c r="C4084" s="2">
        <v>503486.37</v>
      </c>
      <c r="D4084">
        <v>0</v>
      </c>
      <c r="E4084" s="65">
        <v>75.33</v>
      </c>
      <c r="F4084" s="8">
        <v>3.903</v>
      </c>
      <c r="G4084" s="66">
        <v>136.0540323</v>
      </c>
      <c r="H4084" s="8">
        <v>9.863</v>
      </c>
      <c r="J4084" s="26"/>
      <c r="K4084"/>
    </row>
    <row r="4085" spans="1:11">
      <c r="A4085">
        <v>29</v>
      </c>
      <c r="B4085" s="64">
        <v>40767</v>
      </c>
      <c r="C4085" s="2">
        <v>471311.5</v>
      </c>
      <c r="D4085">
        <v>0</v>
      </c>
      <c r="E4085" s="65">
        <v>74.69</v>
      </c>
      <c r="F4085" s="8">
        <v>3.88</v>
      </c>
      <c r="G4085" s="66">
        <v>136.144129</v>
      </c>
      <c r="H4085" s="8">
        <v>9.863</v>
      </c>
      <c r="J4085" s="26"/>
      <c r="K4085"/>
    </row>
    <row r="4086" spans="1:11">
      <c r="A4086">
        <v>29</v>
      </c>
      <c r="B4086" s="64">
        <v>40774</v>
      </c>
      <c r="C4086" s="2">
        <v>498056</v>
      </c>
      <c r="D4086">
        <v>0</v>
      </c>
      <c r="E4086" s="65">
        <v>71.3</v>
      </c>
      <c r="F4086" s="8">
        <v>3.82</v>
      </c>
      <c r="G4086" s="66">
        <v>136.183129</v>
      </c>
      <c r="H4086" s="8">
        <v>9.863</v>
      </c>
      <c r="J4086" s="26"/>
      <c r="K4086"/>
    </row>
    <row r="4087" spans="1:11">
      <c r="A4087">
        <v>29</v>
      </c>
      <c r="B4087" s="64">
        <v>40781</v>
      </c>
      <c r="C4087" s="2">
        <v>608294.98</v>
      </c>
      <c r="D4087">
        <v>0</v>
      </c>
      <c r="E4087" s="65">
        <v>72.22</v>
      </c>
      <c r="F4087" s="8">
        <v>3.796</v>
      </c>
      <c r="G4087" s="66">
        <v>136.2136129</v>
      </c>
      <c r="H4087" s="8">
        <v>9.863</v>
      </c>
      <c r="J4087" s="26"/>
      <c r="K4087"/>
    </row>
    <row r="4088" spans="1:11">
      <c r="A4088">
        <v>29</v>
      </c>
      <c r="B4088" s="64">
        <v>40788</v>
      </c>
      <c r="C4088" s="2">
        <v>497085.91</v>
      </c>
      <c r="D4088">
        <v>0</v>
      </c>
      <c r="E4088" s="65">
        <v>69.16</v>
      </c>
      <c r="F4088" s="8">
        <v>3.784</v>
      </c>
      <c r="G4088" s="66">
        <v>136.2440968</v>
      </c>
      <c r="H4088" s="8">
        <v>9.863</v>
      </c>
      <c r="J4088" s="26"/>
      <c r="K4088"/>
    </row>
    <row r="4089" spans="1:11">
      <c r="A4089">
        <v>29</v>
      </c>
      <c r="B4089" s="64">
        <v>40795</v>
      </c>
      <c r="C4089" s="2">
        <v>505406.72</v>
      </c>
      <c r="D4089">
        <v>1</v>
      </c>
      <c r="E4089" s="65">
        <v>69.14</v>
      </c>
      <c r="F4089" s="8">
        <v>3.809</v>
      </c>
      <c r="G4089" s="66">
        <v>136.2745806</v>
      </c>
      <c r="H4089" s="8">
        <v>9.863</v>
      </c>
      <c r="J4089" s="26"/>
      <c r="K4089"/>
    </row>
    <row r="4090" spans="1:11">
      <c r="A4090">
        <v>29</v>
      </c>
      <c r="B4090" s="64">
        <v>40802</v>
      </c>
      <c r="C4090" s="2">
        <v>474129.35</v>
      </c>
      <c r="D4090">
        <v>0</v>
      </c>
      <c r="E4090" s="65">
        <v>68.08</v>
      </c>
      <c r="F4090" s="8">
        <v>3.809</v>
      </c>
      <c r="G4090" s="66">
        <v>136.3145</v>
      </c>
      <c r="H4090" s="8">
        <v>9.863</v>
      </c>
      <c r="J4090" s="26"/>
      <c r="K4090"/>
    </row>
    <row r="4091" spans="1:11">
      <c r="A4091">
        <v>29</v>
      </c>
      <c r="B4091" s="64">
        <v>40809</v>
      </c>
      <c r="C4091" s="2">
        <v>475696.37</v>
      </c>
      <c r="D4091">
        <v>0</v>
      </c>
      <c r="E4091" s="65">
        <v>62.36</v>
      </c>
      <c r="F4091" s="8">
        <v>3.758</v>
      </c>
      <c r="G4091" s="66">
        <v>136.367</v>
      </c>
      <c r="H4091" s="8">
        <v>9.863</v>
      </c>
      <c r="J4091" s="26"/>
      <c r="K4091"/>
    </row>
    <row r="4092" spans="1:11">
      <c r="A4092">
        <v>29</v>
      </c>
      <c r="B4092" s="64">
        <v>40816</v>
      </c>
      <c r="C4092" s="2">
        <v>446516.26</v>
      </c>
      <c r="D4092">
        <v>0</v>
      </c>
      <c r="E4092" s="65">
        <v>69.78</v>
      </c>
      <c r="F4092" s="8">
        <v>3.684</v>
      </c>
      <c r="G4092" s="66">
        <v>136.4195</v>
      </c>
      <c r="H4092" s="8">
        <v>9.863</v>
      </c>
      <c r="J4092" s="26"/>
      <c r="K4092"/>
    </row>
    <row r="4093" spans="1:11">
      <c r="A4093">
        <v>29</v>
      </c>
      <c r="B4093" s="64">
        <v>40823</v>
      </c>
      <c r="C4093" s="2">
        <v>514993</v>
      </c>
      <c r="D4093">
        <v>0</v>
      </c>
      <c r="E4093" s="65">
        <v>56.44</v>
      </c>
      <c r="F4093" s="8">
        <v>3.633</v>
      </c>
      <c r="G4093" s="66">
        <v>136.472</v>
      </c>
      <c r="H4093" s="8">
        <v>9.357</v>
      </c>
      <c r="J4093" s="26"/>
      <c r="K4093"/>
    </row>
    <row r="4094" spans="1:11">
      <c r="A4094">
        <v>29</v>
      </c>
      <c r="B4094" s="64">
        <v>40830</v>
      </c>
      <c r="C4094" s="2">
        <v>475776.45</v>
      </c>
      <c r="D4094">
        <v>0</v>
      </c>
      <c r="E4094" s="65">
        <v>62.63</v>
      </c>
      <c r="F4094" s="8">
        <v>3.583</v>
      </c>
      <c r="G4094" s="66">
        <v>136.5150968</v>
      </c>
      <c r="H4094" s="8">
        <v>9.357</v>
      </c>
      <c r="J4094" s="26"/>
      <c r="K4094"/>
    </row>
    <row r="4095" spans="1:11">
      <c r="A4095">
        <v>29</v>
      </c>
      <c r="B4095" s="64">
        <v>40837</v>
      </c>
      <c r="C4095" s="2">
        <v>505068.22</v>
      </c>
      <c r="D4095">
        <v>0</v>
      </c>
      <c r="E4095" s="65">
        <v>59.3</v>
      </c>
      <c r="F4095" s="8">
        <v>3.618</v>
      </c>
      <c r="G4095" s="66">
        <v>136.5017742</v>
      </c>
      <c r="H4095" s="8">
        <v>9.357</v>
      </c>
      <c r="J4095" s="26"/>
      <c r="K4095"/>
    </row>
    <row r="4096" spans="1:11">
      <c r="A4096">
        <v>29</v>
      </c>
      <c r="B4096" s="64">
        <v>40844</v>
      </c>
      <c r="C4096" s="2">
        <v>515119.64</v>
      </c>
      <c r="D4096">
        <v>0</v>
      </c>
      <c r="E4096" s="65">
        <v>49.31</v>
      </c>
      <c r="F4096" s="8">
        <v>3.604</v>
      </c>
      <c r="G4096" s="66">
        <v>136.4884516</v>
      </c>
      <c r="H4096" s="8">
        <v>9.357</v>
      </c>
      <c r="J4096" s="26"/>
      <c r="K4096"/>
    </row>
    <row r="4097" spans="1:11">
      <c r="A4097">
        <v>29</v>
      </c>
      <c r="B4097" s="64">
        <v>40851</v>
      </c>
      <c r="C4097" s="2">
        <v>620735.72</v>
      </c>
      <c r="D4097">
        <v>0</v>
      </c>
      <c r="E4097" s="65">
        <v>42.81</v>
      </c>
      <c r="F4097" s="8">
        <v>3.586</v>
      </c>
      <c r="G4097" s="66">
        <v>136.475129</v>
      </c>
      <c r="H4097" s="8">
        <v>9.357</v>
      </c>
      <c r="J4097" s="26"/>
      <c r="K4097"/>
    </row>
    <row r="4098" spans="1:11">
      <c r="A4098">
        <v>29</v>
      </c>
      <c r="B4098" s="64">
        <v>40858</v>
      </c>
      <c r="C4098" s="2">
        <v>531600.62</v>
      </c>
      <c r="D4098">
        <v>0</v>
      </c>
      <c r="E4098" s="65">
        <v>47.8</v>
      </c>
      <c r="F4098" s="8">
        <v>3.57</v>
      </c>
      <c r="G4098" s="66">
        <v>136.4618065</v>
      </c>
      <c r="H4098" s="8">
        <v>9.357</v>
      </c>
      <c r="J4098" s="26"/>
      <c r="K4098"/>
    </row>
    <row r="4099" spans="1:11">
      <c r="A4099">
        <v>29</v>
      </c>
      <c r="B4099" s="64">
        <v>40865</v>
      </c>
      <c r="C4099" s="2">
        <v>504601.29</v>
      </c>
      <c r="D4099">
        <v>0</v>
      </c>
      <c r="E4099" s="65">
        <v>50.62</v>
      </c>
      <c r="F4099" s="8">
        <v>3.571</v>
      </c>
      <c r="G4099" s="66">
        <v>136.4666667</v>
      </c>
      <c r="H4099" s="8">
        <v>9.357</v>
      </c>
      <c r="J4099" s="26"/>
      <c r="K4099"/>
    </row>
    <row r="4100" spans="1:11">
      <c r="A4100">
        <v>29</v>
      </c>
      <c r="B4100" s="64">
        <v>40872</v>
      </c>
      <c r="C4100" s="2">
        <v>913165.19</v>
      </c>
      <c r="D4100">
        <v>1</v>
      </c>
      <c r="E4100" s="65">
        <v>46.28</v>
      </c>
      <c r="F4100" s="8">
        <v>3.536</v>
      </c>
      <c r="G4100" s="66">
        <v>136.4788</v>
      </c>
      <c r="H4100" s="8">
        <v>9.357</v>
      </c>
      <c r="J4100" s="26"/>
      <c r="K4100"/>
    </row>
    <row r="4101" spans="1:11">
      <c r="A4101">
        <v>29</v>
      </c>
      <c r="B4101" s="64">
        <v>40879</v>
      </c>
      <c r="C4101" s="2">
        <v>579874.22</v>
      </c>
      <c r="D4101">
        <v>0</v>
      </c>
      <c r="E4101" s="65">
        <v>49.11</v>
      </c>
      <c r="F4101" s="8">
        <v>3.501</v>
      </c>
      <c r="G4101" s="66">
        <v>136.4909333</v>
      </c>
      <c r="H4101" s="8">
        <v>9.357</v>
      </c>
      <c r="J4101" s="26"/>
      <c r="K4101"/>
    </row>
    <row r="4102" spans="1:11">
      <c r="A4102">
        <v>29</v>
      </c>
      <c r="B4102" s="64">
        <v>40886</v>
      </c>
      <c r="C4102" s="2">
        <v>633240.53</v>
      </c>
      <c r="D4102">
        <v>0</v>
      </c>
      <c r="E4102" s="65">
        <v>45.35</v>
      </c>
      <c r="F4102" s="8">
        <v>3.47</v>
      </c>
      <c r="G4102" s="66">
        <v>136.5030667</v>
      </c>
      <c r="H4102" s="8">
        <v>9.357</v>
      </c>
      <c r="J4102" s="26"/>
      <c r="K4102"/>
    </row>
    <row r="4103" spans="1:11">
      <c r="A4103">
        <v>29</v>
      </c>
      <c r="B4103" s="64">
        <v>40893</v>
      </c>
      <c r="C4103" s="2">
        <v>736805.66</v>
      </c>
      <c r="D4103">
        <v>0</v>
      </c>
      <c r="E4103" s="65">
        <v>39.11</v>
      </c>
      <c r="F4103" s="8">
        <v>3.445</v>
      </c>
      <c r="G4103" s="66">
        <v>136.5335161</v>
      </c>
      <c r="H4103" s="8">
        <v>9.357</v>
      </c>
      <c r="J4103" s="26"/>
      <c r="K4103"/>
    </row>
    <row r="4104" spans="1:11">
      <c r="A4104">
        <v>29</v>
      </c>
      <c r="B4104" s="64">
        <v>40900</v>
      </c>
      <c r="C4104" s="2">
        <v>1016637.39</v>
      </c>
      <c r="D4104">
        <v>0</v>
      </c>
      <c r="E4104" s="65">
        <v>39.83</v>
      </c>
      <c r="F4104" s="8">
        <v>3.413</v>
      </c>
      <c r="G4104" s="66">
        <v>136.5883871</v>
      </c>
      <c r="H4104" s="8">
        <v>9.357</v>
      </c>
      <c r="J4104" s="26"/>
      <c r="K4104"/>
    </row>
    <row r="4105" spans="1:11">
      <c r="A4105">
        <v>29</v>
      </c>
      <c r="B4105" s="64">
        <v>40907</v>
      </c>
      <c r="C4105" s="2">
        <v>551743.05</v>
      </c>
      <c r="D4105">
        <v>1</v>
      </c>
      <c r="E4105" s="65">
        <v>36.28</v>
      </c>
      <c r="F4105" s="8">
        <v>3.402</v>
      </c>
      <c r="G4105" s="66">
        <v>136.6432581</v>
      </c>
      <c r="H4105" s="8">
        <v>9.357</v>
      </c>
      <c r="J4105" s="26"/>
      <c r="K4105"/>
    </row>
    <row r="4106" spans="1:11">
      <c r="A4106">
        <v>29</v>
      </c>
      <c r="B4106" s="64">
        <v>40914</v>
      </c>
      <c r="C4106" s="2">
        <v>469773.85</v>
      </c>
      <c r="D4106">
        <v>0</v>
      </c>
      <c r="E4106" s="65">
        <v>34.61</v>
      </c>
      <c r="F4106" s="8">
        <v>3.439</v>
      </c>
      <c r="G4106" s="66">
        <v>136.698129</v>
      </c>
      <c r="H4106" s="8">
        <v>8.988</v>
      </c>
      <c r="J4106" s="26"/>
      <c r="K4106"/>
    </row>
    <row r="4107" spans="1:11">
      <c r="A4107">
        <v>29</v>
      </c>
      <c r="B4107" s="64">
        <v>40921</v>
      </c>
      <c r="C4107" s="2">
        <v>444756.37</v>
      </c>
      <c r="D4107">
        <v>0</v>
      </c>
      <c r="E4107" s="65">
        <v>39</v>
      </c>
      <c r="F4107" s="8">
        <v>3.523</v>
      </c>
      <c r="G4107" s="66">
        <v>136.753</v>
      </c>
      <c r="H4107" s="8">
        <v>8.988</v>
      </c>
      <c r="J4107" s="26"/>
      <c r="K4107"/>
    </row>
    <row r="4108" spans="1:11">
      <c r="A4108">
        <v>29</v>
      </c>
      <c r="B4108" s="64">
        <v>40928</v>
      </c>
      <c r="C4108" s="2">
        <v>446863.31</v>
      </c>
      <c r="D4108">
        <v>0</v>
      </c>
      <c r="E4108" s="65">
        <v>29.16</v>
      </c>
      <c r="F4108" s="8">
        <v>3.542</v>
      </c>
      <c r="G4108" s="66">
        <v>136.8564194</v>
      </c>
      <c r="H4108" s="8">
        <v>8.988</v>
      </c>
      <c r="J4108" s="26"/>
      <c r="K4108"/>
    </row>
    <row r="4109" spans="1:11">
      <c r="A4109">
        <v>29</v>
      </c>
      <c r="B4109" s="64">
        <v>40935</v>
      </c>
      <c r="C4109" s="2">
        <v>395987.24</v>
      </c>
      <c r="D4109">
        <v>0</v>
      </c>
      <c r="E4109" s="65">
        <v>35.68</v>
      </c>
      <c r="F4109" s="8">
        <v>3.568</v>
      </c>
      <c r="G4109" s="66">
        <v>136.9598387</v>
      </c>
      <c r="H4109" s="8">
        <v>8.988</v>
      </c>
      <c r="J4109" s="26"/>
      <c r="K4109"/>
    </row>
    <row r="4110" spans="1:11">
      <c r="A4110">
        <v>29</v>
      </c>
      <c r="B4110" s="64">
        <v>40942</v>
      </c>
      <c r="C4110" s="2">
        <v>493159.35</v>
      </c>
      <c r="D4110">
        <v>0</v>
      </c>
      <c r="E4110" s="65">
        <v>40.58</v>
      </c>
      <c r="F4110" s="8">
        <v>3.633</v>
      </c>
      <c r="G4110" s="66">
        <v>137.0632581</v>
      </c>
      <c r="H4110" s="8">
        <v>8.988</v>
      </c>
      <c r="J4110" s="26"/>
      <c r="K4110"/>
    </row>
    <row r="4111" spans="1:11">
      <c r="A4111">
        <v>29</v>
      </c>
      <c r="B4111" s="64">
        <v>40949</v>
      </c>
      <c r="C4111" s="2">
        <v>545840.05</v>
      </c>
      <c r="D4111">
        <v>1</v>
      </c>
      <c r="E4111" s="65">
        <v>35.68</v>
      </c>
      <c r="F4111" s="8">
        <v>3.655</v>
      </c>
      <c r="G4111" s="66">
        <v>137.1666774</v>
      </c>
      <c r="H4111" s="8">
        <v>8.988</v>
      </c>
      <c r="J4111" s="26"/>
      <c r="K4111"/>
    </row>
    <row r="4112" spans="1:11">
      <c r="A4112">
        <v>29</v>
      </c>
      <c r="B4112" s="64">
        <v>40956</v>
      </c>
      <c r="C4112" s="2">
        <v>559606.91</v>
      </c>
      <c r="D4112">
        <v>0</v>
      </c>
      <c r="E4112" s="65">
        <v>36.25</v>
      </c>
      <c r="F4112" s="8">
        <v>3.703</v>
      </c>
      <c r="G4112" s="66">
        <v>137.2583103</v>
      </c>
      <c r="H4112" s="8">
        <v>8.988</v>
      </c>
      <c r="J4112" s="26"/>
      <c r="K4112"/>
    </row>
    <row r="4113" spans="1:11">
      <c r="A4113">
        <v>29</v>
      </c>
      <c r="B4113" s="64">
        <v>40963</v>
      </c>
      <c r="C4113" s="2">
        <v>488782.63</v>
      </c>
      <c r="D4113">
        <v>0</v>
      </c>
      <c r="E4113" s="65">
        <v>39</v>
      </c>
      <c r="F4113" s="8">
        <v>3.751</v>
      </c>
      <c r="G4113" s="66">
        <v>137.3411034</v>
      </c>
      <c r="H4113" s="8">
        <v>8.988</v>
      </c>
      <c r="J4113" s="26"/>
      <c r="K4113"/>
    </row>
    <row r="4114" spans="1:11">
      <c r="A4114">
        <v>29</v>
      </c>
      <c r="B4114" s="64">
        <v>40970</v>
      </c>
      <c r="C4114" s="2">
        <v>500801.72</v>
      </c>
      <c r="D4114">
        <v>0</v>
      </c>
      <c r="E4114" s="65">
        <v>37.47</v>
      </c>
      <c r="F4114" s="8">
        <v>3.827</v>
      </c>
      <c r="G4114" s="66">
        <v>137.4238966</v>
      </c>
      <c r="H4114" s="8">
        <v>8.988</v>
      </c>
      <c r="J4114" s="26"/>
      <c r="K4114"/>
    </row>
    <row r="4115" spans="1:11">
      <c r="A4115">
        <v>29</v>
      </c>
      <c r="B4115" s="64">
        <v>40977</v>
      </c>
      <c r="C4115" s="2">
        <v>504750.35</v>
      </c>
      <c r="D4115">
        <v>0</v>
      </c>
      <c r="E4115" s="65">
        <v>41.72</v>
      </c>
      <c r="F4115" s="8">
        <v>3.876</v>
      </c>
      <c r="G4115" s="66">
        <v>137.5066897</v>
      </c>
      <c r="H4115" s="8">
        <v>8.988</v>
      </c>
      <c r="J4115" s="26"/>
      <c r="K4115"/>
    </row>
    <row r="4116" spans="1:11">
      <c r="A4116">
        <v>29</v>
      </c>
      <c r="B4116" s="64">
        <v>40984</v>
      </c>
      <c r="C4116" s="2">
        <v>489293.72</v>
      </c>
      <c r="D4116">
        <v>0</v>
      </c>
      <c r="E4116" s="65">
        <v>46.06</v>
      </c>
      <c r="F4116" s="8">
        <v>3.867</v>
      </c>
      <c r="G4116" s="66">
        <v>137.5843871</v>
      </c>
      <c r="H4116" s="8">
        <v>8.988</v>
      </c>
      <c r="J4116" s="26"/>
      <c r="K4116"/>
    </row>
    <row r="4117" spans="1:11">
      <c r="A4117">
        <v>29</v>
      </c>
      <c r="B4117" s="64">
        <v>40991</v>
      </c>
      <c r="C4117" s="2">
        <v>517408.48</v>
      </c>
      <c r="D4117">
        <v>0</v>
      </c>
      <c r="E4117" s="65">
        <v>54.68</v>
      </c>
      <c r="F4117" s="8">
        <v>3.889</v>
      </c>
      <c r="G4117" s="66">
        <v>137.6552903</v>
      </c>
      <c r="H4117" s="8">
        <v>8.988</v>
      </c>
      <c r="J4117" s="26"/>
      <c r="K4117"/>
    </row>
    <row r="4118" spans="1:11">
      <c r="A4118">
        <v>29</v>
      </c>
      <c r="B4118" s="64">
        <v>40998</v>
      </c>
      <c r="C4118" s="2">
        <v>504566.28</v>
      </c>
      <c r="D4118">
        <v>0</v>
      </c>
      <c r="E4118" s="65">
        <v>46.4</v>
      </c>
      <c r="F4118" s="8">
        <v>3.921</v>
      </c>
      <c r="G4118" s="66">
        <v>137.7261935</v>
      </c>
      <c r="H4118" s="8">
        <v>8.988</v>
      </c>
      <c r="J4118" s="26"/>
      <c r="K4118"/>
    </row>
    <row r="4119" spans="1:11">
      <c r="A4119">
        <v>29</v>
      </c>
      <c r="B4119" s="64">
        <v>41005</v>
      </c>
      <c r="C4119" s="2">
        <v>633826.55</v>
      </c>
      <c r="D4119">
        <v>0</v>
      </c>
      <c r="E4119" s="65">
        <v>46.38</v>
      </c>
      <c r="F4119" s="8">
        <v>3.957</v>
      </c>
      <c r="G4119" s="66">
        <v>137.7970968</v>
      </c>
      <c r="H4119" s="8">
        <v>9.14</v>
      </c>
      <c r="J4119" s="26"/>
      <c r="K4119"/>
    </row>
    <row r="4120" spans="1:11">
      <c r="A4120">
        <v>29</v>
      </c>
      <c r="B4120" s="64">
        <v>41012</v>
      </c>
      <c r="C4120" s="2">
        <v>520493.83</v>
      </c>
      <c r="D4120">
        <v>0</v>
      </c>
      <c r="E4120" s="65">
        <v>49.89</v>
      </c>
      <c r="F4120" s="8">
        <v>4.025</v>
      </c>
      <c r="G4120" s="66">
        <v>137.868</v>
      </c>
      <c r="H4120" s="8">
        <v>9.14</v>
      </c>
      <c r="J4120" s="26"/>
      <c r="K4120"/>
    </row>
    <row r="4121" spans="1:11">
      <c r="A4121">
        <v>29</v>
      </c>
      <c r="B4121" s="64">
        <v>41019</v>
      </c>
      <c r="C4121" s="2">
        <v>525200.59</v>
      </c>
      <c r="D4121">
        <v>0</v>
      </c>
      <c r="E4121" s="65">
        <v>58.81</v>
      </c>
      <c r="F4121" s="8">
        <v>4.046</v>
      </c>
      <c r="G4121" s="66">
        <v>137.9230667</v>
      </c>
      <c r="H4121" s="8">
        <v>9.14</v>
      </c>
      <c r="J4121" s="26"/>
      <c r="K4121"/>
    </row>
    <row r="4122" spans="1:11">
      <c r="A4122">
        <v>29</v>
      </c>
      <c r="B4122" s="64">
        <v>41026</v>
      </c>
      <c r="C4122" s="2">
        <v>497250.22</v>
      </c>
      <c r="D4122">
        <v>0</v>
      </c>
      <c r="E4122" s="65">
        <v>51.42</v>
      </c>
      <c r="F4122" s="8">
        <v>4.023</v>
      </c>
      <c r="G4122" s="66">
        <v>137.9781333</v>
      </c>
      <c r="H4122" s="8">
        <v>9.14</v>
      </c>
      <c r="J4122" s="26"/>
      <c r="K4122"/>
    </row>
    <row r="4123" spans="1:11">
      <c r="A4123">
        <v>29</v>
      </c>
      <c r="B4123" s="64">
        <v>41033</v>
      </c>
      <c r="C4123" s="2">
        <v>504963.84</v>
      </c>
      <c r="D4123">
        <v>0</v>
      </c>
      <c r="E4123" s="65">
        <v>50.75</v>
      </c>
      <c r="F4123" s="8">
        <v>3.991</v>
      </c>
      <c r="G4123" s="66">
        <v>138.0332</v>
      </c>
      <c r="H4123" s="8">
        <v>9.14</v>
      </c>
      <c r="J4123" s="26"/>
      <c r="K4123"/>
    </row>
    <row r="4124" spans="1:11">
      <c r="A4124">
        <v>29</v>
      </c>
      <c r="B4124" s="64">
        <v>41040</v>
      </c>
      <c r="C4124" s="2">
        <v>529707.87</v>
      </c>
      <c r="D4124">
        <v>0</v>
      </c>
      <c r="E4124" s="65">
        <v>56.72</v>
      </c>
      <c r="F4124" s="8">
        <v>3.947</v>
      </c>
      <c r="G4124" s="66">
        <v>138.0882667</v>
      </c>
      <c r="H4124" s="8">
        <v>9.14</v>
      </c>
      <c r="J4124" s="26"/>
      <c r="K4124"/>
    </row>
    <row r="4125" spans="1:11">
      <c r="A4125">
        <v>29</v>
      </c>
      <c r="B4125" s="64">
        <v>41047</v>
      </c>
      <c r="C4125" s="2">
        <v>543706.04</v>
      </c>
      <c r="D4125">
        <v>0</v>
      </c>
      <c r="E4125" s="65">
        <v>61.9</v>
      </c>
      <c r="F4125" s="8">
        <v>3.899</v>
      </c>
      <c r="G4125" s="66">
        <v>138.1065806</v>
      </c>
      <c r="H4125" s="8">
        <v>9.14</v>
      </c>
      <c r="J4125" s="26"/>
      <c r="K4125"/>
    </row>
    <row r="4126" spans="1:11">
      <c r="A4126">
        <v>29</v>
      </c>
      <c r="B4126" s="64">
        <v>41054</v>
      </c>
      <c r="C4126" s="2">
        <v>549665.67</v>
      </c>
      <c r="D4126">
        <v>0</v>
      </c>
      <c r="E4126" s="65">
        <v>62.39</v>
      </c>
      <c r="F4126" s="8">
        <v>3.85</v>
      </c>
      <c r="G4126" s="66">
        <v>138.1101935</v>
      </c>
      <c r="H4126" s="8">
        <v>9.14</v>
      </c>
      <c r="J4126" s="26"/>
      <c r="K4126"/>
    </row>
    <row r="4127" spans="1:11">
      <c r="A4127">
        <v>29</v>
      </c>
      <c r="B4127" s="64">
        <v>41061</v>
      </c>
      <c r="C4127" s="2">
        <v>576252.35</v>
      </c>
      <c r="D4127">
        <v>0</v>
      </c>
      <c r="E4127" s="65">
        <v>70.01</v>
      </c>
      <c r="F4127" s="8">
        <v>3.798</v>
      </c>
      <c r="G4127" s="66">
        <v>138.1138065</v>
      </c>
      <c r="H4127" s="8">
        <v>9.14</v>
      </c>
      <c r="J4127" s="26"/>
      <c r="K4127"/>
    </row>
    <row r="4128" spans="1:11">
      <c r="A4128">
        <v>29</v>
      </c>
      <c r="B4128" s="64">
        <v>41068</v>
      </c>
      <c r="C4128" s="2">
        <v>554093.15</v>
      </c>
      <c r="D4128">
        <v>0</v>
      </c>
      <c r="E4128" s="65">
        <v>61.71</v>
      </c>
      <c r="F4128" s="8">
        <v>3.746</v>
      </c>
      <c r="G4128" s="66">
        <v>138.1174194</v>
      </c>
      <c r="H4128" s="8">
        <v>9.14</v>
      </c>
      <c r="J4128" s="26"/>
      <c r="K4128"/>
    </row>
    <row r="4129" spans="1:11">
      <c r="A4129">
        <v>29</v>
      </c>
      <c r="B4129" s="64">
        <v>41075</v>
      </c>
      <c r="C4129" s="2">
        <v>552338.76</v>
      </c>
      <c r="D4129">
        <v>0</v>
      </c>
      <c r="E4129" s="65">
        <v>66.56</v>
      </c>
      <c r="F4129" s="8">
        <v>3.683</v>
      </c>
      <c r="G4129" s="66">
        <v>138.1295333</v>
      </c>
      <c r="H4129" s="8">
        <v>9.14</v>
      </c>
      <c r="J4129" s="26"/>
      <c r="K4129"/>
    </row>
    <row r="4130" spans="1:11">
      <c r="A4130">
        <v>29</v>
      </c>
      <c r="B4130" s="64">
        <v>41082</v>
      </c>
      <c r="C4130" s="2">
        <v>581854.5</v>
      </c>
      <c r="D4130">
        <v>0</v>
      </c>
      <c r="E4130" s="65">
        <v>70.61</v>
      </c>
      <c r="F4130" s="8">
        <v>3.629</v>
      </c>
      <c r="G4130" s="66">
        <v>138.1629</v>
      </c>
      <c r="H4130" s="8">
        <v>9.14</v>
      </c>
      <c r="J4130" s="26"/>
      <c r="K4130"/>
    </row>
    <row r="4131" spans="1:11">
      <c r="A4131">
        <v>29</v>
      </c>
      <c r="B4131" s="64">
        <v>41089</v>
      </c>
      <c r="C4131" s="2">
        <v>555954.13</v>
      </c>
      <c r="D4131">
        <v>0</v>
      </c>
      <c r="E4131" s="65">
        <v>70.99</v>
      </c>
      <c r="F4131" s="8">
        <v>3.577</v>
      </c>
      <c r="G4131" s="66">
        <v>138.1962667</v>
      </c>
      <c r="H4131" s="8">
        <v>9.14</v>
      </c>
      <c r="J4131" s="26"/>
      <c r="K4131"/>
    </row>
    <row r="4132" spans="1:11">
      <c r="A4132">
        <v>29</v>
      </c>
      <c r="B4132" s="64">
        <v>41096</v>
      </c>
      <c r="C4132" s="2">
        <v>578832.41</v>
      </c>
      <c r="D4132">
        <v>0</v>
      </c>
      <c r="E4132" s="65">
        <v>77.41</v>
      </c>
      <c r="F4132" s="8">
        <v>3.538</v>
      </c>
      <c r="G4132" s="66">
        <v>138.2296333</v>
      </c>
      <c r="H4132" s="8">
        <v>9.419</v>
      </c>
      <c r="J4132" s="26"/>
      <c r="K4132"/>
    </row>
    <row r="4133" spans="1:11">
      <c r="A4133">
        <v>29</v>
      </c>
      <c r="B4133" s="64">
        <v>41103</v>
      </c>
      <c r="C4133" s="2">
        <v>514709.76</v>
      </c>
      <c r="D4133">
        <v>0</v>
      </c>
      <c r="E4133" s="65">
        <v>75.81</v>
      </c>
      <c r="F4133" s="8">
        <v>3.561</v>
      </c>
      <c r="G4133" s="66">
        <v>138.263</v>
      </c>
      <c r="H4133" s="8">
        <v>9.419</v>
      </c>
      <c r="J4133" s="26"/>
      <c r="K4133"/>
    </row>
    <row r="4134" spans="1:11">
      <c r="A4134">
        <v>29</v>
      </c>
      <c r="B4134" s="64">
        <v>41110</v>
      </c>
      <c r="C4134" s="2">
        <v>506705.36</v>
      </c>
      <c r="D4134">
        <v>0</v>
      </c>
      <c r="E4134" s="65">
        <v>76.57</v>
      </c>
      <c r="F4134" s="8">
        <v>3.61</v>
      </c>
      <c r="G4134" s="66">
        <v>138.2331935</v>
      </c>
      <c r="H4134" s="8">
        <v>9.419</v>
      </c>
      <c r="J4134" s="26"/>
      <c r="K4134"/>
    </row>
    <row r="4135" spans="1:11">
      <c r="A4135">
        <v>29</v>
      </c>
      <c r="B4135" s="64">
        <v>41117</v>
      </c>
      <c r="C4135" s="2">
        <v>475158.24</v>
      </c>
      <c r="D4135">
        <v>0</v>
      </c>
      <c r="E4135" s="65">
        <v>73.52</v>
      </c>
      <c r="F4135" s="8">
        <v>3.701</v>
      </c>
      <c r="G4135" s="66">
        <v>138.2033871</v>
      </c>
      <c r="H4135" s="8">
        <v>9.419</v>
      </c>
      <c r="J4135" s="26"/>
      <c r="K4135"/>
    </row>
    <row r="4136" spans="1:11">
      <c r="A4136">
        <v>29</v>
      </c>
      <c r="B4136" s="64">
        <v>41124</v>
      </c>
      <c r="C4136" s="2">
        <v>504754.74</v>
      </c>
      <c r="D4136">
        <v>0</v>
      </c>
      <c r="E4136" s="65">
        <v>72.99</v>
      </c>
      <c r="F4136" s="8">
        <v>3.698</v>
      </c>
      <c r="G4136" s="66">
        <v>138.1735806</v>
      </c>
      <c r="H4136" s="8">
        <v>9.419</v>
      </c>
      <c r="J4136" s="26"/>
      <c r="K4136"/>
    </row>
    <row r="4137" spans="1:11">
      <c r="A4137">
        <v>29</v>
      </c>
      <c r="B4137" s="64">
        <v>41131</v>
      </c>
      <c r="C4137" s="2">
        <v>518628.42</v>
      </c>
      <c r="D4137">
        <v>0</v>
      </c>
      <c r="E4137" s="65">
        <v>76.74</v>
      </c>
      <c r="F4137" s="8">
        <v>3.772</v>
      </c>
      <c r="G4137" s="66">
        <v>138.1437742</v>
      </c>
      <c r="H4137" s="8">
        <v>9.419</v>
      </c>
      <c r="J4137" s="26"/>
      <c r="K4137"/>
    </row>
    <row r="4138" spans="1:11">
      <c r="A4138">
        <v>29</v>
      </c>
      <c r="B4138" s="64">
        <v>41138</v>
      </c>
      <c r="C4138" s="2">
        <v>416881.66</v>
      </c>
      <c r="D4138">
        <v>0</v>
      </c>
      <c r="E4138" s="65">
        <v>74.92</v>
      </c>
      <c r="F4138" s="8">
        <v>3.84</v>
      </c>
      <c r="G4138" s="66">
        <v>138.1857097</v>
      </c>
      <c r="H4138" s="8">
        <v>9.419</v>
      </c>
      <c r="J4138" s="26"/>
      <c r="K4138"/>
    </row>
    <row r="4139" spans="1:11">
      <c r="A4139">
        <v>29</v>
      </c>
      <c r="B4139" s="64">
        <v>41145</v>
      </c>
      <c r="C4139" s="2">
        <v>615026.15</v>
      </c>
      <c r="D4139">
        <v>0</v>
      </c>
      <c r="E4139" s="65">
        <v>70.42</v>
      </c>
      <c r="F4139" s="8">
        <v>3.874</v>
      </c>
      <c r="G4139" s="66">
        <v>138.2814516</v>
      </c>
      <c r="H4139" s="8">
        <v>9.419</v>
      </c>
      <c r="J4139" s="26"/>
      <c r="K4139"/>
    </row>
    <row r="4140" spans="1:11">
      <c r="A4140">
        <v>29</v>
      </c>
      <c r="B4140" s="64">
        <v>41152</v>
      </c>
      <c r="C4140" s="2">
        <v>545844.91</v>
      </c>
      <c r="D4140">
        <v>0</v>
      </c>
      <c r="E4140" s="65">
        <v>71.93</v>
      </c>
      <c r="F4140" s="8">
        <v>3.884</v>
      </c>
      <c r="G4140" s="66">
        <v>138.3771935</v>
      </c>
      <c r="H4140" s="8">
        <v>9.419</v>
      </c>
      <c r="J4140" s="26"/>
      <c r="K4140"/>
    </row>
    <row r="4141" spans="1:11">
      <c r="A4141">
        <v>29</v>
      </c>
      <c r="B4141" s="64">
        <v>41159</v>
      </c>
      <c r="C4141" s="2">
        <v>540811.85</v>
      </c>
      <c r="D4141">
        <v>1</v>
      </c>
      <c r="E4141" s="65">
        <v>73.3</v>
      </c>
      <c r="F4141" s="8">
        <v>3.921</v>
      </c>
      <c r="G4141" s="66">
        <v>138.4729355</v>
      </c>
      <c r="H4141" s="8">
        <v>9.419</v>
      </c>
      <c r="J4141" s="26"/>
      <c r="K4141"/>
    </row>
    <row r="4142" spans="1:11">
      <c r="A4142">
        <v>29</v>
      </c>
      <c r="B4142" s="64">
        <v>41166</v>
      </c>
      <c r="C4142" s="2">
        <v>475127.18</v>
      </c>
      <c r="D4142">
        <v>0</v>
      </c>
      <c r="E4142" s="65">
        <v>66.42</v>
      </c>
      <c r="F4142" s="8">
        <v>3.988</v>
      </c>
      <c r="G4142" s="66">
        <v>138.5673</v>
      </c>
      <c r="H4142" s="8">
        <v>9.419</v>
      </c>
      <c r="J4142" s="26"/>
      <c r="K4142"/>
    </row>
    <row r="4143" spans="1:11">
      <c r="A4143">
        <v>29</v>
      </c>
      <c r="B4143" s="64">
        <v>41173</v>
      </c>
      <c r="C4143" s="2">
        <v>489079.23</v>
      </c>
      <c r="D4143">
        <v>0</v>
      </c>
      <c r="E4143" s="65">
        <v>63.38</v>
      </c>
      <c r="F4143" s="8">
        <v>4.056</v>
      </c>
      <c r="G4143" s="66">
        <v>138.6534</v>
      </c>
      <c r="H4143" s="8">
        <v>9.419</v>
      </c>
      <c r="J4143" s="26"/>
      <c r="K4143"/>
    </row>
    <row r="4144" spans="1:11">
      <c r="A4144">
        <v>29</v>
      </c>
      <c r="B4144" s="64">
        <v>41180</v>
      </c>
      <c r="C4144" s="2">
        <v>489674.23</v>
      </c>
      <c r="D4144">
        <v>0</v>
      </c>
      <c r="E4144" s="65">
        <v>62.17</v>
      </c>
      <c r="F4144" s="8">
        <v>4.018</v>
      </c>
      <c r="G4144" s="66">
        <v>138.7395</v>
      </c>
      <c r="H4144" s="8">
        <v>9.419</v>
      </c>
      <c r="J4144" s="26"/>
      <c r="K4144"/>
    </row>
    <row r="4145" spans="1:11">
      <c r="A4145">
        <v>29</v>
      </c>
      <c r="B4145" s="64">
        <v>41187</v>
      </c>
      <c r="C4145" s="2">
        <v>520632.8</v>
      </c>
      <c r="D4145">
        <v>0</v>
      </c>
      <c r="E4145" s="65">
        <v>62.09</v>
      </c>
      <c r="F4145" s="8">
        <v>4.027</v>
      </c>
      <c r="G4145" s="66">
        <v>138.8256</v>
      </c>
      <c r="H4145" s="8">
        <v>9.151</v>
      </c>
      <c r="J4145" s="26"/>
      <c r="K4145"/>
    </row>
    <row r="4146" spans="1:11">
      <c r="A4146">
        <v>29</v>
      </c>
      <c r="B4146" s="64">
        <v>41194</v>
      </c>
      <c r="C4146" s="2">
        <v>513737</v>
      </c>
      <c r="D4146">
        <v>0</v>
      </c>
      <c r="E4146" s="65">
        <v>54.18</v>
      </c>
      <c r="F4146" s="8">
        <v>4.029</v>
      </c>
      <c r="G4146" s="66">
        <v>138.9117</v>
      </c>
      <c r="H4146" s="8">
        <v>9.151</v>
      </c>
      <c r="J4146" s="26"/>
      <c r="K4146"/>
    </row>
    <row r="4147" spans="1:11">
      <c r="A4147">
        <v>29</v>
      </c>
      <c r="B4147" s="64">
        <v>41201</v>
      </c>
      <c r="C4147" s="2">
        <v>516909.24</v>
      </c>
      <c r="D4147">
        <v>0</v>
      </c>
      <c r="E4147" s="65">
        <v>55.28</v>
      </c>
      <c r="F4147" s="8">
        <v>4</v>
      </c>
      <c r="G4147" s="66">
        <v>138.8336129</v>
      </c>
      <c r="H4147" s="8">
        <v>9.151</v>
      </c>
      <c r="J4147" s="26"/>
      <c r="K4147"/>
    </row>
    <row r="4148" spans="1:11">
      <c r="A4148">
        <v>29</v>
      </c>
      <c r="B4148" s="64">
        <v>41208</v>
      </c>
      <c r="C4148" s="2">
        <v>534970.68</v>
      </c>
      <c r="D4148">
        <v>0</v>
      </c>
      <c r="E4148" s="65">
        <v>57.58</v>
      </c>
      <c r="F4148" s="8">
        <v>3.917</v>
      </c>
      <c r="G4148" s="66">
        <v>138.7281613</v>
      </c>
      <c r="H4148" s="8">
        <v>9.151</v>
      </c>
      <c r="J4148" s="26"/>
      <c r="K4148"/>
    </row>
    <row r="4149" spans="1:11">
      <c r="A4149">
        <v>30</v>
      </c>
      <c r="B4149" s="64">
        <v>40214</v>
      </c>
      <c r="C4149" s="2">
        <v>465108.52</v>
      </c>
      <c r="D4149">
        <v>0</v>
      </c>
      <c r="E4149" s="65">
        <v>39.05</v>
      </c>
      <c r="F4149" s="8">
        <v>2.572</v>
      </c>
      <c r="G4149" s="66">
        <v>210.7526053</v>
      </c>
      <c r="H4149" s="8">
        <v>8.324</v>
      </c>
      <c r="J4149" s="26"/>
      <c r="K4149"/>
    </row>
    <row r="4150" spans="1:11">
      <c r="A4150">
        <v>30</v>
      </c>
      <c r="B4150" s="64">
        <v>40221</v>
      </c>
      <c r="C4150" s="2">
        <v>497374.57</v>
      </c>
      <c r="D4150">
        <v>1</v>
      </c>
      <c r="E4150" s="65">
        <v>37.77</v>
      </c>
      <c r="F4150" s="8">
        <v>2.548</v>
      </c>
      <c r="G4150" s="66">
        <v>210.8979935</v>
      </c>
      <c r="H4150" s="8">
        <v>8.324</v>
      </c>
      <c r="J4150" s="26"/>
      <c r="K4150"/>
    </row>
    <row r="4151" spans="1:11">
      <c r="A4151">
        <v>30</v>
      </c>
      <c r="B4151" s="64">
        <v>40228</v>
      </c>
      <c r="C4151" s="2">
        <v>463513.26</v>
      </c>
      <c r="D4151">
        <v>0</v>
      </c>
      <c r="E4151" s="65">
        <v>39.75</v>
      </c>
      <c r="F4151" s="8">
        <v>2.514</v>
      </c>
      <c r="G4151" s="66">
        <v>210.9451605</v>
      </c>
      <c r="H4151" s="8">
        <v>8.324</v>
      </c>
      <c r="J4151" s="26"/>
      <c r="K4151"/>
    </row>
    <row r="4152" spans="1:11">
      <c r="A4152">
        <v>30</v>
      </c>
      <c r="B4152" s="64">
        <v>40235</v>
      </c>
      <c r="C4152" s="2">
        <v>472330.71</v>
      </c>
      <c r="D4152">
        <v>0</v>
      </c>
      <c r="E4152" s="65">
        <v>45.31</v>
      </c>
      <c r="F4152" s="8">
        <v>2.561</v>
      </c>
      <c r="G4152" s="66">
        <v>210.9759573</v>
      </c>
      <c r="H4152" s="8">
        <v>8.324</v>
      </c>
      <c r="J4152" s="26"/>
      <c r="K4152"/>
    </row>
    <row r="4153" spans="1:11">
      <c r="A4153">
        <v>30</v>
      </c>
      <c r="B4153" s="64">
        <v>40242</v>
      </c>
      <c r="C4153" s="2">
        <v>472591.07</v>
      </c>
      <c r="D4153">
        <v>0</v>
      </c>
      <c r="E4153" s="65">
        <v>48.61</v>
      </c>
      <c r="F4153" s="8">
        <v>2.625</v>
      </c>
      <c r="G4153" s="66">
        <v>211.0067542</v>
      </c>
      <c r="H4153" s="8">
        <v>8.324</v>
      </c>
      <c r="J4153" s="26"/>
      <c r="K4153"/>
    </row>
    <row r="4154" spans="1:11">
      <c r="A4154">
        <v>30</v>
      </c>
      <c r="B4154" s="64">
        <v>40249</v>
      </c>
      <c r="C4154" s="2">
        <v>468189.93</v>
      </c>
      <c r="D4154">
        <v>0</v>
      </c>
      <c r="E4154" s="65">
        <v>57.1</v>
      </c>
      <c r="F4154" s="8">
        <v>2.667</v>
      </c>
      <c r="G4154" s="66">
        <v>211.037551</v>
      </c>
      <c r="H4154" s="8">
        <v>8.324</v>
      </c>
      <c r="J4154" s="26"/>
      <c r="K4154"/>
    </row>
    <row r="4155" spans="1:11">
      <c r="A4155">
        <v>30</v>
      </c>
      <c r="B4155" s="64">
        <v>40256</v>
      </c>
      <c r="C4155" s="2">
        <v>445736.36</v>
      </c>
      <c r="D4155">
        <v>0</v>
      </c>
      <c r="E4155" s="65">
        <v>54.68</v>
      </c>
      <c r="F4155" s="8">
        <v>2.72</v>
      </c>
      <c r="G4155" s="66">
        <v>210.8733316</v>
      </c>
      <c r="H4155" s="8">
        <v>8.324</v>
      </c>
      <c r="J4155" s="26"/>
      <c r="K4155"/>
    </row>
    <row r="4156" spans="1:11">
      <c r="A4156">
        <v>30</v>
      </c>
      <c r="B4156" s="64">
        <v>40263</v>
      </c>
      <c r="C4156" s="2">
        <v>442457.35</v>
      </c>
      <c r="D4156">
        <v>0</v>
      </c>
      <c r="E4156" s="65">
        <v>51.66</v>
      </c>
      <c r="F4156" s="8">
        <v>2.732</v>
      </c>
      <c r="G4156" s="66">
        <v>210.6766095</v>
      </c>
      <c r="H4156" s="8">
        <v>8.324</v>
      </c>
      <c r="J4156" s="26"/>
      <c r="K4156"/>
    </row>
    <row r="4157" spans="1:11">
      <c r="A4157">
        <v>30</v>
      </c>
      <c r="B4157" s="64">
        <v>40270</v>
      </c>
      <c r="C4157" s="2">
        <v>457884.06</v>
      </c>
      <c r="D4157">
        <v>0</v>
      </c>
      <c r="E4157" s="65">
        <v>64.12</v>
      </c>
      <c r="F4157" s="8">
        <v>2.719</v>
      </c>
      <c r="G4157" s="66">
        <v>210.4798874</v>
      </c>
      <c r="H4157" s="8">
        <v>8.2</v>
      </c>
      <c r="J4157" s="26"/>
      <c r="K4157"/>
    </row>
    <row r="4158" spans="1:11">
      <c r="A4158">
        <v>30</v>
      </c>
      <c r="B4158" s="64">
        <v>40277</v>
      </c>
      <c r="C4158" s="2">
        <v>454800.96</v>
      </c>
      <c r="D4158">
        <v>0</v>
      </c>
      <c r="E4158" s="65">
        <v>65.74</v>
      </c>
      <c r="F4158" s="8">
        <v>2.77</v>
      </c>
      <c r="G4158" s="66">
        <v>210.2831653</v>
      </c>
      <c r="H4158" s="8">
        <v>8.2</v>
      </c>
      <c r="J4158" s="26"/>
      <c r="K4158"/>
    </row>
    <row r="4159" spans="1:11">
      <c r="A4159">
        <v>30</v>
      </c>
      <c r="B4159" s="64">
        <v>40284</v>
      </c>
      <c r="C4159" s="2">
        <v>471054.16</v>
      </c>
      <c r="D4159">
        <v>0</v>
      </c>
      <c r="E4159" s="65">
        <v>67.87</v>
      </c>
      <c r="F4159" s="8">
        <v>2.808</v>
      </c>
      <c r="G4159" s="66">
        <v>210.1495463</v>
      </c>
      <c r="H4159" s="8">
        <v>8.2</v>
      </c>
      <c r="J4159" s="26"/>
      <c r="K4159"/>
    </row>
    <row r="4160" spans="1:11">
      <c r="A4160">
        <v>30</v>
      </c>
      <c r="B4160" s="64">
        <v>40291</v>
      </c>
      <c r="C4160" s="2">
        <v>462454.39</v>
      </c>
      <c r="D4160">
        <v>0</v>
      </c>
      <c r="E4160" s="65">
        <v>64.21</v>
      </c>
      <c r="F4160" s="8">
        <v>2.795</v>
      </c>
      <c r="G4160" s="66">
        <v>210.1000648</v>
      </c>
      <c r="H4160" s="8">
        <v>8.2</v>
      </c>
      <c r="J4160" s="26"/>
      <c r="K4160"/>
    </row>
    <row r="4161" spans="1:11">
      <c r="A4161">
        <v>30</v>
      </c>
      <c r="B4161" s="64">
        <v>40298</v>
      </c>
      <c r="C4161" s="2">
        <v>456140.34</v>
      </c>
      <c r="D4161">
        <v>0</v>
      </c>
      <c r="E4161" s="65">
        <v>66.93</v>
      </c>
      <c r="F4161" s="8">
        <v>2.78</v>
      </c>
      <c r="G4161" s="66">
        <v>210.0505833</v>
      </c>
      <c r="H4161" s="8">
        <v>8.2</v>
      </c>
      <c r="J4161" s="26"/>
      <c r="K4161"/>
    </row>
    <row r="4162" spans="1:11">
      <c r="A4162">
        <v>30</v>
      </c>
      <c r="B4162" s="64">
        <v>40305</v>
      </c>
      <c r="C4162" s="2">
        <v>457883.94</v>
      </c>
      <c r="D4162">
        <v>0</v>
      </c>
      <c r="E4162" s="65">
        <v>70.87</v>
      </c>
      <c r="F4162" s="8">
        <v>2.835</v>
      </c>
      <c r="G4162" s="66">
        <v>210.0011018</v>
      </c>
      <c r="H4162" s="8">
        <v>8.2</v>
      </c>
      <c r="J4162" s="26"/>
      <c r="K4162"/>
    </row>
    <row r="4163" spans="1:11">
      <c r="A4163">
        <v>30</v>
      </c>
      <c r="B4163" s="64">
        <v>40312</v>
      </c>
      <c r="C4163" s="2">
        <v>461868.09</v>
      </c>
      <c r="D4163">
        <v>0</v>
      </c>
      <c r="E4163" s="65">
        <v>73.08</v>
      </c>
      <c r="F4163" s="8">
        <v>2.854</v>
      </c>
      <c r="G4163" s="66">
        <v>209.9984585</v>
      </c>
      <c r="H4163" s="8">
        <v>8.2</v>
      </c>
      <c r="J4163" s="26"/>
      <c r="K4163"/>
    </row>
    <row r="4164" spans="1:11">
      <c r="A4164">
        <v>30</v>
      </c>
      <c r="B4164" s="64">
        <v>40319</v>
      </c>
      <c r="C4164" s="2">
        <v>455751.84</v>
      </c>
      <c r="D4164">
        <v>0</v>
      </c>
      <c r="E4164" s="65">
        <v>74.24</v>
      </c>
      <c r="F4164" s="8">
        <v>2.826</v>
      </c>
      <c r="G4164" s="66">
        <v>210.2768443</v>
      </c>
      <c r="H4164" s="8">
        <v>8.2</v>
      </c>
      <c r="J4164" s="26"/>
      <c r="K4164"/>
    </row>
    <row r="4165" spans="1:11">
      <c r="A4165">
        <v>30</v>
      </c>
      <c r="B4165" s="64">
        <v>40326</v>
      </c>
      <c r="C4165" s="2">
        <v>462474.16</v>
      </c>
      <c r="D4165">
        <v>0</v>
      </c>
      <c r="E4165" s="65">
        <v>80.94</v>
      </c>
      <c r="F4165" s="8">
        <v>2.759</v>
      </c>
      <c r="G4165" s="66">
        <v>210.5552301</v>
      </c>
      <c r="H4165" s="8">
        <v>8.2</v>
      </c>
      <c r="J4165" s="26"/>
      <c r="K4165"/>
    </row>
    <row r="4166" spans="1:11">
      <c r="A4166">
        <v>30</v>
      </c>
      <c r="B4166" s="64">
        <v>40333</v>
      </c>
      <c r="C4166" s="2">
        <v>458343.7</v>
      </c>
      <c r="D4166">
        <v>0</v>
      </c>
      <c r="E4166" s="65">
        <v>82.68</v>
      </c>
      <c r="F4166" s="8">
        <v>2.705</v>
      </c>
      <c r="G4166" s="66">
        <v>210.833616</v>
      </c>
      <c r="H4166" s="8">
        <v>8.2</v>
      </c>
      <c r="J4166" s="26"/>
      <c r="K4166"/>
    </row>
    <row r="4167" spans="1:11">
      <c r="A4167">
        <v>30</v>
      </c>
      <c r="B4167" s="64">
        <v>40340</v>
      </c>
      <c r="C4167" s="2">
        <v>445530.16</v>
      </c>
      <c r="D4167">
        <v>0</v>
      </c>
      <c r="E4167" s="65">
        <v>83.51</v>
      </c>
      <c r="F4167" s="8">
        <v>2.668</v>
      </c>
      <c r="G4167" s="66">
        <v>211.1120018</v>
      </c>
      <c r="H4167" s="8">
        <v>8.2</v>
      </c>
      <c r="J4167" s="26"/>
      <c r="K4167"/>
    </row>
    <row r="4168" spans="1:11">
      <c r="A4168">
        <v>30</v>
      </c>
      <c r="B4168" s="64">
        <v>40347</v>
      </c>
      <c r="C4168" s="2">
        <v>447727.52</v>
      </c>
      <c r="D4168">
        <v>0</v>
      </c>
      <c r="E4168" s="65">
        <v>86.18</v>
      </c>
      <c r="F4168" s="8">
        <v>2.637</v>
      </c>
      <c r="G4168" s="66">
        <v>211.1096543</v>
      </c>
      <c r="H4168" s="8">
        <v>8.2</v>
      </c>
      <c r="J4168" s="26"/>
      <c r="K4168"/>
    </row>
    <row r="4169" spans="1:11">
      <c r="A4169">
        <v>30</v>
      </c>
      <c r="B4169" s="64">
        <v>40354</v>
      </c>
      <c r="C4169" s="2">
        <v>453210.24</v>
      </c>
      <c r="D4169">
        <v>0</v>
      </c>
      <c r="E4169" s="65">
        <v>87.01</v>
      </c>
      <c r="F4169" s="8">
        <v>2.653</v>
      </c>
      <c r="G4169" s="66">
        <v>210.9950134</v>
      </c>
      <c r="H4169" s="8">
        <v>8.2</v>
      </c>
      <c r="J4169" s="26"/>
      <c r="K4169"/>
    </row>
    <row r="4170" spans="1:11">
      <c r="A4170">
        <v>30</v>
      </c>
      <c r="B4170" s="64">
        <v>40361</v>
      </c>
      <c r="C4170" s="2">
        <v>450337.47</v>
      </c>
      <c r="D4170">
        <v>0</v>
      </c>
      <c r="E4170" s="65">
        <v>82.29</v>
      </c>
      <c r="F4170" s="8">
        <v>2.669</v>
      </c>
      <c r="G4170" s="66">
        <v>210.8803726</v>
      </c>
      <c r="H4170" s="8">
        <v>8.099</v>
      </c>
      <c r="J4170" s="26"/>
      <c r="K4170"/>
    </row>
    <row r="4171" spans="1:11">
      <c r="A4171">
        <v>30</v>
      </c>
      <c r="B4171" s="64">
        <v>40368</v>
      </c>
      <c r="C4171" s="2">
        <v>436293.4</v>
      </c>
      <c r="D4171">
        <v>0</v>
      </c>
      <c r="E4171" s="65">
        <v>81.67</v>
      </c>
      <c r="F4171" s="8">
        <v>2.642</v>
      </c>
      <c r="G4171" s="66">
        <v>210.7657317</v>
      </c>
      <c r="H4171" s="8">
        <v>8.099</v>
      </c>
      <c r="J4171" s="26"/>
      <c r="K4171"/>
    </row>
    <row r="4172" spans="1:11">
      <c r="A4172">
        <v>30</v>
      </c>
      <c r="B4172" s="64">
        <v>40375</v>
      </c>
      <c r="C4172" s="2">
        <v>438068.71</v>
      </c>
      <c r="D4172">
        <v>0</v>
      </c>
      <c r="E4172" s="65">
        <v>85.61</v>
      </c>
      <c r="F4172" s="8">
        <v>2.623</v>
      </c>
      <c r="G4172" s="66">
        <v>210.7577954</v>
      </c>
      <c r="H4172" s="8">
        <v>8.099</v>
      </c>
      <c r="J4172" s="26"/>
      <c r="K4172"/>
    </row>
    <row r="4173" spans="1:11">
      <c r="A4173">
        <v>30</v>
      </c>
      <c r="B4173" s="64">
        <v>40382</v>
      </c>
      <c r="C4173" s="2">
        <v>440491.33</v>
      </c>
      <c r="D4173">
        <v>0</v>
      </c>
      <c r="E4173" s="65">
        <v>87.17</v>
      </c>
      <c r="F4173" s="8">
        <v>2.608</v>
      </c>
      <c r="G4173" s="66">
        <v>210.8921319</v>
      </c>
      <c r="H4173" s="8">
        <v>8.099</v>
      </c>
      <c r="J4173" s="26"/>
      <c r="K4173"/>
    </row>
    <row r="4174" spans="1:11">
      <c r="A4174">
        <v>30</v>
      </c>
      <c r="B4174" s="64">
        <v>40389</v>
      </c>
      <c r="C4174" s="2">
        <v>437893.76</v>
      </c>
      <c r="D4174">
        <v>0</v>
      </c>
      <c r="E4174" s="65">
        <v>83.59</v>
      </c>
      <c r="F4174" s="8">
        <v>2.64</v>
      </c>
      <c r="G4174" s="66">
        <v>211.0264684</v>
      </c>
      <c r="H4174" s="8">
        <v>8.099</v>
      </c>
      <c r="J4174" s="26"/>
      <c r="K4174"/>
    </row>
    <row r="4175" spans="1:11">
      <c r="A4175">
        <v>30</v>
      </c>
      <c r="B4175" s="64">
        <v>40396</v>
      </c>
      <c r="C4175" s="2">
        <v>441407.06</v>
      </c>
      <c r="D4175">
        <v>0</v>
      </c>
      <c r="E4175" s="65">
        <v>90.3</v>
      </c>
      <c r="F4175" s="8">
        <v>2.627</v>
      </c>
      <c r="G4175" s="66">
        <v>211.1608049</v>
      </c>
      <c r="H4175" s="8">
        <v>8.099</v>
      </c>
      <c r="J4175" s="26"/>
      <c r="K4175"/>
    </row>
    <row r="4176" spans="1:11">
      <c r="A4176">
        <v>30</v>
      </c>
      <c r="B4176" s="64">
        <v>40403</v>
      </c>
      <c r="C4176" s="2">
        <v>444160.07</v>
      </c>
      <c r="D4176">
        <v>0</v>
      </c>
      <c r="E4176" s="65">
        <v>89.65</v>
      </c>
      <c r="F4176" s="8">
        <v>2.692</v>
      </c>
      <c r="G4176" s="66">
        <v>211.2951413</v>
      </c>
      <c r="H4176" s="8">
        <v>8.099</v>
      </c>
      <c r="J4176" s="26"/>
      <c r="K4176"/>
    </row>
    <row r="4177" spans="1:11">
      <c r="A4177">
        <v>30</v>
      </c>
      <c r="B4177" s="64">
        <v>40410</v>
      </c>
      <c r="C4177" s="2">
        <v>447139.8</v>
      </c>
      <c r="D4177">
        <v>0</v>
      </c>
      <c r="E4177" s="65">
        <v>89.58</v>
      </c>
      <c r="F4177" s="8">
        <v>2.664</v>
      </c>
      <c r="G4177" s="66">
        <v>211.2596586</v>
      </c>
      <c r="H4177" s="8">
        <v>8.099</v>
      </c>
      <c r="J4177" s="26"/>
      <c r="K4177"/>
    </row>
    <row r="4178" spans="1:11">
      <c r="A4178">
        <v>30</v>
      </c>
      <c r="B4178" s="64">
        <v>40417</v>
      </c>
      <c r="C4178" s="2">
        <v>443810.78</v>
      </c>
      <c r="D4178">
        <v>0</v>
      </c>
      <c r="E4178" s="65">
        <v>86.2</v>
      </c>
      <c r="F4178" s="8">
        <v>2.619</v>
      </c>
      <c r="G4178" s="66">
        <v>211.2241759</v>
      </c>
      <c r="H4178" s="8">
        <v>8.099</v>
      </c>
      <c r="J4178" s="26"/>
      <c r="K4178"/>
    </row>
    <row r="4179" spans="1:11">
      <c r="A4179">
        <v>30</v>
      </c>
      <c r="B4179" s="64">
        <v>40424</v>
      </c>
      <c r="C4179" s="2">
        <v>461548.98</v>
      </c>
      <c r="D4179">
        <v>0</v>
      </c>
      <c r="E4179" s="65">
        <v>82.57</v>
      </c>
      <c r="F4179" s="8">
        <v>2.577</v>
      </c>
      <c r="G4179" s="66">
        <v>211.1886931</v>
      </c>
      <c r="H4179" s="8">
        <v>8.099</v>
      </c>
      <c r="J4179" s="26"/>
      <c r="K4179"/>
    </row>
    <row r="4180" spans="1:11">
      <c r="A4180">
        <v>30</v>
      </c>
      <c r="B4180" s="64">
        <v>40431</v>
      </c>
      <c r="C4180" s="2">
        <v>455162.92</v>
      </c>
      <c r="D4180">
        <v>1</v>
      </c>
      <c r="E4180" s="65">
        <v>79.3</v>
      </c>
      <c r="F4180" s="8">
        <v>2.565</v>
      </c>
      <c r="G4180" s="66">
        <v>211.1532104</v>
      </c>
      <c r="H4180" s="8">
        <v>8.099</v>
      </c>
      <c r="J4180" s="26"/>
      <c r="K4180"/>
    </row>
    <row r="4181" spans="1:11">
      <c r="A4181">
        <v>30</v>
      </c>
      <c r="B4181" s="64">
        <v>40438</v>
      </c>
      <c r="C4181" s="2">
        <v>462058.19</v>
      </c>
      <c r="D4181">
        <v>0</v>
      </c>
      <c r="E4181" s="65">
        <v>83.03</v>
      </c>
      <c r="F4181" s="8">
        <v>2.582</v>
      </c>
      <c r="G4181" s="66">
        <v>211.1806415</v>
      </c>
      <c r="H4181" s="8">
        <v>8.099</v>
      </c>
      <c r="J4181" s="26"/>
      <c r="K4181"/>
    </row>
    <row r="4182" spans="1:11">
      <c r="A4182">
        <v>30</v>
      </c>
      <c r="B4182" s="64">
        <v>40445</v>
      </c>
      <c r="C4182" s="2">
        <v>448392.17</v>
      </c>
      <c r="D4182">
        <v>0</v>
      </c>
      <c r="E4182" s="65">
        <v>80.79</v>
      </c>
      <c r="F4182" s="8">
        <v>2.624</v>
      </c>
      <c r="G4182" s="66">
        <v>211.2552578</v>
      </c>
      <c r="H4182" s="8">
        <v>8.099</v>
      </c>
      <c r="J4182" s="26"/>
      <c r="K4182"/>
    </row>
    <row r="4183" spans="1:11">
      <c r="A4183">
        <v>30</v>
      </c>
      <c r="B4183" s="64">
        <v>40452</v>
      </c>
      <c r="C4183" s="2">
        <v>445475.3</v>
      </c>
      <c r="D4183">
        <v>0</v>
      </c>
      <c r="E4183" s="65">
        <v>70.28</v>
      </c>
      <c r="F4183" s="8">
        <v>2.603</v>
      </c>
      <c r="G4183" s="66">
        <v>211.3298742</v>
      </c>
      <c r="H4183" s="8">
        <v>8.163</v>
      </c>
      <c r="J4183" s="26"/>
      <c r="K4183"/>
    </row>
    <row r="4184" spans="1:11">
      <c r="A4184">
        <v>30</v>
      </c>
      <c r="B4184" s="64">
        <v>40459</v>
      </c>
      <c r="C4184" s="2">
        <v>462080.47</v>
      </c>
      <c r="D4184">
        <v>0</v>
      </c>
      <c r="E4184" s="65">
        <v>65.76</v>
      </c>
      <c r="F4184" s="8">
        <v>2.633</v>
      </c>
      <c r="G4184" s="66">
        <v>211.4044906</v>
      </c>
      <c r="H4184" s="8">
        <v>8.163</v>
      </c>
      <c r="J4184" s="26"/>
      <c r="K4184"/>
    </row>
    <row r="4185" spans="1:11">
      <c r="A4185">
        <v>30</v>
      </c>
      <c r="B4185" s="64">
        <v>40466</v>
      </c>
      <c r="C4185" s="2">
        <v>453943.89</v>
      </c>
      <c r="D4185">
        <v>0</v>
      </c>
      <c r="E4185" s="65">
        <v>68.61</v>
      </c>
      <c r="F4185" s="8">
        <v>2.72</v>
      </c>
      <c r="G4185" s="66">
        <v>211.4713286</v>
      </c>
      <c r="H4185" s="8">
        <v>8.163</v>
      </c>
      <c r="J4185" s="26"/>
      <c r="K4185"/>
    </row>
    <row r="4186" spans="1:11">
      <c r="A4186">
        <v>30</v>
      </c>
      <c r="B4186" s="64">
        <v>40473</v>
      </c>
      <c r="C4186" s="2">
        <v>459631.74</v>
      </c>
      <c r="D4186">
        <v>0</v>
      </c>
      <c r="E4186" s="65">
        <v>70.72</v>
      </c>
      <c r="F4186" s="8">
        <v>2.725</v>
      </c>
      <c r="G4186" s="66">
        <v>211.5187208</v>
      </c>
      <c r="H4186" s="8">
        <v>8.163</v>
      </c>
      <c r="J4186" s="26"/>
      <c r="K4186"/>
    </row>
    <row r="4187" spans="1:11">
      <c r="A4187">
        <v>30</v>
      </c>
      <c r="B4187" s="64">
        <v>40480</v>
      </c>
      <c r="C4187" s="2">
        <v>438334.39</v>
      </c>
      <c r="D4187">
        <v>0</v>
      </c>
      <c r="E4187" s="65">
        <v>67.51</v>
      </c>
      <c r="F4187" s="8">
        <v>2.716</v>
      </c>
      <c r="G4187" s="66">
        <v>211.5661131</v>
      </c>
      <c r="H4187" s="8">
        <v>8.163</v>
      </c>
      <c r="J4187" s="26"/>
      <c r="K4187"/>
    </row>
    <row r="4188" spans="1:11">
      <c r="A4188">
        <v>30</v>
      </c>
      <c r="B4188" s="64">
        <v>40487</v>
      </c>
      <c r="C4188" s="2">
        <v>484661.87</v>
      </c>
      <c r="D4188">
        <v>0</v>
      </c>
      <c r="E4188" s="65">
        <v>58.71</v>
      </c>
      <c r="F4188" s="8">
        <v>2.689</v>
      </c>
      <c r="G4188" s="66">
        <v>211.6135053</v>
      </c>
      <c r="H4188" s="8">
        <v>8.163</v>
      </c>
      <c r="J4188" s="26"/>
      <c r="K4188"/>
    </row>
    <row r="4189" spans="1:11">
      <c r="A4189">
        <v>30</v>
      </c>
      <c r="B4189" s="64">
        <v>40494</v>
      </c>
      <c r="C4189" s="2">
        <v>431266.64</v>
      </c>
      <c r="D4189">
        <v>0</v>
      </c>
      <c r="E4189" s="65">
        <v>60.95</v>
      </c>
      <c r="F4189" s="8">
        <v>2.728</v>
      </c>
      <c r="G4189" s="66">
        <v>211.6608975</v>
      </c>
      <c r="H4189" s="8">
        <v>8.163</v>
      </c>
      <c r="J4189" s="26"/>
      <c r="K4189"/>
    </row>
    <row r="4190" spans="1:11">
      <c r="A4190">
        <v>30</v>
      </c>
      <c r="B4190" s="64">
        <v>40501</v>
      </c>
      <c r="C4190" s="2">
        <v>423707.69</v>
      </c>
      <c r="D4190">
        <v>0</v>
      </c>
      <c r="E4190" s="65">
        <v>51.71</v>
      </c>
      <c r="F4190" s="8">
        <v>2.771</v>
      </c>
      <c r="G4190" s="66">
        <v>211.5470304</v>
      </c>
      <c r="H4190" s="8">
        <v>8.163</v>
      </c>
      <c r="J4190" s="26"/>
      <c r="K4190"/>
    </row>
    <row r="4191" spans="1:11">
      <c r="A4191">
        <v>30</v>
      </c>
      <c r="B4191" s="64">
        <v>40508</v>
      </c>
      <c r="C4191" s="2">
        <v>462732.36</v>
      </c>
      <c r="D4191">
        <v>1</v>
      </c>
      <c r="E4191" s="65">
        <v>62.96</v>
      </c>
      <c r="F4191" s="8">
        <v>2.735</v>
      </c>
      <c r="G4191" s="66">
        <v>211.4062867</v>
      </c>
      <c r="H4191" s="8">
        <v>8.163</v>
      </c>
      <c r="J4191" s="26"/>
      <c r="K4191"/>
    </row>
    <row r="4192" spans="1:11">
      <c r="A4192">
        <v>30</v>
      </c>
      <c r="B4192" s="64">
        <v>40515</v>
      </c>
      <c r="C4192" s="2">
        <v>407112.22</v>
      </c>
      <c r="D4192">
        <v>0</v>
      </c>
      <c r="E4192" s="65">
        <v>50.43</v>
      </c>
      <c r="F4192" s="8">
        <v>2.708</v>
      </c>
      <c r="G4192" s="66">
        <v>211.265543</v>
      </c>
      <c r="H4192" s="8">
        <v>8.163</v>
      </c>
      <c r="J4192" s="26"/>
      <c r="K4192"/>
    </row>
    <row r="4193" spans="1:11">
      <c r="A4193">
        <v>30</v>
      </c>
      <c r="B4193" s="64">
        <v>40522</v>
      </c>
      <c r="C4193" s="2">
        <v>428631.91</v>
      </c>
      <c r="D4193">
        <v>0</v>
      </c>
      <c r="E4193" s="65">
        <v>46.35</v>
      </c>
      <c r="F4193" s="8">
        <v>2.843</v>
      </c>
      <c r="G4193" s="66">
        <v>211.1247993</v>
      </c>
      <c r="H4193" s="8">
        <v>8.163</v>
      </c>
      <c r="J4193" s="26"/>
      <c r="K4193"/>
    </row>
    <row r="4194" spans="1:11">
      <c r="A4194">
        <v>30</v>
      </c>
      <c r="B4194" s="64">
        <v>40529</v>
      </c>
      <c r="C4194" s="2">
        <v>445332.28</v>
      </c>
      <c r="D4194">
        <v>0</v>
      </c>
      <c r="E4194" s="65">
        <v>48.63</v>
      </c>
      <c r="F4194" s="8">
        <v>2.869</v>
      </c>
      <c r="G4194" s="66">
        <v>211.0645458</v>
      </c>
      <c r="H4194" s="8">
        <v>8.163</v>
      </c>
      <c r="J4194" s="26"/>
      <c r="K4194"/>
    </row>
    <row r="4195" spans="1:11">
      <c r="A4195">
        <v>30</v>
      </c>
      <c r="B4195" s="64">
        <v>40536</v>
      </c>
      <c r="C4195" s="2">
        <v>519354.88</v>
      </c>
      <c r="D4195">
        <v>0</v>
      </c>
      <c r="E4195" s="65">
        <v>51.29</v>
      </c>
      <c r="F4195" s="8">
        <v>2.886</v>
      </c>
      <c r="G4195" s="66">
        <v>211.0646599</v>
      </c>
      <c r="H4195" s="8">
        <v>8.163</v>
      </c>
      <c r="J4195" s="26"/>
      <c r="K4195"/>
    </row>
    <row r="4196" spans="1:11">
      <c r="A4196">
        <v>30</v>
      </c>
      <c r="B4196" s="64">
        <v>40543</v>
      </c>
      <c r="C4196" s="2">
        <v>397631.02</v>
      </c>
      <c r="D4196">
        <v>1</v>
      </c>
      <c r="E4196" s="65">
        <v>47.19</v>
      </c>
      <c r="F4196" s="8">
        <v>2.943</v>
      </c>
      <c r="G4196" s="66">
        <v>211.064774</v>
      </c>
      <c r="H4196" s="8">
        <v>8.163</v>
      </c>
      <c r="J4196" s="26"/>
      <c r="K4196"/>
    </row>
    <row r="4197" spans="1:11">
      <c r="A4197">
        <v>30</v>
      </c>
      <c r="B4197" s="64">
        <v>40550</v>
      </c>
      <c r="C4197" s="2">
        <v>451077.21</v>
      </c>
      <c r="D4197">
        <v>0</v>
      </c>
      <c r="E4197" s="65">
        <v>44.24</v>
      </c>
      <c r="F4197" s="8">
        <v>2.976</v>
      </c>
      <c r="G4197" s="66">
        <v>211.0648881</v>
      </c>
      <c r="H4197" s="8">
        <v>8.028</v>
      </c>
      <c r="J4197" s="26"/>
      <c r="K4197"/>
    </row>
    <row r="4198" spans="1:11">
      <c r="A4198">
        <v>30</v>
      </c>
      <c r="B4198" s="64">
        <v>40557</v>
      </c>
      <c r="C4198" s="2">
        <v>465408.72</v>
      </c>
      <c r="D4198">
        <v>0</v>
      </c>
      <c r="E4198" s="65">
        <v>34.14</v>
      </c>
      <c r="F4198" s="8">
        <v>2.983</v>
      </c>
      <c r="G4198" s="66">
        <v>211.1176713</v>
      </c>
      <c r="H4198" s="8">
        <v>8.028</v>
      </c>
      <c r="J4198" s="26"/>
      <c r="K4198"/>
    </row>
    <row r="4199" spans="1:11">
      <c r="A4199">
        <v>30</v>
      </c>
      <c r="B4199" s="64">
        <v>40564</v>
      </c>
      <c r="C4199" s="2">
        <v>439132.62</v>
      </c>
      <c r="D4199">
        <v>0</v>
      </c>
      <c r="E4199" s="65">
        <v>42.72</v>
      </c>
      <c r="F4199" s="8">
        <v>3.016</v>
      </c>
      <c r="G4199" s="66">
        <v>211.4864691</v>
      </c>
      <c r="H4199" s="8">
        <v>8.028</v>
      </c>
      <c r="J4199" s="26"/>
      <c r="K4199"/>
    </row>
    <row r="4200" spans="1:11">
      <c r="A4200">
        <v>30</v>
      </c>
      <c r="B4200" s="64">
        <v>40571</v>
      </c>
      <c r="C4200" s="2">
        <v>425989.04</v>
      </c>
      <c r="D4200">
        <v>0</v>
      </c>
      <c r="E4200" s="65">
        <v>44.04</v>
      </c>
      <c r="F4200" s="8">
        <v>3.01</v>
      </c>
      <c r="G4200" s="66">
        <v>211.8552668</v>
      </c>
      <c r="H4200" s="8">
        <v>8.028</v>
      </c>
      <c r="J4200" s="26"/>
      <c r="K4200"/>
    </row>
    <row r="4201" spans="1:11">
      <c r="A4201">
        <v>30</v>
      </c>
      <c r="B4201" s="64">
        <v>40578</v>
      </c>
      <c r="C4201" s="2">
        <v>490970.95</v>
      </c>
      <c r="D4201">
        <v>0</v>
      </c>
      <c r="E4201" s="65">
        <v>36.33</v>
      </c>
      <c r="F4201" s="8">
        <v>2.989</v>
      </c>
      <c r="G4201" s="66">
        <v>212.2240646</v>
      </c>
      <c r="H4201" s="8">
        <v>8.028</v>
      </c>
      <c r="J4201" s="26"/>
      <c r="K4201"/>
    </row>
    <row r="4202" spans="1:11">
      <c r="A4202">
        <v>30</v>
      </c>
      <c r="B4202" s="64">
        <v>40585</v>
      </c>
      <c r="C4202" s="2">
        <v>470921.24</v>
      </c>
      <c r="D4202">
        <v>1</v>
      </c>
      <c r="E4202" s="65">
        <v>34.61</v>
      </c>
      <c r="F4202" s="8">
        <v>3.022</v>
      </c>
      <c r="G4202" s="66">
        <v>212.5928624</v>
      </c>
      <c r="H4202" s="8">
        <v>8.028</v>
      </c>
      <c r="J4202" s="26"/>
      <c r="K4202"/>
    </row>
    <row r="4203" spans="1:11">
      <c r="A4203">
        <v>30</v>
      </c>
      <c r="B4203" s="64">
        <v>40592</v>
      </c>
      <c r="C4203" s="2">
        <v>417070.51</v>
      </c>
      <c r="D4203">
        <v>0</v>
      </c>
      <c r="E4203" s="65">
        <v>59.87</v>
      </c>
      <c r="F4203" s="8">
        <v>3.045</v>
      </c>
      <c r="G4203" s="66">
        <v>212.9033115</v>
      </c>
      <c r="H4203" s="8">
        <v>8.028</v>
      </c>
      <c r="J4203" s="26"/>
      <c r="K4203"/>
    </row>
    <row r="4204" spans="1:11">
      <c r="A4204">
        <v>30</v>
      </c>
      <c r="B4204" s="64">
        <v>40599</v>
      </c>
      <c r="C4204" s="2">
        <v>432687.97</v>
      </c>
      <c r="D4204">
        <v>0</v>
      </c>
      <c r="E4204" s="65">
        <v>61.27</v>
      </c>
      <c r="F4204" s="8">
        <v>3.065</v>
      </c>
      <c r="G4204" s="66">
        <v>213.190421</v>
      </c>
      <c r="H4204" s="8">
        <v>8.028</v>
      </c>
      <c r="J4204" s="26"/>
      <c r="K4204"/>
    </row>
    <row r="4205" spans="1:11">
      <c r="A4205">
        <v>30</v>
      </c>
      <c r="B4205" s="64">
        <v>40606</v>
      </c>
      <c r="C4205" s="2">
        <v>443334.71</v>
      </c>
      <c r="D4205">
        <v>0</v>
      </c>
      <c r="E4205" s="65">
        <v>59.52</v>
      </c>
      <c r="F4205" s="8">
        <v>3.288</v>
      </c>
      <c r="G4205" s="66">
        <v>213.4775305</v>
      </c>
      <c r="H4205" s="8">
        <v>8.028</v>
      </c>
      <c r="J4205" s="26"/>
      <c r="K4205"/>
    </row>
    <row r="4206" spans="1:11">
      <c r="A4206">
        <v>30</v>
      </c>
      <c r="B4206" s="64">
        <v>40613</v>
      </c>
      <c r="C4206" s="2">
        <v>438529.81</v>
      </c>
      <c r="D4206">
        <v>0</v>
      </c>
      <c r="E4206" s="65">
        <v>54.69</v>
      </c>
      <c r="F4206" s="8">
        <v>3.459</v>
      </c>
      <c r="G4206" s="66">
        <v>213.7646401</v>
      </c>
      <c r="H4206" s="8">
        <v>8.028</v>
      </c>
      <c r="J4206" s="26"/>
      <c r="K4206"/>
    </row>
    <row r="4207" spans="1:11">
      <c r="A4207">
        <v>30</v>
      </c>
      <c r="B4207" s="64">
        <v>40620</v>
      </c>
      <c r="C4207" s="2">
        <v>425470.84</v>
      </c>
      <c r="D4207">
        <v>0</v>
      </c>
      <c r="E4207" s="65">
        <v>63.26</v>
      </c>
      <c r="F4207" s="8">
        <v>3.488</v>
      </c>
      <c r="G4207" s="66">
        <v>214.0156238</v>
      </c>
      <c r="H4207" s="8">
        <v>8.028</v>
      </c>
      <c r="J4207" s="26"/>
      <c r="K4207"/>
    </row>
    <row r="4208" spans="1:11">
      <c r="A4208">
        <v>30</v>
      </c>
      <c r="B4208" s="64">
        <v>40627</v>
      </c>
      <c r="C4208" s="2">
        <v>431754.01</v>
      </c>
      <c r="D4208">
        <v>0</v>
      </c>
      <c r="E4208" s="65">
        <v>70.33</v>
      </c>
      <c r="F4208" s="8">
        <v>3.473</v>
      </c>
      <c r="G4208" s="66">
        <v>214.2521573</v>
      </c>
      <c r="H4208" s="8">
        <v>8.028</v>
      </c>
      <c r="J4208" s="26"/>
      <c r="K4208"/>
    </row>
    <row r="4209" spans="1:11">
      <c r="A4209">
        <v>30</v>
      </c>
      <c r="B4209" s="64">
        <v>40634</v>
      </c>
      <c r="C4209" s="2">
        <v>437926.79</v>
      </c>
      <c r="D4209">
        <v>0</v>
      </c>
      <c r="E4209" s="65">
        <v>56.36</v>
      </c>
      <c r="F4209" s="8">
        <v>3.524</v>
      </c>
      <c r="G4209" s="66">
        <v>214.4886908</v>
      </c>
      <c r="H4209" s="8">
        <v>7.931</v>
      </c>
      <c r="J4209" s="26"/>
      <c r="K4209"/>
    </row>
    <row r="4210" spans="1:11">
      <c r="A4210">
        <v>30</v>
      </c>
      <c r="B4210" s="64">
        <v>40641</v>
      </c>
      <c r="C4210" s="2">
        <v>443889.5</v>
      </c>
      <c r="D4210">
        <v>0</v>
      </c>
      <c r="E4210" s="65">
        <v>68.62</v>
      </c>
      <c r="F4210" s="8">
        <v>3.622</v>
      </c>
      <c r="G4210" s="66">
        <v>214.7252242</v>
      </c>
      <c r="H4210" s="8">
        <v>7.931</v>
      </c>
      <c r="J4210" s="26"/>
      <c r="K4210"/>
    </row>
    <row r="4211" spans="1:11">
      <c r="A4211">
        <v>30</v>
      </c>
      <c r="B4211" s="64">
        <v>40648</v>
      </c>
      <c r="C4211" s="2">
        <v>426666.92</v>
      </c>
      <c r="D4211">
        <v>0</v>
      </c>
      <c r="E4211" s="65">
        <v>71.01</v>
      </c>
      <c r="F4211" s="8">
        <v>3.743</v>
      </c>
      <c r="G4211" s="66">
        <v>214.9420631</v>
      </c>
      <c r="H4211" s="8">
        <v>7.931</v>
      </c>
      <c r="J4211" s="26"/>
      <c r="K4211"/>
    </row>
    <row r="4212" spans="1:11">
      <c r="A4212">
        <v>30</v>
      </c>
      <c r="B4212" s="64">
        <v>40655</v>
      </c>
      <c r="C4212" s="2">
        <v>445358.73</v>
      </c>
      <c r="D4212">
        <v>0</v>
      </c>
      <c r="E4212" s="65">
        <v>70.79</v>
      </c>
      <c r="F4212" s="8">
        <v>3.807</v>
      </c>
      <c r="G4212" s="66">
        <v>215.1096657</v>
      </c>
      <c r="H4212" s="8">
        <v>7.931</v>
      </c>
      <c r="J4212" s="26"/>
      <c r="K4212"/>
    </row>
    <row r="4213" spans="1:11">
      <c r="A4213">
        <v>30</v>
      </c>
      <c r="B4213" s="64">
        <v>40662</v>
      </c>
      <c r="C4213" s="2">
        <v>423687.2</v>
      </c>
      <c r="D4213">
        <v>0</v>
      </c>
      <c r="E4213" s="65">
        <v>70.19</v>
      </c>
      <c r="F4213" s="8">
        <v>3.81</v>
      </c>
      <c r="G4213" s="66">
        <v>215.2772683</v>
      </c>
      <c r="H4213" s="8">
        <v>7.931</v>
      </c>
      <c r="J4213" s="26"/>
      <c r="K4213"/>
    </row>
    <row r="4214" spans="1:11">
      <c r="A4214">
        <v>30</v>
      </c>
      <c r="B4214" s="64">
        <v>40669</v>
      </c>
      <c r="C4214" s="2">
        <v>438789.52</v>
      </c>
      <c r="D4214">
        <v>0</v>
      </c>
      <c r="E4214" s="65">
        <v>61.87</v>
      </c>
      <c r="F4214" s="8">
        <v>3.906</v>
      </c>
      <c r="G4214" s="66">
        <v>215.4448709</v>
      </c>
      <c r="H4214" s="8">
        <v>7.931</v>
      </c>
      <c r="J4214" s="26"/>
      <c r="K4214"/>
    </row>
    <row r="4215" spans="1:11">
      <c r="A4215">
        <v>30</v>
      </c>
      <c r="B4215" s="64">
        <v>40676</v>
      </c>
      <c r="C4215" s="2">
        <v>424614.59</v>
      </c>
      <c r="D4215">
        <v>0</v>
      </c>
      <c r="E4215" s="65">
        <v>75.04</v>
      </c>
      <c r="F4215" s="8">
        <v>3.899</v>
      </c>
      <c r="G4215" s="66">
        <v>215.6124735</v>
      </c>
      <c r="H4215" s="8">
        <v>7.931</v>
      </c>
      <c r="J4215" s="26"/>
      <c r="K4215"/>
    </row>
    <row r="4216" spans="1:11">
      <c r="A4216">
        <v>30</v>
      </c>
      <c r="B4216" s="64">
        <v>40683</v>
      </c>
      <c r="C4216" s="2">
        <v>435102.2</v>
      </c>
      <c r="D4216">
        <v>0</v>
      </c>
      <c r="E4216" s="65">
        <v>68.36</v>
      </c>
      <c r="F4216" s="8">
        <v>3.907</v>
      </c>
      <c r="G4216" s="66">
        <v>215.3834778</v>
      </c>
      <c r="H4216" s="8">
        <v>7.931</v>
      </c>
      <c r="J4216" s="26"/>
      <c r="K4216"/>
    </row>
    <row r="4217" spans="1:11">
      <c r="A4217">
        <v>30</v>
      </c>
      <c r="B4217" s="64">
        <v>40690</v>
      </c>
      <c r="C4217" s="2">
        <v>429305.82</v>
      </c>
      <c r="D4217">
        <v>0</v>
      </c>
      <c r="E4217" s="65">
        <v>76.86</v>
      </c>
      <c r="F4217" s="8">
        <v>3.786</v>
      </c>
      <c r="G4217" s="66">
        <v>215.1544822</v>
      </c>
      <c r="H4217" s="8">
        <v>7.931</v>
      </c>
      <c r="J4217" s="26"/>
      <c r="K4217"/>
    </row>
    <row r="4218" spans="1:11">
      <c r="A4218">
        <v>30</v>
      </c>
      <c r="B4218" s="64">
        <v>40697</v>
      </c>
      <c r="C4218" s="2">
        <v>432808.48</v>
      </c>
      <c r="D4218">
        <v>0</v>
      </c>
      <c r="E4218" s="65">
        <v>83.82</v>
      </c>
      <c r="F4218" s="8">
        <v>3.699</v>
      </c>
      <c r="G4218" s="66">
        <v>214.9254865</v>
      </c>
      <c r="H4218" s="8">
        <v>7.931</v>
      </c>
      <c r="J4218" s="26"/>
      <c r="K4218"/>
    </row>
    <row r="4219" spans="1:11">
      <c r="A4219">
        <v>30</v>
      </c>
      <c r="B4219" s="64">
        <v>40704</v>
      </c>
      <c r="C4219" s="2">
        <v>424697.05</v>
      </c>
      <c r="D4219">
        <v>0</v>
      </c>
      <c r="E4219" s="65">
        <v>84.71</v>
      </c>
      <c r="F4219" s="8">
        <v>3.648</v>
      </c>
      <c r="G4219" s="66">
        <v>214.6964908</v>
      </c>
      <c r="H4219" s="8">
        <v>7.931</v>
      </c>
      <c r="J4219" s="26"/>
      <c r="K4219"/>
    </row>
    <row r="4220" spans="1:11">
      <c r="A4220">
        <v>30</v>
      </c>
      <c r="B4220" s="64">
        <v>40711</v>
      </c>
      <c r="C4220" s="2">
        <v>435481.03</v>
      </c>
      <c r="D4220">
        <v>0</v>
      </c>
      <c r="E4220" s="65">
        <v>87.54</v>
      </c>
      <c r="F4220" s="8">
        <v>3.637</v>
      </c>
      <c r="G4220" s="66">
        <v>214.6513538</v>
      </c>
      <c r="H4220" s="8">
        <v>7.931</v>
      </c>
      <c r="J4220" s="26"/>
      <c r="K4220"/>
    </row>
    <row r="4221" spans="1:11">
      <c r="A4221">
        <v>30</v>
      </c>
      <c r="B4221" s="64">
        <v>40718</v>
      </c>
      <c r="C4221" s="2">
        <v>422715.74</v>
      </c>
      <c r="D4221">
        <v>0</v>
      </c>
      <c r="E4221" s="65">
        <v>85.72</v>
      </c>
      <c r="F4221" s="8">
        <v>3.594</v>
      </c>
      <c r="G4221" s="66">
        <v>214.7441108</v>
      </c>
      <c r="H4221" s="8">
        <v>7.931</v>
      </c>
      <c r="J4221" s="26"/>
      <c r="K4221"/>
    </row>
    <row r="4222" spans="1:11">
      <c r="A4222">
        <v>30</v>
      </c>
      <c r="B4222" s="64">
        <v>40725</v>
      </c>
      <c r="C4222" s="2">
        <v>428782.38</v>
      </c>
      <c r="D4222">
        <v>0</v>
      </c>
      <c r="E4222" s="65">
        <v>87.57</v>
      </c>
      <c r="F4222" s="8">
        <v>3.524</v>
      </c>
      <c r="G4222" s="66">
        <v>214.8368678</v>
      </c>
      <c r="H4222" s="8">
        <v>7.852</v>
      </c>
      <c r="J4222" s="26"/>
      <c r="K4222"/>
    </row>
    <row r="4223" spans="1:11">
      <c r="A4223">
        <v>30</v>
      </c>
      <c r="B4223" s="64">
        <v>40732</v>
      </c>
      <c r="C4223" s="2">
        <v>419764.37</v>
      </c>
      <c r="D4223">
        <v>0</v>
      </c>
      <c r="E4223" s="65">
        <v>89.16</v>
      </c>
      <c r="F4223" s="8">
        <v>3.48</v>
      </c>
      <c r="G4223" s="66">
        <v>214.9296249</v>
      </c>
      <c r="H4223" s="8">
        <v>7.852</v>
      </c>
      <c r="J4223" s="26"/>
      <c r="K4223"/>
    </row>
    <row r="4224" spans="1:11">
      <c r="A4224">
        <v>30</v>
      </c>
      <c r="B4224" s="64">
        <v>40739</v>
      </c>
      <c r="C4224" s="2">
        <v>420515.63</v>
      </c>
      <c r="D4224">
        <v>0</v>
      </c>
      <c r="E4224" s="65">
        <v>91.05</v>
      </c>
      <c r="F4224" s="8">
        <v>3.575</v>
      </c>
      <c r="G4224" s="66">
        <v>215.0134426</v>
      </c>
      <c r="H4224" s="8">
        <v>7.852</v>
      </c>
      <c r="J4224" s="26"/>
      <c r="K4224"/>
    </row>
    <row r="4225" spans="1:11">
      <c r="A4225">
        <v>30</v>
      </c>
      <c r="B4225" s="64">
        <v>40746</v>
      </c>
      <c r="C4225" s="2">
        <v>423441.76</v>
      </c>
      <c r="D4225">
        <v>0</v>
      </c>
      <c r="E4225" s="65">
        <v>90.27</v>
      </c>
      <c r="F4225" s="8">
        <v>3.651</v>
      </c>
      <c r="G4225" s="66">
        <v>215.0749122</v>
      </c>
      <c r="H4225" s="8">
        <v>7.852</v>
      </c>
      <c r="J4225" s="26"/>
      <c r="K4225"/>
    </row>
    <row r="4226" spans="1:11">
      <c r="A4226">
        <v>30</v>
      </c>
      <c r="B4226" s="64">
        <v>40753</v>
      </c>
      <c r="C4226" s="2">
        <v>414245.96</v>
      </c>
      <c r="D4226">
        <v>0</v>
      </c>
      <c r="E4226" s="65">
        <v>91.56</v>
      </c>
      <c r="F4226" s="8">
        <v>3.682</v>
      </c>
      <c r="G4226" s="66">
        <v>215.1363819</v>
      </c>
      <c r="H4226" s="8">
        <v>7.852</v>
      </c>
      <c r="J4226" s="26"/>
      <c r="K4226"/>
    </row>
    <row r="4227" spans="1:11">
      <c r="A4227">
        <v>30</v>
      </c>
      <c r="B4227" s="64">
        <v>40760</v>
      </c>
      <c r="C4227" s="2">
        <v>431798.64</v>
      </c>
      <c r="D4227">
        <v>0</v>
      </c>
      <c r="E4227" s="65">
        <v>94.22</v>
      </c>
      <c r="F4227" s="8">
        <v>3.684</v>
      </c>
      <c r="G4227" s="66">
        <v>215.1978515</v>
      </c>
      <c r="H4227" s="8">
        <v>7.852</v>
      </c>
      <c r="J4227" s="26"/>
      <c r="K4227"/>
    </row>
    <row r="4228" spans="1:11">
      <c r="A4228">
        <v>30</v>
      </c>
      <c r="B4228" s="64">
        <v>40767</v>
      </c>
      <c r="C4228" s="2">
        <v>412224.67</v>
      </c>
      <c r="D4228">
        <v>0</v>
      </c>
      <c r="E4228" s="65">
        <v>92.32</v>
      </c>
      <c r="F4228" s="8">
        <v>3.638</v>
      </c>
      <c r="G4228" s="66">
        <v>215.2593211</v>
      </c>
      <c r="H4228" s="8">
        <v>7.852</v>
      </c>
      <c r="J4228" s="26"/>
      <c r="K4228"/>
    </row>
    <row r="4229" spans="1:11">
      <c r="A4229">
        <v>30</v>
      </c>
      <c r="B4229" s="64">
        <v>40774</v>
      </c>
      <c r="C4229" s="2">
        <v>414450.61</v>
      </c>
      <c r="D4229">
        <v>0</v>
      </c>
      <c r="E4229" s="65">
        <v>90.11</v>
      </c>
      <c r="F4229" s="8">
        <v>3.554</v>
      </c>
      <c r="G4229" s="66">
        <v>215.3229307</v>
      </c>
      <c r="H4229" s="8">
        <v>7.852</v>
      </c>
      <c r="J4229" s="26"/>
      <c r="K4229"/>
    </row>
    <row r="4230" spans="1:11">
      <c r="A4230">
        <v>30</v>
      </c>
      <c r="B4230" s="64">
        <v>40781</v>
      </c>
      <c r="C4230" s="2">
        <v>387944.83</v>
      </c>
      <c r="D4230">
        <v>0</v>
      </c>
      <c r="E4230" s="65">
        <v>92.07</v>
      </c>
      <c r="F4230" s="8">
        <v>3.523</v>
      </c>
      <c r="G4230" s="66">
        <v>215.386897</v>
      </c>
      <c r="H4230" s="8">
        <v>7.852</v>
      </c>
      <c r="J4230" s="26"/>
      <c r="K4230"/>
    </row>
    <row r="4231" spans="1:11">
      <c r="A4231">
        <v>30</v>
      </c>
      <c r="B4231" s="64">
        <v>40788</v>
      </c>
      <c r="C4231" s="2">
        <v>369722.32</v>
      </c>
      <c r="D4231">
        <v>0</v>
      </c>
      <c r="E4231" s="65">
        <v>91.94</v>
      </c>
      <c r="F4231" s="8">
        <v>3.533</v>
      </c>
      <c r="G4231" s="66">
        <v>215.4508632</v>
      </c>
      <c r="H4231" s="8">
        <v>7.852</v>
      </c>
      <c r="J4231" s="26"/>
      <c r="K4231"/>
    </row>
    <row r="4232" spans="1:11">
      <c r="A4232">
        <v>30</v>
      </c>
      <c r="B4232" s="64">
        <v>40795</v>
      </c>
      <c r="C4232" s="2">
        <v>370897.82</v>
      </c>
      <c r="D4232">
        <v>1</v>
      </c>
      <c r="E4232" s="65">
        <v>78.87</v>
      </c>
      <c r="F4232" s="8">
        <v>3.546</v>
      </c>
      <c r="G4232" s="66">
        <v>215.5148295</v>
      </c>
      <c r="H4232" s="8">
        <v>7.852</v>
      </c>
      <c r="J4232" s="26"/>
      <c r="K4232"/>
    </row>
    <row r="4233" spans="1:11">
      <c r="A4233">
        <v>30</v>
      </c>
      <c r="B4233" s="64">
        <v>40802</v>
      </c>
      <c r="C4233" s="2">
        <v>382914.66</v>
      </c>
      <c r="D4233">
        <v>0</v>
      </c>
      <c r="E4233" s="65">
        <v>80.62</v>
      </c>
      <c r="F4233" s="8">
        <v>3.526</v>
      </c>
      <c r="G4233" s="66">
        <v>215.6944378</v>
      </c>
      <c r="H4233" s="8">
        <v>7.852</v>
      </c>
      <c r="J4233" s="26"/>
      <c r="K4233"/>
    </row>
    <row r="4234" spans="1:11">
      <c r="A4234">
        <v>30</v>
      </c>
      <c r="B4234" s="64">
        <v>40809</v>
      </c>
      <c r="C4234" s="2">
        <v>391837.56</v>
      </c>
      <c r="D4234">
        <v>0</v>
      </c>
      <c r="E4234" s="65">
        <v>75.68</v>
      </c>
      <c r="F4234" s="8">
        <v>3.467</v>
      </c>
      <c r="G4234" s="66">
        <v>216.0282356</v>
      </c>
      <c r="H4234" s="8">
        <v>7.852</v>
      </c>
      <c r="J4234" s="26"/>
      <c r="K4234"/>
    </row>
    <row r="4235" spans="1:11">
      <c r="A4235">
        <v>30</v>
      </c>
      <c r="B4235" s="64">
        <v>40816</v>
      </c>
      <c r="C4235" s="2">
        <v>387001.13</v>
      </c>
      <c r="D4235">
        <v>0</v>
      </c>
      <c r="E4235" s="65">
        <v>78.91</v>
      </c>
      <c r="F4235" s="8">
        <v>3.355</v>
      </c>
      <c r="G4235" s="66">
        <v>216.3620333</v>
      </c>
      <c r="H4235" s="8">
        <v>7.852</v>
      </c>
      <c r="J4235" s="26"/>
      <c r="K4235"/>
    </row>
    <row r="4236" spans="1:11">
      <c r="A4236">
        <v>30</v>
      </c>
      <c r="B4236" s="64">
        <v>40823</v>
      </c>
      <c r="C4236" s="2">
        <v>417528.26</v>
      </c>
      <c r="D4236">
        <v>0</v>
      </c>
      <c r="E4236" s="65">
        <v>71.64</v>
      </c>
      <c r="F4236" s="8">
        <v>3.285</v>
      </c>
      <c r="G4236" s="66">
        <v>216.6958311</v>
      </c>
      <c r="H4236" s="8">
        <v>7.441</v>
      </c>
      <c r="J4236" s="26"/>
      <c r="K4236"/>
    </row>
    <row r="4237" spans="1:11">
      <c r="A4237">
        <v>30</v>
      </c>
      <c r="B4237" s="64">
        <v>40830</v>
      </c>
      <c r="C4237" s="2">
        <v>410711.99</v>
      </c>
      <c r="D4237">
        <v>0</v>
      </c>
      <c r="E4237" s="65">
        <v>69.79</v>
      </c>
      <c r="F4237" s="8">
        <v>3.274</v>
      </c>
      <c r="G4237" s="66">
        <v>217.0048261</v>
      </c>
      <c r="H4237" s="8">
        <v>7.441</v>
      </c>
      <c r="J4237" s="26"/>
      <c r="K4237"/>
    </row>
    <row r="4238" spans="1:11">
      <c r="A4238">
        <v>30</v>
      </c>
      <c r="B4238" s="64">
        <v>40837</v>
      </c>
      <c r="C4238" s="2">
        <v>428958.53</v>
      </c>
      <c r="D4238">
        <v>0</v>
      </c>
      <c r="E4238" s="65">
        <v>65.16</v>
      </c>
      <c r="F4238" s="8">
        <v>3.353</v>
      </c>
      <c r="G4238" s="66">
        <v>217.1650042</v>
      </c>
      <c r="H4238" s="8">
        <v>7.441</v>
      </c>
      <c r="J4238" s="26"/>
      <c r="K4238"/>
    </row>
    <row r="4239" spans="1:11">
      <c r="A4239">
        <v>30</v>
      </c>
      <c r="B4239" s="64">
        <v>40844</v>
      </c>
      <c r="C4239" s="2">
        <v>426151.88</v>
      </c>
      <c r="D4239">
        <v>0</v>
      </c>
      <c r="E4239" s="65">
        <v>65.46</v>
      </c>
      <c r="F4239" s="8">
        <v>3.372</v>
      </c>
      <c r="G4239" s="66">
        <v>217.3251824</v>
      </c>
      <c r="H4239" s="8">
        <v>7.441</v>
      </c>
      <c r="J4239" s="26"/>
      <c r="K4239"/>
    </row>
    <row r="4240" spans="1:11">
      <c r="A4240">
        <v>30</v>
      </c>
      <c r="B4240" s="64">
        <v>40851</v>
      </c>
      <c r="C4240" s="2">
        <v>432359.04</v>
      </c>
      <c r="D4240">
        <v>0</v>
      </c>
      <c r="E4240" s="65">
        <v>56.01</v>
      </c>
      <c r="F4240" s="8">
        <v>3.332</v>
      </c>
      <c r="G4240" s="66">
        <v>217.4853605</v>
      </c>
      <c r="H4240" s="8">
        <v>7.441</v>
      </c>
      <c r="J4240" s="26"/>
      <c r="K4240"/>
    </row>
    <row r="4241" spans="1:11">
      <c r="A4241">
        <v>30</v>
      </c>
      <c r="B4241" s="64">
        <v>40858</v>
      </c>
      <c r="C4241" s="2">
        <v>409686.63</v>
      </c>
      <c r="D4241">
        <v>0</v>
      </c>
      <c r="E4241" s="65">
        <v>59.8</v>
      </c>
      <c r="F4241" s="8">
        <v>3.297</v>
      </c>
      <c r="G4241" s="66">
        <v>217.6455387</v>
      </c>
      <c r="H4241" s="8">
        <v>7.441</v>
      </c>
      <c r="J4241" s="26"/>
      <c r="K4241"/>
    </row>
    <row r="4242" spans="1:11">
      <c r="A4242">
        <v>30</v>
      </c>
      <c r="B4242" s="64">
        <v>40865</v>
      </c>
      <c r="C4242" s="2">
        <v>436462.63</v>
      </c>
      <c r="D4242">
        <v>0</v>
      </c>
      <c r="E4242" s="65">
        <v>61.9</v>
      </c>
      <c r="F4242" s="8">
        <v>3.308</v>
      </c>
      <c r="G4242" s="66">
        <v>217.8670218</v>
      </c>
      <c r="H4242" s="8">
        <v>7.441</v>
      </c>
      <c r="J4242" s="26"/>
      <c r="K4242"/>
    </row>
    <row r="4243" spans="1:11">
      <c r="A4243">
        <v>30</v>
      </c>
      <c r="B4243" s="64">
        <v>40872</v>
      </c>
      <c r="C4243" s="2">
        <v>452163.93</v>
      </c>
      <c r="D4243">
        <v>1</v>
      </c>
      <c r="E4243" s="65">
        <v>56.43</v>
      </c>
      <c r="F4243" s="8">
        <v>3.236</v>
      </c>
      <c r="G4243" s="66">
        <v>218.1130269</v>
      </c>
      <c r="H4243" s="8">
        <v>7.441</v>
      </c>
      <c r="J4243" s="26"/>
      <c r="K4243"/>
    </row>
    <row r="4244" spans="1:11">
      <c r="A4244">
        <v>30</v>
      </c>
      <c r="B4244" s="64">
        <v>40879</v>
      </c>
      <c r="C4244" s="2">
        <v>412385.75</v>
      </c>
      <c r="D4244">
        <v>0</v>
      </c>
      <c r="E4244" s="65">
        <v>48.72</v>
      </c>
      <c r="F4244" s="8">
        <v>3.172</v>
      </c>
      <c r="G4244" s="66">
        <v>218.3590319</v>
      </c>
      <c r="H4244" s="8">
        <v>7.441</v>
      </c>
      <c r="J4244" s="26"/>
      <c r="K4244"/>
    </row>
    <row r="4245" spans="1:11">
      <c r="A4245">
        <v>30</v>
      </c>
      <c r="B4245" s="64">
        <v>40886</v>
      </c>
      <c r="C4245" s="2">
        <v>436741.02</v>
      </c>
      <c r="D4245">
        <v>0</v>
      </c>
      <c r="E4245" s="65">
        <v>41.44</v>
      </c>
      <c r="F4245" s="8">
        <v>3.158</v>
      </c>
      <c r="G4245" s="66">
        <v>218.605037</v>
      </c>
      <c r="H4245" s="8">
        <v>7.441</v>
      </c>
      <c r="J4245" s="26"/>
      <c r="K4245"/>
    </row>
    <row r="4246" spans="1:11">
      <c r="A4246">
        <v>30</v>
      </c>
      <c r="B4246" s="64">
        <v>40893</v>
      </c>
      <c r="C4246" s="2">
        <v>441265.08</v>
      </c>
      <c r="D4246">
        <v>0</v>
      </c>
      <c r="E4246" s="65">
        <v>50.56</v>
      </c>
      <c r="F4246" s="8">
        <v>3.159</v>
      </c>
      <c r="G4246" s="66">
        <v>218.8217928</v>
      </c>
      <c r="H4246" s="8">
        <v>7.441</v>
      </c>
      <c r="J4246" s="26"/>
      <c r="K4246"/>
    </row>
    <row r="4247" spans="1:11">
      <c r="A4247">
        <v>30</v>
      </c>
      <c r="B4247" s="64">
        <v>40900</v>
      </c>
      <c r="C4247" s="2">
        <v>492022.68</v>
      </c>
      <c r="D4247">
        <v>0</v>
      </c>
      <c r="E4247" s="65">
        <v>46.54</v>
      </c>
      <c r="F4247" s="8">
        <v>3.112</v>
      </c>
      <c r="G4247" s="66">
        <v>218.9995495</v>
      </c>
      <c r="H4247" s="8">
        <v>7.441</v>
      </c>
      <c r="J4247" s="26"/>
      <c r="K4247"/>
    </row>
    <row r="4248" spans="1:11">
      <c r="A4248">
        <v>30</v>
      </c>
      <c r="B4248" s="64">
        <v>40907</v>
      </c>
      <c r="C4248" s="2">
        <v>376777.45</v>
      </c>
      <c r="D4248">
        <v>1</v>
      </c>
      <c r="E4248" s="65">
        <v>45.16</v>
      </c>
      <c r="F4248" s="8">
        <v>3.129</v>
      </c>
      <c r="G4248" s="66">
        <v>219.1773063</v>
      </c>
      <c r="H4248" s="8">
        <v>7.441</v>
      </c>
      <c r="J4248" s="26"/>
      <c r="K4248"/>
    </row>
    <row r="4249" spans="1:11">
      <c r="A4249">
        <v>30</v>
      </c>
      <c r="B4249" s="64">
        <v>40914</v>
      </c>
      <c r="C4249" s="2">
        <v>457030.86</v>
      </c>
      <c r="D4249">
        <v>0</v>
      </c>
      <c r="E4249" s="65">
        <v>48.1</v>
      </c>
      <c r="F4249" s="8">
        <v>3.157</v>
      </c>
      <c r="G4249" s="66">
        <v>219.355063</v>
      </c>
      <c r="H4249" s="8">
        <v>7.057</v>
      </c>
      <c r="J4249" s="26"/>
      <c r="K4249"/>
    </row>
    <row r="4250" spans="1:11">
      <c r="A4250">
        <v>30</v>
      </c>
      <c r="B4250" s="64">
        <v>40921</v>
      </c>
      <c r="C4250" s="2">
        <v>447023.91</v>
      </c>
      <c r="D4250">
        <v>0</v>
      </c>
      <c r="E4250" s="65">
        <v>45</v>
      </c>
      <c r="F4250" s="8">
        <v>3.261</v>
      </c>
      <c r="G4250" s="66">
        <v>219.5328198</v>
      </c>
      <c r="H4250" s="8">
        <v>7.057</v>
      </c>
      <c r="J4250" s="26"/>
      <c r="K4250"/>
    </row>
    <row r="4251" spans="1:11">
      <c r="A4251">
        <v>30</v>
      </c>
      <c r="B4251" s="64">
        <v>40928</v>
      </c>
      <c r="C4251" s="2">
        <v>438760.62</v>
      </c>
      <c r="D4251">
        <v>0</v>
      </c>
      <c r="E4251" s="65">
        <v>52.21</v>
      </c>
      <c r="F4251" s="8">
        <v>3.268</v>
      </c>
      <c r="G4251" s="66">
        <v>219.6258417</v>
      </c>
      <c r="H4251" s="8">
        <v>7.057</v>
      </c>
      <c r="J4251" s="26"/>
      <c r="K4251"/>
    </row>
    <row r="4252" spans="1:11">
      <c r="A4252">
        <v>30</v>
      </c>
      <c r="B4252" s="64">
        <v>40935</v>
      </c>
      <c r="C4252" s="2">
        <v>433037.66</v>
      </c>
      <c r="D4252">
        <v>0</v>
      </c>
      <c r="E4252" s="65">
        <v>50.79</v>
      </c>
      <c r="F4252" s="8">
        <v>3.29</v>
      </c>
      <c r="G4252" s="66">
        <v>219.7188636</v>
      </c>
      <c r="H4252" s="8">
        <v>7.057</v>
      </c>
      <c r="J4252" s="26"/>
      <c r="K4252"/>
    </row>
    <row r="4253" spans="1:11">
      <c r="A4253">
        <v>30</v>
      </c>
      <c r="B4253" s="64">
        <v>40942</v>
      </c>
      <c r="C4253" s="2">
        <v>434080.74</v>
      </c>
      <c r="D4253">
        <v>0</v>
      </c>
      <c r="E4253" s="65">
        <v>55.83</v>
      </c>
      <c r="F4253" s="8">
        <v>3.36</v>
      </c>
      <c r="G4253" s="66">
        <v>219.8118854</v>
      </c>
      <c r="H4253" s="8">
        <v>7.057</v>
      </c>
      <c r="J4253" s="26"/>
      <c r="K4253"/>
    </row>
    <row r="4254" spans="1:11">
      <c r="A4254">
        <v>30</v>
      </c>
      <c r="B4254" s="64">
        <v>40949</v>
      </c>
      <c r="C4254" s="2">
        <v>451365.99</v>
      </c>
      <c r="D4254">
        <v>1</v>
      </c>
      <c r="E4254" s="65">
        <v>46.52</v>
      </c>
      <c r="F4254" s="8">
        <v>3.409</v>
      </c>
      <c r="G4254" s="66">
        <v>219.9049073</v>
      </c>
      <c r="H4254" s="8">
        <v>7.057</v>
      </c>
      <c r="J4254" s="26"/>
      <c r="K4254"/>
    </row>
    <row r="4255" spans="1:11">
      <c r="A4255">
        <v>30</v>
      </c>
      <c r="B4255" s="64">
        <v>40956</v>
      </c>
      <c r="C4255" s="2">
        <v>435109.11</v>
      </c>
      <c r="D4255">
        <v>0</v>
      </c>
      <c r="E4255" s="65">
        <v>45.03</v>
      </c>
      <c r="F4255" s="8">
        <v>3.51</v>
      </c>
      <c r="G4255" s="66">
        <v>220.0651993</v>
      </c>
      <c r="H4255" s="8">
        <v>7.057</v>
      </c>
      <c r="J4255" s="26"/>
      <c r="K4255"/>
    </row>
    <row r="4256" spans="1:11">
      <c r="A4256">
        <v>30</v>
      </c>
      <c r="B4256" s="64">
        <v>40963</v>
      </c>
      <c r="C4256" s="2">
        <v>425215.71</v>
      </c>
      <c r="D4256">
        <v>0</v>
      </c>
      <c r="E4256" s="65">
        <v>54.81</v>
      </c>
      <c r="F4256" s="8">
        <v>3.555</v>
      </c>
      <c r="G4256" s="66">
        <v>220.275944</v>
      </c>
      <c r="H4256" s="8">
        <v>7.057</v>
      </c>
      <c r="J4256" s="26"/>
      <c r="K4256"/>
    </row>
    <row r="4257" spans="1:11">
      <c r="A4257">
        <v>30</v>
      </c>
      <c r="B4257" s="64">
        <v>40970</v>
      </c>
      <c r="C4257" s="2">
        <v>438640.61</v>
      </c>
      <c r="D4257">
        <v>0</v>
      </c>
      <c r="E4257" s="65">
        <v>59.3</v>
      </c>
      <c r="F4257" s="8">
        <v>3.63</v>
      </c>
      <c r="G4257" s="66">
        <v>220.4866886</v>
      </c>
      <c r="H4257" s="8">
        <v>7.057</v>
      </c>
      <c r="J4257" s="26"/>
      <c r="K4257"/>
    </row>
    <row r="4258" spans="1:11">
      <c r="A4258">
        <v>30</v>
      </c>
      <c r="B4258" s="64">
        <v>40977</v>
      </c>
      <c r="C4258" s="2">
        <v>446617.89</v>
      </c>
      <c r="D4258">
        <v>0</v>
      </c>
      <c r="E4258" s="65">
        <v>57.16</v>
      </c>
      <c r="F4258" s="8">
        <v>3.669</v>
      </c>
      <c r="G4258" s="66">
        <v>220.6974332</v>
      </c>
      <c r="H4258" s="8">
        <v>7.057</v>
      </c>
      <c r="J4258" s="26"/>
      <c r="K4258"/>
    </row>
    <row r="4259" spans="1:11">
      <c r="A4259">
        <v>30</v>
      </c>
      <c r="B4259" s="64">
        <v>40984</v>
      </c>
      <c r="C4259" s="2">
        <v>413617.45</v>
      </c>
      <c r="D4259">
        <v>0</v>
      </c>
      <c r="E4259" s="65">
        <v>63.39</v>
      </c>
      <c r="F4259" s="8">
        <v>3.734</v>
      </c>
      <c r="G4259" s="66">
        <v>220.8498468</v>
      </c>
      <c r="H4259" s="8">
        <v>7.057</v>
      </c>
      <c r="J4259" s="26"/>
      <c r="K4259"/>
    </row>
    <row r="4260" spans="1:11">
      <c r="A4260">
        <v>30</v>
      </c>
      <c r="B4260" s="64">
        <v>40991</v>
      </c>
      <c r="C4260" s="2">
        <v>430222.97</v>
      </c>
      <c r="D4260">
        <v>0</v>
      </c>
      <c r="E4260" s="65">
        <v>62.96</v>
      </c>
      <c r="F4260" s="8">
        <v>3.787</v>
      </c>
      <c r="G4260" s="66">
        <v>220.9244858</v>
      </c>
      <c r="H4260" s="8">
        <v>7.057</v>
      </c>
      <c r="J4260" s="26"/>
      <c r="K4260"/>
    </row>
    <row r="4261" spans="1:11">
      <c r="A4261">
        <v>30</v>
      </c>
      <c r="B4261" s="64">
        <v>40998</v>
      </c>
      <c r="C4261" s="2">
        <v>449603.91</v>
      </c>
      <c r="D4261">
        <v>0</v>
      </c>
      <c r="E4261" s="65">
        <v>67.87</v>
      </c>
      <c r="F4261" s="8">
        <v>3.845</v>
      </c>
      <c r="G4261" s="66">
        <v>220.9991248</v>
      </c>
      <c r="H4261" s="8">
        <v>7.057</v>
      </c>
      <c r="J4261" s="26"/>
      <c r="K4261"/>
    </row>
    <row r="4262" spans="1:11">
      <c r="A4262">
        <v>30</v>
      </c>
      <c r="B4262" s="64">
        <v>41005</v>
      </c>
      <c r="C4262" s="2">
        <v>461511.92</v>
      </c>
      <c r="D4262">
        <v>0</v>
      </c>
      <c r="E4262" s="65">
        <v>69.02</v>
      </c>
      <c r="F4262" s="8">
        <v>3.891</v>
      </c>
      <c r="G4262" s="66">
        <v>221.0737638</v>
      </c>
      <c r="H4262" s="8">
        <v>6.891</v>
      </c>
      <c r="J4262" s="26"/>
      <c r="K4262"/>
    </row>
    <row r="4263" spans="1:11">
      <c r="A4263">
        <v>30</v>
      </c>
      <c r="B4263" s="64">
        <v>41012</v>
      </c>
      <c r="C4263" s="2">
        <v>428784.7</v>
      </c>
      <c r="D4263">
        <v>0</v>
      </c>
      <c r="E4263" s="65">
        <v>69.03</v>
      </c>
      <c r="F4263" s="8">
        <v>3.891</v>
      </c>
      <c r="G4263" s="66">
        <v>221.1484028</v>
      </c>
      <c r="H4263" s="8">
        <v>6.891</v>
      </c>
      <c r="J4263" s="26"/>
      <c r="K4263"/>
    </row>
    <row r="4264" spans="1:11">
      <c r="A4264">
        <v>30</v>
      </c>
      <c r="B4264" s="64">
        <v>41019</v>
      </c>
      <c r="C4264" s="2">
        <v>462909.41</v>
      </c>
      <c r="D4264">
        <v>0</v>
      </c>
      <c r="E4264" s="65">
        <v>66.97</v>
      </c>
      <c r="F4264" s="8">
        <v>3.877</v>
      </c>
      <c r="G4264" s="66">
        <v>221.2021074</v>
      </c>
      <c r="H4264" s="8">
        <v>6.891</v>
      </c>
      <c r="J4264" s="26"/>
      <c r="K4264"/>
    </row>
    <row r="4265" spans="1:11">
      <c r="A4265">
        <v>30</v>
      </c>
      <c r="B4265" s="64">
        <v>41026</v>
      </c>
      <c r="C4265" s="2">
        <v>433744.83</v>
      </c>
      <c r="D4265">
        <v>0</v>
      </c>
      <c r="E4265" s="65">
        <v>69.21</v>
      </c>
      <c r="F4265" s="8">
        <v>3.814</v>
      </c>
      <c r="G4265" s="66">
        <v>221.255812</v>
      </c>
      <c r="H4265" s="8">
        <v>6.891</v>
      </c>
      <c r="J4265" s="26"/>
      <c r="K4265"/>
    </row>
    <row r="4266" spans="1:11">
      <c r="A4266">
        <v>30</v>
      </c>
      <c r="B4266" s="64">
        <v>41033</v>
      </c>
      <c r="C4266" s="2">
        <v>454477.54</v>
      </c>
      <c r="D4266">
        <v>0</v>
      </c>
      <c r="E4266" s="65">
        <v>77.53</v>
      </c>
      <c r="F4266" s="8">
        <v>3.749</v>
      </c>
      <c r="G4266" s="66">
        <v>221.3095166</v>
      </c>
      <c r="H4266" s="8">
        <v>6.891</v>
      </c>
      <c r="J4266" s="26"/>
      <c r="K4266"/>
    </row>
    <row r="4267" spans="1:11">
      <c r="A4267">
        <v>30</v>
      </c>
      <c r="B4267" s="64">
        <v>41040</v>
      </c>
      <c r="C4267" s="2">
        <v>436070.45</v>
      </c>
      <c r="D4267">
        <v>0</v>
      </c>
      <c r="E4267" s="65">
        <v>74.14</v>
      </c>
      <c r="F4267" s="8">
        <v>3.688</v>
      </c>
      <c r="G4267" s="66">
        <v>221.3632212</v>
      </c>
      <c r="H4267" s="8">
        <v>6.891</v>
      </c>
      <c r="J4267" s="26"/>
      <c r="K4267"/>
    </row>
    <row r="4268" spans="1:11">
      <c r="A4268">
        <v>30</v>
      </c>
      <c r="B4268" s="64">
        <v>41047</v>
      </c>
      <c r="C4268" s="2">
        <v>460945.14</v>
      </c>
      <c r="D4268">
        <v>0</v>
      </c>
      <c r="E4268" s="65">
        <v>72.42</v>
      </c>
      <c r="F4268" s="8">
        <v>3.63</v>
      </c>
      <c r="G4268" s="66">
        <v>221.380331</v>
      </c>
      <c r="H4268" s="8">
        <v>6.891</v>
      </c>
      <c r="J4268" s="26"/>
      <c r="K4268"/>
    </row>
    <row r="4269" spans="1:11">
      <c r="A4269">
        <v>30</v>
      </c>
      <c r="B4269" s="64">
        <v>41054</v>
      </c>
      <c r="C4269" s="2">
        <v>449355.91</v>
      </c>
      <c r="D4269">
        <v>0</v>
      </c>
      <c r="E4269" s="65">
        <v>79.49</v>
      </c>
      <c r="F4269" s="8">
        <v>3.561</v>
      </c>
      <c r="G4269" s="66">
        <v>221.3828029</v>
      </c>
      <c r="H4269" s="8">
        <v>6.891</v>
      </c>
      <c r="J4269" s="26"/>
      <c r="K4269"/>
    </row>
    <row r="4270" spans="1:11">
      <c r="A4270">
        <v>30</v>
      </c>
      <c r="B4270" s="64">
        <v>41061</v>
      </c>
      <c r="C4270" s="2">
        <v>427021.18</v>
      </c>
      <c r="D4270">
        <v>0</v>
      </c>
      <c r="E4270" s="65">
        <v>79.24</v>
      </c>
      <c r="F4270" s="8">
        <v>3.501</v>
      </c>
      <c r="G4270" s="66">
        <v>221.3852748</v>
      </c>
      <c r="H4270" s="8">
        <v>6.891</v>
      </c>
      <c r="J4270" s="26"/>
      <c r="K4270"/>
    </row>
    <row r="4271" spans="1:11">
      <c r="A4271">
        <v>30</v>
      </c>
      <c r="B4271" s="64">
        <v>41068</v>
      </c>
      <c r="C4271" s="2">
        <v>437222.94</v>
      </c>
      <c r="D4271">
        <v>0</v>
      </c>
      <c r="E4271" s="65">
        <v>79.47</v>
      </c>
      <c r="F4271" s="8">
        <v>3.452</v>
      </c>
      <c r="G4271" s="66">
        <v>221.3877467</v>
      </c>
      <c r="H4271" s="8">
        <v>6.891</v>
      </c>
      <c r="J4271" s="26"/>
      <c r="K4271"/>
    </row>
    <row r="4272" spans="1:11">
      <c r="A4272">
        <v>30</v>
      </c>
      <c r="B4272" s="64">
        <v>41075</v>
      </c>
      <c r="C4272" s="2">
        <v>438523.24</v>
      </c>
      <c r="D4272">
        <v>0</v>
      </c>
      <c r="E4272" s="65">
        <v>81.51</v>
      </c>
      <c r="F4272" s="8">
        <v>3.393</v>
      </c>
      <c r="G4272" s="66">
        <v>221.4009901</v>
      </c>
      <c r="H4272" s="8">
        <v>6.891</v>
      </c>
      <c r="J4272" s="26"/>
      <c r="K4272"/>
    </row>
    <row r="4273" spans="1:11">
      <c r="A4273">
        <v>30</v>
      </c>
      <c r="B4273" s="64">
        <v>41082</v>
      </c>
      <c r="C4273" s="2">
        <v>428554.63</v>
      </c>
      <c r="D4273">
        <v>0</v>
      </c>
      <c r="E4273" s="65">
        <v>81.78</v>
      </c>
      <c r="F4273" s="8">
        <v>3.346</v>
      </c>
      <c r="G4273" s="66">
        <v>221.4411622</v>
      </c>
      <c r="H4273" s="8">
        <v>6.891</v>
      </c>
      <c r="J4273" s="26"/>
      <c r="K4273"/>
    </row>
    <row r="4274" spans="1:11">
      <c r="A4274">
        <v>30</v>
      </c>
      <c r="B4274" s="64">
        <v>41089</v>
      </c>
      <c r="C4274" s="2">
        <v>423192.4</v>
      </c>
      <c r="D4274">
        <v>0</v>
      </c>
      <c r="E4274" s="65">
        <v>88.05</v>
      </c>
      <c r="F4274" s="8">
        <v>3.286</v>
      </c>
      <c r="G4274" s="66">
        <v>221.4813343</v>
      </c>
      <c r="H4274" s="8">
        <v>6.891</v>
      </c>
      <c r="J4274" s="26"/>
      <c r="K4274"/>
    </row>
    <row r="4275" spans="1:11">
      <c r="A4275">
        <v>30</v>
      </c>
      <c r="B4275" s="64">
        <v>41096</v>
      </c>
      <c r="C4275" s="2">
        <v>440553.42</v>
      </c>
      <c r="D4275">
        <v>0</v>
      </c>
      <c r="E4275" s="65">
        <v>85.26</v>
      </c>
      <c r="F4275" s="8">
        <v>3.227</v>
      </c>
      <c r="G4275" s="66">
        <v>221.5215064</v>
      </c>
      <c r="H4275" s="8">
        <v>6.565</v>
      </c>
      <c r="J4275" s="26"/>
      <c r="K4275"/>
    </row>
    <row r="4276" spans="1:11">
      <c r="A4276">
        <v>30</v>
      </c>
      <c r="B4276" s="64">
        <v>41103</v>
      </c>
      <c r="C4276" s="2">
        <v>417640.34</v>
      </c>
      <c r="D4276">
        <v>0</v>
      </c>
      <c r="E4276" s="65">
        <v>82.51</v>
      </c>
      <c r="F4276" s="8">
        <v>3.256</v>
      </c>
      <c r="G4276" s="66">
        <v>221.5616784</v>
      </c>
      <c r="H4276" s="8">
        <v>6.565</v>
      </c>
      <c r="J4276" s="26"/>
      <c r="K4276"/>
    </row>
    <row r="4277" spans="1:11">
      <c r="A4277">
        <v>30</v>
      </c>
      <c r="B4277" s="64">
        <v>41110</v>
      </c>
      <c r="C4277" s="2">
        <v>427491.04</v>
      </c>
      <c r="D4277">
        <v>0</v>
      </c>
      <c r="E4277" s="65">
        <v>84.25</v>
      </c>
      <c r="F4277" s="8">
        <v>3.311</v>
      </c>
      <c r="G4277" s="66">
        <v>221.5701123</v>
      </c>
      <c r="H4277" s="8">
        <v>6.565</v>
      </c>
      <c r="J4277" s="26"/>
      <c r="K4277"/>
    </row>
    <row r="4278" spans="1:11">
      <c r="A4278">
        <v>30</v>
      </c>
      <c r="B4278" s="64">
        <v>41117</v>
      </c>
      <c r="C4278" s="2">
        <v>424581.17</v>
      </c>
      <c r="D4278">
        <v>0</v>
      </c>
      <c r="E4278" s="65">
        <v>88.09</v>
      </c>
      <c r="F4278" s="8">
        <v>3.407</v>
      </c>
      <c r="G4278" s="66">
        <v>221.5785461</v>
      </c>
      <c r="H4278" s="8">
        <v>6.565</v>
      </c>
      <c r="J4278" s="26"/>
      <c r="K4278"/>
    </row>
    <row r="4279" spans="1:11">
      <c r="A4279">
        <v>30</v>
      </c>
      <c r="B4279" s="64">
        <v>41124</v>
      </c>
      <c r="C4279" s="2">
        <v>425136.55</v>
      </c>
      <c r="D4279">
        <v>0</v>
      </c>
      <c r="E4279" s="65">
        <v>91.57</v>
      </c>
      <c r="F4279" s="8">
        <v>3.417</v>
      </c>
      <c r="G4279" s="66">
        <v>221.5869799</v>
      </c>
      <c r="H4279" s="8">
        <v>6.565</v>
      </c>
      <c r="J4279" s="26"/>
      <c r="K4279"/>
    </row>
    <row r="4280" spans="1:11">
      <c r="A4280">
        <v>30</v>
      </c>
      <c r="B4280" s="64">
        <v>41131</v>
      </c>
      <c r="C4280" s="2">
        <v>430878.28</v>
      </c>
      <c r="D4280">
        <v>0</v>
      </c>
      <c r="E4280" s="65">
        <v>89.57</v>
      </c>
      <c r="F4280" s="8">
        <v>3.494</v>
      </c>
      <c r="G4280" s="66">
        <v>221.5954138</v>
      </c>
      <c r="H4280" s="8">
        <v>6.565</v>
      </c>
      <c r="J4280" s="26"/>
      <c r="K4280"/>
    </row>
    <row r="4281" spans="1:11">
      <c r="A4281">
        <v>30</v>
      </c>
      <c r="B4281" s="64">
        <v>41138</v>
      </c>
      <c r="C4281" s="2">
        <v>423351.15</v>
      </c>
      <c r="D4281">
        <v>0</v>
      </c>
      <c r="E4281" s="65">
        <v>85.55</v>
      </c>
      <c r="F4281" s="8">
        <v>3.571</v>
      </c>
      <c r="G4281" s="66">
        <v>221.6751459</v>
      </c>
      <c r="H4281" s="8">
        <v>6.565</v>
      </c>
      <c r="J4281" s="26"/>
      <c r="K4281"/>
    </row>
    <row r="4282" spans="1:11">
      <c r="A4282">
        <v>30</v>
      </c>
      <c r="B4282" s="64">
        <v>41145</v>
      </c>
      <c r="C4282" s="2">
        <v>425296.65</v>
      </c>
      <c r="D4282">
        <v>0</v>
      </c>
      <c r="E4282" s="65">
        <v>77.72</v>
      </c>
      <c r="F4282" s="8">
        <v>3.62</v>
      </c>
      <c r="G4282" s="66">
        <v>221.8083518</v>
      </c>
      <c r="H4282" s="8">
        <v>6.565</v>
      </c>
      <c r="J4282" s="26"/>
      <c r="K4282"/>
    </row>
    <row r="4283" spans="1:11">
      <c r="A4283">
        <v>30</v>
      </c>
      <c r="B4283" s="64">
        <v>41152</v>
      </c>
      <c r="C4283" s="2">
        <v>439132.5</v>
      </c>
      <c r="D4283">
        <v>0</v>
      </c>
      <c r="E4283" s="65">
        <v>83.58</v>
      </c>
      <c r="F4283" s="8">
        <v>3.638</v>
      </c>
      <c r="G4283" s="66">
        <v>221.9415576</v>
      </c>
      <c r="H4283" s="8">
        <v>6.565</v>
      </c>
      <c r="J4283" s="26"/>
      <c r="K4283"/>
    </row>
    <row r="4284" spans="1:11">
      <c r="A4284">
        <v>30</v>
      </c>
      <c r="B4284" s="64">
        <v>41159</v>
      </c>
      <c r="C4284" s="2">
        <v>433565.77</v>
      </c>
      <c r="D4284">
        <v>1</v>
      </c>
      <c r="E4284" s="65">
        <v>88.4</v>
      </c>
      <c r="F4284" s="8">
        <v>3.73</v>
      </c>
      <c r="G4284" s="66">
        <v>222.0747635</v>
      </c>
      <c r="H4284" s="8">
        <v>6.565</v>
      </c>
      <c r="J4284" s="26"/>
      <c r="K4284"/>
    </row>
    <row r="4285" spans="1:11">
      <c r="A4285">
        <v>30</v>
      </c>
      <c r="B4285" s="64">
        <v>41166</v>
      </c>
      <c r="C4285" s="2">
        <v>437773.31</v>
      </c>
      <c r="D4285">
        <v>0</v>
      </c>
      <c r="E4285" s="65">
        <v>76.1</v>
      </c>
      <c r="F4285" s="8">
        <v>3.717</v>
      </c>
      <c r="G4285" s="66">
        <v>222.2174395</v>
      </c>
      <c r="H4285" s="8">
        <v>6.565</v>
      </c>
      <c r="J4285" s="26"/>
      <c r="K4285"/>
    </row>
    <row r="4286" spans="1:11">
      <c r="A4286">
        <v>30</v>
      </c>
      <c r="B4286" s="64">
        <v>41173</v>
      </c>
      <c r="C4286" s="2">
        <v>443891.64</v>
      </c>
      <c r="D4286">
        <v>0</v>
      </c>
      <c r="E4286" s="65">
        <v>71.54</v>
      </c>
      <c r="F4286" s="8">
        <v>3.721</v>
      </c>
      <c r="G4286" s="66">
        <v>222.4169362</v>
      </c>
      <c r="H4286" s="8">
        <v>6.565</v>
      </c>
      <c r="J4286" s="26"/>
      <c r="K4286"/>
    </row>
    <row r="4287" spans="1:11">
      <c r="A4287">
        <v>30</v>
      </c>
      <c r="B4287" s="64">
        <v>41180</v>
      </c>
      <c r="C4287" s="2">
        <v>425410.04</v>
      </c>
      <c r="D4287">
        <v>0</v>
      </c>
      <c r="E4287" s="65">
        <v>80.38</v>
      </c>
      <c r="F4287" s="8">
        <v>3.666</v>
      </c>
      <c r="G4287" s="66">
        <v>222.6164329</v>
      </c>
      <c r="H4287" s="8">
        <v>6.565</v>
      </c>
      <c r="J4287" s="26"/>
      <c r="K4287"/>
    </row>
    <row r="4288" spans="1:11">
      <c r="A4288">
        <v>30</v>
      </c>
      <c r="B4288" s="64">
        <v>41187</v>
      </c>
      <c r="C4288" s="2">
        <v>446751.45</v>
      </c>
      <c r="D4288">
        <v>0</v>
      </c>
      <c r="E4288" s="65">
        <v>70.28</v>
      </c>
      <c r="F4288" s="8">
        <v>3.617</v>
      </c>
      <c r="G4288" s="66">
        <v>222.8159296</v>
      </c>
      <c r="H4288" s="8">
        <v>6.17</v>
      </c>
      <c r="J4288" s="26"/>
      <c r="K4288"/>
    </row>
    <row r="4289" spans="1:11">
      <c r="A4289">
        <v>30</v>
      </c>
      <c r="B4289" s="64">
        <v>41194</v>
      </c>
      <c r="C4289" s="2">
        <v>434593.26</v>
      </c>
      <c r="D4289">
        <v>0</v>
      </c>
      <c r="E4289" s="65">
        <v>61.53</v>
      </c>
      <c r="F4289" s="8">
        <v>3.601</v>
      </c>
      <c r="G4289" s="66">
        <v>223.0154263</v>
      </c>
      <c r="H4289" s="8">
        <v>6.17</v>
      </c>
      <c r="J4289" s="26"/>
      <c r="K4289"/>
    </row>
    <row r="4290" spans="1:11">
      <c r="A4290">
        <v>30</v>
      </c>
      <c r="B4290" s="64">
        <v>41201</v>
      </c>
      <c r="C4290" s="2">
        <v>437537.29</v>
      </c>
      <c r="D4290">
        <v>0</v>
      </c>
      <c r="E4290" s="65">
        <v>68.52</v>
      </c>
      <c r="F4290" s="8">
        <v>3.594</v>
      </c>
      <c r="G4290" s="66">
        <v>223.0598077</v>
      </c>
      <c r="H4290" s="8">
        <v>6.17</v>
      </c>
      <c r="J4290" s="26"/>
      <c r="K4290"/>
    </row>
    <row r="4291" spans="1:11">
      <c r="A4291">
        <v>30</v>
      </c>
      <c r="B4291" s="64">
        <v>41208</v>
      </c>
      <c r="C4291" s="2">
        <v>439424.5</v>
      </c>
      <c r="D4291">
        <v>0</v>
      </c>
      <c r="E4291" s="65">
        <v>70.5</v>
      </c>
      <c r="F4291" s="8">
        <v>3.506</v>
      </c>
      <c r="G4291" s="66">
        <v>223.0783366</v>
      </c>
      <c r="H4291" s="8">
        <v>6.17</v>
      </c>
      <c r="J4291" s="26"/>
      <c r="K4291"/>
    </row>
    <row r="4292" spans="1:11">
      <c r="A4292">
        <v>31</v>
      </c>
      <c r="B4292" s="64">
        <v>40214</v>
      </c>
      <c r="C4292" s="2">
        <v>1469252.05</v>
      </c>
      <c r="D4292">
        <v>0</v>
      </c>
      <c r="E4292" s="65">
        <v>39.05</v>
      </c>
      <c r="F4292" s="8">
        <v>2.572</v>
      </c>
      <c r="G4292" s="66">
        <v>210.7526053</v>
      </c>
      <c r="H4292" s="8">
        <v>8.324</v>
      </c>
      <c r="J4292" s="26"/>
      <c r="K4292"/>
    </row>
    <row r="4293" spans="1:11">
      <c r="A4293">
        <v>31</v>
      </c>
      <c r="B4293" s="64">
        <v>40221</v>
      </c>
      <c r="C4293" s="2">
        <v>1543947.23</v>
      </c>
      <c r="D4293">
        <v>1</v>
      </c>
      <c r="E4293" s="65">
        <v>37.77</v>
      </c>
      <c r="F4293" s="8">
        <v>2.548</v>
      </c>
      <c r="G4293" s="66">
        <v>210.8979935</v>
      </c>
      <c r="H4293" s="8">
        <v>8.324</v>
      </c>
      <c r="J4293" s="26"/>
      <c r="K4293"/>
    </row>
    <row r="4294" spans="1:11">
      <c r="A4294">
        <v>31</v>
      </c>
      <c r="B4294" s="64">
        <v>40228</v>
      </c>
      <c r="C4294" s="2">
        <v>1473386.75</v>
      </c>
      <c r="D4294">
        <v>0</v>
      </c>
      <c r="E4294" s="65">
        <v>39.75</v>
      </c>
      <c r="F4294" s="8">
        <v>2.514</v>
      </c>
      <c r="G4294" s="66">
        <v>210.9451605</v>
      </c>
      <c r="H4294" s="8">
        <v>8.324</v>
      </c>
      <c r="J4294" s="26"/>
      <c r="K4294"/>
    </row>
    <row r="4295" spans="1:11">
      <c r="A4295">
        <v>31</v>
      </c>
      <c r="B4295" s="64">
        <v>40235</v>
      </c>
      <c r="C4295" s="2">
        <v>1344354.41</v>
      </c>
      <c r="D4295">
        <v>0</v>
      </c>
      <c r="E4295" s="65">
        <v>45.31</v>
      </c>
      <c r="F4295" s="8">
        <v>2.561</v>
      </c>
      <c r="G4295" s="66">
        <v>210.9759573</v>
      </c>
      <c r="H4295" s="8">
        <v>8.324</v>
      </c>
      <c r="J4295" s="26"/>
      <c r="K4295"/>
    </row>
    <row r="4296" spans="1:11">
      <c r="A4296">
        <v>31</v>
      </c>
      <c r="B4296" s="64">
        <v>40242</v>
      </c>
      <c r="C4296" s="2">
        <v>1384870.51</v>
      </c>
      <c r="D4296">
        <v>0</v>
      </c>
      <c r="E4296" s="65">
        <v>48.61</v>
      </c>
      <c r="F4296" s="8">
        <v>2.625</v>
      </c>
      <c r="G4296" s="66">
        <v>211.0067542</v>
      </c>
      <c r="H4296" s="8">
        <v>8.324</v>
      </c>
      <c r="J4296" s="26"/>
      <c r="K4296"/>
    </row>
    <row r="4297" spans="1:11">
      <c r="A4297">
        <v>31</v>
      </c>
      <c r="B4297" s="64">
        <v>40249</v>
      </c>
      <c r="C4297" s="2">
        <v>1366193.35</v>
      </c>
      <c r="D4297">
        <v>0</v>
      </c>
      <c r="E4297" s="65">
        <v>57.1</v>
      </c>
      <c r="F4297" s="8">
        <v>2.667</v>
      </c>
      <c r="G4297" s="66">
        <v>211.037551</v>
      </c>
      <c r="H4297" s="8">
        <v>8.324</v>
      </c>
      <c r="J4297" s="26"/>
      <c r="K4297"/>
    </row>
    <row r="4298" spans="1:11">
      <c r="A4298">
        <v>31</v>
      </c>
      <c r="B4298" s="64">
        <v>40256</v>
      </c>
      <c r="C4298" s="2">
        <v>1332261.01</v>
      </c>
      <c r="D4298">
        <v>0</v>
      </c>
      <c r="E4298" s="65">
        <v>54.68</v>
      </c>
      <c r="F4298" s="8">
        <v>2.72</v>
      </c>
      <c r="G4298" s="66">
        <v>210.8733316</v>
      </c>
      <c r="H4298" s="8">
        <v>8.324</v>
      </c>
      <c r="J4298" s="26"/>
      <c r="K4298"/>
    </row>
    <row r="4299" spans="1:11">
      <c r="A4299">
        <v>31</v>
      </c>
      <c r="B4299" s="64">
        <v>40263</v>
      </c>
      <c r="C4299" s="2">
        <v>1229635.7</v>
      </c>
      <c r="D4299">
        <v>0</v>
      </c>
      <c r="E4299" s="65">
        <v>51.66</v>
      </c>
      <c r="F4299" s="8">
        <v>2.732</v>
      </c>
      <c r="G4299" s="66">
        <v>210.6766095</v>
      </c>
      <c r="H4299" s="8">
        <v>8.324</v>
      </c>
      <c r="J4299" s="26"/>
      <c r="K4299"/>
    </row>
    <row r="4300" spans="1:11">
      <c r="A4300">
        <v>31</v>
      </c>
      <c r="B4300" s="64">
        <v>40270</v>
      </c>
      <c r="C4300" s="2">
        <v>1357600.68</v>
      </c>
      <c r="D4300">
        <v>0</v>
      </c>
      <c r="E4300" s="65">
        <v>64.12</v>
      </c>
      <c r="F4300" s="8">
        <v>2.719</v>
      </c>
      <c r="G4300" s="66">
        <v>210.4798874</v>
      </c>
      <c r="H4300" s="8">
        <v>8.2</v>
      </c>
      <c r="J4300" s="26"/>
      <c r="K4300"/>
    </row>
    <row r="4301" spans="1:11">
      <c r="A4301">
        <v>31</v>
      </c>
      <c r="B4301" s="64">
        <v>40277</v>
      </c>
      <c r="C4301" s="2">
        <v>1395710.09</v>
      </c>
      <c r="D4301">
        <v>0</v>
      </c>
      <c r="E4301" s="65">
        <v>65.74</v>
      </c>
      <c r="F4301" s="8">
        <v>2.77</v>
      </c>
      <c r="G4301" s="66">
        <v>210.2831653</v>
      </c>
      <c r="H4301" s="8">
        <v>8.2</v>
      </c>
      <c r="J4301" s="26"/>
      <c r="K4301"/>
    </row>
    <row r="4302" spans="1:11">
      <c r="A4302">
        <v>31</v>
      </c>
      <c r="B4302" s="64">
        <v>40284</v>
      </c>
      <c r="C4302" s="2">
        <v>1367448.28</v>
      </c>
      <c r="D4302">
        <v>0</v>
      </c>
      <c r="E4302" s="65">
        <v>67.87</v>
      </c>
      <c r="F4302" s="8">
        <v>2.808</v>
      </c>
      <c r="G4302" s="66">
        <v>210.1495463</v>
      </c>
      <c r="H4302" s="8">
        <v>8.2</v>
      </c>
      <c r="J4302" s="26"/>
      <c r="K4302"/>
    </row>
    <row r="4303" spans="1:11">
      <c r="A4303">
        <v>31</v>
      </c>
      <c r="B4303" s="64">
        <v>40291</v>
      </c>
      <c r="C4303" s="2">
        <v>1280465.8</v>
      </c>
      <c r="D4303">
        <v>0</v>
      </c>
      <c r="E4303" s="65">
        <v>64.21</v>
      </c>
      <c r="F4303" s="8">
        <v>2.795</v>
      </c>
      <c r="G4303" s="66">
        <v>210.1000648</v>
      </c>
      <c r="H4303" s="8">
        <v>8.2</v>
      </c>
      <c r="J4303" s="26"/>
      <c r="K4303"/>
    </row>
    <row r="4304" spans="1:11">
      <c r="A4304">
        <v>31</v>
      </c>
      <c r="B4304" s="64">
        <v>40298</v>
      </c>
      <c r="C4304" s="2">
        <v>1243200.24</v>
      </c>
      <c r="D4304">
        <v>0</v>
      </c>
      <c r="E4304" s="65">
        <v>66.93</v>
      </c>
      <c r="F4304" s="8">
        <v>2.78</v>
      </c>
      <c r="G4304" s="66">
        <v>210.0505833</v>
      </c>
      <c r="H4304" s="8">
        <v>8.2</v>
      </c>
      <c r="J4304" s="26"/>
      <c r="K4304"/>
    </row>
    <row r="4305" spans="1:11">
      <c r="A4305">
        <v>31</v>
      </c>
      <c r="B4305" s="64">
        <v>40305</v>
      </c>
      <c r="C4305" s="2">
        <v>1381796.8</v>
      </c>
      <c r="D4305">
        <v>0</v>
      </c>
      <c r="E4305" s="65">
        <v>70.87</v>
      </c>
      <c r="F4305" s="8">
        <v>2.835</v>
      </c>
      <c r="G4305" s="66">
        <v>210.0011018</v>
      </c>
      <c r="H4305" s="8">
        <v>8.2</v>
      </c>
      <c r="J4305" s="26"/>
      <c r="K4305"/>
    </row>
    <row r="4306" spans="1:11">
      <c r="A4306">
        <v>31</v>
      </c>
      <c r="B4306" s="64">
        <v>40312</v>
      </c>
      <c r="C4306" s="2">
        <v>1287288.59</v>
      </c>
      <c r="D4306">
        <v>0</v>
      </c>
      <c r="E4306" s="65">
        <v>73.08</v>
      </c>
      <c r="F4306" s="8">
        <v>2.854</v>
      </c>
      <c r="G4306" s="66">
        <v>209.9984585</v>
      </c>
      <c r="H4306" s="8">
        <v>8.2</v>
      </c>
      <c r="J4306" s="26"/>
      <c r="K4306"/>
    </row>
    <row r="4307" spans="1:11">
      <c r="A4307">
        <v>31</v>
      </c>
      <c r="B4307" s="64">
        <v>40319</v>
      </c>
      <c r="C4307" s="2">
        <v>1337405.6</v>
      </c>
      <c r="D4307">
        <v>0</v>
      </c>
      <c r="E4307" s="65">
        <v>74.24</v>
      </c>
      <c r="F4307" s="8">
        <v>2.826</v>
      </c>
      <c r="G4307" s="66">
        <v>210.2768443</v>
      </c>
      <c r="H4307" s="8">
        <v>8.2</v>
      </c>
      <c r="J4307" s="26"/>
      <c r="K4307"/>
    </row>
    <row r="4308" spans="1:11">
      <c r="A4308">
        <v>31</v>
      </c>
      <c r="B4308" s="64">
        <v>40326</v>
      </c>
      <c r="C4308" s="2">
        <v>1309437.17</v>
      </c>
      <c r="D4308">
        <v>0</v>
      </c>
      <c r="E4308" s="65">
        <v>80.94</v>
      </c>
      <c r="F4308" s="8">
        <v>2.759</v>
      </c>
      <c r="G4308" s="66">
        <v>210.5552301</v>
      </c>
      <c r="H4308" s="8">
        <v>8.2</v>
      </c>
      <c r="J4308" s="26"/>
      <c r="K4308"/>
    </row>
    <row r="4309" spans="1:11">
      <c r="A4309">
        <v>31</v>
      </c>
      <c r="B4309" s="64">
        <v>40333</v>
      </c>
      <c r="C4309" s="2">
        <v>1427624.5</v>
      </c>
      <c r="D4309">
        <v>0</v>
      </c>
      <c r="E4309" s="65">
        <v>82.68</v>
      </c>
      <c r="F4309" s="8">
        <v>2.705</v>
      </c>
      <c r="G4309" s="66">
        <v>210.833616</v>
      </c>
      <c r="H4309" s="8">
        <v>8.2</v>
      </c>
      <c r="J4309" s="26"/>
      <c r="K4309"/>
    </row>
    <row r="4310" spans="1:11">
      <c r="A4310">
        <v>31</v>
      </c>
      <c r="B4310" s="64">
        <v>40340</v>
      </c>
      <c r="C4310" s="2">
        <v>1377092.33</v>
      </c>
      <c r="D4310">
        <v>0</v>
      </c>
      <c r="E4310" s="65">
        <v>83.51</v>
      </c>
      <c r="F4310" s="8">
        <v>2.668</v>
      </c>
      <c r="G4310" s="66">
        <v>211.1120018</v>
      </c>
      <c r="H4310" s="8">
        <v>8.2</v>
      </c>
      <c r="J4310" s="26"/>
      <c r="K4310"/>
    </row>
    <row r="4311" spans="1:11">
      <c r="A4311">
        <v>31</v>
      </c>
      <c r="B4311" s="64">
        <v>40347</v>
      </c>
      <c r="C4311" s="2">
        <v>1368090.08</v>
      </c>
      <c r="D4311">
        <v>0</v>
      </c>
      <c r="E4311" s="65">
        <v>86.18</v>
      </c>
      <c r="F4311" s="8">
        <v>2.637</v>
      </c>
      <c r="G4311" s="66">
        <v>211.1096543</v>
      </c>
      <c r="H4311" s="8">
        <v>8.2</v>
      </c>
      <c r="J4311" s="26"/>
      <c r="K4311"/>
    </row>
    <row r="4312" spans="1:11">
      <c r="A4312">
        <v>31</v>
      </c>
      <c r="B4312" s="64">
        <v>40354</v>
      </c>
      <c r="C4312" s="2">
        <v>1303523.73</v>
      </c>
      <c r="D4312">
        <v>0</v>
      </c>
      <c r="E4312" s="65">
        <v>87.01</v>
      </c>
      <c r="F4312" s="8">
        <v>2.653</v>
      </c>
      <c r="G4312" s="66">
        <v>210.9950134</v>
      </c>
      <c r="H4312" s="8">
        <v>8.2</v>
      </c>
      <c r="J4312" s="26"/>
      <c r="K4312"/>
    </row>
    <row r="4313" spans="1:11">
      <c r="A4313">
        <v>31</v>
      </c>
      <c r="B4313" s="64">
        <v>40361</v>
      </c>
      <c r="C4313" s="2">
        <v>1311704.92</v>
      </c>
      <c r="D4313">
        <v>0</v>
      </c>
      <c r="E4313" s="65">
        <v>82.29</v>
      </c>
      <c r="F4313" s="8">
        <v>2.669</v>
      </c>
      <c r="G4313" s="66">
        <v>210.8803726</v>
      </c>
      <c r="H4313" s="8">
        <v>8.099</v>
      </c>
      <c r="J4313" s="26"/>
      <c r="K4313"/>
    </row>
    <row r="4314" spans="1:11">
      <c r="A4314">
        <v>31</v>
      </c>
      <c r="B4314" s="64">
        <v>40368</v>
      </c>
      <c r="C4314" s="2">
        <v>1315118.4</v>
      </c>
      <c r="D4314">
        <v>0</v>
      </c>
      <c r="E4314" s="65">
        <v>81.67</v>
      </c>
      <c r="F4314" s="8">
        <v>2.642</v>
      </c>
      <c r="G4314" s="66">
        <v>210.7657317</v>
      </c>
      <c r="H4314" s="8">
        <v>8.099</v>
      </c>
      <c r="J4314" s="26"/>
      <c r="K4314"/>
    </row>
    <row r="4315" spans="1:11">
      <c r="A4315">
        <v>31</v>
      </c>
      <c r="B4315" s="64">
        <v>40375</v>
      </c>
      <c r="C4315" s="2">
        <v>1335433.72</v>
      </c>
      <c r="D4315">
        <v>0</v>
      </c>
      <c r="E4315" s="65">
        <v>85.61</v>
      </c>
      <c r="F4315" s="8">
        <v>2.623</v>
      </c>
      <c r="G4315" s="66">
        <v>210.7577954</v>
      </c>
      <c r="H4315" s="8">
        <v>8.099</v>
      </c>
      <c r="J4315" s="26"/>
      <c r="K4315"/>
    </row>
    <row r="4316" spans="1:11">
      <c r="A4316">
        <v>31</v>
      </c>
      <c r="B4316" s="64">
        <v>40382</v>
      </c>
      <c r="C4316" s="2">
        <v>1276031.84</v>
      </c>
      <c r="D4316">
        <v>0</v>
      </c>
      <c r="E4316" s="65">
        <v>87.17</v>
      </c>
      <c r="F4316" s="8">
        <v>2.608</v>
      </c>
      <c r="G4316" s="66">
        <v>210.8921319</v>
      </c>
      <c r="H4316" s="8">
        <v>8.099</v>
      </c>
      <c r="J4316" s="26"/>
      <c r="K4316"/>
    </row>
    <row r="4317" spans="1:11">
      <c r="A4317">
        <v>31</v>
      </c>
      <c r="B4317" s="64">
        <v>40389</v>
      </c>
      <c r="C4317" s="2">
        <v>1231993.14</v>
      </c>
      <c r="D4317">
        <v>0</v>
      </c>
      <c r="E4317" s="65">
        <v>83.59</v>
      </c>
      <c r="F4317" s="8">
        <v>2.64</v>
      </c>
      <c r="G4317" s="66">
        <v>211.0264684</v>
      </c>
      <c r="H4317" s="8">
        <v>8.099</v>
      </c>
      <c r="J4317" s="26"/>
      <c r="K4317"/>
    </row>
    <row r="4318" spans="1:11">
      <c r="A4318">
        <v>31</v>
      </c>
      <c r="B4318" s="64">
        <v>40396</v>
      </c>
      <c r="C4318" s="2">
        <v>1352401.08</v>
      </c>
      <c r="D4318">
        <v>0</v>
      </c>
      <c r="E4318" s="65">
        <v>90.3</v>
      </c>
      <c r="F4318" s="8">
        <v>2.627</v>
      </c>
      <c r="G4318" s="66">
        <v>211.1608049</v>
      </c>
      <c r="H4318" s="8">
        <v>8.099</v>
      </c>
      <c r="J4318" s="26"/>
      <c r="K4318"/>
    </row>
    <row r="4319" spans="1:11">
      <c r="A4319">
        <v>31</v>
      </c>
      <c r="B4319" s="64">
        <v>40403</v>
      </c>
      <c r="C4319" s="2">
        <v>1327719.34</v>
      </c>
      <c r="D4319">
        <v>0</v>
      </c>
      <c r="E4319" s="65">
        <v>89.65</v>
      </c>
      <c r="F4319" s="8">
        <v>2.692</v>
      </c>
      <c r="G4319" s="66">
        <v>211.2951413</v>
      </c>
      <c r="H4319" s="8">
        <v>8.099</v>
      </c>
      <c r="J4319" s="26"/>
      <c r="K4319"/>
    </row>
    <row r="4320" spans="1:11">
      <c r="A4320">
        <v>31</v>
      </c>
      <c r="B4320" s="64">
        <v>40410</v>
      </c>
      <c r="C4320" s="2">
        <v>1376571.21</v>
      </c>
      <c r="D4320">
        <v>0</v>
      </c>
      <c r="E4320" s="65">
        <v>89.58</v>
      </c>
      <c r="F4320" s="8">
        <v>2.664</v>
      </c>
      <c r="G4320" s="66">
        <v>211.2596586</v>
      </c>
      <c r="H4320" s="8">
        <v>8.099</v>
      </c>
      <c r="J4320" s="26"/>
      <c r="K4320"/>
    </row>
    <row r="4321" spans="1:11">
      <c r="A4321">
        <v>31</v>
      </c>
      <c r="B4321" s="64">
        <v>40417</v>
      </c>
      <c r="C4321" s="2">
        <v>1326621.98</v>
      </c>
      <c r="D4321">
        <v>0</v>
      </c>
      <c r="E4321" s="65">
        <v>86.2</v>
      </c>
      <c r="F4321" s="8">
        <v>2.619</v>
      </c>
      <c r="G4321" s="66">
        <v>211.2241759</v>
      </c>
      <c r="H4321" s="8">
        <v>8.099</v>
      </c>
      <c r="J4321" s="26"/>
      <c r="K4321"/>
    </row>
    <row r="4322" spans="1:11">
      <c r="A4322">
        <v>31</v>
      </c>
      <c r="B4322" s="64">
        <v>40424</v>
      </c>
      <c r="C4322" s="2">
        <v>1302047.48</v>
      </c>
      <c r="D4322">
        <v>0</v>
      </c>
      <c r="E4322" s="65">
        <v>82.57</v>
      </c>
      <c r="F4322" s="8">
        <v>2.577</v>
      </c>
      <c r="G4322" s="66">
        <v>211.1886931</v>
      </c>
      <c r="H4322" s="8">
        <v>8.099</v>
      </c>
      <c r="J4322" s="26"/>
      <c r="K4322"/>
    </row>
    <row r="4323" spans="1:11">
      <c r="A4323">
        <v>31</v>
      </c>
      <c r="B4323" s="64">
        <v>40431</v>
      </c>
      <c r="C4323" s="2">
        <v>1308179.02</v>
      </c>
      <c r="D4323">
        <v>1</v>
      </c>
      <c r="E4323" s="65">
        <v>79.3</v>
      </c>
      <c r="F4323" s="8">
        <v>2.565</v>
      </c>
      <c r="G4323" s="66">
        <v>211.1532104</v>
      </c>
      <c r="H4323" s="8">
        <v>8.099</v>
      </c>
      <c r="J4323" s="26"/>
      <c r="K4323"/>
    </row>
    <row r="4324" spans="1:11">
      <c r="A4324">
        <v>31</v>
      </c>
      <c r="B4324" s="64">
        <v>40438</v>
      </c>
      <c r="C4324" s="2">
        <v>1294105.01</v>
      </c>
      <c r="D4324">
        <v>0</v>
      </c>
      <c r="E4324" s="65">
        <v>83.03</v>
      </c>
      <c r="F4324" s="8">
        <v>2.582</v>
      </c>
      <c r="G4324" s="66">
        <v>211.1806415</v>
      </c>
      <c r="H4324" s="8">
        <v>8.099</v>
      </c>
      <c r="J4324" s="26"/>
      <c r="K4324"/>
    </row>
    <row r="4325" spans="1:11">
      <c r="A4325">
        <v>31</v>
      </c>
      <c r="B4325" s="64">
        <v>40445</v>
      </c>
      <c r="C4325" s="2">
        <v>1230250.25</v>
      </c>
      <c r="D4325">
        <v>0</v>
      </c>
      <c r="E4325" s="65">
        <v>80.79</v>
      </c>
      <c r="F4325" s="8">
        <v>2.624</v>
      </c>
      <c r="G4325" s="66">
        <v>211.2552578</v>
      </c>
      <c r="H4325" s="8">
        <v>8.099</v>
      </c>
      <c r="J4325" s="26"/>
      <c r="K4325"/>
    </row>
    <row r="4326" spans="1:11">
      <c r="A4326">
        <v>31</v>
      </c>
      <c r="B4326" s="64">
        <v>40452</v>
      </c>
      <c r="C4326" s="2">
        <v>1213981.64</v>
      </c>
      <c r="D4326">
        <v>0</v>
      </c>
      <c r="E4326" s="65">
        <v>70.28</v>
      </c>
      <c r="F4326" s="8">
        <v>2.603</v>
      </c>
      <c r="G4326" s="66">
        <v>211.3298742</v>
      </c>
      <c r="H4326" s="8">
        <v>8.163</v>
      </c>
      <c r="J4326" s="26"/>
      <c r="K4326"/>
    </row>
    <row r="4327" spans="1:11">
      <c r="A4327">
        <v>31</v>
      </c>
      <c r="B4327" s="64">
        <v>40459</v>
      </c>
      <c r="C4327" s="2">
        <v>1300131.68</v>
      </c>
      <c r="D4327">
        <v>0</v>
      </c>
      <c r="E4327" s="65">
        <v>65.76</v>
      </c>
      <c r="F4327" s="8">
        <v>2.633</v>
      </c>
      <c r="G4327" s="66">
        <v>211.4044906</v>
      </c>
      <c r="H4327" s="8">
        <v>8.163</v>
      </c>
      <c r="J4327" s="26"/>
      <c r="K4327"/>
    </row>
    <row r="4328" spans="1:11">
      <c r="A4328">
        <v>31</v>
      </c>
      <c r="B4328" s="64">
        <v>40466</v>
      </c>
      <c r="C4328" s="2">
        <v>1265852.43</v>
      </c>
      <c r="D4328">
        <v>0</v>
      </c>
      <c r="E4328" s="65">
        <v>68.61</v>
      </c>
      <c r="F4328" s="8">
        <v>2.72</v>
      </c>
      <c r="G4328" s="66">
        <v>211.4713286</v>
      </c>
      <c r="H4328" s="8">
        <v>8.163</v>
      </c>
      <c r="J4328" s="26"/>
      <c r="K4328"/>
    </row>
    <row r="4329" spans="1:11">
      <c r="A4329">
        <v>31</v>
      </c>
      <c r="B4329" s="64">
        <v>40473</v>
      </c>
      <c r="C4329" s="2">
        <v>1262289.29</v>
      </c>
      <c r="D4329">
        <v>0</v>
      </c>
      <c r="E4329" s="65">
        <v>70.72</v>
      </c>
      <c r="F4329" s="8">
        <v>2.725</v>
      </c>
      <c r="G4329" s="66">
        <v>211.5187208</v>
      </c>
      <c r="H4329" s="8">
        <v>8.163</v>
      </c>
      <c r="J4329" s="26"/>
      <c r="K4329"/>
    </row>
    <row r="4330" spans="1:11">
      <c r="A4330">
        <v>31</v>
      </c>
      <c r="B4330" s="64">
        <v>40480</v>
      </c>
      <c r="C4330" s="2">
        <v>1257921.28</v>
      </c>
      <c r="D4330">
        <v>0</v>
      </c>
      <c r="E4330" s="65">
        <v>67.51</v>
      </c>
      <c r="F4330" s="8">
        <v>2.716</v>
      </c>
      <c r="G4330" s="66">
        <v>211.5661131</v>
      </c>
      <c r="H4330" s="8">
        <v>8.163</v>
      </c>
      <c r="J4330" s="26"/>
      <c r="K4330"/>
    </row>
    <row r="4331" spans="1:11">
      <c r="A4331">
        <v>31</v>
      </c>
      <c r="B4331" s="64">
        <v>40487</v>
      </c>
      <c r="C4331" s="2">
        <v>1324455.72</v>
      </c>
      <c r="D4331">
        <v>0</v>
      </c>
      <c r="E4331" s="65">
        <v>58.71</v>
      </c>
      <c r="F4331" s="8">
        <v>2.689</v>
      </c>
      <c r="G4331" s="66">
        <v>211.6135053</v>
      </c>
      <c r="H4331" s="8">
        <v>8.163</v>
      </c>
      <c r="J4331" s="26"/>
      <c r="K4331"/>
    </row>
    <row r="4332" spans="1:11">
      <c r="A4332">
        <v>31</v>
      </c>
      <c r="B4332" s="64">
        <v>40494</v>
      </c>
      <c r="C4332" s="2">
        <v>1352780.76</v>
      </c>
      <c r="D4332">
        <v>0</v>
      </c>
      <c r="E4332" s="65">
        <v>60.95</v>
      </c>
      <c r="F4332" s="8">
        <v>2.728</v>
      </c>
      <c r="G4332" s="66">
        <v>211.6608975</v>
      </c>
      <c r="H4332" s="8">
        <v>8.163</v>
      </c>
      <c r="J4332" s="26"/>
      <c r="K4332"/>
    </row>
    <row r="4333" spans="1:11">
      <c r="A4333">
        <v>31</v>
      </c>
      <c r="B4333" s="64">
        <v>40501</v>
      </c>
      <c r="C4333" s="2">
        <v>1359158.57</v>
      </c>
      <c r="D4333">
        <v>0</v>
      </c>
      <c r="E4333" s="65">
        <v>51.71</v>
      </c>
      <c r="F4333" s="8">
        <v>2.771</v>
      </c>
      <c r="G4333" s="66">
        <v>211.5470304</v>
      </c>
      <c r="H4333" s="8">
        <v>8.163</v>
      </c>
      <c r="J4333" s="26"/>
      <c r="K4333"/>
    </row>
    <row r="4334" spans="1:11">
      <c r="A4334">
        <v>31</v>
      </c>
      <c r="B4334" s="64">
        <v>40508</v>
      </c>
      <c r="C4334" s="2">
        <v>1858856.06</v>
      </c>
      <c r="D4334">
        <v>1</v>
      </c>
      <c r="E4334" s="65">
        <v>62.96</v>
      </c>
      <c r="F4334" s="8">
        <v>2.735</v>
      </c>
      <c r="G4334" s="66">
        <v>211.4062867</v>
      </c>
      <c r="H4334" s="8">
        <v>8.163</v>
      </c>
      <c r="J4334" s="26"/>
      <c r="K4334"/>
    </row>
    <row r="4335" spans="1:11">
      <c r="A4335">
        <v>31</v>
      </c>
      <c r="B4335" s="64">
        <v>40515</v>
      </c>
      <c r="C4335" s="2">
        <v>1338716.37</v>
      </c>
      <c r="D4335">
        <v>0</v>
      </c>
      <c r="E4335" s="65">
        <v>50.43</v>
      </c>
      <c r="F4335" s="8">
        <v>2.708</v>
      </c>
      <c r="G4335" s="66">
        <v>211.265543</v>
      </c>
      <c r="H4335" s="8">
        <v>8.163</v>
      </c>
      <c r="J4335" s="26"/>
      <c r="K4335"/>
    </row>
    <row r="4336" spans="1:11">
      <c r="A4336">
        <v>31</v>
      </c>
      <c r="B4336" s="64">
        <v>40522</v>
      </c>
      <c r="C4336" s="2">
        <v>1475685.1</v>
      </c>
      <c r="D4336">
        <v>0</v>
      </c>
      <c r="E4336" s="65">
        <v>46.35</v>
      </c>
      <c r="F4336" s="8">
        <v>2.843</v>
      </c>
      <c r="G4336" s="66">
        <v>211.1247993</v>
      </c>
      <c r="H4336" s="8">
        <v>8.163</v>
      </c>
      <c r="J4336" s="26"/>
      <c r="K4336"/>
    </row>
    <row r="4337" spans="1:11">
      <c r="A4337">
        <v>31</v>
      </c>
      <c r="B4337" s="64">
        <v>40529</v>
      </c>
      <c r="C4337" s="2">
        <v>1714667</v>
      </c>
      <c r="D4337">
        <v>0</v>
      </c>
      <c r="E4337" s="65">
        <v>48.63</v>
      </c>
      <c r="F4337" s="8">
        <v>2.869</v>
      </c>
      <c r="G4337" s="66">
        <v>211.0645458</v>
      </c>
      <c r="H4337" s="8">
        <v>8.163</v>
      </c>
      <c r="J4337" s="26"/>
      <c r="K4337"/>
    </row>
    <row r="4338" spans="1:11">
      <c r="A4338">
        <v>31</v>
      </c>
      <c r="B4338" s="64">
        <v>40536</v>
      </c>
      <c r="C4338" s="2">
        <v>2068942.97</v>
      </c>
      <c r="D4338">
        <v>0</v>
      </c>
      <c r="E4338" s="65">
        <v>51.29</v>
      </c>
      <c r="F4338" s="8">
        <v>2.886</v>
      </c>
      <c r="G4338" s="66">
        <v>211.0646599</v>
      </c>
      <c r="H4338" s="8">
        <v>8.163</v>
      </c>
      <c r="J4338" s="26"/>
      <c r="K4338"/>
    </row>
    <row r="4339" spans="1:11">
      <c r="A4339">
        <v>31</v>
      </c>
      <c r="B4339" s="64">
        <v>40543</v>
      </c>
      <c r="C4339" s="2">
        <v>1198071.6</v>
      </c>
      <c r="D4339">
        <v>1</v>
      </c>
      <c r="E4339" s="65">
        <v>47.19</v>
      </c>
      <c r="F4339" s="8">
        <v>2.943</v>
      </c>
      <c r="G4339" s="66">
        <v>211.064774</v>
      </c>
      <c r="H4339" s="8">
        <v>8.163</v>
      </c>
      <c r="J4339" s="26"/>
      <c r="K4339"/>
    </row>
    <row r="4340" spans="1:11">
      <c r="A4340">
        <v>31</v>
      </c>
      <c r="B4340" s="64">
        <v>40550</v>
      </c>
      <c r="C4340" s="2">
        <v>1311986.87</v>
      </c>
      <c r="D4340">
        <v>0</v>
      </c>
      <c r="E4340" s="65">
        <v>44.24</v>
      </c>
      <c r="F4340" s="8">
        <v>2.976</v>
      </c>
      <c r="G4340" s="66">
        <v>211.0648881</v>
      </c>
      <c r="H4340" s="8">
        <v>8.028</v>
      </c>
      <c r="J4340" s="26"/>
      <c r="K4340"/>
    </row>
    <row r="4341" spans="1:11">
      <c r="A4341">
        <v>31</v>
      </c>
      <c r="B4341" s="64">
        <v>40557</v>
      </c>
      <c r="C4341" s="2">
        <v>1350730.31</v>
      </c>
      <c r="D4341">
        <v>0</v>
      </c>
      <c r="E4341" s="65">
        <v>34.14</v>
      </c>
      <c r="F4341" s="8">
        <v>2.983</v>
      </c>
      <c r="G4341" s="66">
        <v>211.1176713</v>
      </c>
      <c r="H4341" s="8">
        <v>8.028</v>
      </c>
      <c r="J4341" s="26"/>
      <c r="K4341"/>
    </row>
    <row r="4342" spans="1:11">
      <c r="A4342">
        <v>31</v>
      </c>
      <c r="B4342" s="64">
        <v>40564</v>
      </c>
      <c r="C4342" s="2">
        <v>1344167.13</v>
      </c>
      <c r="D4342">
        <v>0</v>
      </c>
      <c r="E4342" s="65">
        <v>42.72</v>
      </c>
      <c r="F4342" s="8">
        <v>3.016</v>
      </c>
      <c r="G4342" s="66">
        <v>211.4864691</v>
      </c>
      <c r="H4342" s="8">
        <v>8.028</v>
      </c>
      <c r="J4342" s="26"/>
      <c r="K4342"/>
    </row>
    <row r="4343" spans="1:11">
      <c r="A4343">
        <v>31</v>
      </c>
      <c r="B4343" s="64">
        <v>40571</v>
      </c>
      <c r="C4343" s="2">
        <v>1254955.68</v>
      </c>
      <c r="D4343">
        <v>0</v>
      </c>
      <c r="E4343" s="65">
        <v>44.04</v>
      </c>
      <c r="F4343" s="8">
        <v>3.01</v>
      </c>
      <c r="G4343" s="66">
        <v>211.8552668</v>
      </c>
      <c r="H4343" s="8">
        <v>8.028</v>
      </c>
      <c r="J4343" s="26"/>
      <c r="K4343"/>
    </row>
    <row r="4344" spans="1:11">
      <c r="A4344">
        <v>31</v>
      </c>
      <c r="B4344" s="64">
        <v>40578</v>
      </c>
      <c r="C4344" s="2">
        <v>1443206.46</v>
      </c>
      <c r="D4344">
        <v>0</v>
      </c>
      <c r="E4344" s="65">
        <v>36.33</v>
      </c>
      <c r="F4344" s="8">
        <v>2.989</v>
      </c>
      <c r="G4344" s="66">
        <v>212.2240646</v>
      </c>
      <c r="H4344" s="8">
        <v>8.028</v>
      </c>
      <c r="J4344" s="26"/>
      <c r="K4344"/>
    </row>
    <row r="4345" spans="1:11">
      <c r="A4345">
        <v>31</v>
      </c>
      <c r="B4345" s="64">
        <v>40585</v>
      </c>
      <c r="C4345" s="2">
        <v>1539230.32</v>
      </c>
      <c r="D4345">
        <v>1</v>
      </c>
      <c r="E4345" s="65">
        <v>34.61</v>
      </c>
      <c r="F4345" s="8">
        <v>3.022</v>
      </c>
      <c r="G4345" s="66">
        <v>212.5928624</v>
      </c>
      <c r="H4345" s="8">
        <v>8.028</v>
      </c>
      <c r="J4345" s="26"/>
      <c r="K4345"/>
    </row>
    <row r="4346" spans="1:11">
      <c r="A4346">
        <v>31</v>
      </c>
      <c r="B4346" s="64">
        <v>40592</v>
      </c>
      <c r="C4346" s="2">
        <v>1539063.91</v>
      </c>
      <c r="D4346">
        <v>0</v>
      </c>
      <c r="E4346" s="65">
        <v>59.87</v>
      </c>
      <c r="F4346" s="8">
        <v>3.045</v>
      </c>
      <c r="G4346" s="66">
        <v>212.9033115</v>
      </c>
      <c r="H4346" s="8">
        <v>8.028</v>
      </c>
      <c r="J4346" s="26"/>
      <c r="K4346"/>
    </row>
    <row r="4347" spans="1:11">
      <c r="A4347">
        <v>31</v>
      </c>
      <c r="B4347" s="64">
        <v>40599</v>
      </c>
      <c r="C4347" s="2">
        <v>1365678.22</v>
      </c>
      <c r="D4347">
        <v>0</v>
      </c>
      <c r="E4347" s="65">
        <v>61.27</v>
      </c>
      <c r="F4347" s="8">
        <v>3.065</v>
      </c>
      <c r="G4347" s="66">
        <v>213.190421</v>
      </c>
      <c r="H4347" s="8">
        <v>8.028</v>
      </c>
      <c r="J4347" s="26"/>
      <c r="K4347"/>
    </row>
    <row r="4348" spans="1:11">
      <c r="A4348">
        <v>31</v>
      </c>
      <c r="B4348" s="64">
        <v>40606</v>
      </c>
      <c r="C4348" s="2">
        <v>1412721.18</v>
      </c>
      <c r="D4348">
        <v>0</v>
      </c>
      <c r="E4348" s="65">
        <v>59.52</v>
      </c>
      <c r="F4348" s="8">
        <v>3.288</v>
      </c>
      <c r="G4348" s="66">
        <v>213.4775305</v>
      </c>
      <c r="H4348" s="8">
        <v>8.028</v>
      </c>
      <c r="J4348" s="26"/>
      <c r="K4348"/>
    </row>
    <row r="4349" spans="1:11">
      <c r="A4349">
        <v>31</v>
      </c>
      <c r="B4349" s="64">
        <v>40613</v>
      </c>
      <c r="C4349" s="2">
        <v>1405572.93</v>
      </c>
      <c r="D4349">
        <v>0</v>
      </c>
      <c r="E4349" s="65">
        <v>54.69</v>
      </c>
      <c r="F4349" s="8">
        <v>3.459</v>
      </c>
      <c r="G4349" s="66">
        <v>213.7646401</v>
      </c>
      <c r="H4349" s="8">
        <v>8.028</v>
      </c>
      <c r="J4349" s="26"/>
      <c r="K4349"/>
    </row>
    <row r="4350" spans="1:11">
      <c r="A4350">
        <v>31</v>
      </c>
      <c r="B4350" s="64">
        <v>40620</v>
      </c>
      <c r="C4350" s="2">
        <v>1425559.02</v>
      </c>
      <c r="D4350">
        <v>0</v>
      </c>
      <c r="E4350" s="65">
        <v>63.26</v>
      </c>
      <c r="F4350" s="8">
        <v>3.488</v>
      </c>
      <c r="G4350" s="66">
        <v>214.0156238</v>
      </c>
      <c r="H4350" s="8">
        <v>8.028</v>
      </c>
      <c r="J4350" s="26"/>
      <c r="K4350"/>
    </row>
    <row r="4351" spans="1:11">
      <c r="A4351">
        <v>31</v>
      </c>
      <c r="B4351" s="64">
        <v>40627</v>
      </c>
      <c r="C4351" s="2">
        <v>1357036.1</v>
      </c>
      <c r="D4351">
        <v>0</v>
      </c>
      <c r="E4351" s="65">
        <v>70.33</v>
      </c>
      <c r="F4351" s="8">
        <v>3.473</v>
      </c>
      <c r="G4351" s="66">
        <v>214.2521573</v>
      </c>
      <c r="H4351" s="8">
        <v>8.028</v>
      </c>
      <c r="J4351" s="26"/>
      <c r="K4351"/>
    </row>
    <row r="4352" spans="1:11">
      <c r="A4352">
        <v>31</v>
      </c>
      <c r="B4352" s="64">
        <v>40634</v>
      </c>
      <c r="C4352" s="2">
        <v>1344890.73</v>
      </c>
      <c r="D4352">
        <v>0</v>
      </c>
      <c r="E4352" s="65">
        <v>56.36</v>
      </c>
      <c r="F4352" s="8">
        <v>3.524</v>
      </c>
      <c r="G4352" s="66">
        <v>214.4886908</v>
      </c>
      <c r="H4352" s="8">
        <v>7.931</v>
      </c>
      <c r="J4352" s="26"/>
      <c r="K4352"/>
    </row>
    <row r="4353" spans="1:11">
      <c r="A4353">
        <v>31</v>
      </c>
      <c r="B4353" s="64">
        <v>40641</v>
      </c>
      <c r="C4353" s="2">
        <v>1416790.17</v>
      </c>
      <c r="D4353">
        <v>0</v>
      </c>
      <c r="E4353" s="65">
        <v>68.62</v>
      </c>
      <c r="F4353" s="8">
        <v>3.622</v>
      </c>
      <c r="G4353" s="66">
        <v>214.7252242</v>
      </c>
      <c r="H4353" s="8">
        <v>7.931</v>
      </c>
      <c r="J4353" s="26"/>
      <c r="K4353"/>
    </row>
    <row r="4354" spans="1:11">
      <c r="A4354">
        <v>31</v>
      </c>
      <c r="B4354" s="64">
        <v>40648</v>
      </c>
      <c r="C4354" s="2">
        <v>1408464.08</v>
      </c>
      <c r="D4354">
        <v>0</v>
      </c>
      <c r="E4354" s="65">
        <v>71.01</v>
      </c>
      <c r="F4354" s="8">
        <v>3.743</v>
      </c>
      <c r="G4354" s="66">
        <v>214.9420631</v>
      </c>
      <c r="H4354" s="8">
        <v>7.931</v>
      </c>
      <c r="J4354" s="26"/>
      <c r="K4354"/>
    </row>
    <row r="4355" spans="1:11">
      <c r="A4355">
        <v>31</v>
      </c>
      <c r="B4355" s="64">
        <v>40655</v>
      </c>
      <c r="C4355" s="2">
        <v>1461393.91</v>
      </c>
      <c r="D4355">
        <v>0</v>
      </c>
      <c r="E4355" s="65">
        <v>70.79</v>
      </c>
      <c r="F4355" s="8">
        <v>3.807</v>
      </c>
      <c r="G4355" s="66">
        <v>215.1096657</v>
      </c>
      <c r="H4355" s="8">
        <v>7.931</v>
      </c>
      <c r="J4355" s="26"/>
      <c r="K4355"/>
    </row>
    <row r="4356" spans="1:11">
      <c r="A4356">
        <v>31</v>
      </c>
      <c r="B4356" s="64">
        <v>40662</v>
      </c>
      <c r="C4356" s="2">
        <v>1331137.96</v>
      </c>
      <c r="D4356">
        <v>0</v>
      </c>
      <c r="E4356" s="65">
        <v>70.19</v>
      </c>
      <c r="F4356" s="8">
        <v>3.81</v>
      </c>
      <c r="G4356" s="66">
        <v>215.2772683</v>
      </c>
      <c r="H4356" s="8">
        <v>7.931</v>
      </c>
      <c r="J4356" s="26"/>
      <c r="K4356"/>
    </row>
    <row r="4357" spans="1:11">
      <c r="A4357">
        <v>31</v>
      </c>
      <c r="B4357" s="64">
        <v>40669</v>
      </c>
      <c r="C4357" s="2">
        <v>1388755.61</v>
      </c>
      <c r="D4357">
        <v>0</v>
      </c>
      <c r="E4357" s="65">
        <v>61.87</v>
      </c>
      <c r="F4357" s="8">
        <v>3.906</v>
      </c>
      <c r="G4357" s="66">
        <v>215.4448709</v>
      </c>
      <c r="H4357" s="8">
        <v>7.931</v>
      </c>
      <c r="J4357" s="26"/>
      <c r="K4357"/>
    </row>
    <row r="4358" spans="1:11">
      <c r="A4358">
        <v>31</v>
      </c>
      <c r="B4358" s="64">
        <v>40676</v>
      </c>
      <c r="C4358" s="2">
        <v>1408118.22</v>
      </c>
      <c r="D4358">
        <v>0</v>
      </c>
      <c r="E4358" s="65">
        <v>75.04</v>
      </c>
      <c r="F4358" s="8">
        <v>3.899</v>
      </c>
      <c r="G4358" s="66">
        <v>215.6124735</v>
      </c>
      <c r="H4358" s="8">
        <v>7.931</v>
      </c>
      <c r="J4358" s="26"/>
      <c r="K4358"/>
    </row>
    <row r="4359" spans="1:11">
      <c r="A4359">
        <v>31</v>
      </c>
      <c r="B4359" s="64">
        <v>40683</v>
      </c>
      <c r="C4359" s="2">
        <v>1387365.19</v>
      </c>
      <c r="D4359">
        <v>0</v>
      </c>
      <c r="E4359" s="65">
        <v>68.36</v>
      </c>
      <c r="F4359" s="8">
        <v>3.907</v>
      </c>
      <c r="G4359" s="66">
        <v>215.3834778</v>
      </c>
      <c r="H4359" s="8">
        <v>7.931</v>
      </c>
      <c r="J4359" s="26"/>
      <c r="K4359"/>
    </row>
    <row r="4360" spans="1:11">
      <c r="A4360">
        <v>31</v>
      </c>
      <c r="B4360" s="64">
        <v>40690</v>
      </c>
      <c r="C4360" s="2">
        <v>1342273.64</v>
      </c>
      <c r="D4360">
        <v>0</v>
      </c>
      <c r="E4360" s="65">
        <v>76.86</v>
      </c>
      <c r="F4360" s="8">
        <v>3.786</v>
      </c>
      <c r="G4360" s="66">
        <v>215.1544822</v>
      </c>
      <c r="H4360" s="8">
        <v>7.931</v>
      </c>
      <c r="J4360" s="26"/>
      <c r="K4360"/>
    </row>
    <row r="4361" spans="1:11">
      <c r="A4361">
        <v>31</v>
      </c>
      <c r="B4361" s="64">
        <v>40697</v>
      </c>
      <c r="C4361" s="2">
        <v>1430348.1</v>
      </c>
      <c r="D4361">
        <v>0</v>
      </c>
      <c r="E4361" s="65">
        <v>83.82</v>
      </c>
      <c r="F4361" s="8">
        <v>3.699</v>
      </c>
      <c r="G4361" s="66">
        <v>214.9254865</v>
      </c>
      <c r="H4361" s="8">
        <v>7.931</v>
      </c>
      <c r="J4361" s="26"/>
      <c r="K4361"/>
    </row>
    <row r="4362" spans="1:11">
      <c r="A4362">
        <v>31</v>
      </c>
      <c r="B4362" s="64">
        <v>40704</v>
      </c>
      <c r="C4362" s="2">
        <v>1425299.37</v>
      </c>
      <c r="D4362">
        <v>0</v>
      </c>
      <c r="E4362" s="65">
        <v>84.71</v>
      </c>
      <c r="F4362" s="8">
        <v>3.648</v>
      </c>
      <c r="G4362" s="66">
        <v>214.6964908</v>
      </c>
      <c r="H4362" s="8">
        <v>7.931</v>
      </c>
      <c r="J4362" s="26"/>
      <c r="K4362"/>
    </row>
    <row r="4363" spans="1:11">
      <c r="A4363">
        <v>31</v>
      </c>
      <c r="B4363" s="64">
        <v>40711</v>
      </c>
      <c r="C4363" s="2">
        <v>1491039.14</v>
      </c>
      <c r="D4363">
        <v>0</v>
      </c>
      <c r="E4363" s="65">
        <v>87.54</v>
      </c>
      <c r="F4363" s="8">
        <v>3.637</v>
      </c>
      <c r="G4363" s="66">
        <v>214.6513538</v>
      </c>
      <c r="H4363" s="8">
        <v>7.931</v>
      </c>
      <c r="J4363" s="26"/>
      <c r="K4363"/>
    </row>
    <row r="4364" spans="1:11">
      <c r="A4364">
        <v>31</v>
      </c>
      <c r="B4364" s="64">
        <v>40718</v>
      </c>
      <c r="C4364" s="2">
        <v>1375962.46</v>
      </c>
      <c r="D4364">
        <v>0</v>
      </c>
      <c r="E4364" s="65">
        <v>85.72</v>
      </c>
      <c r="F4364" s="8">
        <v>3.594</v>
      </c>
      <c r="G4364" s="66">
        <v>214.7441108</v>
      </c>
      <c r="H4364" s="8">
        <v>7.931</v>
      </c>
      <c r="J4364" s="26"/>
      <c r="K4364"/>
    </row>
    <row r="4365" spans="1:11">
      <c r="A4365">
        <v>31</v>
      </c>
      <c r="B4365" s="64">
        <v>40725</v>
      </c>
      <c r="C4365" s="2">
        <v>1371889.27</v>
      </c>
      <c r="D4365">
        <v>0</v>
      </c>
      <c r="E4365" s="65">
        <v>87.57</v>
      </c>
      <c r="F4365" s="8">
        <v>3.524</v>
      </c>
      <c r="G4365" s="66">
        <v>214.8368678</v>
      </c>
      <c r="H4365" s="8">
        <v>7.852</v>
      </c>
      <c r="J4365" s="26"/>
      <c r="K4365"/>
    </row>
    <row r="4366" spans="1:11">
      <c r="A4366">
        <v>31</v>
      </c>
      <c r="B4366" s="64">
        <v>40732</v>
      </c>
      <c r="C4366" s="2">
        <v>1423144.47</v>
      </c>
      <c r="D4366">
        <v>0</v>
      </c>
      <c r="E4366" s="65">
        <v>89.16</v>
      </c>
      <c r="F4366" s="8">
        <v>3.48</v>
      </c>
      <c r="G4366" s="66">
        <v>214.9296249</v>
      </c>
      <c r="H4366" s="8">
        <v>7.852</v>
      </c>
      <c r="J4366" s="26"/>
      <c r="K4366"/>
    </row>
    <row r="4367" spans="1:11">
      <c r="A4367">
        <v>31</v>
      </c>
      <c r="B4367" s="64">
        <v>40739</v>
      </c>
      <c r="C4367" s="2">
        <v>1415473.91</v>
      </c>
      <c r="D4367">
        <v>0</v>
      </c>
      <c r="E4367" s="65">
        <v>91.05</v>
      </c>
      <c r="F4367" s="8">
        <v>3.575</v>
      </c>
      <c r="G4367" s="66">
        <v>215.0134426</v>
      </c>
      <c r="H4367" s="8">
        <v>7.852</v>
      </c>
      <c r="J4367" s="26"/>
      <c r="K4367"/>
    </row>
    <row r="4368" spans="1:11">
      <c r="A4368">
        <v>31</v>
      </c>
      <c r="B4368" s="64">
        <v>40746</v>
      </c>
      <c r="C4368" s="2">
        <v>1401944.8</v>
      </c>
      <c r="D4368">
        <v>0</v>
      </c>
      <c r="E4368" s="65">
        <v>90.27</v>
      </c>
      <c r="F4368" s="8">
        <v>3.651</v>
      </c>
      <c r="G4368" s="66">
        <v>215.0749122</v>
      </c>
      <c r="H4368" s="8">
        <v>7.852</v>
      </c>
      <c r="J4368" s="26"/>
      <c r="K4368"/>
    </row>
    <row r="4369" spans="1:11">
      <c r="A4369">
        <v>31</v>
      </c>
      <c r="B4369" s="64">
        <v>40753</v>
      </c>
      <c r="C4369" s="2">
        <v>1308122.15</v>
      </c>
      <c r="D4369">
        <v>0</v>
      </c>
      <c r="E4369" s="65">
        <v>91.56</v>
      </c>
      <c r="F4369" s="8">
        <v>3.682</v>
      </c>
      <c r="G4369" s="66">
        <v>215.1363819</v>
      </c>
      <c r="H4369" s="8">
        <v>7.852</v>
      </c>
      <c r="J4369" s="26"/>
      <c r="K4369"/>
    </row>
    <row r="4370" spans="1:11">
      <c r="A4370">
        <v>31</v>
      </c>
      <c r="B4370" s="64">
        <v>40760</v>
      </c>
      <c r="C4370" s="2">
        <v>1428993.33</v>
      </c>
      <c r="D4370">
        <v>0</v>
      </c>
      <c r="E4370" s="65">
        <v>94.22</v>
      </c>
      <c r="F4370" s="8">
        <v>3.684</v>
      </c>
      <c r="G4370" s="66">
        <v>215.1978515</v>
      </c>
      <c r="H4370" s="8">
        <v>7.852</v>
      </c>
      <c r="J4370" s="26"/>
      <c r="K4370"/>
    </row>
    <row r="4371" spans="1:11">
      <c r="A4371">
        <v>31</v>
      </c>
      <c r="B4371" s="64">
        <v>40767</v>
      </c>
      <c r="C4371" s="2">
        <v>1443311.49</v>
      </c>
      <c r="D4371">
        <v>0</v>
      </c>
      <c r="E4371" s="65">
        <v>92.32</v>
      </c>
      <c r="F4371" s="8">
        <v>3.638</v>
      </c>
      <c r="G4371" s="66">
        <v>215.2593211</v>
      </c>
      <c r="H4371" s="8">
        <v>7.852</v>
      </c>
      <c r="J4371" s="26"/>
      <c r="K4371"/>
    </row>
    <row r="4372" spans="1:11">
      <c r="A4372">
        <v>31</v>
      </c>
      <c r="B4372" s="64">
        <v>40774</v>
      </c>
      <c r="C4372" s="2">
        <v>1487542.53</v>
      </c>
      <c r="D4372">
        <v>0</v>
      </c>
      <c r="E4372" s="65">
        <v>90.11</v>
      </c>
      <c r="F4372" s="8">
        <v>3.554</v>
      </c>
      <c r="G4372" s="66">
        <v>215.3229307</v>
      </c>
      <c r="H4372" s="8">
        <v>7.852</v>
      </c>
      <c r="J4372" s="26"/>
      <c r="K4372"/>
    </row>
    <row r="4373" spans="1:11">
      <c r="A4373">
        <v>31</v>
      </c>
      <c r="B4373" s="64">
        <v>40781</v>
      </c>
      <c r="C4373" s="2">
        <v>1417267.07</v>
      </c>
      <c r="D4373">
        <v>0</v>
      </c>
      <c r="E4373" s="65">
        <v>92.07</v>
      </c>
      <c r="F4373" s="8">
        <v>3.523</v>
      </c>
      <c r="G4373" s="66">
        <v>215.386897</v>
      </c>
      <c r="H4373" s="8">
        <v>7.852</v>
      </c>
      <c r="J4373" s="26"/>
      <c r="K4373"/>
    </row>
    <row r="4374" spans="1:11">
      <c r="A4374">
        <v>31</v>
      </c>
      <c r="B4374" s="64">
        <v>40788</v>
      </c>
      <c r="C4374" s="2">
        <v>1385769.03</v>
      </c>
      <c r="D4374">
        <v>0</v>
      </c>
      <c r="E4374" s="65">
        <v>91.94</v>
      </c>
      <c r="F4374" s="8">
        <v>3.533</v>
      </c>
      <c r="G4374" s="66">
        <v>215.4508632</v>
      </c>
      <c r="H4374" s="8">
        <v>7.852</v>
      </c>
      <c r="J4374" s="26"/>
      <c r="K4374"/>
    </row>
    <row r="4375" spans="1:11">
      <c r="A4375">
        <v>31</v>
      </c>
      <c r="B4375" s="64">
        <v>40795</v>
      </c>
      <c r="C4375" s="2">
        <v>1376670.27</v>
      </c>
      <c r="D4375">
        <v>1</v>
      </c>
      <c r="E4375" s="65">
        <v>78.87</v>
      </c>
      <c r="F4375" s="8">
        <v>3.546</v>
      </c>
      <c r="G4375" s="66">
        <v>215.5148295</v>
      </c>
      <c r="H4375" s="8">
        <v>7.852</v>
      </c>
      <c r="J4375" s="26"/>
      <c r="K4375"/>
    </row>
    <row r="4376" spans="1:11">
      <c r="A4376">
        <v>31</v>
      </c>
      <c r="B4376" s="64">
        <v>40802</v>
      </c>
      <c r="C4376" s="2">
        <v>1363460.86</v>
      </c>
      <c r="D4376">
        <v>0</v>
      </c>
      <c r="E4376" s="65">
        <v>80.62</v>
      </c>
      <c r="F4376" s="8">
        <v>3.526</v>
      </c>
      <c r="G4376" s="66">
        <v>215.6944378</v>
      </c>
      <c r="H4376" s="8">
        <v>7.852</v>
      </c>
      <c r="J4376" s="26"/>
      <c r="K4376"/>
    </row>
    <row r="4377" spans="1:11">
      <c r="A4377">
        <v>31</v>
      </c>
      <c r="B4377" s="64">
        <v>40809</v>
      </c>
      <c r="C4377" s="2">
        <v>1347607.74</v>
      </c>
      <c r="D4377">
        <v>0</v>
      </c>
      <c r="E4377" s="65">
        <v>75.68</v>
      </c>
      <c r="F4377" s="8">
        <v>3.467</v>
      </c>
      <c r="G4377" s="66">
        <v>216.0282356</v>
      </c>
      <c r="H4377" s="8">
        <v>7.852</v>
      </c>
      <c r="J4377" s="26"/>
      <c r="K4377"/>
    </row>
    <row r="4378" spans="1:11">
      <c r="A4378">
        <v>31</v>
      </c>
      <c r="B4378" s="64">
        <v>40816</v>
      </c>
      <c r="C4378" s="2">
        <v>1285534.74</v>
      </c>
      <c r="D4378">
        <v>0</v>
      </c>
      <c r="E4378" s="65">
        <v>78.91</v>
      </c>
      <c r="F4378" s="8">
        <v>3.355</v>
      </c>
      <c r="G4378" s="66">
        <v>216.3620333</v>
      </c>
      <c r="H4378" s="8">
        <v>7.852</v>
      </c>
      <c r="J4378" s="26"/>
      <c r="K4378"/>
    </row>
    <row r="4379" spans="1:11">
      <c r="A4379">
        <v>31</v>
      </c>
      <c r="B4379" s="64">
        <v>40823</v>
      </c>
      <c r="C4379" s="2">
        <v>1427383.24</v>
      </c>
      <c r="D4379">
        <v>0</v>
      </c>
      <c r="E4379" s="65">
        <v>71.64</v>
      </c>
      <c r="F4379" s="8">
        <v>3.285</v>
      </c>
      <c r="G4379" s="66">
        <v>216.6958311</v>
      </c>
      <c r="H4379" s="8">
        <v>7.441</v>
      </c>
      <c r="J4379" s="26"/>
      <c r="K4379"/>
    </row>
    <row r="4380" spans="1:11">
      <c r="A4380">
        <v>31</v>
      </c>
      <c r="B4380" s="64">
        <v>40830</v>
      </c>
      <c r="C4380" s="2">
        <v>1378340.18</v>
      </c>
      <c r="D4380">
        <v>0</v>
      </c>
      <c r="E4380" s="65">
        <v>69.79</v>
      </c>
      <c r="F4380" s="8">
        <v>3.274</v>
      </c>
      <c r="G4380" s="66">
        <v>217.0048261</v>
      </c>
      <c r="H4380" s="8">
        <v>7.441</v>
      </c>
      <c r="J4380" s="26"/>
      <c r="K4380"/>
    </row>
    <row r="4381" spans="1:11">
      <c r="A4381">
        <v>31</v>
      </c>
      <c r="B4381" s="64">
        <v>40837</v>
      </c>
      <c r="C4381" s="2">
        <v>1409310.4</v>
      </c>
      <c r="D4381">
        <v>0</v>
      </c>
      <c r="E4381" s="65">
        <v>65.16</v>
      </c>
      <c r="F4381" s="8">
        <v>3.353</v>
      </c>
      <c r="G4381" s="66">
        <v>217.1650042</v>
      </c>
      <c r="H4381" s="8">
        <v>7.441</v>
      </c>
      <c r="J4381" s="26"/>
      <c r="K4381"/>
    </row>
    <row r="4382" spans="1:11">
      <c r="A4382">
        <v>31</v>
      </c>
      <c r="B4382" s="64">
        <v>40844</v>
      </c>
      <c r="C4382" s="2">
        <v>1346862.72</v>
      </c>
      <c r="D4382">
        <v>0</v>
      </c>
      <c r="E4382" s="65">
        <v>65.46</v>
      </c>
      <c r="F4382" s="8">
        <v>3.372</v>
      </c>
      <c r="G4382" s="66">
        <v>217.3251824</v>
      </c>
      <c r="H4382" s="8">
        <v>7.441</v>
      </c>
      <c r="J4382" s="26"/>
      <c r="K4382"/>
    </row>
    <row r="4383" spans="1:11">
      <c r="A4383">
        <v>31</v>
      </c>
      <c r="B4383" s="64">
        <v>40851</v>
      </c>
      <c r="C4383" s="2">
        <v>1426405.46</v>
      </c>
      <c r="D4383">
        <v>0</v>
      </c>
      <c r="E4383" s="65">
        <v>56.01</v>
      </c>
      <c r="F4383" s="8">
        <v>3.332</v>
      </c>
      <c r="G4383" s="66">
        <v>217.4853605</v>
      </c>
      <c r="H4383" s="8">
        <v>7.441</v>
      </c>
      <c r="J4383" s="26"/>
      <c r="K4383"/>
    </row>
    <row r="4384" spans="1:11">
      <c r="A4384">
        <v>31</v>
      </c>
      <c r="B4384" s="64">
        <v>40858</v>
      </c>
      <c r="C4384" s="2">
        <v>1444783.64</v>
      </c>
      <c r="D4384">
        <v>0</v>
      </c>
      <c r="E4384" s="65">
        <v>59.8</v>
      </c>
      <c r="F4384" s="8">
        <v>3.297</v>
      </c>
      <c r="G4384" s="66">
        <v>217.6455387</v>
      </c>
      <c r="H4384" s="8">
        <v>7.441</v>
      </c>
      <c r="J4384" s="26"/>
      <c r="K4384"/>
    </row>
    <row r="4385" spans="1:11">
      <c r="A4385">
        <v>31</v>
      </c>
      <c r="B4385" s="64">
        <v>40865</v>
      </c>
      <c r="C4385" s="2">
        <v>1445174.79</v>
      </c>
      <c r="D4385">
        <v>0</v>
      </c>
      <c r="E4385" s="65">
        <v>61.9</v>
      </c>
      <c r="F4385" s="8">
        <v>3.308</v>
      </c>
      <c r="G4385" s="66">
        <v>217.8670218</v>
      </c>
      <c r="H4385" s="8">
        <v>7.441</v>
      </c>
      <c r="J4385" s="26"/>
      <c r="K4385"/>
    </row>
    <row r="4386" spans="1:11">
      <c r="A4386">
        <v>31</v>
      </c>
      <c r="B4386" s="64">
        <v>40872</v>
      </c>
      <c r="C4386" s="2">
        <v>1934099.65</v>
      </c>
      <c r="D4386">
        <v>1</v>
      </c>
      <c r="E4386" s="65">
        <v>56.43</v>
      </c>
      <c r="F4386" s="8">
        <v>3.236</v>
      </c>
      <c r="G4386" s="66">
        <v>218.1130269</v>
      </c>
      <c r="H4386" s="8">
        <v>7.441</v>
      </c>
      <c r="J4386" s="26"/>
      <c r="K4386"/>
    </row>
    <row r="4387" spans="1:11">
      <c r="A4387">
        <v>31</v>
      </c>
      <c r="B4387" s="64">
        <v>40879</v>
      </c>
      <c r="C4387" s="2">
        <v>1388809.43</v>
      </c>
      <c r="D4387">
        <v>0</v>
      </c>
      <c r="E4387" s="65">
        <v>48.72</v>
      </c>
      <c r="F4387" s="8">
        <v>3.172</v>
      </c>
      <c r="G4387" s="66">
        <v>218.3590319</v>
      </c>
      <c r="H4387" s="8">
        <v>7.441</v>
      </c>
      <c r="J4387" s="26"/>
      <c r="K4387"/>
    </row>
    <row r="4388" spans="1:11">
      <c r="A4388">
        <v>31</v>
      </c>
      <c r="B4388" s="64">
        <v>40886</v>
      </c>
      <c r="C4388" s="2">
        <v>1556798.94</v>
      </c>
      <c r="D4388">
        <v>0</v>
      </c>
      <c r="E4388" s="65">
        <v>41.44</v>
      </c>
      <c r="F4388" s="8">
        <v>3.158</v>
      </c>
      <c r="G4388" s="66">
        <v>218.605037</v>
      </c>
      <c r="H4388" s="8">
        <v>7.441</v>
      </c>
      <c r="J4388" s="26"/>
      <c r="K4388"/>
    </row>
    <row r="4389" spans="1:11">
      <c r="A4389">
        <v>31</v>
      </c>
      <c r="B4389" s="64">
        <v>40893</v>
      </c>
      <c r="C4389" s="2">
        <v>1611196.61</v>
      </c>
      <c r="D4389">
        <v>0</v>
      </c>
      <c r="E4389" s="65">
        <v>50.56</v>
      </c>
      <c r="F4389" s="8">
        <v>3.159</v>
      </c>
      <c r="G4389" s="66">
        <v>218.8217928</v>
      </c>
      <c r="H4389" s="8">
        <v>7.441</v>
      </c>
      <c r="J4389" s="26"/>
      <c r="K4389"/>
    </row>
    <row r="4390" spans="1:11">
      <c r="A4390">
        <v>31</v>
      </c>
      <c r="B4390" s="64">
        <v>40900</v>
      </c>
      <c r="C4390" s="2">
        <v>2026176.14</v>
      </c>
      <c r="D4390">
        <v>0</v>
      </c>
      <c r="E4390" s="65">
        <v>46.54</v>
      </c>
      <c r="F4390" s="8">
        <v>3.112</v>
      </c>
      <c r="G4390" s="66">
        <v>218.9995495</v>
      </c>
      <c r="H4390" s="8">
        <v>7.441</v>
      </c>
      <c r="J4390" s="26"/>
      <c r="K4390"/>
    </row>
    <row r="4391" spans="1:11">
      <c r="A4391">
        <v>31</v>
      </c>
      <c r="B4391" s="64">
        <v>40907</v>
      </c>
      <c r="C4391" s="2">
        <v>1355405.95</v>
      </c>
      <c r="D4391">
        <v>1</v>
      </c>
      <c r="E4391" s="65">
        <v>45.16</v>
      </c>
      <c r="F4391" s="8">
        <v>3.129</v>
      </c>
      <c r="G4391" s="66">
        <v>219.1773063</v>
      </c>
      <c r="H4391" s="8">
        <v>7.441</v>
      </c>
      <c r="J4391" s="26"/>
      <c r="K4391"/>
    </row>
    <row r="4392" spans="1:11">
      <c r="A4392">
        <v>31</v>
      </c>
      <c r="B4392" s="64">
        <v>40914</v>
      </c>
      <c r="C4392" s="2">
        <v>1401232.52</v>
      </c>
      <c r="D4392">
        <v>0</v>
      </c>
      <c r="E4392" s="65">
        <v>48.1</v>
      </c>
      <c r="F4392" s="8">
        <v>3.157</v>
      </c>
      <c r="G4392" s="66">
        <v>219.355063</v>
      </c>
      <c r="H4392" s="8">
        <v>7.057</v>
      </c>
      <c r="J4392" s="26"/>
      <c r="K4392"/>
    </row>
    <row r="4393" spans="1:11">
      <c r="A4393">
        <v>31</v>
      </c>
      <c r="B4393" s="64">
        <v>40921</v>
      </c>
      <c r="C4393" s="2">
        <v>1377485.12</v>
      </c>
      <c r="D4393">
        <v>0</v>
      </c>
      <c r="E4393" s="65">
        <v>45</v>
      </c>
      <c r="F4393" s="8">
        <v>3.261</v>
      </c>
      <c r="G4393" s="66">
        <v>219.5328198</v>
      </c>
      <c r="H4393" s="8">
        <v>7.057</v>
      </c>
      <c r="J4393" s="26"/>
      <c r="K4393"/>
    </row>
    <row r="4394" spans="1:11">
      <c r="A4394">
        <v>31</v>
      </c>
      <c r="B4394" s="64">
        <v>40928</v>
      </c>
      <c r="C4394" s="2">
        <v>1372504.9</v>
      </c>
      <c r="D4394">
        <v>0</v>
      </c>
      <c r="E4394" s="65">
        <v>52.21</v>
      </c>
      <c r="F4394" s="8">
        <v>3.268</v>
      </c>
      <c r="G4394" s="66">
        <v>219.6258417</v>
      </c>
      <c r="H4394" s="8">
        <v>7.057</v>
      </c>
      <c r="J4394" s="26"/>
      <c r="K4394"/>
    </row>
    <row r="4395" spans="1:11">
      <c r="A4395">
        <v>31</v>
      </c>
      <c r="B4395" s="64">
        <v>40935</v>
      </c>
      <c r="C4395" s="2">
        <v>1259941.48</v>
      </c>
      <c r="D4395">
        <v>0</v>
      </c>
      <c r="E4395" s="65">
        <v>50.79</v>
      </c>
      <c r="F4395" s="8">
        <v>3.29</v>
      </c>
      <c r="G4395" s="66">
        <v>219.7188636</v>
      </c>
      <c r="H4395" s="8">
        <v>7.057</v>
      </c>
      <c r="J4395" s="26"/>
      <c r="K4395"/>
    </row>
    <row r="4396" spans="1:11">
      <c r="A4396">
        <v>31</v>
      </c>
      <c r="B4396" s="64">
        <v>40942</v>
      </c>
      <c r="C4396" s="2">
        <v>1391479.91</v>
      </c>
      <c r="D4396">
        <v>0</v>
      </c>
      <c r="E4396" s="65">
        <v>55.83</v>
      </c>
      <c r="F4396" s="8">
        <v>3.36</v>
      </c>
      <c r="G4396" s="66">
        <v>219.8118854</v>
      </c>
      <c r="H4396" s="8">
        <v>7.057</v>
      </c>
      <c r="J4396" s="26"/>
      <c r="K4396"/>
    </row>
    <row r="4397" spans="1:11">
      <c r="A4397">
        <v>31</v>
      </c>
      <c r="B4397" s="64">
        <v>40949</v>
      </c>
      <c r="C4397" s="2">
        <v>1527688.58</v>
      </c>
      <c r="D4397">
        <v>1</v>
      </c>
      <c r="E4397" s="65">
        <v>46.52</v>
      </c>
      <c r="F4397" s="8">
        <v>3.409</v>
      </c>
      <c r="G4397" s="66">
        <v>219.9049073</v>
      </c>
      <c r="H4397" s="8">
        <v>7.057</v>
      </c>
      <c r="J4397" s="26"/>
      <c r="K4397"/>
    </row>
    <row r="4398" spans="1:11">
      <c r="A4398">
        <v>31</v>
      </c>
      <c r="B4398" s="64">
        <v>40956</v>
      </c>
      <c r="C4398" s="2">
        <v>1570813.52</v>
      </c>
      <c r="D4398">
        <v>0</v>
      </c>
      <c r="E4398" s="65">
        <v>45.03</v>
      </c>
      <c r="F4398" s="8">
        <v>3.51</v>
      </c>
      <c r="G4398" s="66">
        <v>220.0651993</v>
      </c>
      <c r="H4398" s="8">
        <v>7.057</v>
      </c>
      <c r="J4398" s="26"/>
      <c r="K4398"/>
    </row>
    <row r="4399" spans="1:11">
      <c r="A4399">
        <v>31</v>
      </c>
      <c r="B4399" s="64">
        <v>40963</v>
      </c>
      <c r="C4399" s="2">
        <v>1392543.37</v>
      </c>
      <c r="D4399">
        <v>0</v>
      </c>
      <c r="E4399" s="65">
        <v>54.81</v>
      </c>
      <c r="F4399" s="8">
        <v>3.555</v>
      </c>
      <c r="G4399" s="66">
        <v>220.275944</v>
      </c>
      <c r="H4399" s="8">
        <v>7.057</v>
      </c>
      <c r="J4399" s="26"/>
      <c r="K4399"/>
    </row>
    <row r="4400" spans="1:11">
      <c r="A4400">
        <v>31</v>
      </c>
      <c r="B4400" s="64">
        <v>40970</v>
      </c>
      <c r="C4400" s="2">
        <v>1427881.22</v>
      </c>
      <c r="D4400">
        <v>0</v>
      </c>
      <c r="E4400" s="65">
        <v>59.3</v>
      </c>
      <c r="F4400" s="8">
        <v>3.63</v>
      </c>
      <c r="G4400" s="66">
        <v>220.4866886</v>
      </c>
      <c r="H4400" s="8">
        <v>7.057</v>
      </c>
      <c r="J4400" s="26"/>
      <c r="K4400"/>
    </row>
    <row r="4401" spans="1:11">
      <c r="A4401">
        <v>31</v>
      </c>
      <c r="B4401" s="64">
        <v>40977</v>
      </c>
      <c r="C4401" s="2">
        <v>1439034.86</v>
      </c>
      <c r="D4401">
        <v>0</v>
      </c>
      <c r="E4401" s="65">
        <v>57.16</v>
      </c>
      <c r="F4401" s="8">
        <v>3.669</v>
      </c>
      <c r="G4401" s="66">
        <v>220.6974332</v>
      </c>
      <c r="H4401" s="8">
        <v>7.057</v>
      </c>
      <c r="J4401" s="26"/>
      <c r="K4401"/>
    </row>
    <row r="4402" spans="1:11">
      <c r="A4402">
        <v>31</v>
      </c>
      <c r="B4402" s="64">
        <v>40984</v>
      </c>
      <c r="C4402" s="2">
        <v>1481728.13</v>
      </c>
      <c r="D4402">
        <v>0</v>
      </c>
      <c r="E4402" s="65">
        <v>63.39</v>
      </c>
      <c r="F4402" s="8">
        <v>3.734</v>
      </c>
      <c r="G4402" s="66">
        <v>220.8498468</v>
      </c>
      <c r="H4402" s="8">
        <v>7.057</v>
      </c>
      <c r="J4402" s="26"/>
      <c r="K4402"/>
    </row>
    <row r="4403" spans="1:11">
      <c r="A4403">
        <v>31</v>
      </c>
      <c r="B4403" s="64">
        <v>40991</v>
      </c>
      <c r="C4403" s="2">
        <v>1365824.97</v>
      </c>
      <c r="D4403">
        <v>0</v>
      </c>
      <c r="E4403" s="65">
        <v>62.96</v>
      </c>
      <c r="F4403" s="8">
        <v>3.787</v>
      </c>
      <c r="G4403" s="66">
        <v>220.9244858</v>
      </c>
      <c r="H4403" s="8">
        <v>7.057</v>
      </c>
      <c r="J4403" s="26"/>
      <c r="K4403"/>
    </row>
    <row r="4404" spans="1:11">
      <c r="A4404">
        <v>31</v>
      </c>
      <c r="B4404" s="64">
        <v>40998</v>
      </c>
      <c r="C4404" s="2">
        <v>1318854.22</v>
      </c>
      <c r="D4404">
        <v>0</v>
      </c>
      <c r="E4404" s="65">
        <v>67.87</v>
      </c>
      <c r="F4404" s="8">
        <v>3.845</v>
      </c>
      <c r="G4404" s="66">
        <v>220.9991248</v>
      </c>
      <c r="H4404" s="8">
        <v>7.057</v>
      </c>
      <c r="J4404" s="26"/>
      <c r="K4404"/>
    </row>
    <row r="4405" spans="1:11">
      <c r="A4405">
        <v>31</v>
      </c>
      <c r="B4405" s="64">
        <v>41005</v>
      </c>
      <c r="C4405" s="2">
        <v>1496169.81</v>
      </c>
      <c r="D4405">
        <v>0</v>
      </c>
      <c r="E4405" s="65">
        <v>69.02</v>
      </c>
      <c r="F4405" s="8">
        <v>3.891</v>
      </c>
      <c r="G4405" s="66">
        <v>221.0737638</v>
      </c>
      <c r="H4405" s="8">
        <v>6.891</v>
      </c>
      <c r="J4405" s="26"/>
      <c r="K4405"/>
    </row>
    <row r="4406" spans="1:11">
      <c r="A4406">
        <v>31</v>
      </c>
      <c r="B4406" s="64">
        <v>41012</v>
      </c>
      <c r="C4406" s="2">
        <v>1407842.91</v>
      </c>
      <c r="D4406">
        <v>0</v>
      </c>
      <c r="E4406" s="65">
        <v>69.03</v>
      </c>
      <c r="F4406" s="8">
        <v>3.891</v>
      </c>
      <c r="G4406" s="66">
        <v>221.1484028</v>
      </c>
      <c r="H4406" s="8">
        <v>6.891</v>
      </c>
      <c r="J4406" s="26"/>
      <c r="K4406"/>
    </row>
    <row r="4407" spans="1:11">
      <c r="A4407">
        <v>31</v>
      </c>
      <c r="B4407" s="64">
        <v>41019</v>
      </c>
      <c r="C4407" s="2">
        <v>1407036.59</v>
      </c>
      <c r="D4407">
        <v>0</v>
      </c>
      <c r="E4407" s="65">
        <v>66.97</v>
      </c>
      <c r="F4407" s="8">
        <v>3.877</v>
      </c>
      <c r="G4407" s="66">
        <v>221.2021074</v>
      </c>
      <c r="H4407" s="8">
        <v>6.891</v>
      </c>
      <c r="J4407" s="26"/>
      <c r="K4407"/>
    </row>
    <row r="4408" spans="1:11">
      <c r="A4408">
        <v>31</v>
      </c>
      <c r="B4408" s="64">
        <v>41026</v>
      </c>
      <c r="C4408" s="2">
        <v>1311352.25</v>
      </c>
      <c r="D4408">
        <v>0</v>
      </c>
      <c r="E4408" s="65">
        <v>69.21</v>
      </c>
      <c r="F4408" s="8">
        <v>3.814</v>
      </c>
      <c r="G4408" s="66">
        <v>221.255812</v>
      </c>
      <c r="H4408" s="8">
        <v>6.891</v>
      </c>
      <c r="J4408" s="26"/>
      <c r="K4408"/>
    </row>
    <row r="4409" spans="1:11">
      <c r="A4409">
        <v>31</v>
      </c>
      <c r="B4409" s="64">
        <v>41033</v>
      </c>
      <c r="C4409" s="2">
        <v>1391257.28</v>
      </c>
      <c r="D4409">
        <v>0</v>
      </c>
      <c r="E4409" s="65">
        <v>77.53</v>
      </c>
      <c r="F4409" s="8">
        <v>3.749</v>
      </c>
      <c r="G4409" s="66">
        <v>221.3095166</v>
      </c>
      <c r="H4409" s="8">
        <v>6.891</v>
      </c>
      <c r="J4409" s="26"/>
      <c r="K4409"/>
    </row>
    <row r="4410" spans="1:11">
      <c r="A4410">
        <v>31</v>
      </c>
      <c r="B4410" s="64">
        <v>41040</v>
      </c>
      <c r="C4410" s="2">
        <v>1392938.06</v>
      </c>
      <c r="D4410">
        <v>0</v>
      </c>
      <c r="E4410" s="65">
        <v>74.14</v>
      </c>
      <c r="F4410" s="8">
        <v>3.688</v>
      </c>
      <c r="G4410" s="66">
        <v>221.3632212</v>
      </c>
      <c r="H4410" s="8">
        <v>6.891</v>
      </c>
      <c r="J4410" s="26"/>
      <c r="K4410"/>
    </row>
    <row r="4411" spans="1:11">
      <c r="A4411">
        <v>31</v>
      </c>
      <c r="B4411" s="64">
        <v>41047</v>
      </c>
      <c r="C4411" s="2">
        <v>1441473.82</v>
      </c>
      <c r="D4411">
        <v>0</v>
      </c>
      <c r="E4411" s="65">
        <v>72.42</v>
      </c>
      <c r="F4411" s="8">
        <v>3.63</v>
      </c>
      <c r="G4411" s="66">
        <v>221.380331</v>
      </c>
      <c r="H4411" s="8">
        <v>6.891</v>
      </c>
      <c r="J4411" s="26"/>
      <c r="K4411"/>
    </row>
    <row r="4412" spans="1:11">
      <c r="A4412">
        <v>31</v>
      </c>
      <c r="B4412" s="64">
        <v>41054</v>
      </c>
      <c r="C4412" s="2">
        <v>1397094.26</v>
      </c>
      <c r="D4412">
        <v>0</v>
      </c>
      <c r="E4412" s="65">
        <v>79.49</v>
      </c>
      <c r="F4412" s="8">
        <v>3.561</v>
      </c>
      <c r="G4412" s="66">
        <v>221.3828029</v>
      </c>
      <c r="H4412" s="8">
        <v>6.891</v>
      </c>
      <c r="J4412" s="26"/>
      <c r="K4412"/>
    </row>
    <row r="4413" spans="1:11">
      <c r="A4413">
        <v>31</v>
      </c>
      <c r="B4413" s="64">
        <v>41061</v>
      </c>
      <c r="C4413" s="2">
        <v>1404516.29</v>
      </c>
      <c r="D4413">
        <v>0</v>
      </c>
      <c r="E4413" s="65">
        <v>79.24</v>
      </c>
      <c r="F4413" s="8">
        <v>3.501</v>
      </c>
      <c r="G4413" s="66">
        <v>221.3852748</v>
      </c>
      <c r="H4413" s="8">
        <v>6.891</v>
      </c>
      <c r="J4413" s="26"/>
      <c r="K4413"/>
    </row>
    <row r="4414" spans="1:11">
      <c r="A4414">
        <v>31</v>
      </c>
      <c r="B4414" s="64">
        <v>41068</v>
      </c>
      <c r="C4414" s="2">
        <v>1443285.79</v>
      </c>
      <c r="D4414">
        <v>0</v>
      </c>
      <c r="E4414" s="65">
        <v>79.47</v>
      </c>
      <c r="F4414" s="8">
        <v>3.452</v>
      </c>
      <c r="G4414" s="66">
        <v>221.3877467</v>
      </c>
      <c r="H4414" s="8">
        <v>6.891</v>
      </c>
      <c r="J4414" s="26"/>
      <c r="K4414"/>
    </row>
    <row r="4415" spans="1:11">
      <c r="A4415">
        <v>31</v>
      </c>
      <c r="B4415" s="64">
        <v>41075</v>
      </c>
      <c r="C4415" s="2">
        <v>1431003.43</v>
      </c>
      <c r="D4415">
        <v>0</v>
      </c>
      <c r="E4415" s="65">
        <v>81.51</v>
      </c>
      <c r="F4415" s="8">
        <v>3.393</v>
      </c>
      <c r="G4415" s="66">
        <v>221.4009901</v>
      </c>
      <c r="H4415" s="8">
        <v>6.891</v>
      </c>
      <c r="J4415" s="26"/>
      <c r="K4415"/>
    </row>
    <row r="4416" spans="1:11">
      <c r="A4416">
        <v>31</v>
      </c>
      <c r="B4416" s="64">
        <v>41082</v>
      </c>
      <c r="C4416" s="2">
        <v>1394065.76</v>
      </c>
      <c r="D4416">
        <v>0</v>
      </c>
      <c r="E4416" s="65">
        <v>81.78</v>
      </c>
      <c r="F4416" s="8">
        <v>3.346</v>
      </c>
      <c r="G4416" s="66">
        <v>221.4411622</v>
      </c>
      <c r="H4416" s="8">
        <v>6.891</v>
      </c>
      <c r="J4416" s="26"/>
      <c r="K4416"/>
    </row>
    <row r="4417" spans="1:11">
      <c r="A4417">
        <v>31</v>
      </c>
      <c r="B4417" s="64">
        <v>41089</v>
      </c>
      <c r="C4417" s="2">
        <v>1349202.25</v>
      </c>
      <c r="D4417">
        <v>0</v>
      </c>
      <c r="E4417" s="65">
        <v>88.05</v>
      </c>
      <c r="F4417" s="8">
        <v>3.286</v>
      </c>
      <c r="G4417" s="66">
        <v>221.4813343</v>
      </c>
      <c r="H4417" s="8">
        <v>6.891</v>
      </c>
      <c r="J4417" s="26"/>
      <c r="K4417"/>
    </row>
    <row r="4418" spans="1:11">
      <c r="A4418">
        <v>31</v>
      </c>
      <c r="B4418" s="64">
        <v>41096</v>
      </c>
      <c r="C4418" s="2">
        <v>1458059.42</v>
      </c>
      <c r="D4418">
        <v>0</v>
      </c>
      <c r="E4418" s="65">
        <v>85.26</v>
      </c>
      <c r="F4418" s="8">
        <v>3.227</v>
      </c>
      <c r="G4418" s="66">
        <v>221.5215064</v>
      </c>
      <c r="H4418" s="8">
        <v>6.565</v>
      </c>
      <c r="J4418" s="26"/>
      <c r="K4418"/>
    </row>
    <row r="4419" spans="1:11">
      <c r="A4419">
        <v>31</v>
      </c>
      <c r="B4419" s="64">
        <v>41103</v>
      </c>
      <c r="C4419" s="2">
        <v>1374301.34</v>
      </c>
      <c r="D4419">
        <v>0</v>
      </c>
      <c r="E4419" s="65">
        <v>82.51</v>
      </c>
      <c r="F4419" s="8">
        <v>3.256</v>
      </c>
      <c r="G4419" s="66">
        <v>221.5616784</v>
      </c>
      <c r="H4419" s="8">
        <v>6.565</v>
      </c>
      <c r="J4419" s="26"/>
      <c r="K4419"/>
    </row>
    <row r="4420" spans="1:11">
      <c r="A4420">
        <v>31</v>
      </c>
      <c r="B4420" s="64">
        <v>41110</v>
      </c>
      <c r="C4420" s="2">
        <v>1392395.2</v>
      </c>
      <c r="D4420">
        <v>0</v>
      </c>
      <c r="E4420" s="65">
        <v>84.25</v>
      </c>
      <c r="F4420" s="8">
        <v>3.311</v>
      </c>
      <c r="G4420" s="66">
        <v>221.5701123</v>
      </c>
      <c r="H4420" s="8">
        <v>6.565</v>
      </c>
      <c r="J4420" s="26"/>
      <c r="K4420"/>
    </row>
    <row r="4421" spans="1:11">
      <c r="A4421">
        <v>31</v>
      </c>
      <c r="B4421" s="64">
        <v>41117</v>
      </c>
      <c r="C4421" s="2">
        <v>1303732.36</v>
      </c>
      <c r="D4421">
        <v>0</v>
      </c>
      <c r="E4421" s="65">
        <v>88.09</v>
      </c>
      <c r="F4421" s="8">
        <v>3.407</v>
      </c>
      <c r="G4421" s="66">
        <v>221.5785461</v>
      </c>
      <c r="H4421" s="8">
        <v>6.565</v>
      </c>
      <c r="J4421" s="26"/>
      <c r="K4421"/>
    </row>
    <row r="4422" spans="1:11">
      <c r="A4422">
        <v>31</v>
      </c>
      <c r="B4422" s="64">
        <v>41124</v>
      </c>
      <c r="C4422" s="2">
        <v>1390174.63</v>
      </c>
      <c r="D4422">
        <v>0</v>
      </c>
      <c r="E4422" s="65">
        <v>91.57</v>
      </c>
      <c r="F4422" s="8">
        <v>3.417</v>
      </c>
      <c r="G4422" s="66">
        <v>221.5869799</v>
      </c>
      <c r="H4422" s="8">
        <v>6.565</v>
      </c>
      <c r="J4422" s="26"/>
      <c r="K4422"/>
    </row>
    <row r="4423" spans="1:11">
      <c r="A4423">
        <v>31</v>
      </c>
      <c r="B4423" s="64">
        <v>41131</v>
      </c>
      <c r="C4423" s="2">
        <v>1386472.59</v>
      </c>
      <c r="D4423">
        <v>0</v>
      </c>
      <c r="E4423" s="65">
        <v>89.57</v>
      </c>
      <c r="F4423" s="8">
        <v>3.494</v>
      </c>
      <c r="G4423" s="66">
        <v>221.5954138</v>
      </c>
      <c r="H4423" s="8">
        <v>6.565</v>
      </c>
      <c r="J4423" s="26"/>
      <c r="K4423"/>
    </row>
    <row r="4424" spans="1:11">
      <c r="A4424">
        <v>31</v>
      </c>
      <c r="B4424" s="64">
        <v>41138</v>
      </c>
      <c r="C4424" s="2">
        <v>1410181.7</v>
      </c>
      <c r="D4424">
        <v>0</v>
      </c>
      <c r="E4424" s="65">
        <v>85.55</v>
      </c>
      <c r="F4424" s="8">
        <v>3.571</v>
      </c>
      <c r="G4424" s="66">
        <v>221.6751459</v>
      </c>
      <c r="H4424" s="8">
        <v>6.565</v>
      </c>
      <c r="J4424" s="26"/>
      <c r="K4424"/>
    </row>
    <row r="4425" spans="1:11">
      <c r="A4425">
        <v>31</v>
      </c>
      <c r="B4425" s="64">
        <v>41145</v>
      </c>
      <c r="C4425" s="2">
        <v>1379783.21</v>
      </c>
      <c r="D4425">
        <v>0</v>
      </c>
      <c r="E4425" s="65">
        <v>77.72</v>
      </c>
      <c r="F4425" s="8">
        <v>3.62</v>
      </c>
      <c r="G4425" s="66">
        <v>221.8083518</v>
      </c>
      <c r="H4425" s="8">
        <v>6.565</v>
      </c>
      <c r="J4425" s="26"/>
      <c r="K4425"/>
    </row>
    <row r="4426" spans="1:11">
      <c r="A4426">
        <v>31</v>
      </c>
      <c r="B4426" s="64">
        <v>41152</v>
      </c>
      <c r="C4426" s="2">
        <v>1373651.49</v>
      </c>
      <c r="D4426">
        <v>0</v>
      </c>
      <c r="E4426" s="65">
        <v>83.58</v>
      </c>
      <c r="F4426" s="8">
        <v>3.638</v>
      </c>
      <c r="G4426" s="66">
        <v>221.9415576</v>
      </c>
      <c r="H4426" s="8">
        <v>6.565</v>
      </c>
      <c r="J4426" s="26"/>
      <c r="K4426"/>
    </row>
    <row r="4427" spans="1:11">
      <c r="A4427">
        <v>31</v>
      </c>
      <c r="B4427" s="64">
        <v>41159</v>
      </c>
      <c r="C4427" s="2">
        <v>1358111.62</v>
      </c>
      <c r="D4427">
        <v>1</v>
      </c>
      <c r="E4427" s="65">
        <v>88.4</v>
      </c>
      <c r="F4427" s="8">
        <v>3.73</v>
      </c>
      <c r="G4427" s="66">
        <v>222.0747635</v>
      </c>
      <c r="H4427" s="8">
        <v>6.565</v>
      </c>
      <c r="J4427" s="26"/>
      <c r="K4427"/>
    </row>
    <row r="4428" spans="1:11">
      <c r="A4428">
        <v>31</v>
      </c>
      <c r="B4428" s="64">
        <v>41166</v>
      </c>
      <c r="C4428" s="2">
        <v>1327705.44</v>
      </c>
      <c r="D4428">
        <v>0</v>
      </c>
      <c r="E4428" s="65">
        <v>76.1</v>
      </c>
      <c r="F4428" s="8">
        <v>3.717</v>
      </c>
      <c r="G4428" s="66">
        <v>222.2174395</v>
      </c>
      <c r="H4428" s="8">
        <v>6.565</v>
      </c>
      <c r="J4428" s="26"/>
      <c r="K4428"/>
    </row>
    <row r="4429" spans="1:11">
      <c r="A4429">
        <v>31</v>
      </c>
      <c r="B4429" s="64">
        <v>41173</v>
      </c>
      <c r="C4429" s="2">
        <v>1373064.87</v>
      </c>
      <c r="D4429">
        <v>0</v>
      </c>
      <c r="E4429" s="65">
        <v>71.54</v>
      </c>
      <c r="F4429" s="8">
        <v>3.721</v>
      </c>
      <c r="G4429" s="66">
        <v>222.4169362</v>
      </c>
      <c r="H4429" s="8">
        <v>6.565</v>
      </c>
      <c r="J4429" s="26"/>
      <c r="K4429"/>
    </row>
    <row r="4430" spans="1:11">
      <c r="A4430">
        <v>31</v>
      </c>
      <c r="B4430" s="64">
        <v>41180</v>
      </c>
      <c r="C4430" s="2">
        <v>1279080.58</v>
      </c>
      <c r="D4430">
        <v>0</v>
      </c>
      <c r="E4430" s="65">
        <v>80.38</v>
      </c>
      <c r="F4430" s="8">
        <v>3.666</v>
      </c>
      <c r="G4430" s="66">
        <v>222.6164329</v>
      </c>
      <c r="H4430" s="8">
        <v>6.565</v>
      </c>
      <c r="J4430" s="26"/>
      <c r="K4430"/>
    </row>
    <row r="4431" spans="1:11">
      <c r="A4431">
        <v>31</v>
      </c>
      <c r="B4431" s="64">
        <v>41187</v>
      </c>
      <c r="C4431" s="2">
        <v>1363365.05</v>
      </c>
      <c r="D4431">
        <v>0</v>
      </c>
      <c r="E4431" s="65">
        <v>70.28</v>
      </c>
      <c r="F4431" s="8">
        <v>3.617</v>
      </c>
      <c r="G4431" s="66">
        <v>222.8159296</v>
      </c>
      <c r="H4431" s="8">
        <v>6.17</v>
      </c>
      <c r="J4431" s="26"/>
      <c r="K4431"/>
    </row>
    <row r="4432" spans="1:11">
      <c r="A4432">
        <v>31</v>
      </c>
      <c r="B4432" s="64">
        <v>41194</v>
      </c>
      <c r="C4432" s="2">
        <v>1401113.42</v>
      </c>
      <c r="D4432">
        <v>0</v>
      </c>
      <c r="E4432" s="65">
        <v>61.53</v>
      </c>
      <c r="F4432" s="8">
        <v>3.601</v>
      </c>
      <c r="G4432" s="66">
        <v>223.0154263</v>
      </c>
      <c r="H4432" s="8">
        <v>6.17</v>
      </c>
      <c r="J4432" s="26"/>
      <c r="K4432"/>
    </row>
    <row r="4433" spans="1:11">
      <c r="A4433">
        <v>31</v>
      </c>
      <c r="B4433" s="64">
        <v>41201</v>
      </c>
      <c r="C4433" s="2">
        <v>1378730.45</v>
      </c>
      <c r="D4433">
        <v>0</v>
      </c>
      <c r="E4433" s="65">
        <v>68.52</v>
      </c>
      <c r="F4433" s="8">
        <v>3.594</v>
      </c>
      <c r="G4433" s="66">
        <v>223.0598077</v>
      </c>
      <c r="H4433" s="8">
        <v>6.17</v>
      </c>
      <c r="J4433" s="26"/>
      <c r="K4433"/>
    </row>
    <row r="4434" spans="1:11">
      <c r="A4434">
        <v>31</v>
      </c>
      <c r="B4434" s="64">
        <v>41208</v>
      </c>
      <c r="C4434" s="2">
        <v>1340232.55</v>
      </c>
      <c r="D4434">
        <v>0</v>
      </c>
      <c r="E4434" s="65">
        <v>70.5</v>
      </c>
      <c r="F4434" s="8">
        <v>3.506</v>
      </c>
      <c r="G4434" s="66">
        <v>223.0783366</v>
      </c>
      <c r="H4434" s="8">
        <v>6.17</v>
      </c>
      <c r="J4434" s="26"/>
      <c r="K4434"/>
    </row>
    <row r="4435" spans="1:11">
      <c r="A4435">
        <v>32</v>
      </c>
      <c r="B4435" s="64">
        <v>40214</v>
      </c>
      <c r="C4435" s="2">
        <v>1087616.19</v>
      </c>
      <c r="D4435">
        <v>0</v>
      </c>
      <c r="E4435" s="65">
        <v>34.43</v>
      </c>
      <c r="F4435" s="8">
        <v>2.58</v>
      </c>
      <c r="G4435" s="66">
        <v>189.3816974</v>
      </c>
      <c r="H4435" s="8">
        <v>9.014</v>
      </c>
      <c r="J4435" s="26"/>
      <c r="K4435"/>
    </row>
    <row r="4436" spans="1:11">
      <c r="A4436">
        <v>32</v>
      </c>
      <c r="B4436" s="64">
        <v>40221</v>
      </c>
      <c r="C4436" s="2">
        <v>1123566.12</v>
      </c>
      <c r="D4436">
        <v>1</v>
      </c>
      <c r="E4436" s="65">
        <v>28.09</v>
      </c>
      <c r="F4436" s="8">
        <v>2.572</v>
      </c>
      <c r="G4436" s="66">
        <v>189.4642725</v>
      </c>
      <c r="H4436" s="8">
        <v>9.014</v>
      </c>
      <c r="J4436" s="26"/>
      <c r="K4436"/>
    </row>
    <row r="4437" spans="1:11">
      <c r="A4437">
        <v>32</v>
      </c>
      <c r="B4437" s="64">
        <v>40228</v>
      </c>
      <c r="C4437" s="2">
        <v>1082559.06</v>
      </c>
      <c r="D4437">
        <v>0</v>
      </c>
      <c r="E4437" s="65">
        <v>29.16</v>
      </c>
      <c r="F4437" s="8">
        <v>2.55</v>
      </c>
      <c r="G4437" s="66">
        <v>189.5340998</v>
      </c>
      <c r="H4437" s="8">
        <v>9.014</v>
      </c>
      <c r="J4437" s="26"/>
      <c r="K4437"/>
    </row>
    <row r="4438" spans="1:11">
      <c r="A4438">
        <v>32</v>
      </c>
      <c r="B4438" s="64">
        <v>40235</v>
      </c>
      <c r="C4438" s="2">
        <v>1053247.1</v>
      </c>
      <c r="D4438">
        <v>0</v>
      </c>
      <c r="E4438" s="65">
        <v>26.64</v>
      </c>
      <c r="F4438" s="8">
        <v>2.586</v>
      </c>
      <c r="G4438" s="66">
        <v>189.6018023</v>
      </c>
      <c r="H4438" s="8">
        <v>9.014</v>
      </c>
      <c r="J4438" s="26"/>
      <c r="K4438"/>
    </row>
    <row r="4439" spans="1:11">
      <c r="A4439">
        <v>32</v>
      </c>
      <c r="B4439" s="64">
        <v>40242</v>
      </c>
      <c r="C4439" s="2">
        <v>1066566.74</v>
      </c>
      <c r="D4439">
        <v>0</v>
      </c>
      <c r="E4439" s="65">
        <v>37.72</v>
      </c>
      <c r="F4439" s="8">
        <v>2.62</v>
      </c>
      <c r="G4439" s="66">
        <v>189.6695049</v>
      </c>
      <c r="H4439" s="8">
        <v>9.014</v>
      </c>
      <c r="J4439" s="26"/>
      <c r="K4439"/>
    </row>
    <row r="4440" spans="1:11">
      <c r="A4440">
        <v>32</v>
      </c>
      <c r="B4440" s="64">
        <v>40249</v>
      </c>
      <c r="C4440" s="2">
        <v>1093319.37</v>
      </c>
      <c r="D4440">
        <v>0</v>
      </c>
      <c r="E4440" s="65">
        <v>39.88</v>
      </c>
      <c r="F4440" s="8">
        <v>2.684</v>
      </c>
      <c r="G4440" s="66">
        <v>189.7372075</v>
      </c>
      <c r="H4440" s="8">
        <v>9.014</v>
      </c>
      <c r="J4440" s="26"/>
      <c r="K4440"/>
    </row>
    <row r="4441" spans="1:11">
      <c r="A4441">
        <v>32</v>
      </c>
      <c r="B4441" s="64">
        <v>40256</v>
      </c>
      <c r="C4441" s="2">
        <v>1059781.78</v>
      </c>
      <c r="D4441">
        <v>0</v>
      </c>
      <c r="E4441" s="65">
        <v>42.43</v>
      </c>
      <c r="F4441" s="8">
        <v>2.692</v>
      </c>
      <c r="G4441" s="66">
        <v>189.734262</v>
      </c>
      <c r="H4441" s="8">
        <v>9.014</v>
      </c>
      <c r="J4441" s="26"/>
      <c r="K4441"/>
    </row>
    <row r="4442" spans="1:11">
      <c r="A4442">
        <v>32</v>
      </c>
      <c r="B4442" s="64">
        <v>40263</v>
      </c>
      <c r="C4442" s="2">
        <v>1076021.58</v>
      </c>
      <c r="D4442">
        <v>0</v>
      </c>
      <c r="E4442" s="65">
        <v>36.59</v>
      </c>
      <c r="F4442" s="8">
        <v>2.717</v>
      </c>
      <c r="G4442" s="66">
        <v>189.7195417</v>
      </c>
      <c r="H4442" s="8">
        <v>9.014</v>
      </c>
      <c r="J4442" s="26"/>
      <c r="K4442"/>
    </row>
    <row r="4443" spans="1:11">
      <c r="A4443">
        <v>32</v>
      </c>
      <c r="B4443" s="64">
        <v>40270</v>
      </c>
      <c r="C4443" s="2">
        <v>1131732.94</v>
      </c>
      <c r="D4443">
        <v>0</v>
      </c>
      <c r="E4443" s="65">
        <v>48.28</v>
      </c>
      <c r="F4443" s="8">
        <v>2.725</v>
      </c>
      <c r="G4443" s="66">
        <v>189.7048215</v>
      </c>
      <c r="H4443" s="8">
        <v>8.963</v>
      </c>
      <c r="J4443" s="26"/>
      <c r="K4443"/>
    </row>
    <row r="4444" spans="1:11">
      <c r="A4444">
        <v>32</v>
      </c>
      <c r="B4444" s="64">
        <v>40277</v>
      </c>
      <c r="C4444" s="2">
        <v>1095889.22</v>
      </c>
      <c r="D4444">
        <v>0</v>
      </c>
      <c r="E4444" s="65">
        <v>44.88</v>
      </c>
      <c r="F4444" s="8">
        <v>2.75</v>
      </c>
      <c r="G4444" s="66">
        <v>189.6901012</v>
      </c>
      <c r="H4444" s="8">
        <v>8.963</v>
      </c>
      <c r="J4444" s="26"/>
      <c r="K4444"/>
    </row>
    <row r="4445" spans="1:11">
      <c r="A4445">
        <v>32</v>
      </c>
      <c r="B4445" s="64">
        <v>40284</v>
      </c>
      <c r="C4445" s="2">
        <v>1082763.27</v>
      </c>
      <c r="D4445">
        <v>0</v>
      </c>
      <c r="E4445" s="65">
        <v>53.49</v>
      </c>
      <c r="F4445" s="8">
        <v>2.765</v>
      </c>
      <c r="G4445" s="66">
        <v>189.6628845</v>
      </c>
      <c r="H4445" s="8">
        <v>8.963</v>
      </c>
      <c r="J4445" s="26"/>
      <c r="K4445"/>
    </row>
    <row r="4446" spans="1:11">
      <c r="A4446">
        <v>32</v>
      </c>
      <c r="B4446" s="64">
        <v>40291</v>
      </c>
      <c r="C4446" s="2">
        <v>1072474.8</v>
      </c>
      <c r="D4446">
        <v>0</v>
      </c>
      <c r="E4446" s="65">
        <v>50.06</v>
      </c>
      <c r="F4446" s="8">
        <v>2.776</v>
      </c>
      <c r="G4446" s="66">
        <v>189.6190057</v>
      </c>
      <c r="H4446" s="8">
        <v>8.963</v>
      </c>
      <c r="J4446" s="26"/>
      <c r="K4446"/>
    </row>
    <row r="4447" spans="1:11">
      <c r="A4447">
        <v>32</v>
      </c>
      <c r="B4447" s="64">
        <v>40298</v>
      </c>
      <c r="C4447" s="2">
        <v>1066792.63</v>
      </c>
      <c r="D4447">
        <v>0</v>
      </c>
      <c r="E4447" s="65">
        <v>47.51</v>
      </c>
      <c r="F4447" s="8">
        <v>2.766</v>
      </c>
      <c r="G4447" s="66">
        <v>189.575127</v>
      </c>
      <c r="H4447" s="8">
        <v>8.963</v>
      </c>
      <c r="J4447" s="26"/>
      <c r="K4447"/>
    </row>
    <row r="4448" spans="1:11">
      <c r="A4448">
        <v>32</v>
      </c>
      <c r="B4448" s="64">
        <v>40305</v>
      </c>
      <c r="C4448" s="2">
        <v>1133657.58</v>
      </c>
      <c r="D4448">
        <v>0</v>
      </c>
      <c r="E4448" s="65">
        <v>48.94</v>
      </c>
      <c r="F4448" s="8">
        <v>2.771</v>
      </c>
      <c r="G4448" s="66">
        <v>189.5312483</v>
      </c>
      <c r="H4448" s="8">
        <v>8.963</v>
      </c>
      <c r="J4448" s="26"/>
      <c r="K4448"/>
    </row>
    <row r="4449" spans="1:11">
      <c r="A4449">
        <v>32</v>
      </c>
      <c r="B4449" s="64">
        <v>40312</v>
      </c>
      <c r="C4449" s="2">
        <v>1079314.52</v>
      </c>
      <c r="D4449">
        <v>0</v>
      </c>
      <c r="E4449" s="65">
        <v>46.42</v>
      </c>
      <c r="F4449" s="8">
        <v>2.788</v>
      </c>
      <c r="G4449" s="66">
        <v>189.4904116</v>
      </c>
      <c r="H4449" s="8">
        <v>8.963</v>
      </c>
      <c r="J4449" s="26"/>
      <c r="K4449"/>
    </row>
    <row r="4450" spans="1:11">
      <c r="A4450">
        <v>32</v>
      </c>
      <c r="B4450" s="64">
        <v>40319</v>
      </c>
      <c r="C4450" s="2">
        <v>1143819.35</v>
      </c>
      <c r="D4450">
        <v>0</v>
      </c>
      <c r="E4450" s="65">
        <v>55.89</v>
      </c>
      <c r="F4450" s="8">
        <v>2.776</v>
      </c>
      <c r="G4450" s="66">
        <v>189.467827</v>
      </c>
      <c r="H4450" s="8">
        <v>8.963</v>
      </c>
      <c r="J4450" s="26"/>
      <c r="K4450"/>
    </row>
    <row r="4451" spans="1:11">
      <c r="A4451">
        <v>32</v>
      </c>
      <c r="B4451" s="64">
        <v>40326</v>
      </c>
      <c r="C4451" s="2">
        <v>1205662.85</v>
      </c>
      <c r="D4451">
        <v>0</v>
      </c>
      <c r="E4451" s="65">
        <v>64.69</v>
      </c>
      <c r="F4451" s="8">
        <v>2.737</v>
      </c>
      <c r="G4451" s="66">
        <v>189.4452425</v>
      </c>
      <c r="H4451" s="8">
        <v>8.963</v>
      </c>
      <c r="J4451" s="26"/>
      <c r="K4451"/>
    </row>
    <row r="4452" spans="1:11">
      <c r="A4452">
        <v>32</v>
      </c>
      <c r="B4452" s="64">
        <v>40333</v>
      </c>
      <c r="C4452" s="2">
        <v>1149234.96</v>
      </c>
      <c r="D4452">
        <v>0</v>
      </c>
      <c r="E4452" s="65">
        <v>66.69</v>
      </c>
      <c r="F4452" s="8">
        <v>2.7</v>
      </c>
      <c r="G4452" s="66">
        <v>189.422658</v>
      </c>
      <c r="H4452" s="8">
        <v>8.963</v>
      </c>
      <c r="J4452" s="26"/>
      <c r="K4452"/>
    </row>
    <row r="4453" spans="1:11">
      <c r="A4453">
        <v>32</v>
      </c>
      <c r="B4453" s="64">
        <v>40340</v>
      </c>
      <c r="C4453" s="2">
        <v>1192074.09</v>
      </c>
      <c r="D4453">
        <v>0</v>
      </c>
      <c r="E4453" s="65">
        <v>70.86</v>
      </c>
      <c r="F4453" s="8">
        <v>2.684</v>
      </c>
      <c r="G4453" s="66">
        <v>189.4000734</v>
      </c>
      <c r="H4453" s="8">
        <v>8.963</v>
      </c>
      <c r="J4453" s="26"/>
      <c r="K4453"/>
    </row>
    <row r="4454" spans="1:11">
      <c r="A4454">
        <v>32</v>
      </c>
      <c r="B4454" s="64">
        <v>40347</v>
      </c>
      <c r="C4454" s="2">
        <v>1150191.72</v>
      </c>
      <c r="D4454">
        <v>0</v>
      </c>
      <c r="E4454" s="65">
        <v>60.94</v>
      </c>
      <c r="F4454" s="8">
        <v>2.674</v>
      </c>
      <c r="G4454" s="66">
        <v>189.4185259</v>
      </c>
      <c r="H4454" s="8">
        <v>8.963</v>
      </c>
      <c r="J4454" s="26"/>
      <c r="K4454"/>
    </row>
    <row r="4455" spans="1:11">
      <c r="A4455">
        <v>32</v>
      </c>
      <c r="B4455" s="64">
        <v>40354</v>
      </c>
      <c r="C4455" s="2">
        <v>1124763.74</v>
      </c>
      <c r="D4455">
        <v>0</v>
      </c>
      <c r="E4455" s="65">
        <v>72.42</v>
      </c>
      <c r="F4455" s="8">
        <v>2.715</v>
      </c>
      <c r="G4455" s="66">
        <v>189.4533931</v>
      </c>
      <c r="H4455" s="8">
        <v>8.963</v>
      </c>
      <c r="J4455" s="26"/>
      <c r="K4455"/>
    </row>
    <row r="4456" spans="1:11">
      <c r="A4456">
        <v>32</v>
      </c>
      <c r="B4456" s="64">
        <v>40361</v>
      </c>
      <c r="C4456" s="2">
        <v>1187988.64</v>
      </c>
      <c r="D4456">
        <v>0</v>
      </c>
      <c r="E4456" s="65">
        <v>74.74</v>
      </c>
      <c r="F4456" s="8">
        <v>2.728</v>
      </c>
      <c r="G4456" s="66">
        <v>189.4882603</v>
      </c>
      <c r="H4456" s="8">
        <v>9.017</v>
      </c>
      <c r="J4456" s="26"/>
      <c r="K4456"/>
    </row>
    <row r="4457" spans="1:11">
      <c r="A4457">
        <v>32</v>
      </c>
      <c r="B4457" s="64">
        <v>40368</v>
      </c>
      <c r="C4457" s="2">
        <v>1077253.67</v>
      </c>
      <c r="D4457">
        <v>0</v>
      </c>
      <c r="E4457" s="65">
        <v>67.55</v>
      </c>
      <c r="F4457" s="8">
        <v>2.711</v>
      </c>
      <c r="G4457" s="66">
        <v>189.5231276</v>
      </c>
      <c r="H4457" s="8">
        <v>9.017</v>
      </c>
      <c r="J4457" s="26"/>
      <c r="K4457"/>
    </row>
    <row r="4458" spans="1:11">
      <c r="A4458">
        <v>32</v>
      </c>
      <c r="B4458" s="64">
        <v>40375</v>
      </c>
      <c r="C4458" s="2">
        <v>1120172.24</v>
      </c>
      <c r="D4458">
        <v>0</v>
      </c>
      <c r="E4458" s="65">
        <v>76.2</v>
      </c>
      <c r="F4458" s="8">
        <v>2.699</v>
      </c>
      <c r="G4458" s="66">
        <v>189.6125456</v>
      </c>
      <c r="H4458" s="8">
        <v>9.017</v>
      </c>
      <c r="J4458" s="26"/>
      <c r="K4458"/>
    </row>
    <row r="4459" spans="1:11">
      <c r="A4459">
        <v>32</v>
      </c>
      <c r="B4459" s="64">
        <v>40382</v>
      </c>
      <c r="C4459" s="2">
        <v>1109574.11</v>
      </c>
      <c r="D4459">
        <v>0</v>
      </c>
      <c r="E4459" s="65">
        <v>75.69</v>
      </c>
      <c r="F4459" s="8">
        <v>2.691</v>
      </c>
      <c r="G4459" s="66">
        <v>189.774698</v>
      </c>
      <c r="H4459" s="8">
        <v>9.017</v>
      </c>
      <c r="J4459" s="26"/>
      <c r="K4459"/>
    </row>
    <row r="4460" spans="1:11">
      <c r="A4460">
        <v>32</v>
      </c>
      <c r="B4460" s="64">
        <v>40389</v>
      </c>
      <c r="C4460" s="2">
        <v>1065350.56</v>
      </c>
      <c r="D4460">
        <v>0</v>
      </c>
      <c r="E4460" s="65">
        <v>75.62</v>
      </c>
      <c r="F4460" s="8">
        <v>2.69</v>
      </c>
      <c r="G4460" s="66">
        <v>189.9368504</v>
      </c>
      <c r="H4460" s="8">
        <v>9.017</v>
      </c>
      <c r="J4460" s="26"/>
      <c r="K4460"/>
    </row>
    <row r="4461" spans="1:11">
      <c r="A4461">
        <v>32</v>
      </c>
      <c r="B4461" s="64">
        <v>40396</v>
      </c>
      <c r="C4461" s="2">
        <v>1144552.09</v>
      </c>
      <c r="D4461">
        <v>0</v>
      </c>
      <c r="E4461" s="65">
        <v>72.95</v>
      </c>
      <c r="F4461" s="8">
        <v>2.69</v>
      </c>
      <c r="G4461" s="66">
        <v>190.0990028</v>
      </c>
      <c r="H4461" s="8">
        <v>9.017</v>
      </c>
      <c r="J4461" s="26"/>
      <c r="K4461"/>
    </row>
    <row r="4462" spans="1:11">
      <c r="A4462">
        <v>32</v>
      </c>
      <c r="B4462" s="64">
        <v>40403</v>
      </c>
      <c r="C4462" s="2">
        <v>1157975.68</v>
      </c>
      <c r="D4462">
        <v>0</v>
      </c>
      <c r="E4462" s="65">
        <v>74.97</v>
      </c>
      <c r="F4462" s="8">
        <v>2.723</v>
      </c>
      <c r="G4462" s="66">
        <v>190.2611552</v>
      </c>
      <c r="H4462" s="8">
        <v>9.017</v>
      </c>
      <c r="J4462" s="26"/>
      <c r="K4462"/>
    </row>
    <row r="4463" spans="1:11">
      <c r="A4463">
        <v>32</v>
      </c>
      <c r="B4463" s="64">
        <v>40410</v>
      </c>
      <c r="C4463" s="2">
        <v>1189887.86</v>
      </c>
      <c r="D4463">
        <v>0</v>
      </c>
      <c r="E4463" s="65">
        <v>71.46</v>
      </c>
      <c r="F4463" s="8">
        <v>2.732</v>
      </c>
      <c r="G4463" s="66">
        <v>190.2948237</v>
      </c>
      <c r="H4463" s="8">
        <v>9.017</v>
      </c>
      <c r="J4463" s="26"/>
      <c r="K4463"/>
    </row>
    <row r="4464" spans="1:11">
      <c r="A4464">
        <v>32</v>
      </c>
      <c r="B4464" s="64">
        <v>40417</v>
      </c>
      <c r="C4464" s="2">
        <v>1140501.03</v>
      </c>
      <c r="D4464">
        <v>0</v>
      </c>
      <c r="E4464" s="65">
        <v>74.95</v>
      </c>
      <c r="F4464" s="8">
        <v>2.731</v>
      </c>
      <c r="G4464" s="66">
        <v>190.3284922</v>
      </c>
      <c r="H4464" s="8">
        <v>9.017</v>
      </c>
      <c r="J4464" s="26"/>
      <c r="K4464"/>
    </row>
    <row r="4465" spans="1:11">
      <c r="A4465">
        <v>32</v>
      </c>
      <c r="B4465" s="64">
        <v>40424</v>
      </c>
      <c r="C4465" s="2">
        <v>1095932.51</v>
      </c>
      <c r="D4465">
        <v>0</v>
      </c>
      <c r="E4465" s="65">
        <v>70.2</v>
      </c>
      <c r="F4465" s="8">
        <v>2.773</v>
      </c>
      <c r="G4465" s="66">
        <v>190.3621607</v>
      </c>
      <c r="H4465" s="8">
        <v>9.017</v>
      </c>
      <c r="J4465" s="26"/>
      <c r="K4465"/>
    </row>
    <row r="4466" spans="1:11">
      <c r="A4466">
        <v>32</v>
      </c>
      <c r="B4466" s="64">
        <v>40431</v>
      </c>
      <c r="C4466" s="2">
        <v>1028635.39</v>
      </c>
      <c r="D4466">
        <v>1</v>
      </c>
      <c r="E4466" s="65">
        <v>68.44</v>
      </c>
      <c r="F4466" s="8">
        <v>2.78</v>
      </c>
      <c r="G4466" s="66">
        <v>190.3958293</v>
      </c>
      <c r="H4466" s="8">
        <v>9.017</v>
      </c>
      <c r="J4466" s="26"/>
      <c r="K4466"/>
    </row>
    <row r="4467" spans="1:11">
      <c r="A4467">
        <v>32</v>
      </c>
      <c r="B4467" s="64">
        <v>40438</v>
      </c>
      <c r="C4467" s="2">
        <v>1043962.36</v>
      </c>
      <c r="D4467">
        <v>0</v>
      </c>
      <c r="E4467" s="65">
        <v>67.17</v>
      </c>
      <c r="F4467" s="8">
        <v>2.8</v>
      </c>
      <c r="G4467" s="66">
        <v>190.4688287</v>
      </c>
      <c r="H4467" s="8">
        <v>9.017</v>
      </c>
      <c r="J4467" s="26"/>
      <c r="K4467"/>
    </row>
    <row r="4468" spans="1:11">
      <c r="A4468">
        <v>32</v>
      </c>
      <c r="B4468" s="64">
        <v>40445</v>
      </c>
      <c r="C4468" s="2">
        <v>1067432.1</v>
      </c>
      <c r="D4468">
        <v>0</v>
      </c>
      <c r="E4468" s="65">
        <v>64.19</v>
      </c>
      <c r="F4468" s="8">
        <v>2.793</v>
      </c>
      <c r="G4468" s="66">
        <v>190.5713264</v>
      </c>
      <c r="H4468" s="8">
        <v>9.017</v>
      </c>
      <c r="J4468" s="26"/>
      <c r="K4468"/>
    </row>
    <row r="4469" spans="1:11">
      <c r="A4469">
        <v>32</v>
      </c>
      <c r="B4469" s="64">
        <v>40452</v>
      </c>
      <c r="C4469" s="2">
        <v>1061089.56</v>
      </c>
      <c r="D4469">
        <v>0</v>
      </c>
      <c r="E4469" s="65">
        <v>66.14</v>
      </c>
      <c r="F4469" s="8">
        <v>2.759</v>
      </c>
      <c r="G4469" s="66">
        <v>190.6738241</v>
      </c>
      <c r="H4469" s="8">
        <v>9.137</v>
      </c>
      <c r="J4469" s="26"/>
      <c r="K4469"/>
    </row>
    <row r="4470" spans="1:11">
      <c r="A4470">
        <v>32</v>
      </c>
      <c r="B4470" s="64">
        <v>40459</v>
      </c>
      <c r="C4470" s="2">
        <v>1085483.44</v>
      </c>
      <c r="D4470">
        <v>0</v>
      </c>
      <c r="E4470" s="65">
        <v>61.81</v>
      </c>
      <c r="F4470" s="8">
        <v>2.745</v>
      </c>
      <c r="G4470" s="66">
        <v>190.7763218</v>
      </c>
      <c r="H4470" s="8">
        <v>9.137</v>
      </c>
      <c r="J4470" s="26"/>
      <c r="K4470"/>
    </row>
    <row r="4471" spans="1:11">
      <c r="A4471">
        <v>32</v>
      </c>
      <c r="B4471" s="64">
        <v>40466</v>
      </c>
      <c r="C4471" s="2">
        <v>1096692.88</v>
      </c>
      <c r="D4471">
        <v>0</v>
      </c>
      <c r="E4471" s="65">
        <v>52.96</v>
      </c>
      <c r="F4471" s="8">
        <v>2.762</v>
      </c>
      <c r="G4471" s="66">
        <v>190.8623087</v>
      </c>
      <c r="H4471" s="8">
        <v>9.137</v>
      </c>
      <c r="J4471" s="26"/>
      <c r="K4471"/>
    </row>
    <row r="4472" spans="1:11">
      <c r="A4472">
        <v>32</v>
      </c>
      <c r="B4472" s="64">
        <v>40473</v>
      </c>
      <c r="C4472" s="2">
        <v>1102185</v>
      </c>
      <c r="D4472">
        <v>0</v>
      </c>
      <c r="E4472" s="65">
        <v>52.3</v>
      </c>
      <c r="F4472" s="8">
        <v>2.762</v>
      </c>
      <c r="G4472" s="66">
        <v>190.9070184</v>
      </c>
      <c r="H4472" s="8">
        <v>9.137</v>
      </c>
      <c r="J4472" s="26"/>
      <c r="K4472"/>
    </row>
    <row r="4473" spans="1:11">
      <c r="A4473">
        <v>32</v>
      </c>
      <c r="B4473" s="64">
        <v>40480</v>
      </c>
      <c r="C4473" s="2">
        <v>1115138.51</v>
      </c>
      <c r="D4473">
        <v>0</v>
      </c>
      <c r="E4473" s="65">
        <v>45.45</v>
      </c>
      <c r="F4473" s="8">
        <v>2.748</v>
      </c>
      <c r="G4473" s="66">
        <v>190.951728</v>
      </c>
      <c r="H4473" s="8">
        <v>9.137</v>
      </c>
      <c r="J4473" s="26"/>
      <c r="K4473"/>
    </row>
    <row r="4474" spans="1:11">
      <c r="A4474">
        <v>32</v>
      </c>
      <c r="B4474" s="64">
        <v>40487</v>
      </c>
      <c r="C4474" s="2">
        <v>1063056.21</v>
      </c>
      <c r="D4474">
        <v>0</v>
      </c>
      <c r="E4474" s="65">
        <v>49.2</v>
      </c>
      <c r="F4474" s="8">
        <v>2.729</v>
      </c>
      <c r="G4474" s="66">
        <v>190.9964377</v>
      </c>
      <c r="H4474" s="8">
        <v>9.137</v>
      </c>
      <c r="J4474" s="26"/>
      <c r="K4474"/>
    </row>
    <row r="4475" spans="1:11">
      <c r="A4475">
        <v>32</v>
      </c>
      <c r="B4475" s="64">
        <v>40494</v>
      </c>
      <c r="C4475" s="2">
        <v>1141019.11</v>
      </c>
      <c r="D4475">
        <v>0</v>
      </c>
      <c r="E4475" s="65">
        <v>42.3</v>
      </c>
      <c r="F4475" s="8">
        <v>2.737</v>
      </c>
      <c r="G4475" s="66">
        <v>191.0411474</v>
      </c>
      <c r="H4475" s="8">
        <v>9.137</v>
      </c>
      <c r="J4475" s="26"/>
      <c r="K4475"/>
    </row>
    <row r="4476" spans="1:11">
      <c r="A4476">
        <v>32</v>
      </c>
      <c r="B4476" s="64">
        <v>40501</v>
      </c>
      <c r="C4476" s="2">
        <v>1150729.89</v>
      </c>
      <c r="D4476">
        <v>0</v>
      </c>
      <c r="E4476" s="65">
        <v>36.24</v>
      </c>
      <c r="F4476" s="8">
        <v>2.758</v>
      </c>
      <c r="G4476" s="66">
        <v>191.0312172</v>
      </c>
      <c r="H4476" s="8">
        <v>9.137</v>
      </c>
      <c r="J4476" s="26"/>
      <c r="K4476"/>
    </row>
    <row r="4477" spans="1:11">
      <c r="A4477">
        <v>32</v>
      </c>
      <c r="B4477" s="64">
        <v>40508</v>
      </c>
      <c r="C4477" s="2">
        <v>1634635.86</v>
      </c>
      <c r="D4477">
        <v>1</v>
      </c>
      <c r="E4477" s="65">
        <v>29.97</v>
      </c>
      <c r="F4477" s="8">
        <v>2.742</v>
      </c>
      <c r="G4477" s="66">
        <v>191.0121805</v>
      </c>
      <c r="H4477" s="8">
        <v>9.137</v>
      </c>
      <c r="J4477" s="26"/>
      <c r="K4477"/>
    </row>
    <row r="4478" spans="1:11">
      <c r="A4478">
        <v>32</v>
      </c>
      <c r="B4478" s="64">
        <v>40515</v>
      </c>
      <c r="C4478" s="2">
        <v>1200892.56</v>
      </c>
      <c r="D4478">
        <v>0</v>
      </c>
      <c r="E4478" s="65">
        <v>35.18</v>
      </c>
      <c r="F4478" s="8">
        <v>2.712</v>
      </c>
      <c r="G4478" s="66">
        <v>190.9931437</v>
      </c>
      <c r="H4478" s="8">
        <v>9.137</v>
      </c>
      <c r="J4478" s="26"/>
      <c r="K4478"/>
    </row>
    <row r="4479" spans="1:11">
      <c r="A4479">
        <v>32</v>
      </c>
      <c r="B4479" s="64">
        <v>40522</v>
      </c>
      <c r="C4479" s="2">
        <v>1377322.73</v>
      </c>
      <c r="D4479">
        <v>0</v>
      </c>
      <c r="E4479" s="65">
        <v>36.62</v>
      </c>
      <c r="F4479" s="8">
        <v>2.728</v>
      </c>
      <c r="G4479" s="66">
        <v>190.9741069</v>
      </c>
      <c r="H4479" s="8">
        <v>9.137</v>
      </c>
      <c r="J4479" s="26"/>
      <c r="K4479"/>
    </row>
    <row r="4480" spans="1:11">
      <c r="A4480">
        <v>32</v>
      </c>
      <c r="B4480" s="64">
        <v>40529</v>
      </c>
      <c r="C4480" s="2">
        <v>1557776.1</v>
      </c>
      <c r="D4480">
        <v>0</v>
      </c>
      <c r="E4480" s="65">
        <v>36.07</v>
      </c>
      <c r="F4480" s="8">
        <v>2.778</v>
      </c>
      <c r="G4480" s="66">
        <v>191.0303376</v>
      </c>
      <c r="H4480" s="8">
        <v>9.137</v>
      </c>
      <c r="J4480" s="26"/>
      <c r="K4480"/>
    </row>
    <row r="4481" spans="1:11">
      <c r="A4481">
        <v>32</v>
      </c>
      <c r="B4481" s="64">
        <v>40536</v>
      </c>
      <c r="C4481" s="2">
        <v>1949183.14</v>
      </c>
      <c r="D4481">
        <v>0</v>
      </c>
      <c r="E4481" s="65">
        <v>30.72</v>
      </c>
      <c r="F4481" s="8">
        <v>2.781</v>
      </c>
      <c r="G4481" s="66">
        <v>191.1430189</v>
      </c>
      <c r="H4481" s="8">
        <v>9.137</v>
      </c>
      <c r="J4481" s="26"/>
      <c r="K4481"/>
    </row>
    <row r="4482" spans="1:11">
      <c r="A4482">
        <v>32</v>
      </c>
      <c r="B4482" s="64">
        <v>40543</v>
      </c>
      <c r="C4482" s="2">
        <v>955463.84</v>
      </c>
      <c r="D4482">
        <v>1</v>
      </c>
      <c r="E4482" s="65">
        <v>27.7</v>
      </c>
      <c r="F4482" s="8">
        <v>2.829</v>
      </c>
      <c r="G4482" s="66">
        <v>191.2557002</v>
      </c>
      <c r="H4482" s="8">
        <v>9.137</v>
      </c>
      <c r="J4482" s="26"/>
      <c r="K4482"/>
    </row>
    <row r="4483" spans="1:11">
      <c r="A4483">
        <v>32</v>
      </c>
      <c r="B4483" s="64">
        <v>40550</v>
      </c>
      <c r="C4483" s="2">
        <v>1046416.17</v>
      </c>
      <c r="D4483">
        <v>0</v>
      </c>
      <c r="E4483" s="65">
        <v>23.78</v>
      </c>
      <c r="F4483" s="8">
        <v>2.882</v>
      </c>
      <c r="G4483" s="66">
        <v>191.3683815</v>
      </c>
      <c r="H4483" s="8">
        <v>8.818</v>
      </c>
      <c r="J4483" s="26"/>
      <c r="K4483"/>
    </row>
    <row r="4484" spans="1:11">
      <c r="A4484">
        <v>32</v>
      </c>
      <c r="B4484" s="64">
        <v>40557</v>
      </c>
      <c r="C4484" s="2">
        <v>1028206.51</v>
      </c>
      <c r="D4484">
        <v>0</v>
      </c>
      <c r="E4484" s="65">
        <v>21.69</v>
      </c>
      <c r="F4484" s="8">
        <v>2.911</v>
      </c>
      <c r="G4484" s="66">
        <v>191.4784939</v>
      </c>
      <c r="H4484" s="8">
        <v>8.818</v>
      </c>
      <c r="J4484" s="26"/>
      <c r="K4484"/>
    </row>
    <row r="4485" spans="1:11">
      <c r="A4485">
        <v>32</v>
      </c>
      <c r="B4485" s="64">
        <v>40564</v>
      </c>
      <c r="C4485" s="2">
        <v>1078348.91</v>
      </c>
      <c r="D4485">
        <v>0</v>
      </c>
      <c r="E4485" s="65">
        <v>34.54</v>
      </c>
      <c r="F4485" s="8">
        <v>2.973</v>
      </c>
      <c r="G4485" s="66">
        <v>191.5731924</v>
      </c>
      <c r="H4485" s="8">
        <v>8.818</v>
      </c>
      <c r="J4485" s="26"/>
      <c r="K4485"/>
    </row>
    <row r="4486" spans="1:11">
      <c r="A4486">
        <v>32</v>
      </c>
      <c r="B4486" s="64">
        <v>40571</v>
      </c>
      <c r="C4486" s="2">
        <v>1006814.85</v>
      </c>
      <c r="D4486">
        <v>0</v>
      </c>
      <c r="E4486" s="65">
        <v>34.86</v>
      </c>
      <c r="F4486" s="8">
        <v>3.008</v>
      </c>
      <c r="G4486" s="66">
        <v>191.667891</v>
      </c>
      <c r="H4486" s="8">
        <v>8.818</v>
      </c>
      <c r="J4486" s="26"/>
      <c r="K4486"/>
    </row>
    <row r="4487" spans="1:11">
      <c r="A4487">
        <v>32</v>
      </c>
      <c r="B4487" s="64">
        <v>40578</v>
      </c>
      <c r="C4487" s="2">
        <v>1070457.8</v>
      </c>
      <c r="D4487">
        <v>0</v>
      </c>
      <c r="E4487" s="65">
        <v>15.47</v>
      </c>
      <c r="F4487" s="8">
        <v>3.011</v>
      </c>
      <c r="G4487" s="66">
        <v>191.7625895</v>
      </c>
      <c r="H4487" s="8">
        <v>8.818</v>
      </c>
      <c r="J4487" s="26"/>
      <c r="K4487"/>
    </row>
    <row r="4488" spans="1:11">
      <c r="A4488">
        <v>32</v>
      </c>
      <c r="B4488" s="64">
        <v>40585</v>
      </c>
      <c r="C4488" s="2">
        <v>1124357.2</v>
      </c>
      <c r="D4488">
        <v>1</v>
      </c>
      <c r="E4488" s="65">
        <v>18.51</v>
      </c>
      <c r="F4488" s="8">
        <v>3.037</v>
      </c>
      <c r="G4488" s="66">
        <v>191.8572881</v>
      </c>
      <c r="H4488" s="8">
        <v>8.818</v>
      </c>
      <c r="J4488" s="26"/>
      <c r="K4488"/>
    </row>
    <row r="4489" spans="1:11">
      <c r="A4489">
        <v>32</v>
      </c>
      <c r="B4489" s="64">
        <v>40592</v>
      </c>
      <c r="C4489" s="2">
        <v>1183528.58</v>
      </c>
      <c r="D4489">
        <v>0</v>
      </c>
      <c r="E4489" s="65">
        <v>42.09</v>
      </c>
      <c r="F4489" s="8">
        <v>3.051</v>
      </c>
      <c r="G4489" s="66">
        <v>191.9178331</v>
      </c>
      <c r="H4489" s="8">
        <v>8.818</v>
      </c>
      <c r="J4489" s="26"/>
      <c r="K4489"/>
    </row>
    <row r="4490" spans="1:11">
      <c r="A4490">
        <v>32</v>
      </c>
      <c r="B4490" s="64">
        <v>40599</v>
      </c>
      <c r="C4490" s="2">
        <v>1054754.67</v>
      </c>
      <c r="D4490">
        <v>0</v>
      </c>
      <c r="E4490" s="65">
        <v>33</v>
      </c>
      <c r="F4490" s="8">
        <v>3.101</v>
      </c>
      <c r="G4490" s="66">
        <v>191.9647167</v>
      </c>
      <c r="H4490" s="8">
        <v>8.818</v>
      </c>
      <c r="J4490" s="26"/>
      <c r="K4490"/>
    </row>
    <row r="4491" spans="1:11">
      <c r="A4491">
        <v>32</v>
      </c>
      <c r="B4491" s="64">
        <v>40606</v>
      </c>
      <c r="C4491" s="2">
        <v>1106847.62</v>
      </c>
      <c r="D4491">
        <v>0</v>
      </c>
      <c r="E4491" s="65">
        <v>39.17</v>
      </c>
      <c r="F4491" s="8">
        <v>3.232</v>
      </c>
      <c r="G4491" s="66">
        <v>192.0116004</v>
      </c>
      <c r="H4491" s="8">
        <v>8.818</v>
      </c>
      <c r="J4491" s="26"/>
      <c r="K4491"/>
    </row>
    <row r="4492" spans="1:11">
      <c r="A4492">
        <v>32</v>
      </c>
      <c r="B4492" s="64">
        <v>40613</v>
      </c>
      <c r="C4492" s="2">
        <v>1101458.21</v>
      </c>
      <c r="D4492">
        <v>0</v>
      </c>
      <c r="E4492" s="65">
        <v>36.51</v>
      </c>
      <c r="F4492" s="8">
        <v>3.372</v>
      </c>
      <c r="G4492" s="66">
        <v>192.058484</v>
      </c>
      <c r="H4492" s="8">
        <v>8.818</v>
      </c>
      <c r="J4492" s="26"/>
      <c r="K4492"/>
    </row>
    <row r="4493" spans="1:11">
      <c r="A4493">
        <v>32</v>
      </c>
      <c r="B4493" s="64">
        <v>40620</v>
      </c>
      <c r="C4493" s="2">
        <v>1100765.5</v>
      </c>
      <c r="D4493">
        <v>0</v>
      </c>
      <c r="E4493" s="65">
        <v>45.25</v>
      </c>
      <c r="F4493" s="8">
        <v>3.406</v>
      </c>
      <c r="G4493" s="66">
        <v>192.1237981</v>
      </c>
      <c r="H4493" s="8">
        <v>8.818</v>
      </c>
      <c r="J4493" s="26"/>
      <c r="K4493"/>
    </row>
    <row r="4494" spans="1:11">
      <c r="A4494">
        <v>32</v>
      </c>
      <c r="B4494" s="64">
        <v>40627</v>
      </c>
      <c r="C4494" s="2">
        <v>1068719.22</v>
      </c>
      <c r="D4494">
        <v>0</v>
      </c>
      <c r="E4494" s="65">
        <v>46.7</v>
      </c>
      <c r="F4494" s="8">
        <v>3.414</v>
      </c>
      <c r="G4494" s="66">
        <v>192.1964844</v>
      </c>
      <c r="H4494" s="8">
        <v>8.818</v>
      </c>
      <c r="J4494" s="26"/>
      <c r="K4494"/>
    </row>
    <row r="4495" spans="1:11">
      <c r="A4495">
        <v>32</v>
      </c>
      <c r="B4495" s="64">
        <v>40634</v>
      </c>
      <c r="C4495" s="2">
        <v>1051121.02</v>
      </c>
      <c r="D4495">
        <v>0</v>
      </c>
      <c r="E4495" s="65">
        <v>44.83</v>
      </c>
      <c r="F4495" s="8">
        <v>3.461</v>
      </c>
      <c r="G4495" s="66">
        <v>192.2691707</v>
      </c>
      <c r="H4495" s="8">
        <v>8.595</v>
      </c>
      <c r="J4495" s="26"/>
      <c r="K4495"/>
    </row>
    <row r="4496" spans="1:11">
      <c r="A4496">
        <v>32</v>
      </c>
      <c r="B4496" s="64">
        <v>40641</v>
      </c>
      <c r="C4496" s="2">
        <v>1102975.59</v>
      </c>
      <c r="D4496">
        <v>0</v>
      </c>
      <c r="E4496" s="65">
        <v>48.81</v>
      </c>
      <c r="F4496" s="8">
        <v>3.532</v>
      </c>
      <c r="G4496" s="66">
        <v>192.3418571</v>
      </c>
      <c r="H4496" s="8">
        <v>8.595</v>
      </c>
      <c r="J4496" s="26"/>
      <c r="K4496"/>
    </row>
    <row r="4497" spans="1:11">
      <c r="A4497">
        <v>32</v>
      </c>
      <c r="B4497" s="64">
        <v>40648</v>
      </c>
      <c r="C4497" s="2">
        <v>1120508.14</v>
      </c>
      <c r="D4497">
        <v>0</v>
      </c>
      <c r="E4497" s="65">
        <v>45.97</v>
      </c>
      <c r="F4497" s="8">
        <v>3.611</v>
      </c>
      <c r="G4497" s="66">
        <v>192.4225954</v>
      </c>
      <c r="H4497" s="8">
        <v>8.595</v>
      </c>
      <c r="J4497" s="26"/>
      <c r="K4497"/>
    </row>
    <row r="4498" spans="1:11">
      <c r="A4498">
        <v>32</v>
      </c>
      <c r="B4498" s="64">
        <v>40655</v>
      </c>
      <c r="C4498" s="2">
        <v>1210602.91</v>
      </c>
      <c r="D4498">
        <v>0</v>
      </c>
      <c r="E4498" s="65">
        <v>48.69</v>
      </c>
      <c r="F4498" s="8">
        <v>3.636</v>
      </c>
      <c r="G4498" s="66">
        <v>192.5234638</v>
      </c>
      <c r="H4498" s="8">
        <v>8.595</v>
      </c>
      <c r="J4498" s="26"/>
      <c r="K4498"/>
    </row>
    <row r="4499" spans="1:11">
      <c r="A4499">
        <v>32</v>
      </c>
      <c r="B4499" s="64">
        <v>40662</v>
      </c>
      <c r="C4499" s="2">
        <v>1107494.55</v>
      </c>
      <c r="D4499">
        <v>0</v>
      </c>
      <c r="E4499" s="65">
        <v>44.86</v>
      </c>
      <c r="F4499" s="8">
        <v>3.663</v>
      </c>
      <c r="G4499" s="66">
        <v>192.6243322</v>
      </c>
      <c r="H4499" s="8">
        <v>8.595</v>
      </c>
      <c r="J4499" s="26"/>
      <c r="K4499"/>
    </row>
    <row r="4500" spans="1:11">
      <c r="A4500">
        <v>32</v>
      </c>
      <c r="B4500" s="64">
        <v>40669</v>
      </c>
      <c r="C4500" s="2">
        <v>1181793.55</v>
      </c>
      <c r="D4500">
        <v>0</v>
      </c>
      <c r="E4500" s="65">
        <v>46.65</v>
      </c>
      <c r="F4500" s="8">
        <v>3.735</v>
      </c>
      <c r="G4500" s="66">
        <v>192.7252006</v>
      </c>
      <c r="H4500" s="8">
        <v>8.595</v>
      </c>
      <c r="J4500" s="26"/>
      <c r="K4500"/>
    </row>
    <row r="4501" spans="1:11">
      <c r="A4501">
        <v>32</v>
      </c>
      <c r="B4501" s="64">
        <v>40676</v>
      </c>
      <c r="C4501" s="2">
        <v>1138162.76</v>
      </c>
      <c r="D4501">
        <v>0</v>
      </c>
      <c r="E4501" s="65">
        <v>56.09</v>
      </c>
      <c r="F4501" s="8">
        <v>3.767</v>
      </c>
      <c r="G4501" s="66">
        <v>192.826069</v>
      </c>
      <c r="H4501" s="8">
        <v>8.595</v>
      </c>
      <c r="J4501" s="26"/>
      <c r="K4501"/>
    </row>
    <row r="4502" spans="1:11">
      <c r="A4502">
        <v>32</v>
      </c>
      <c r="B4502" s="64">
        <v>40683</v>
      </c>
      <c r="C4502" s="2">
        <v>1145084.76</v>
      </c>
      <c r="D4502">
        <v>0</v>
      </c>
      <c r="E4502" s="65">
        <v>45.71</v>
      </c>
      <c r="F4502" s="8">
        <v>3.828</v>
      </c>
      <c r="G4502" s="66">
        <v>192.831317</v>
      </c>
      <c r="H4502" s="8">
        <v>8.595</v>
      </c>
      <c r="J4502" s="26"/>
      <c r="K4502"/>
    </row>
    <row r="4503" spans="1:11">
      <c r="A4503">
        <v>32</v>
      </c>
      <c r="B4503" s="64">
        <v>40690</v>
      </c>
      <c r="C4503" s="2">
        <v>1175447.49</v>
      </c>
      <c r="D4503">
        <v>0</v>
      </c>
      <c r="E4503" s="65">
        <v>55.13</v>
      </c>
      <c r="F4503" s="8">
        <v>3.795</v>
      </c>
      <c r="G4503" s="66">
        <v>192.8365651</v>
      </c>
      <c r="H4503" s="8">
        <v>8.595</v>
      </c>
      <c r="J4503" s="26"/>
      <c r="K4503"/>
    </row>
    <row r="4504" spans="1:11">
      <c r="A4504">
        <v>32</v>
      </c>
      <c r="B4504" s="64">
        <v>40697</v>
      </c>
      <c r="C4504" s="2">
        <v>1167757</v>
      </c>
      <c r="D4504">
        <v>0</v>
      </c>
      <c r="E4504" s="65">
        <v>61.25</v>
      </c>
      <c r="F4504" s="8">
        <v>3.763</v>
      </c>
      <c r="G4504" s="66">
        <v>192.8418131</v>
      </c>
      <c r="H4504" s="8">
        <v>8.595</v>
      </c>
      <c r="J4504" s="26"/>
      <c r="K4504"/>
    </row>
    <row r="4505" spans="1:11">
      <c r="A4505">
        <v>32</v>
      </c>
      <c r="B4505" s="64">
        <v>40704</v>
      </c>
      <c r="C4505" s="2">
        <v>1239741.34</v>
      </c>
      <c r="D4505">
        <v>0</v>
      </c>
      <c r="E4505" s="65">
        <v>65.49</v>
      </c>
      <c r="F4505" s="8">
        <v>3.735</v>
      </c>
      <c r="G4505" s="66">
        <v>192.8470612</v>
      </c>
      <c r="H4505" s="8">
        <v>8.595</v>
      </c>
      <c r="J4505" s="26"/>
      <c r="K4505"/>
    </row>
    <row r="4506" spans="1:11">
      <c r="A4506">
        <v>32</v>
      </c>
      <c r="B4506" s="64">
        <v>40711</v>
      </c>
      <c r="C4506" s="2">
        <v>1192031.38</v>
      </c>
      <c r="D4506">
        <v>0</v>
      </c>
      <c r="E4506" s="65">
        <v>67.38</v>
      </c>
      <c r="F4506" s="8">
        <v>3.697</v>
      </c>
      <c r="G4506" s="66">
        <v>192.9034759</v>
      </c>
      <c r="H4506" s="8">
        <v>8.595</v>
      </c>
      <c r="J4506" s="26"/>
      <c r="K4506"/>
    </row>
    <row r="4507" spans="1:11">
      <c r="A4507">
        <v>32</v>
      </c>
      <c r="B4507" s="64">
        <v>40718</v>
      </c>
      <c r="C4507" s="2">
        <v>1163869.52</v>
      </c>
      <c r="D4507">
        <v>0</v>
      </c>
      <c r="E4507" s="65">
        <v>65.06</v>
      </c>
      <c r="F4507" s="8">
        <v>3.661</v>
      </c>
      <c r="G4507" s="66">
        <v>192.9982655</v>
      </c>
      <c r="H4507" s="8">
        <v>8.595</v>
      </c>
      <c r="J4507" s="26"/>
      <c r="K4507"/>
    </row>
    <row r="4508" spans="1:11">
      <c r="A4508">
        <v>32</v>
      </c>
      <c r="B4508" s="64">
        <v>40725</v>
      </c>
      <c r="C4508" s="2">
        <v>1199845.29</v>
      </c>
      <c r="D4508">
        <v>0</v>
      </c>
      <c r="E4508" s="65">
        <v>72.86</v>
      </c>
      <c r="F4508" s="8">
        <v>3.597</v>
      </c>
      <c r="G4508" s="66">
        <v>193.0930552</v>
      </c>
      <c r="H4508" s="8">
        <v>8.622</v>
      </c>
      <c r="J4508" s="26"/>
      <c r="K4508"/>
    </row>
    <row r="4509" spans="1:11">
      <c r="A4509">
        <v>32</v>
      </c>
      <c r="B4509" s="64">
        <v>40732</v>
      </c>
      <c r="C4509" s="2">
        <v>1110244.52</v>
      </c>
      <c r="D4509">
        <v>0</v>
      </c>
      <c r="E4509" s="65">
        <v>72.56</v>
      </c>
      <c r="F4509" s="8">
        <v>3.54</v>
      </c>
      <c r="G4509" s="66">
        <v>193.1878448</v>
      </c>
      <c r="H4509" s="8">
        <v>8.622</v>
      </c>
      <c r="J4509" s="26"/>
      <c r="K4509"/>
    </row>
    <row r="4510" spans="1:11">
      <c r="A4510">
        <v>32</v>
      </c>
      <c r="B4510" s="64">
        <v>40739</v>
      </c>
      <c r="C4510" s="2">
        <v>1144254.26</v>
      </c>
      <c r="D4510">
        <v>0</v>
      </c>
      <c r="E4510" s="65">
        <v>70.55</v>
      </c>
      <c r="F4510" s="8">
        <v>3.532</v>
      </c>
      <c r="G4510" s="66">
        <v>193.3125484</v>
      </c>
      <c r="H4510" s="8">
        <v>8.622</v>
      </c>
      <c r="J4510" s="26"/>
      <c r="K4510"/>
    </row>
    <row r="4511" spans="1:11">
      <c r="A4511">
        <v>32</v>
      </c>
      <c r="B4511" s="64">
        <v>40746</v>
      </c>
      <c r="C4511" s="2">
        <v>1185674.48</v>
      </c>
      <c r="D4511">
        <v>0</v>
      </c>
      <c r="E4511" s="65">
        <v>76</v>
      </c>
      <c r="F4511" s="8">
        <v>3.545</v>
      </c>
      <c r="G4511" s="66">
        <v>193.5120367</v>
      </c>
      <c r="H4511" s="8">
        <v>8.622</v>
      </c>
      <c r="J4511" s="26"/>
      <c r="K4511"/>
    </row>
    <row r="4512" spans="1:11">
      <c r="A4512">
        <v>32</v>
      </c>
      <c r="B4512" s="64">
        <v>40753</v>
      </c>
      <c r="C4512" s="2">
        <v>1169988.62</v>
      </c>
      <c r="D4512">
        <v>0</v>
      </c>
      <c r="E4512" s="65">
        <v>75.91</v>
      </c>
      <c r="F4512" s="8">
        <v>3.547</v>
      </c>
      <c r="G4512" s="66">
        <v>193.711525</v>
      </c>
      <c r="H4512" s="8">
        <v>8.622</v>
      </c>
      <c r="J4512" s="26"/>
      <c r="K4512"/>
    </row>
    <row r="4513" spans="1:11">
      <c r="A4513">
        <v>32</v>
      </c>
      <c r="B4513" s="64">
        <v>40760</v>
      </c>
      <c r="C4513" s="2">
        <v>1201694.14</v>
      </c>
      <c r="D4513">
        <v>0</v>
      </c>
      <c r="E4513" s="65">
        <v>74.83</v>
      </c>
      <c r="F4513" s="8">
        <v>3.554</v>
      </c>
      <c r="G4513" s="66">
        <v>193.9110133</v>
      </c>
      <c r="H4513" s="8">
        <v>8.622</v>
      </c>
      <c r="J4513" s="26"/>
      <c r="K4513"/>
    </row>
    <row r="4514" spans="1:11">
      <c r="A4514">
        <v>32</v>
      </c>
      <c r="B4514" s="64">
        <v>40767</v>
      </c>
      <c r="C4514" s="2">
        <v>1206795.74</v>
      </c>
      <c r="D4514">
        <v>0</v>
      </c>
      <c r="E4514" s="65">
        <v>74.2</v>
      </c>
      <c r="F4514" s="8">
        <v>3.542</v>
      </c>
      <c r="G4514" s="66">
        <v>194.1105017</v>
      </c>
      <c r="H4514" s="8">
        <v>8.622</v>
      </c>
      <c r="J4514" s="26"/>
      <c r="K4514"/>
    </row>
    <row r="4515" spans="1:11">
      <c r="A4515">
        <v>32</v>
      </c>
      <c r="B4515" s="64">
        <v>40774</v>
      </c>
      <c r="C4515" s="2">
        <v>1221318.17</v>
      </c>
      <c r="D4515">
        <v>0</v>
      </c>
      <c r="E4515" s="65">
        <v>73.72</v>
      </c>
      <c r="F4515" s="8">
        <v>3.499</v>
      </c>
      <c r="G4515" s="66">
        <v>194.2500634</v>
      </c>
      <c r="H4515" s="8">
        <v>8.622</v>
      </c>
      <c r="J4515" s="26"/>
      <c r="K4515"/>
    </row>
    <row r="4516" spans="1:11">
      <c r="A4516">
        <v>32</v>
      </c>
      <c r="B4516" s="64">
        <v>40781</v>
      </c>
      <c r="C4516" s="2">
        <v>1183740.91</v>
      </c>
      <c r="D4516">
        <v>0</v>
      </c>
      <c r="E4516" s="65">
        <v>75.64</v>
      </c>
      <c r="F4516" s="8">
        <v>3.485</v>
      </c>
      <c r="G4516" s="66">
        <v>194.3796374</v>
      </c>
      <c r="H4516" s="8">
        <v>8.622</v>
      </c>
      <c r="J4516" s="26"/>
      <c r="K4516"/>
    </row>
    <row r="4517" spans="1:11">
      <c r="A4517">
        <v>32</v>
      </c>
      <c r="B4517" s="64">
        <v>40788</v>
      </c>
      <c r="C4517" s="2">
        <v>1152117.5</v>
      </c>
      <c r="D4517">
        <v>0</v>
      </c>
      <c r="E4517" s="65">
        <v>74.6</v>
      </c>
      <c r="F4517" s="8">
        <v>3.511</v>
      </c>
      <c r="G4517" s="66">
        <v>194.5092113</v>
      </c>
      <c r="H4517" s="8">
        <v>8.622</v>
      </c>
      <c r="J4517" s="26"/>
      <c r="K4517"/>
    </row>
    <row r="4518" spans="1:11">
      <c r="A4518">
        <v>32</v>
      </c>
      <c r="B4518" s="64">
        <v>40795</v>
      </c>
      <c r="C4518" s="2">
        <v>1128237.3</v>
      </c>
      <c r="D4518">
        <v>1</v>
      </c>
      <c r="E4518" s="65">
        <v>61.24</v>
      </c>
      <c r="F4518" s="8">
        <v>3.566</v>
      </c>
      <c r="G4518" s="66">
        <v>194.6387853</v>
      </c>
      <c r="H4518" s="8">
        <v>8.622</v>
      </c>
      <c r="J4518" s="26"/>
      <c r="K4518"/>
    </row>
    <row r="4519" spans="1:11">
      <c r="A4519">
        <v>32</v>
      </c>
      <c r="B4519" s="64">
        <v>40802</v>
      </c>
      <c r="C4519" s="2">
        <v>1142499.25</v>
      </c>
      <c r="D4519">
        <v>0</v>
      </c>
      <c r="E4519" s="65">
        <v>60.88</v>
      </c>
      <c r="F4519" s="8">
        <v>3.596</v>
      </c>
      <c r="G4519" s="66">
        <v>194.7419707</v>
      </c>
      <c r="H4519" s="8">
        <v>8.622</v>
      </c>
      <c r="J4519" s="26"/>
      <c r="K4519"/>
    </row>
    <row r="4520" spans="1:11">
      <c r="A4520">
        <v>32</v>
      </c>
      <c r="B4520" s="64">
        <v>40809</v>
      </c>
      <c r="C4520" s="2">
        <v>1116140.29</v>
      </c>
      <c r="D4520">
        <v>0</v>
      </c>
      <c r="E4520" s="65">
        <v>58.66</v>
      </c>
      <c r="F4520" s="8">
        <v>3.581</v>
      </c>
      <c r="G4520" s="66">
        <v>194.8099713</v>
      </c>
      <c r="H4520" s="8">
        <v>8.622</v>
      </c>
      <c r="J4520" s="26"/>
      <c r="K4520"/>
    </row>
    <row r="4521" spans="1:11">
      <c r="A4521">
        <v>32</v>
      </c>
      <c r="B4521" s="64">
        <v>40816</v>
      </c>
      <c r="C4521" s="2">
        <v>1088943.98</v>
      </c>
      <c r="D4521">
        <v>0</v>
      </c>
      <c r="E4521" s="65">
        <v>65.04</v>
      </c>
      <c r="F4521" s="8">
        <v>3.538</v>
      </c>
      <c r="G4521" s="66">
        <v>194.8779718</v>
      </c>
      <c r="H4521" s="8">
        <v>8.622</v>
      </c>
      <c r="J4521" s="26"/>
      <c r="K4521"/>
    </row>
    <row r="4522" spans="1:11">
      <c r="A4522">
        <v>32</v>
      </c>
      <c r="B4522" s="64">
        <v>40823</v>
      </c>
      <c r="C4522" s="2">
        <v>1149448.02</v>
      </c>
      <c r="D4522">
        <v>0</v>
      </c>
      <c r="E4522" s="65">
        <v>62.62</v>
      </c>
      <c r="F4522" s="8">
        <v>3.498</v>
      </c>
      <c r="G4522" s="66">
        <v>194.9459724</v>
      </c>
      <c r="H4522" s="8">
        <v>8.513</v>
      </c>
      <c r="J4522" s="26"/>
      <c r="K4522"/>
    </row>
    <row r="4523" spans="1:11">
      <c r="A4523">
        <v>32</v>
      </c>
      <c r="B4523" s="64">
        <v>40830</v>
      </c>
      <c r="C4523" s="2">
        <v>1175420.26</v>
      </c>
      <c r="D4523">
        <v>0</v>
      </c>
      <c r="E4523" s="65">
        <v>50.15</v>
      </c>
      <c r="F4523" s="8">
        <v>3.491</v>
      </c>
      <c r="G4523" s="66">
        <v>195.0261012</v>
      </c>
      <c r="H4523" s="8">
        <v>8.513</v>
      </c>
      <c r="J4523" s="26"/>
      <c r="K4523"/>
    </row>
    <row r="4524" spans="1:11">
      <c r="A4524">
        <v>32</v>
      </c>
      <c r="B4524" s="64">
        <v>40837</v>
      </c>
      <c r="C4524" s="2">
        <v>1151258.74</v>
      </c>
      <c r="D4524">
        <v>0</v>
      </c>
      <c r="E4524" s="65">
        <v>48.87</v>
      </c>
      <c r="F4524" s="8">
        <v>3.548</v>
      </c>
      <c r="G4524" s="66">
        <v>195.1789994</v>
      </c>
      <c r="H4524" s="8">
        <v>8.513</v>
      </c>
      <c r="J4524" s="26"/>
      <c r="K4524"/>
    </row>
    <row r="4525" spans="1:11">
      <c r="A4525">
        <v>32</v>
      </c>
      <c r="B4525" s="64">
        <v>40844</v>
      </c>
      <c r="C4525" s="2">
        <v>1185391.96</v>
      </c>
      <c r="D4525">
        <v>0</v>
      </c>
      <c r="E4525" s="65">
        <v>42.76</v>
      </c>
      <c r="F4525" s="8">
        <v>3.55</v>
      </c>
      <c r="G4525" s="66">
        <v>195.3318977</v>
      </c>
      <c r="H4525" s="8">
        <v>8.513</v>
      </c>
      <c r="J4525" s="26"/>
      <c r="K4525"/>
    </row>
    <row r="4526" spans="1:11">
      <c r="A4526">
        <v>32</v>
      </c>
      <c r="B4526" s="64">
        <v>40851</v>
      </c>
      <c r="C4526" s="2">
        <v>1204628.28</v>
      </c>
      <c r="D4526">
        <v>0</v>
      </c>
      <c r="E4526" s="65">
        <v>37.95</v>
      </c>
      <c r="F4526" s="8">
        <v>3.527</v>
      </c>
      <c r="G4526" s="66">
        <v>195.4847959</v>
      </c>
      <c r="H4526" s="8">
        <v>8.513</v>
      </c>
      <c r="J4526" s="26"/>
      <c r="K4526"/>
    </row>
    <row r="4527" spans="1:11">
      <c r="A4527">
        <v>32</v>
      </c>
      <c r="B4527" s="64">
        <v>40858</v>
      </c>
      <c r="C4527" s="2">
        <v>1182733</v>
      </c>
      <c r="D4527">
        <v>0</v>
      </c>
      <c r="E4527" s="65">
        <v>38.1</v>
      </c>
      <c r="F4527" s="8">
        <v>3.505</v>
      </c>
      <c r="G4527" s="66">
        <v>195.6376941</v>
      </c>
      <c r="H4527" s="8">
        <v>8.513</v>
      </c>
      <c r="J4527" s="26"/>
      <c r="K4527"/>
    </row>
    <row r="4528" spans="1:11">
      <c r="A4528">
        <v>32</v>
      </c>
      <c r="B4528" s="64">
        <v>40865</v>
      </c>
      <c r="C4528" s="2">
        <v>1181651.55</v>
      </c>
      <c r="D4528">
        <v>0</v>
      </c>
      <c r="E4528" s="65">
        <v>42.61</v>
      </c>
      <c r="F4528" s="8">
        <v>3.479</v>
      </c>
      <c r="G4528" s="66">
        <v>195.7184713</v>
      </c>
      <c r="H4528" s="8">
        <v>8.513</v>
      </c>
      <c r="J4528" s="26"/>
      <c r="K4528"/>
    </row>
    <row r="4529" spans="1:11">
      <c r="A4529">
        <v>32</v>
      </c>
      <c r="B4529" s="64">
        <v>40872</v>
      </c>
      <c r="C4529" s="2">
        <v>1684468.66</v>
      </c>
      <c r="D4529">
        <v>1</v>
      </c>
      <c r="E4529" s="65">
        <v>40.22</v>
      </c>
      <c r="F4529" s="8">
        <v>3.424</v>
      </c>
      <c r="G4529" s="66">
        <v>195.7704</v>
      </c>
      <c r="H4529" s="8">
        <v>8.513</v>
      </c>
      <c r="J4529" s="26"/>
      <c r="K4529"/>
    </row>
    <row r="4530" spans="1:11">
      <c r="A4530">
        <v>32</v>
      </c>
      <c r="B4530" s="64">
        <v>40879</v>
      </c>
      <c r="C4530" s="2">
        <v>1179773.88</v>
      </c>
      <c r="D4530">
        <v>0</v>
      </c>
      <c r="E4530" s="65">
        <v>33.8</v>
      </c>
      <c r="F4530" s="8">
        <v>3.378</v>
      </c>
      <c r="G4530" s="66">
        <v>195.8223287</v>
      </c>
      <c r="H4530" s="8">
        <v>8.513</v>
      </c>
      <c r="J4530" s="26"/>
      <c r="K4530"/>
    </row>
    <row r="4531" spans="1:11">
      <c r="A4531">
        <v>32</v>
      </c>
      <c r="B4531" s="64">
        <v>40886</v>
      </c>
      <c r="C4531" s="2">
        <v>1415746.91</v>
      </c>
      <c r="D4531">
        <v>0</v>
      </c>
      <c r="E4531" s="65">
        <v>17.94</v>
      </c>
      <c r="F4531" s="8">
        <v>3.331</v>
      </c>
      <c r="G4531" s="66">
        <v>195.8742575</v>
      </c>
      <c r="H4531" s="8">
        <v>8.513</v>
      </c>
      <c r="J4531" s="26"/>
      <c r="K4531"/>
    </row>
    <row r="4532" spans="1:11">
      <c r="A4532">
        <v>32</v>
      </c>
      <c r="B4532" s="64">
        <v>40893</v>
      </c>
      <c r="C4532" s="2">
        <v>1556017.91</v>
      </c>
      <c r="D4532">
        <v>0</v>
      </c>
      <c r="E4532" s="65">
        <v>26.23</v>
      </c>
      <c r="F4532" s="8">
        <v>3.266</v>
      </c>
      <c r="G4532" s="66">
        <v>195.9841685</v>
      </c>
      <c r="H4532" s="8">
        <v>8.513</v>
      </c>
      <c r="J4532" s="26"/>
      <c r="K4532"/>
    </row>
    <row r="4533" spans="1:11">
      <c r="A4533">
        <v>32</v>
      </c>
      <c r="B4533" s="64">
        <v>40900</v>
      </c>
      <c r="C4533" s="2">
        <v>1959526.96</v>
      </c>
      <c r="D4533">
        <v>0</v>
      </c>
      <c r="E4533" s="65">
        <v>25.97</v>
      </c>
      <c r="F4533" s="8">
        <v>3.173</v>
      </c>
      <c r="G4533" s="66">
        <v>196.1713893</v>
      </c>
      <c r="H4533" s="8">
        <v>8.513</v>
      </c>
      <c r="J4533" s="26"/>
      <c r="K4533"/>
    </row>
    <row r="4534" spans="1:11">
      <c r="A4534">
        <v>32</v>
      </c>
      <c r="B4534" s="64">
        <v>40907</v>
      </c>
      <c r="C4534" s="2">
        <v>1102367.65</v>
      </c>
      <c r="D4534">
        <v>1</v>
      </c>
      <c r="E4534" s="65">
        <v>32.99</v>
      </c>
      <c r="F4534" s="8">
        <v>3.119</v>
      </c>
      <c r="G4534" s="66">
        <v>196.3586101</v>
      </c>
      <c r="H4534" s="8">
        <v>8.513</v>
      </c>
      <c r="J4534" s="26"/>
      <c r="K4534"/>
    </row>
    <row r="4535" spans="1:11">
      <c r="A4535">
        <v>32</v>
      </c>
      <c r="B4535" s="64">
        <v>40914</v>
      </c>
      <c r="C4535" s="2">
        <v>1099937.25</v>
      </c>
      <c r="D4535">
        <v>0</v>
      </c>
      <c r="E4535" s="65">
        <v>36.75</v>
      </c>
      <c r="F4535" s="8">
        <v>3.095</v>
      </c>
      <c r="G4535" s="66">
        <v>196.5458309</v>
      </c>
      <c r="H4535" s="8">
        <v>8.256</v>
      </c>
      <c r="J4535" s="26"/>
      <c r="K4535"/>
    </row>
    <row r="4536" spans="1:11">
      <c r="A4536">
        <v>32</v>
      </c>
      <c r="B4536" s="64">
        <v>40921</v>
      </c>
      <c r="C4536" s="2">
        <v>1071598.36</v>
      </c>
      <c r="D4536">
        <v>0</v>
      </c>
      <c r="E4536" s="65">
        <v>28.99</v>
      </c>
      <c r="F4536" s="8">
        <v>3.077</v>
      </c>
      <c r="G4536" s="66">
        <v>196.7330517</v>
      </c>
      <c r="H4536" s="8">
        <v>8.256</v>
      </c>
      <c r="J4536" s="26"/>
      <c r="K4536"/>
    </row>
    <row r="4537" spans="1:11">
      <c r="A4537">
        <v>32</v>
      </c>
      <c r="B4537" s="64">
        <v>40928</v>
      </c>
      <c r="C4537" s="2">
        <v>1080012.04</v>
      </c>
      <c r="D4537">
        <v>0</v>
      </c>
      <c r="E4537" s="65">
        <v>36.86</v>
      </c>
      <c r="F4537" s="8">
        <v>3.055</v>
      </c>
      <c r="G4537" s="66">
        <v>196.7796652</v>
      </c>
      <c r="H4537" s="8">
        <v>8.256</v>
      </c>
      <c r="J4537" s="26"/>
      <c r="K4537"/>
    </row>
    <row r="4538" spans="1:11">
      <c r="A4538">
        <v>32</v>
      </c>
      <c r="B4538" s="64">
        <v>40935</v>
      </c>
      <c r="C4538" s="2">
        <v>1051864.6</v>
      </c>
      <c r="D4538">
        <v>0</v>
      </c>
      <c r="E4538" s="65">
        <v>36.67</v>
      </c>
      <c r="F4538" s="8">
        <v>3.038</v>
      </c>
      <c r="G4538" s="66">
        <v>196.8262786</v>
      </c>
      <c r="H4538" s="8">
        <v>8.256</v>
      </c>
      <c r="J4538" s="26"/>
      <c r="K4538"/>
    </row>
    <row r="4539" spans="1:11">
      <c r="A4539">
        <v>32</v>
      </c>
      <c r="B4539" s="64">
        <v>40942</v>
      </c>
      <c r="C4539" s="2">
        <v>1156826.31</v>
      </c>
      <c r="D4539">
        <v>0</v>
      </c>
      <c r="E4539" s="65">
        <v>35.89</v>
      </c>
      <c r="F4539" s="8">
        <v>3.031</v>
      </c>
      <c r="G4539" s="66">
        <v>196.8728921</v>
      </c>
      <c r="H4539" s="8">
        <v>8.256</v>
      </c>
      <c r="J4539" s="26"/>
      <c r="K4539"/>
    </row>
    <row r="4540" spans="1:11">
      <c r="A4540">
        <v>32</v>
      </c>
      <c r="B4540" s="64">
        <v>40949</v>
      </c>
      <c r="C4540" s="2">
        <v>1129422.86</v>
      </c>
      <c r="D4540">
        <v>1</v>
      </c>
      <c r="E4540" s="65">
        <v>23.34</v>
      </c>
      <c r="F4540" s="8">
        <v>3.103</v>
      </c>
      <c r="G4540" s="66">
        <v>196.9195056</v>
      </c>
      <c r="H4540" s="8">
        <v>8.256</v>
      </c>
      <c r="J4540" s="26"/>
      <c r="K4540"/>
    </row>
    <row r="4541" spans="1:11">
      <c r="A4541">
        <v>32</v>
      </c>
      <c r="B4541" s="64">
        <v>40956</v>
      </c>
      <c r="C4541" s="2">
        <v>1243812.59</v>
      </c>
      <c r="D4541">
        <v>0</v>
      </c>
      <c r="E4541" s="65">
        <v>24.26</v>
      </c>
      <c r="F4541" s="8">
        <v>3.113</v>
      </c>
      <c r="G4541" s="66">
        <v>196.9432711</v>
      </c>
      <c r="H4541" s="8">
        <v>8.256</v>
      </c>
      <c r="J4541" s="26"/>
      <c r="K4541"/>
    </row>
    <row r="4542" spans="1:11">
      <c r="A4542">
        <v>32</v>
      </c>
      <c r="B4542" s="64">
        <v>40963</v>
      </c>
      <c r="C4542" s="2">
        <v>1091822.72</v>
      </c>
      <c r="D4542">
        <v>0</v>
      </c>
      <c r="E4542" s="65">
        <v>33.41</v>
      </c>
      <c r="F4542" s="8">
        <v>3.129</v>
      </c>
      <c r="G4542" s="66">
        <v>196.9499007</v>
      </c>
      <c r="H4542" s="8">
        <v>8.256</v>
      </c>
      <c r="J4542" s="26"/>
      <c r="K4542"/>
    </row>
    <row r="4543" spans="1:11">
      <c r="A4543">
        <v>32</v>
      </c>
      <c r="B4543" s="64">
        <v>40970</v>
      </c>
      <c r="C4543" s="2">
        <v>1153332.89</v>
      </c>
      <c r="D4543">
        <v>0</v>
      </c>
      <c r="E4543" s="65">
        <v>33.4</v>
      </c>
      <c r="F4543" s="8">
        <v>3.191</v>
      </c>
      <c r="G4543" s="66">
        <v>196.9565303</v>
      </c>
      <c r="H4543" s="8">
        <v>8.256</v>
      </c>
      <c r="J4543" s="26"/>
      <c r="K4543"/>
    </row>
    <row r="4544" spans="1:11">
      <c r="A4544">
        <v>32</v>
      </c>
      <c r="B4544" s="64">
        <v>40977</v>
      </c>
      <c r="C4544" s="2">
        <v>1124537.97</v>
      </c>
      <c r="D4544">
        <v>0</v>
      </c>
      <c r="E4544" s="65">
        <v>39.9</v>
      </c>
      <c r="F4544" s="8">
        <v>3.286</v>
      </c>
      <c r="G4544" s="66">
        <v>196.9631599</v>
      </c>
      <c r="H4544" s="8">
        <v>8.256</v>
      </c>
      <c r="J4544" s="26"/>
      <c r="K4544"/>
    </row>
    <row r="4545" spans="1:11">
      <c r="A4545">
        <v>32</v>
      </c>
      <c r="B4545" s="64">
        <v>40984</v>
      </c>
      <c r="C4545" s="2">
        <v>1138101.18</v>
      </c>
      <c r="D4545">
        <v>0</v>
      </c>
      <c r="E4545" s="65">
        <v>51.51</v>
      </c>
      <c r="F4545" s="8">
        <v>3.486</v>
      </c>
      <c r="G4545" s="66">
        <v>197.0457208</v>
      </c>
      <c r="H4545" s="8">
        <v>8.256</v>
      </c>
      <c r="J4545" s="26"/>
      <c r="K4545"/>
    </row>
    <row r="4546" spans="1:11">
      <c r="A4546">
        <v>32</v>
      </c>
      <c r="B4546" s="64">
        <v>40991</v>
      </c>
      <c r="C4546" s="2">
        <v>1146632.46</v>
      </c>
      <c r="D4546">
        <v>0</v>
      </c>
      <c r="E4546" s="65">
        <v>47.64</v>
      </c>
      <c r="F4546" s="8">
        <v>3.664</v>
      </c>
      <c r="G4546" s="66">
        <v>197.2295234</v>
      </c>
      <c r="H4546" s="8">
        <v>8.256</v>
      </c>
      <c r="J4546" s="26"/>
      <c r="K4546"/>
    </row>
    <row r="4547" spans="1:11">
      <c r="A4547">
        <v>32</v>
      </c>
      <c r="B4547" s="64">
        <v>40998</v>
      </c>
      <c r="C4547" s="2">
        <v>1108686.87</v>
      </c>
      <c r="D4547">
        <v>0</v>
      </c>
      <c r="E4547" s="65">
        <v>56.09</v>
      </c>
      <c r="F4547" s="8">
        <v>3.75</v>
      </c>
      <c r="G4547" s="66">
        <v>197.4133259</v>
      </c>
      <c r="H4547" s="8">
        <v>8.256</v>
      </c>
      <c r="J4547" s="26"/>
      <c r="K4547"/>
    </row>
    <row r="4548" spans="1:11">
      <c r="A4548">
        <v>32</v>
      </c>
      <c r="B4548" s="64">
        <v>41005</v>
      </c>
      <c r="C4548" s="2">
        <v>1270577.01</v>
      </c>
      <c r="D4548">
        <v>0</v>
      </c>
      <c r="E4548" s="65">
        <v>51.49</v>
      </c>
      <c r="F4548" s="8">
        <v>3.854</v>
      </c>
      <c r="G4548" s="66">
        <v>197.5971285</v>
      </c>
      <c r="H4548" s="8">
        <v>8.09</v>
      </c>
      <c r="J4548" s="26"/>
      <c r="K4548"/>
    </row>
    <row r="4549" spans="1:11">
      <c r="A4549">
        <v>32</v>
      </c>
      <c r="B4549" s="64">
        <v>41012</v>
      </c>
      <c r="C4549" s="2">
        <v>1171834.47</v>
      </c>
      <c r="D4549">
        <v>0</v>
      </c>
      <c r="E4549" s="65">
        <v>52.1</v>
      </c>
      <c r="F4549" s="8">
        <v>3.901</v>
      </c>
      <c r="G4549" s="66">
        <v>197.780931</v>
      </c>
      <c r="H4549" s="8">
        <v>8.09</v>
      </c>
      <c r="J4549" s="26"/>
      <c r="K4549"/>
    </row>
    <row r="4550" spans="1:11">
      <c r="A4550">
        <v>32</v>
      </c>
      <c r="B4550" s="64">
        <v>41019</v>
      </c>
      <c r="C4550" s="2">
        <v>1121405.91</v>
      </c>
      <c r="D4550">
        <v>0</v>
      </c>
      <c r="E4550" s="65">
        <v>49.15</v>
      </c>
      <c r="F4550" s="8">
        <v>3.936</v>
      </c>
      <c r="G4550" s="66">
        <v>197.7227385</v>
      </c>
      <c r="H4550" s="8">
        <v>8.09</v>
      </c>
      <c r="J4550" s="26"/>
      <c r="K4550"/>
    </row>
    <row r="4551" spans="1:11">
      <c r="A4551">
        <v>32</v>
      </c>
      <c r="B4551" s="64">
        <v>41026</v>
      </c>
      <c r="C4551" s="2">
        <v>1126962.44</v>
      </c>
      <c r="D4551">
        <v>0</v>
      </c>
      <c r="E4551" s="65">
        <v>61.76</v>
      </c>
      <c r="F4551" s="8">
        <v>3.927</v>
      </c>
      <c r="G4551" s="66">
        <v>197.664546</v>
      </c>
      <c r="H4551" s="8">
        <v>8.09</v>
      </c>
      <c r="J4551" s="26"/>
      <c r="K4551"/>
    </row>
    <row r="4552" spans="1:11">
      <c r="A4552">
        <v>32</v>
      </c>
      <c r="B4552" s="64">
        <v>41033</v>
      </c>
      <c r="C4552" s="2">
        <v>1187384.53</v>
      </c>
      <c r="D4552">
        <v>0</v>
      </c>
      <c r="E4552" s="65">
        <v>58.29</v>
      </c>
      <c r="F4552" s="8">
        <v>3.903</v>
      </c>
      <c r="G4552" s="66">
        <v>197.6063534</v>
      </c>
      <c r="H4552" s="8">
        <v>8.09</v>
      </c>
      <c r="J4552" s="26"/>
      <c r="K4552"/>
    </row>
    <row r="4553" spans="1:11">
      <c r="A4553">
        <v>32</v>
      </c>
      <c r="B4553" s="64">
        <v>41040</v>
      </c>
      <c r="C4553" s="2">
        <v>1187051.07</v>
      </c>
      <c r="D4553">
        <v>0</v>
      </c>
      <c r="E4553" s="65">
        <v>55.4</v>
      </c>
      <c r="F4553" s="8">
        <v>3.87</v>
      </c>
      <c r="G4553" s="66">
        <v>197.5481609</v>
      </c>
      <c r="H4553" s="8">
        <v>8.09</v>
      </c>
      <c r="J4553" s="26"/>
      <c r="K4553"/>
    </row>
    <row r="4554" spans="1:11">
      <c r="A4554">
        <v>32</v>
      </c>
      <c r="B4554" s="64">
        <v>41047</v>
      </c>
      <c r="C4554" s="2">
        <v>1177539.71</v>
      </c>
      <c r="D4554">
        <v>0</v>
      </c>
      <c r="E4554" s="65">
        <v>57.46</v>
      </c>
      <c r="F4554" s="8">
        <v>3.837</v>
      </c>
      <c r="G4554" s="66">
        <v>197.5553137</v>
      </c>
      <c r="H4554" s="8">
        <v>8.09</v>
      </c>
      <c r="J4554" s="26"/>
      <c r="K4554"/>
    </row>
    <row r="4555" spans="1:11">
      <c r="A4555">
        <v>32</v>
      </c>
      <c r="B4555" s="64">
        <v>41054</v>
      </c>
      <c r="C4555" s="2">
        <v>1232784.22</v>
      </c>
      <c r="D4555">
        <v>0</v>
      </c>
      <c r="E4555" s="65">
        <v>59.74</v>
      </c>
      <c r="F4555" s="8">
        <v>3.804</v>
      </c>
      <c r="G4555" s="66">
        <v>197.5886046</v>
      </c>
      <c r="H4555" s="8">
        <v>8.09</v>
      </c>
      <c r="J4555" s="26"/>
      <c r="K4555"/>
    </row>
    <row r="4556" spans="1:11">
      <c r="A4556">
        <v>32</v>
      </c>
      <c r="B4556" s="64">
        <v>41061</v>
      </c>
      <c r="C4556" s="2">
        <v>1157557.79</v>
      </c>
      <c r="D4556">
        <v>0</v>
      </c>
      <c r="E4556" s="65">
        <v>62.84</v>
      </c>
      <c r="F4556" s="8">
        <v>3.764</v>
      </c>
      <c r="G4556" s="66">
        <v>197.6218954</v>
      </c>
      <c r="H4556" s="8">
        <v>8.09</v>
      </c>
      <c r="J4556" s="26"/>
      <c r="K4556"/>
    </row>
    <row r="4557" spans="1:11">
      <c r="A4557">
        <v>32</v>
      </c>
      <c r="B4557" s="64">
        <v>41068</v>
      </c>
      <c r="C4557" s="2">
        <v>1246322.44</v>
      </c>
      <c r="D4557">
        <v>0</v>
      </c>
      <c r="E4557" s="65">
        <v>71.14</v>
      </c>
      <c r="F4557" s="8">
        <v>3.741</v>
      </c>
      <c r="G4557" s="66">
        <v>197.6551863</v>
      </c>
      <c r="H4557" s="8">
        <v>8.09</v>
      </c>
      <c r="J4557" s="26"/>
      <c r="K4557"/>
    </row>
    <row r="4558" spans="1:11">
      <c r="A4558">
        <v>32</v>
      </c>
      <c r="B4558" s="64">
        <v>41075</v>
      </c>
      <c r="C4558" s="2">
        <v>1234759.54</v>
      </c>
      <c r="D4558">
        <v>0</v>
      </c>
      <c r="E4558" s="65">
        <v>70.91</v>
      </c>
      <c r="F4558" s="8">
        <v>3.723</v>
      </c>
      <c r="G4558" s="66">
        <v>197.692292</v>
      </c>
      <c r="H4558" s="8">
        <v>8.09</v>
      </c>
      <c r="J4558" s="26"/>
      <c r="K4558"/>
    </row>
    <row r="4559" spans="1:11">
      <c r="A4559">
        <v>32</v>
      </c>
      <c r="B4559" s="64">
        <v>41082</v>
      </c>
      <c r="C4559" s="2">
        <v>1196880.11</v>
      </c>
      <c r="D4559">
        <v>0</v>
      </c>
      <c r="E4559" s="65">
        <v>74.85</v>
      </c>
      <c r="F4559" s="8">
        <v>3.735</v>
      </c>
      <c r="G4559" s="66">
        <v>197.7389345</v>
      </c>
      <c r="H4559" s="8">
        <v>8.09</v>
      </c>
      <c r="J4559" s="26"/>
      <c r="K4559"/>
    </row>
    <row r="4560" spans="1:11">
      <c r="A4560">
        <v>32</v>
      </c>
      <c r="B4560" s="64">
        <v>41089</v>
      </c>
      <c r="C4560" s="2">
        <v>1178211.81</v>
      </c>
      <c r="D4560">
        <v>0</v>
      </c>
      <c r="E4560" s="65">
        <v>81.95</v>
      </c>
      <c r="F4560" s="8">
        <v>3.693</v>
      </c>
      <c r="G4560" s="66">
        <v>197.785577</v>
      </c>
      <c r="H4560" s="8">
        <v>8.09</v>
      </c>
      <c r="J4560" s="26"/>
      <c r="K4560"/>
    </row>
    <row r="4561" spans="1:11">
      <c r="A4561">
        <v>32</v>
      </c>
      <c r="B4561" s="64">
        <v>41096</v>
      </c>
      <c r="C4561" s="2">
        <v>1214183.97</v>
      </c>
      <c r="D4561">
        <v>0</v>
      </c>
      <c r="E4561" s="65">
        <v>78.68</v>
      </c>
      <c r="F4561" s="8">
        <v>3.646</v>
      </c>
      <c r="G4561" s="66">
        <v>197.8322195</v>
      </c>
      <c r="H4561" s="8">
        <v>7.872</v>
      </c>
      <c r="J4561" s="26"/>
      <c r="K4561"/>
    </row>
    <row r="4562" spans="1:11">
      <c r="A4562">
        <v>32</v>
      </c>
      <c r="B4562" s="64">
        <v>41103</v>
      </c>
      <c r="C4562" s="2">
        <v>1141184.66</v>
      </c>
      <c r="D4562">
        <v>0</v>
      </c>
      <c r="E4562" s="65">
        <v>71.57</v>
      </c>
      <c r="F4562" s="8">
        <v>3.613</v>
      </c>
      <c r="G4562" s="66">
        <v>197.8788621</v>
      </c>
      <c r="H4562" s="8">
        <v>7.872</v>
      </c>
      <c r="J4562" s="26"/>
      <c r="K4562"/>
    </row>
    <row r="4563" spans="1:11">
      <c r="A4563">
        <v>32</v>
      </c>
      <c r="B4563" s="64">
        <v>41110</v>
      </c>
      <c r="C4563" s="2">
        <v>1167829.33</v>
      </c>
      <c r="D4563">
        <v>0</v>
      </c>
      <c r="E4563" s="65">
        <v>77.76</v>
      </c>
      <c r="F4563" s="8">
        <v>3.585</v>
      </c>
      <c r="G4563" s="66">
        <v>197.9290378</v>
      </c>
      <c r="H4563" s="8">
        <v>7.872</v>
      </c>
      <c r="J4563" s="26"/>
      <c r="K4563"/>
    </row>
    <row r="4564" spans="1:11">
      <c r="A4564">
        <v>32</v>
      </c>
      <c r="B4564" s="64">
        <v>41117</v>
      </c>
      <c r="C4564" s="2">
        <v>1144901.52</v>
      </c>
      <c r="D4564">
        <v>0</v>
      </c>
      <c r="E4564" s="65">
        <v>77.56</v>
      </c>
      <c r="F4564" s="8">
        <v>3.57</v>
      </c>
      <c r="G4564" s="66">
        <v>197.9792136</v>
      </c>
      <c r="H4564" s="8">
        <v>7.872</v>
      </c>
      <c r="J4564" s="26"/>
      <c r="K4564"/>
    </row>
    <row r="4565" spans="1:11">
      <c r="A4565">
        <v>32</v>
      </c>
      <c r="B4565" s="64">
        <v>41124</v>
      </c>
      <c r="C4565" s="2">
        <v>1183571.35</v>
      </c>
      <c r="D4565">
        <v>0</v>
      </c>
      <c r="E4565" s="65">
        <v>75.09</v>
      </c>
      <c r="F4565" s="8">
        <v>3.528</v>
      </c>
      <c r="G4565" s="66">
        <v>198.0293893</v>
      </c>
      <c r="H4565" s="8">
        <v>7.872</v>
      </c>
      <c r="J4565" s="26"/>
      <c r="K4565"/>
    </row>
    <row r="4566" spans="1:11">
      <c r="A4566">
        <v>32</v>
      </c>
      <c r="B4566" s="64">
        <v>41131</v>
      </c>
      <c r="C4566" s="2">
        <v>1227469.2</v>
      </c>
      <c r="D4566">
        <v>0</v>
      </c>
      <c r="E4566" s="65">
        <v>75.93</v>
      </c>
      <c r="F4566" s="8">
        <v>3.509</v>
      </c>
      <c r="G4566" s="66">
        <v>198.0795651</v>
      </c>
      <c r="H4566" s="8">
        <v>7.872</v>
      </c>
      <c r="J4566" s="26"/>
      <c r="K4566"/>
    </row>
    <row r="4567" spans="1:11">
      <c r="A4567">
        <v>32</v>
      </c>
      <c r="B4567" s="64">
        <v>41138</v>
      </c>
      <c r="C4567" s="2">
        <v>1261306.37</v>
      </c>
      <c r="D4567">
        <v>0</v>
      </c>
      <c r="E4567" s="65">
        <v>70.75</v>
      </c>
      <c r="F4567" s="8">
        <v>3.545</v>
      </c>
      <c r="G4567" s="66">
        <v>198.1001057</v>
      </c>
      <c r="H4567" s="8">
        <v>7.872</v>
      </c>
      <c r="J4567" s="26"/>
      <c r="K4567"/>
    </row>
    <row r="4568" spans="1:11">
      <c r="A4568">
        <v>32</v>
      </c>
      <c r="B4568" s="64">
        <v>41145</v>
      </c>
      <c r="C4568" s="2">
        <v>1272809.11</v>
      </c>
      <c r="D4568">
        <v>0</v>
      </c>
      <c r="E4568" s="65">
        <v>70.12</v>
      </c>
      <c r="F4568" s="8">
        <v>3.558</v>
      </c>
      <c r="G4568" s="66">
        <v>198.0984199</v>
      </c>
      <c r="H4568" s="8">
        <v>7.872</v>
      </c>
      <c r="J4568" s="26"/>
      <c r="K4568"/>
    </row>
    <row r="4569" spans="1:11">
      <c r="A4569">
        <v>32</v>
      </c>
      <c r="B4569" s="64">
        <v>41152</v>
      </c>
      <c r="C4569" s="2">
        <v>1183979.27</v>
      </c>
      <c r="D4569">
        <v>0</v>
      </c>
      <c r="E4569" s="65">
        <v>76.12</v>
      </c>
      <c r="F4569" s="8">
        <v>3.556</v>
      </c>
      <c r="G4569" s="66">
        <v>198.0967341</v>
      </c>
      <c r="H4569" s="8">
        <v>7.872</v>
      </c>
      <c r="J4569" s="26"/>
      <c r="K4569"/>
    </row>
    <row r="4570" spans="1:11">
      <c r="A4570">
        <v>32</v>
      </c>
      <c r="B4570" s="64">
        <v>41159</v>
      </c>
      <c r="C4570" s="2">
        <v>1126685.95</v>
      </c>
      <c r="D4570">
        <v>1</v>
      </c>
      <c r="E4570" s="65">
        <v>72.56</v>
      </c>
      <c r="F4570" s="8">
        <v>3.596</v>
      </c>
      <c r="G4570" s="66">
        <v>198.0950484</v>
      </c>
      <c r="H4570" s="8">
        <v>7.872</v>
      </c>
      <c r="J4570" s="26"/>
      <c r="K4570"/>
    </row>
    <row r="4571" spans="1:11">
      <c r="A4571">
        <v>32</v>
      </c>
      <c r="B4571" s="64">
        <v>41166</v>
      </c>
      <c r="C4571" s="2">
        <v>1156377.47</v>
      </c>
      <c r="D4571">
        <v>0</v>
      </c>
      <c r="E4571" s="65">
        <v>64.05</v>
      </c>
      <c r="F4571" s="8">
        <v>3.659</v>
      </c>
      <c r="G4571" s="66">
        <v>198.1267184</v>
      </c>
      <c r="H4571" s="8">
        <v>7.872</v>
      </c>
      <c r="J4571" s="26"/>
      <c r="K4571"/>
    </row>
    <row r="4572" spans="1:11">
      <c r="A4572">
        <v>32</v>
      </c>
      <c r="B4572" s="64">
        <v>41173</v>
      </c>
      <c r="C4572" s="2">
        <v>1159119.6</v>
      </c>
      <c r="D4572">
        <v>0</v>
      </c>
      <c r="E4572" s="65">
        <v>63.49</v>
      </c>
      <c r="F4572" s="8">
        <v>3.765</v>
      </c>
      <c r="G4572" s="66">
        <v>198.358523</v>
      </c>
      <c r="H4572" s="8">
        <v>7.872</v>
      </c>
      <c r="J4572" s="26"/>
      <c r="K4572"/>
    </row>
    <row r="4573" spans="1:11">
      <c r="A4573">
        <v>32</v>
      </c>
      <c r="B4573" s="64">
        <v>41180</v>
      </c>
      <c r="C4573" s="2">
        <v>1157111.15</v>
      </c>
      <c r="D4573">
        <v>0</v>
      </c>
      <c r="E4573" s="65">
        <v>60.62</v>
      </c>
      <c r="F4573" s="8">
        <v>3.789</v>
      </c>
      <c r="G4573" s="66">
        <v>198.5903276</v>
      </c>
      <c r="H4573" s="8">
        <v>7.872</v>
      </c>
      <c r="J4573" s="26"/>
      <c r="K4573"/>
    </row>
    <row r="4574" spans="1:11">
      <c r="A4574">
        <v>32</v>
      </c>
      <c r="B4574" s="64">
        <v>41187</v>
      </c>
      <c r="C4574" s="2">
        <v>1202775.24</v>
      </c>
      <c r="D4574">
        <v>0</v>
      </c>
      <c r="E4574" s="65">
        <v>55.34</v>
      </c>
      <c r="F4574" s="8">
        <v>3.779</v>
      </c>
      <c r="G4574" s="66">
        <v>198.8221322</v>
      </c>
      <c r="H4574" s="8">
        <v>7.557</v>
      </c>
      <c r="J4574" s="26"/>
      <c r="K4574"/>
    </row>
    <row r="4575" spans="1:11">
      <c r="A4575">
        <v>32</v>
      </c>
      <c r="B4575" s="64">
        <v>41194</v>
      </c>
      <c r="C4575" s="2">
        <v>1176681.31</v>
      </c>
      <c r="D4575">
        <v>0</v>
      </c>
      <c r="E4575" s="65">
        <v>43.49</v>
      </c>
      <c r="F4575" s="8">
        <v>3.76</v>
      </c>
      <c r="G4575" s="66">
        <v>199.0539368</v>
      </c>
      <c r="H4575" s="8">
        <v>7.557</v>
      </c>
      <c r="J4575" s="26"/>
      <c r="K4575"/>
    </row>
    <row r="4576" spans="1:11">
      <c r="A4576">
        <v>32</v>
      </c>
      <c r="B4576" s="64">
        <v>41201</v>
      </c>
      <c r="C4576" s="2">
        <v>1199292.06</v>
      </c>
      <c r="D4576">
        <v>0</v>
      </c>
      <c r="E4576" s="65">
        <v>53.57</v>
      </c>
      <c r="F4576" s="8">
        <v>3.75</v>
      </c>
      <c r="G4576" s="66">
        <v>199.1481963</v>
      </c>
      <c r="H4576" s="8">
        <v>7.557</v>
      </c>
      <c r="J4576" s="26"/>
      <c r="K4576"/>
    </row>
    <row r="4577" spans="1:11">
      <c r="A4577">
        <v>32</v>
      </c>
      <c r="B4577" s="64">
        <v>41208</v>
      </c>
      <c r="C4577" s="2">
        <v>1219979.29</v>
      </c>
      <c r="D4577">
        <v>0</v>
      </c>
      <c r="E4577" s="65">
        <v>47.22</v>
      </c>
      <c r="F4577" s="8">
        <v>3.686</v>
      </c>
      <c r="G4577" s="66">
        <v>199.2195317</v>
      </c>
      <c r="H4577" s="8">
        <v>7.557</v>
      </c>
      <c r="J4577" s="26"/>
      <c r="K4577"/>
    </row>
    <row r="4578" spans="1:11">
      <c r="A4578">
        <v>33</v>
      </c>
      <c r="B4578" s="64">
        <v>40214</v>
      </c>
      <c r="C4578" s="2">
        <v>274593.43</v>
      </c>
      <c r="D4578">
        <v>0</v>
      </c>
      <c r="E4578" s="65">
        <v>58.4</v>
      </c>
      <c r="F4578" s="8">
        <v>2.962</v>
      </c>
      <c r="G4578" s="66">
        <v>126.4420645</v>
      </c>
      <c r="H4578" s="8">
        <v>10.115</v>
      </c>
      <c r="J4578" s="26"/>
      <c r="K4578"/>
    </row>
    <row r="4579" spans="1:11">
      <c r="A4579">
        <v>33</v>
      </c>
      <c r="B4579" s="64">
        <v>40221</v>
      </c>
      <c r="C4579" s="2">
        <v>294882.83</v>
      </c>
      <c r="D4579">
        <v>1</v>
      </c>
      <c r="E4579" s="65">
        <v>55.47</v>
      </c>
      <c r="F4579" s="8">
        <v>2.828</v>
      </c>
      <c r="G4579" s="66">
        <v>126.4962581</v>
      </c>
      <c r="H4579" s="8">
        <v>10.115</v>
      </c>
      <c r="J4579" s="26"/>
      <c r="K4579"/>
    </row>
    <row r="4580" spans="1:11">
      <c r="A4580">
        <v>33</v>
      </c>
      <c r="B4580" s="64">
        <v>40228</v>
      </c>
      <c r="C4580" s="2">
        <v>296850.83</v>
      </c>
      <c r="D4580">
        <v>0</v>
      </c>
      <c r="E4580" s="65">
        <v>62.16</v>
      </c>
      <c r="F4580" s="8">
        <v>2.915</v>
      </c>
      <c r="G4580" s="66">
        <v>126.5262857</v>
      </c>
      <c r="H4580" s="8">
        <v>10.115</v>
      </c>
      <c r="J4580" s="26"/>
      <c r="K4580"/>
    </row>
    <row r="4581" spans="1:11">
      <c r="A4581">
        <v>33</v>
      </c>
      <c r="B4581" s="64">
        <v>40235</v>
      </c>
      <c r="C4581" s="2">
        <v>284052.77</v>
      </c>
      <c r="D4581">
        <v>0</v>
      </c>
      <c r="E4581" s="65">
        <v>56.5</v>
      </c>
      <c r="F4581" s="8">
        <v>2.825</v>
      </c>
      <c r="G4581" s="66">
        <v>126.5522857</v>
      </c>
      <c r="H4581" s="8">
        <v>10.115</v>
      </c>
      <c r="J4581" s="26"/>
      <c r="K4581"/>
    </row>
    <row r="4582" spans="1:11">
      <c r="A4582">
        <v>33</v>
      </c>
      <c r="B4582" s="64">
        <v>40242</v>
      </c>
      <c r="C4582" s="2">
        <v>291484.89</v>
      </c>
      <c r="D4582">
        <v>0</v>
      </c>
      <c r="E4582" s="65">
        <v>59.17</v>
      </c>
      <c r="F4582" s="8">
        <v>2.877</v>
      </c>
      <c r="G4582" s="66">
        <v>126.5782857</v>
      </c>
      <c r="H4582" s="8">
        <v>10.115</v>
      </c>
      <c r="J4582" s="26"/>
      <c r="K4582"/>
    </row>
    <row r="4583" spans="1:11">
      <c r="A4583">
        <v>33</v>
      </c>
      <c r="B4583" s="64">
        <v>40249</v>
      </c>
      <c r="C4583" s="2">
        <v>312161</v>
      </c>
      <c r="D4583">
        <v>0</v>
      </c>
      <c r="E4583" s="65">
        <v>55.61</v>
      </c>
      <c r="F4583" s="8">
        <v>3.034</v>
      </c>
      <c r="G4583" s="66">
        <v>126.6042857</v>
      </c>
      <c r="H4583" s="8">
        <v>10.115</v>
      </c>
      <c r="J4583" s="26"/>
      <c r="K4583"/>
    </row>
    <row r="4584" spans="1:11">
      <c r="A4584">
        <v>33</v>
      </c>
      <c r="B4584" s="64">
        <v>40256</v>
      </c>
      <c r="C4584" s="2">
        <v>282235.73</v>
      </c>
      <c r="D4584">
        <v>0</v>
      </c>
      <c r="E4584" s="65">
        <v>64.6</v>
      </c>
      <c r="F4584" s="8">
        <v>3.054</v>
      </c>
      <c r="G4584" s="66">
        <v>126.6066452</v>
      </c>
      <c r="H4584" s="8">
        <v>10.115</v>
      </c>
      <c r="J4584" s="26"/>
      <c r="K4584"/>
    </row>
    <row r="4585" spans="1:11">
      <c r="A4585">
        <v>33</v>
      </c>
      <c r="B4585" s="64">
        <v>40263</v>
      </c>
      <c r="C4585" s="2">
        <v>262893.76</v>
      </c>
      <c r="D4585">
        <v>0</v>
      </c>
      <c r="E4585" s="65">
        <v>64.09</v>
      </c>
      <c r="F4585" s="8">
        <v>2.98</v>
      </c>
      <c r="G4585" s="66">
        <v>126.6050645</v>
      </c>
      <c r="H4585" s="8">
        <v>10.115</v>
      </c>
      <c r="J4585" s="26"/>
      <c r="K4585"/>
    </row>
    <row r="4586" spans="1:11">
      <c r="A4586">
        <v>33</v>
      </c>
      <c r="B4586" s="64">
        <v>40270</v>
      </c>
      <c r="C4586" s="2">
        <v>274634.52</v>
      </c>
      <c r="D4586">
        <v>0</v>
      </c>
      <c r="E4586" s="65">
        <v>66.79</v>
      </c>
      <c r="F4586" s="8">
        <v>3.086</v>
      </c>
      <c r="G4586" s="66">
        <v>126.6034839</v>
      </c>
      <c r="H4586" s="8">
        <v>9.849</v>
      </c>
      <c r="J4586" s="26"/>
      <c r="K4586"/>
    </row>
    <row r="4587" spans="1:11">
      <c r="A4587">
        <v>33</v>
      </c>
      <c r="B4587" s="64">
        <v>40277</v>
      </c>
      <c r="C4587" s="2">
        <v>325201.05</v>
      </c>
      <c r="D4587">
        <v>0</v>
      </c>
      <c r="E4587" s="65">
        <v>68.43</v>
      </c>
      <c r="F4587" s="8">
        <v>3.004</v>
      </c>
      <c r="G4587" s="66">
        <v>126.6019032</v>
      </c>
      <c r="H4587" s="8">
        <v>9.849</v>
      </c>
      <c r="J4587" s="26"/>
      <c r="K4587"/>
    </row>
    <row r="4588" spans="1:11">
      <c r="A4588">
        <v>33</v>
      </c>
      <c r="B4588" s="64">
        <v>40284</v>
      </c>
      <c r="C4588" s="2">
        <v>307779.64</v>
      </c>
      <c r="D4588">
        <v>0</v>
      </c>
      <c r="E4588" s="65">
        <v>72.44</v>
      </c>
      <c r="F4588" s="8">
        <v>3.109</v>
      </c>
      <c r="G4588" s="66">
        <v>126.5621</v>
      </c>
      <c r="H4588" s="8">
        <v>9.849</v>
      </c>
      <c r="J4588" s="26"/>
      <c r="K4588"/>
    </row>
    <row r="4589" spans="1:11">
      <c r="A4589">
        <v>33</v>
      </c>
      <c r="B4589" s="64">
        <v>40291</v>
      </c>
      <c r="C4589" s="2">
        <v>263263.02</v>
      </c>
      <c r="D4589">
        <v>0</v>
      </c>
      <c r="E4589" s="65">
        <v>71.59</v>
      </c>
      <c r="F4589" s="8">
        <v>3.05</v>
      </c>
      <c r="G4589" s="66">
        <v>126.4713333</v>
      </c>
      <c r="H4589" s="8">
        <v>9.849</v>
      </c>
      <c r="J4589" s="26"/>
      <c r="K4589"/>
    </row>
    <row r="4590" spans="1:11">
      <c r="A4590">
        <v>33</v>
      </c>
      <c r="B4590" s="64">
        <v>40298</v>
      </c>
      <c r="C4590" s="2">
        <v>275883.23</v>
      </c>
      <c r="D4590">
        <v>0</v>
      </c>
      <c r="E4590" s="65">
        <v>73.29</v>
      </c>
      <c r="F4590" s="8">
        <v>3.105</v>
      </c>
      <c r="G4590" s="66">
        <v>126.3805667</v>
      </c>
      <c r="H4590" s="8">
        <v>9.849</v>
      </c>
      <c r="J4590" s="26"/>
      <c r="K4590"/>
    </row>
    <row r="4591" spans="1:11">
      <c r="A4591">
        <v>33</v>
      </c>
      <c r="B4591" s="64">
        <v>40305</v>
      </c>
      <c r="C4591" s="2">
        <v>326870.13</v>
      </c>
      <c r="D4591">
        <v>0</v>
      </c>
      <c r="E4591" s="65">
        <v>75.4</v>
      </c>
      <c r="F4591" s="8">
        <v>3.127</v>
      </c>
      <c r="G4591" s="66">
        <v>126.2898</v>
      </c>
      <c r="H4591" s="8">
        <v>9.849</v>
      </c>
      <c r="J4591" s="26"/>
      <c r="K4591"/>
    </row>
    <row r="4592" spans="1:11">
      <c r="A4592">
        <v>33</v>
      </c>
      <c r="B4592" s="64">
        <v>40312</v>
      </c>
      <c r="C4592" s="2">
        <v>331173.51</v>
      </c>
      <c r="D4592">
        <v>0</v>
      </c>
      <c r="E4592" s="65">
        <v>76.8</v>
      </c>
      <c r="F4592" s="8">
        <v>3.145</v>
      </c>
      <c r="G4592" s="66">
        <v>126.2085484</v>
      </c>
      <c r="H4592" s="8">
        <v>9.849</v>
      </c>
      <c r="J4592" s="26"/>
      <c r="K4592"/>
    </row>
    <row r="4593" spans="1:11">
      <c r="A4593">
        <v>33</v>
      </c>
      <c r="B4593" s="64">
        <v>40319</v>
      </c>
      <c r="C4593" s="2">
        <v>294264.2</v>
      </c>
      <c r="D4593">
        <v>0</v>
      </c>
      <c r="E4593" s="65">
        <v>82.8</v>
      </c>
      <c r="F4593" s="8">
        <v>3.12</v>
      </c>
      <c r="G4593" s="66">
        <v>126.1843871</v>
      </c>
      <c r="H4593" s="8">
        <v>9.849</v>
      </c>
      <c r="J4593" s="26"/>
      <c r="K4593"/>
    </row>
    <row r="4594" spans="1:11">
      <c r="A4594">
        <v>33</v>
      </c>
      <c r="B4594" s="64">
        <v>40326</v>
      </c>
      <c r="C4594" s="2">
        <v>279246.33</v>
      </c>
      <c r="D4594">
        <v>0</v>
      </c>
      <c r="E4594" s="65">
        <v>78.47</v>
      </c>
      <c r="F4594" s="8">
        <v>3.058</v>
      </c>
      <c r="G4594" s="66">
        <v>126.1602258</v>
      </c>
      <c r="H4594" s="8">
        <v>9.849</v>
      </c>
      <c r="J4594" s="26"/>
      <c r="K4594"/>
    </row>
    <row r="4595" spans="1:11">
      <c r="A4595">
        <v>33</v>
      </c>
      <c r="B4595" s="64">
        <v>40333</v>
      </c>
      <c r="C4595" s="2">
        <v>285100</v>
      </c>
      <c r="D4595">
        <v>0</v>
      </c>
      <c r="E4595" s="65">
        <v>86.06</v>
      </c>
      <c r="F4595" s="8">
        <v>2.941</v>
      </c>
      <c r="G4595" s="66">
        <v>126.1360645</v>
      </c>
      <c r="H4595" s="8">
        <v>9.849</v>
      </c>
      <c r="J4595" s="26"/>
      <c r="K4595"/>
    </row>
    <row r="4596" spans="1:11">
      <c r="A4596">
        <v>33</v>
      </c>
      <c r="B4596" s="64">
        <v>40340</v>
      </c>
      <c r="C4596" s="2">
        <v>310800.79</v>
      </c>
      <c r="D4596">
        <v>0</v>
      </c>
      <c r="E4596" s="65">
        <v>93.52</v>
      </c>
      <c r="F4596" s="8">
        <v>3.057</v>
      </c>
      <c r="G4596" s="66">
        <v>126.1119032</v>
      </c>
      <c r="H4596" s="8">
        <v>9.849</v>
      </c>
      <c r="J4596" s="26"/>
      <c r="K4596"/>
    </row>
    <row r="4597" spans="1:11">
      <c r="A4597">
        <v>33</v>
      </c>
      <c r="B4597" s="64">
        <v>40347</v>
      </c>
      <c r="C4597" s="2">
        <v>272399.08</v>
      </c>
      <c r="D4597">
        <v>0</v>
      </c>
      <c r="E4597" s="65">
        <v>87.69</v>
      </c>
      <c r="F4597" s="8">
        <v>2.935</v>
      </c>
      <c r="G4597" s="66">
        <v>126.114</v>
      </c>
      <c r="H4597" s="8">
        <v>9.849</v>
      </c>
      <c r="J4597" s="26"/>
      <c r="K4597"/>
    </row>
    <row r="4598" spans="1:11">
      <c r="A4598">
        <v>33</v>
      </c>
      <c r="B4598" s="64">
        <v>40354</v>
      </c>
      <c r="C4598" s="2">
        <v>259419.91</v>
      </c>
      <c r="D4598">
        <v>0</v>
      </c>
      <c r="E4598" s="65">
        <v>93.66</v>
      </c>
      <c r="F4598" s="8">
        <v>3.084</v>
      </c>
      <c r="G4598" s="66">
        <v>126.1266</v>
      </c>
      <c r="H4598" s="8">
        <v>9.849</v>
      </c>
      <c r="J4598" s="26"/>
      <c r="K4598"/>
    </row>
    <row r="4599" spans="1:11">
      <c r="A4599">
        <v>33</v>
      </c>
      <c r="B4599" s="64">
        <v>40361</v>
      </c>
      <c r="C4599" s="2">
        <v>267495.76</v>
      </c>
      <c r="D4599">
        <v>0</v>
      </c>
      <c r="E4599" s="65">
        <v>97.66</v>
      </c>
      <c r="F4599" s="8">
        <v>2.978</v>
      </c>
      <c r="G4599" s="66">
        <v>126.1392</v>
      </c>
      <c r="H4599" s="8">
        <v>9.495</v>
      </c>
      <c r="J4599" s="26"/>
      <c r="K4599"/>
    </row>
    <row r="4600" spans="1:11">
      <c r="A4600">
        <v>33</v>
      </c>
      <c r="B4600" s="64">
        <v>40368</v>
      </c>
      <c r="C4600" s="2">
        <v>302423.93</v>
      </c>
      <c r="D4600">
        <v>0</v>
      </c>
      <c r="E4600" s="65">
        <v>95.88</v>
      </c>
      <c r="F4600" s="8">
        <v>3.1</v>
      </c>
      <c r="G4600" s="66">
        <v>126.1518</v>
      </c>
      <c r="H4600" s="8">
        <v>9.495</v>
      </c>
      <c r="J4600" s="26"/>
      <c r="K4600"/>
    </row>
    <row r="4601" spans="1:11">
      <c r="A4601">
        <v>33</v>
      </c>
      <c r="B4601" s="64">
        <v>40375</v>
      </c>
      <c r="C4601" s="2">
        <v>280937.84</v>
      </c>
      <c r="D4601">
        <v>0</v>
      </c>
      <c r="E4601" s="65">
        <v>100.14</v>
      </c>
      <c r="F4601" s="8">
        <v>2.971</v>
      </c>
      <c r="G4601" s="66">
        <v>126.1498065</v>
      </c>
      <c r="H4601" s="8">
        <v>9.495</v>
      </c>
      <c r="J4601" s="26"/>
      <c r="K4601"/>
    </row>
    <row r="4602" spans="1:11">
      <c r="A4602">
        <v>33</v>
      </c>
      <c r="B4602" s="64">
        <v>40382</v>
      </c>
      <c r="C4602" s="2">
        <v>252734.31</v>
      </c>
      <c r="D4602">
        <v>0</v>
      </c>
      <c r="E4602" s="65">
        <v>97.04</v>
      </c>
      <c r="F4602" s="8">
        <v>3.112</v>
      </c>
      <c r="G4602" s="66">
        <v>126.1283548</v>
      </c>
      <c r="H4602" s="8">
        <v>9.495</v>
      </c>
      <c r="J4602" s="26"/>
      <c r="K4602"/>
    </row>
    <row r="4603" spans="1:11">
      <c r="A4603">
        <v>33</v>
      </c>
      <c r="B4603" s="64">
        <v>40389</v>
      </c>
      <c r="C4603" s="2">
        <v>242047.03</v>
      </c>
      <c r="D4603">
        <v>0</v>
      </c>
      <c r="E4603" s="65">
        <v>92.71</v>
      </c>
      <c r="F4603" s="8">
        <v>3.017</v>
      </c>
      <c r="G4603" s="66">
        <v>126.1069032</v>
      </c>
      <c r="H4603" s="8">
        <v>9.495</v>
      </c>
      <c r="J4603" s="26"/>
      <c r="K4603"/>
    </row>
    <row r="4604" spans="1:11">
      <c r="A4604">
        <v>33</v>
      </c>
      <c r="B4604" s="64">
        <v>40396</v>
      </c>
      <c r="C4604" s="2">
        <v>262789.95</v>
      </c>
      <c r="D4604">
        <v>0</v>
      </c>
      <c r="E4604" s="65">
        <v>92.51</v>
      </c>
      <c r="F4604" s="8">
        <v>3.123</v>
      </c>
      <c r="G4604" s="66">
        <v>126.0854516</v>
      </c>
      <c r="H4604" s="8">
        <v>9.495</v>
      </c>
      <c r="J4604" s="26"/>
      <c r="K4604"/>
    </row>
    <row r="4605" spans="1:11">
      <c r="A4605">
        <v>33</v>
      </c>
      <c r="B4605" s="64">
        <v>40403</v>
      </c>
      <c r="C4605" s="2">
        <v>265367.51</v>
      </c>
      <c r="D4605">
        <v>0</v>
      </c>
      <c r="E4605" s="65">
        <v>95.57</v>
      </c>
      <c r="F4605" s="8">
        <v>3.049</v>
      </c>
      <c r="G4605" s="66">
        <v>126.064</v>
      </c>
      <c r="H4605" s="8">
        <v>9.495</v>
      </c>
      <c r="J4605" s="26"/>
      <c r="K4605"/>
    </row>
    <row r="4606" spans="1:11">
      <c r="A4606">
        <v>33</v>
      </c>
      <c r="B4606" s="64">
        <v>40410</v>
      </c>
      <c r="C4606" s="2">
        <v>230519.49</v>
      </c>
      <c r="D4606">
        <v>0</v>
      </c>
      <c r="E4606" s="65">
        <v>96.46</v>
      </c>
      <c r="F4606" s="8">
        <v>3.041</v>
      </c>
      <c r="G4606" s="66">
        <v>126.0766452</v>
      </c>
      <c r="H4606" s="8">
        <v>9.495</v>
      </c>
      <c r="J4606" s="26"/>
      <c r="K4606"/>
    </row>
    <row r="4607" spans="1:11">
      <c r="A4607">
        <v>33</v>
      </c>
      <c r="B4607" s="64">
        <v>40417</v>
      </c>
      <c r="C4607" s="2">
        <v>224031.19</v>
      </c>
      <c r="D4607">
        <v>0</v>
      </c>
      <c r="E4607" s="65">
        <v>94</v>
      </c>
      <c r="F4607" s="8">
        <v>3.022</v>
      </c>
      <c r="G4607" s="66">
        <v>126.0892903</v>
      </c>
      <c r="H4607" s="8">
        <v>9.495</v>
      </c>
      <c r="J4607" s="26"/>
      <c r="K4607"/>
    </row>
    <row r="4608" spans="1:11">
      <c r="A4608">
        <v>33</v>
      </c>
      <c r="B4608" s="64">
        <v>40424</v>
      </c>
      <c r="C4608" s="2">
        <v>237405.82</v>
      </c>
      <c r="D4608">
        <v>0</v>
      </c>
      <c r="E4608" s="65">
        <v>90.82</v>
      </c>
      <c r="F4608" s="8">
        <v>3.087</v>
      </c>
      <c r="G4608" s="66">
        <v>126.1019355</v>
      </c>
      <c r="H4608" s="8">
        <v>9.495</v>
      </c>
      <c r="J4608" s="26"/>
      <c r="K4608"/>
    </row>
    <row r="4609" spans="1:11">
      <c r="A4609">
        <v>33</v>
      </c>
      <c r="B4609" s="64">
        <v>40431</v>
      </c>
      <c r="C4609" s="2">
        <v>272834.88</v>
      </c>
      <c r="D4609">
        <v>1</v>
      </c>
      <c r="E4609" s="65">
        <v>91.77</v>
      </c>
      <c r="F4609" s="8">
        <v>2.961</v>
      </c>
      <c r="G4609" s="66">
        <v>126.1145806</v>
      </c>
      <c r="H4609" s="8">
        <v>9.495</v>
      </c>
      <c r="J4609" s="26"/>
      <c r="K4609"/>
    </row>
    <row r="4610" spans="1:11">
      <c r="A4610">
        <v>33</v>
      </c>
      <c r="B4610" s="64">
        <v>40438</v>
      </c>
      <c r="C4610" s="2">
        <v>246277.18</v>
      </c>
      <c r="D4610">
        <v>0</v>
      </c>
      <c r="E4610" s="65">
        <v>89.43</v>
      </c>
      <c r="F4610" s="8">
        <v>3.028</v>
      </c>
      <c r="G4610" s="66">
        <v>126.1454667</v>
      </c>
      <c r="H4610" s="8">
        <v>9.495</v>
      </c>
      <c r="J4610" s="26"/>
      <c r="K4610"/>
    </row>
    <row r="4611" spans="1:11">
      <c r="A4611">
        <v>33</v>
      </c>
      <c r="B4611" s="64">
        <v>40445</v>
      </c>
      <c r="C4611" s="2">
        <v>231976.84</v>
      </c>
      <c r="D4611">
        <v>0</v>
      </c>
      <c r="E4611" s="65">
        <v>91.18</v>
      </c>
      <c r="F4611" s="8">
        <v>2.939</v>
      </c>
      <c r="G4611" s="66">
        <v>126.1900333</v>
      </c>
      <c r="H4611" s="8">
        <v>9.495</v>
      </c>
      <c r="J4611" s="26"/>
      <c r="K4611"/>
    </row>
    <row r="4612" spans="1:11">
      <c r="A4612">
        <v>33</v>
      </c>
      <c r="B4612" s="64">
        <v>40452</v>
      </c>
      <c r="C4612" s="2">
        <v>224294.39</v>
      </c>
      <c r="D4612">
        <v>0</v>
      </c>
      <c r="E4612" s="65">
        <v>91.45</v>
      </c>
      <c r="F4612" s="8">
        <v>3.001</v>
      </c>
      <c r="G4612" s="66">
        <v>126.2346</v>
      </c>
      <c r="H4612" s="8">
        <v>9.265</v>
      </c>
      <c r="J4612" s="26"/>
      <c r="K4612"/>
    </row>
    <row r="4613" spans="1:11">
      <c r="A4613">
        <v>33</v>
      </c>
      <c r="B4613" s="64">
        <v>40459</v>
      </c>
      <c r="C4613" s="2">
        <v>266484.19</v>
      </c>
      <c r="D4613">
        <v>0</v>
      </c>
      <c r="E4613" s="65">
        <v>79.02</v>
      </c>
      <c r="F4613" s="8">
        <v>2.924</v>
      </c>
      <c r="G4613" s="66">
        <v>126.2791667</v>
      </c>
      <c r="H4613" s="8">
        <v>9.265</v>
      </c>
      <c r="J4613" s="26"/>
      <c r="K4613"/>
    </row>
    <row r="4614" spans="1:11">
      <c r="A4614">
        <v>33</v>
      </c>
      <c r="B4614" s="64">
        <v>40466</v>
      </c>
      <c r="C4614" s="2">
        <v>251732.92</v>
      </c>
      <c r="D4614">
        <v>0</v>
      </c>
      <c r="E4614" s="65">
        <v>80.49</v>
      </c>
      <c r="F4614" s="8">
        <v>3.08</v>
      </c>
      <c r="G4614" s="66">
        <v>126.3266774</v>
      </c>
      <c r="H4614" s="8">
        <v>9.265</v>
      </c>
      <c r="J4614" s="26"/>
      <c r="K4614"/>
    </row>
    <row r="4615" spans="1:11">
      <c r="A4615">
        <v>33</v>
      </c>
      <c r="B4615" s="64">
        <v>40473</v>
      </c>
      <c r="C4615" s="2">
        <v>234175.92</v>
      </c>
      <c r="D4615">
        <v>0</v>
      </c>
      <c r="E4615" s="65">
        <v>74.2</v>
      </c>
      <c r="F4615" s="8">
        <v>3.014</v>
      </c>
      <c r="G4615" s="66">
        <v>126.3815484</v>
      </c>
      <c r="H4615" s="8">
        <v>9.265</v>
      </c>
      <c r="J4615" s="26"/>
      <c r="K4615"/>
    </row>
    <row r="4616" spans="1:11">
      <c r="A4616">
        <v>33</v>
      </c>
      <c r="B4616" s="64">
        <v>40480</v>
      </c>
      <c r="C4616" s="2">
        <v>213538.32</v>
      </c>
      <c r="D4616">
        <v>0</v>
      </c>
      <c r="E4616" s="65">
        <v>71.34</v>
      </c>
      <c r="F4616" s="8">
        <v>3.13</v>
      </c>
      <c r="G4616" s="66">
        <v>126.4364194</v>
      </c>
      <c r="H4616" s="8">
        <v>9.265</v>
      </c>
      <c r="J4616" s="26"/>
      <c r="K4616"/>
    </row>
    <row r="4617" spans="1:11">
      <c r="A4617">
        <v>33</v>
      </c>
      <c r="B4617" s="64">
        <v>40487</v>
      </c>
      <c r="C4617" s="2">
        <v>246124.61</v>
      </c>
      <c r="D4617">
        <v>0</v>
      </c>
      <c r="E4617" s="65">
        <v>74.23</v>
      </c>
      <c r="F4617" s="8">
        <v>3.009</v>
      </c>
      <c r="G4617" s="66">
        <v>126.4912903</v>
      </c>
      <c r="H4617" s="8">
        <v>9.265</v>
      </c>
      <c r="J4617" s="26"/>
      <c r="K4617"/>
    </row>
    <row r="4618" spans="1:11">
      <c r="A4618">
        <v>33</v>
      </c>
      <c r="B4618" s="64">
        <v>40494</v>
      </c>
      <c r="C4618" s="2">
        <v>272803.94</v>
      </c>
      <c r="D4618">
        <v>0</v>
      </c>
      <c r="E4618" s="65">
        <v>65.21</v>
      </c>
      <c r="F4618" s="8">
        <v>3.13</v>
      </c>
      <c r="G4618" s="66">
        <v>126.5461613</v>
      </c>
      <c r="H4618" s="8">
        <v>9.265</v>
      </c>
      <c r="J4618" s="26"/>
      <c r="K4618"/>
    </row>
    <row r="4619" spans="1:11">
      <c r="A4619">
        <v>33</v>
      </c>
      <c r="B4619" s="64">
        <v>40501</v>
      </c>
      <c r="C4619" s="2">
        <v>224639.76</v>
      </c>
      <c r="D4619">
        <v>0</v>
      </c>
      <c r="E4619" s="65">
        <v>61.95</v>
      </c>
      <c r="F4619" s="8">
        <v>3.047</v>
      </c>
      <c r="G4619" s="66">
        <v>126.6072</v>
      </c>
      <c r="H4619" s="8">
        <v>9.265</v>
      </c>
      <c r="J4619" s="26"/>
      <c r="K4619"/>
    </row>
    <row r="4620" spans="1:11">
      <c r="A4620">
        <v>33</v>
      </c>
      <c r="B4620" s="64">
        <v>40508</v>
      </c>
      <c r="C4620" s="2">
        <v>240044.57</v>
      </c>
      <c r="D4620">
        <v>1</v>
      </c>
      <c r="E4620" s="65">
        <v>56.87</v>
      </c>
      <c r="F4620" s="8">
        <v>3.162</v>
      </c>
      <c r="G4620" s="66">
        <v>126.6692667</v>
      </c>
      <c r="H4620" s="8">
        <v>9.265</v>
      </c>
      <c r="J4620" s="26"/>
      <c r="K4620"/>
    </row>
    <row r="4621" spans="1:11">
      <c r="A4621">
        <v>33</v>
      </c>
      <c r="B4621" s="64">
        <v>40515</v>
      </c>
      <c r="C4621" s="2">
        <v>209986.25</v>
      </c>
      <c r="D4621">
        <v>0</v>
      </c>
      <c r="E4621" s="65">
        <v>52.82</v>
      </c>
      <c r="F4621" s="8">
        <v>3.041</v>
      </c>
      <c r="G4621" s="66">
        <v>126.7313333</v>
      </c>
      <c r="H4621" s="8">
        <v>9.265</v>
      </c>
      <c r="J4621" s="26"/>
      <c r="K4621"/>
    </row>
    <row r="4622" spans="1:11">
      <c r="A4622">
        <v>33</v>
      </c>
      <c r="B4622" s="64">
        <v>40522</v>
      </c>
      <c r="C4622" s="2">
        <v>253050.1</v>
      </c>
      <c r="D4622">
        <v>0</v>
      </c>
      <c r="E4622" s="65">
        <v>60.72</v>
      </c>
      <c r="F4622" s="8">
        <v>3.091</v>
      </c>
      <c r="G4622" s="66">
        <v>126.7934</v>
      </c>
      <c r="H4622" s="8">
        <v>9.265</v>
      </c>
      <c r="J4622" s="26"/>
      <c r="K4622"/>
    </row>
    <row r="4623" spans="1:11">
      <c r="A4623">
        <v>33</v>
      </c>
      <c r="B4623" s="64">
        <v>40529</v>
      </c>
      <c r="C4623" s="2">
        <v>238875.26</v>
      </c>
      <c r="D4623">
        <v>0</v>
      </c>
      <c r="E4623" s="65">
        <v>61.12</v>
      </c>
      <c r="F4623" s="8">
        <v>3.125</v>
      </c>
      <c r="G4623" s="66">
        <v>126.8794839</v>
      </c>
      <c r="H4623" s="8">
        <v>9.265</v>
      </c>
      <c r="J4623" s="26"/>
      <c r="K4623"/>
    </row>
    <row r="4624" spans="1:11">
      <c r="A4624">
        <v>33</v>
      </c>
      <c r="B4624" s="64">
        <v>40536</v>
      </c>
      <c r="C4624" s="2">
        <v>249246.8</v>
      </c>
      <c r="D4624">
        <v>0</v>
      </c>
      <c r="E4624" s="65">
        <v>60.43</v>
      </c>
      <c r="F4624" s="8">
        <v>3.236</v>
      </c>
      <c r="G4624" s="66">
        <v>126.9835806</v>
      </c>
      <c r="H4624" s="8">
        <v>9.265</v>
      </c>
      <c r="J4624" s="26"/>
      <c r="K4624"/>
    </row>
    <row r="4625" spans="1:11">
      <c r="A4625">
        <v>33</v>
      </c>
      <c r="B4625" s="64">
        <v>40543</v>
      </c>
      <c r="C4625" s="2">
        <v>219804.85</v>
      </c>
      <c r="D4625">
        <v>1</v>
      </c>
      <c r="E4625" s="65">
        <v>52.91</v>
      </c>
      <c r="F4625" s="8">
        <v>3.148</v>
      </c>
      <c r="G4625" s="66">
        <v>127.0876774</v>
      </c>
      <c r="H4625" s="8">
        <v>9.265</v>
      </c>
      <c r="J4625" s="26"/>
      <c r="K4625"/>
    </row>
    <row r="4626" spans="1:11">
      <c r="A4626">
        <v>33</v>
      </c>
      <c r="B4626" s="64">
        <v>40550</v>
      </c>
      <c r="C4626" s="2">
        <v>243948.82</v>
      </c>
      <c r="D4626">
        <v>0</v>
      </c>
      <c r="E4626" s="65">
        <v>46.25</v>
      </c>
      <c r="F4626" s="8">
        <v>3.287</v>
      </c>
      <c r="G4626" s="66">
        <v>127.1917742</v>
      </c>
      <c r="H4626" s="8">
        <v>8.951</v>
      </c>
      <c r="J4626" s="26"/>
      <c r="K4626"/>
    </row>
    <row r="4627" spans="1:11">
      <c r="A4627">
        <v>33</v>
      </c>
      <c r="B4627" s="64">
        <v>40557</v>
      </c>
      <c r="C4627" s="2">
        <v>259527.75</v>
      </c>
      <c r="D4627">
        <v>0</v>
      </c>
      <c r="E4627" s="65">
        <v>53.63</v>
      </c>
      <c r="F4627" s="8">
        <v>3.312</v>
      </c>
      <c r="G4627" s="66">
        <v>127.3009355</v>
      </c>
      <c r="H4627" s="8">
        <v>8.951</v>
      </c>
      <c r="J4627" s="26"/>
      <c r="K4627"/>
    </row>
    <row r="4628" spans="1:11">
      <c r="A4628">
        <v>33</v>
      </c>
      <c r="B4628" s="64">
        <v>40564</v>
      </c>
      <c r="C4628" s="2">
        <v>244856.44</v>
      </c>
      <c r="D4628">
        <v>0</v>
      </c>
      <c r="E4628" s="65">
        <v>59.46</v>
      </c>
      <c r="F4628" s="8">
        <v>3.336</v>
      </c>
      <c r="G4628" s="66">
        <v>127.4404839</v>
      </c>
      <c r="H4628" s="8">
        <v>8.951</v>
      </c>
      <c r="J4628" s="26"/>
      <c r="K4628"/>
    </row>
    <row r="4629" spans="1:11">
      <c r="A4629">
        <v>33</v>
      </c>
      <c r="B4629" s="64">
        <v>40571</v>
      </c>
      <c r="C4629" s="2">
        <v>231155.9</v>
      </c>
      <c r="D4629">
        <v>0</v>
      </c>
      <c r="E4629" s="65">
        <v>56.62</v>
      </c>
      <c r="F4629" s="8">
        <v>3.231</v>
      </c>
      <c r="G4629" s="66">
        <v>127.5800323</v>
      </c>
      <c r="H4629" s="8">
        <v>8.951</v>
      </c>
      <c r="J4629" s="26"/>
      <c r="K4629"/>
    </row>
    <row r="4630" spans="1:11">
      <c r="A4630">
        <v>33</v>
      </c>
      <c r="B4630" s="64">
        <v>40578</v>
      </c>
      <c r="C4630" s="2">
        <v>234218.03</v>
      </c>
      <c r="D4630">
        <v>0</v>
      </c>
      <c r="E4630" s="65">
        <v>49.26</v>
      </c>
      <c r="F4630" s="8">
        <v>3.348</v>
      </c>
      <c r="G4630" s="66">
        <v>127.7195806</v>
      </c>
      <c r="H4630" s="8">
        <v>8.951</v>
      </c>
      <c r="J4630" s="26"/>
      <c r="K4630"/>
    </row>
    <row r="4631" spans="1:11">
      <c r="A4631">
        <v>33</v>
      </c>
      <c r="B4631" s="64">
        <v>40585</v>
      </c>
      <c r="C4631" s="2">
        <v>276198.74</v>
      </c>
      <c r="D4631">
        <v>1</v>
      </c>
      <c r="E4631" s="65">
        <v>53.35</v>
      </c>
      <c r="F4631" s="8">
        <v>3.381</v>
      </c>
      <c r="G4631" s="66">
        <v>127.859129</v>
      </c>
      <c r="H4631" s="8">
        <v>8.951</v>
      </c>
      <c r="J4631" s="26"/>
      <c r="K4631"/>
    </row>
    <row r="4632" spans="1:11">
      <c r="A4632">
        <v>33</v>
      </c>
      <c r="B4632" s="64">
        <v>40592</v>
      </c>
      <c r="C4632" s="2">
        <v>252349.6</v>
      </c>
      <c r="D4632">
        <v>0</v>
      </c>
      <c r="E4632" s="65">
        <v>62.03</v>
      </c>
      <c r="F4632" s="8">
        <v>3.43</v>
      </c>
      <c r="G4632" s="66">
        <v>127.99525</v>
      </c>
      <c r="H4632" s="8">
        <v>8.951</v>
      </c>
      <c r="J4632" s="26"/>
      <c r="K4632"/>
    </row>
    <row r="4633" spans="1:11">
      <c r="A4633">
        <v>33</v>
      </c>
      <c r="B4633" s="64">
        <v>40599</v>
      </c>
      <c r="C4633" s="2">
        <v>242901.21</v>
      </c>
      <c r="D4633">
        <v>0</v>
      </c>
      <c r="E4633" s="65">
        <v>54.89</v>
      </c>
      <c r="F4633" s="8">
        <v>3.398</v>
      </c>
      <c r="G4633" s="66">
        <v>128.13</v>
      </c>
      <c r="H4633" s="8">
        <v>8.951</v>
      </c>
      <c r="J4633" s="26"/>
      <c r="K4633"/>
    </row>
    <row r="4634" spans="1:11">
      <c r="A4634">
        <v>33</v>
      </c>
      <c r="B4634" s="64">
        <v>40606</v>
      </c>
      <c r="C4634" s="2">
        <v>245435.8</v>
      </c>
      <c r="D4634">
        <v>0</v>
      </c>
      <c r="E4634" s="65">
        <v>59.51</v>
      </c>
      <c r="F4634" s="8">
        <v>3.674</v>
      </c>
      <c r="G4634" s="66">
        <v>128.26475</v>
      </c>
      <c r="H4634" s="8">
        <v>8.951</v>
      </c>
      <c r="J4634" s="26"/>
      <c r="K4634"/>
    </row>
    <row r="4635" spans="1:11">
      <c r="A4635">
        <v>33</v>
      </c>
      <c r="B4635" s="64">
        <v>40613</v>
      </c>
      <c r="C4635" s="2">
        <v>270921.44</v>
      </c>
      <c r="D4635">
        <v>0</v>
      </c>
      <c r="E4635" s="65">
        <v>66.51</v>
      </c>
      <c r="F4635" s="8">
        <v>3.63</v>
      </c>
      <c r="G4635" s="66">
        <v>128.3995</v>
      </c>
      <c r="H4635" s="8">
        <v>8.951</v>
      </c>
      <c r="J4635" s="26"/>
      <c r="K4635"/>
    </row>
    <row r="4636" spans="1:11">
      <c r="A4636">
        <v>33</v>
      </c>
      <c r="B4636" s="64">
        <v>40620</v>
      </c>
      <c r="C4636" s="2">
        <v>247234.47</v>
      </c>
      <c r="D4636">
        <v>0</v>
      </c>
      <c r="E4636" s="65">
        <v>72.72</v>
      </c>
      <c r="F4636" s="8">
        <v>3.892</v>
      </c>
      <c r="G4636" s="66">
        <v>128.5121935</v>
      </c>
      <c r="H4636" s="8">
        <v>8.951</v>
      </c>
      <c r="J4636" s="26"/>
      <c r="K4636"/>
    </row>
    <row r="4637" spans="1:11">
      <c r="A4637">
        <v>33</v>
      </c>
      <c r="B4637" s="64">
        <v>40627</v>
      </c>
      <c r="C4637" s="2">
        <v>238084.08</v>
      </c>
      <c r="D4637">
        <v>0</v>
      </c>
      <c r="E4637" s="65">
        <v>63.34</v>
      </c>
      <c r="F4637" s="8">
        <v>3.716</v>
      </c>
      <c r="G4637" s="66">
        <v>128.6160645</v>
      </c>
      <c r="H4637" s="8">
        <v>8.951</v>
      </c>
      <c r="J4637" s="26"/>
      <c r="K4637"/>
    </row>
    <row r="4638" spans="1:11">
      <c r="A4638">
        <v>33</v>
      </c>
      <c r="B4638" s="64">
        <v>40634</v>
      </c>
      <c r="C4638" s="2">
        <v>232769.09</v>
      </c>
      <c r="D4638">
        <v>0</v>
      </c>
      <c r="E4638" s="65">
        <v>71.41</v>
      </c>
      <c r="F4638" s="8">
        <v>3.772</v>
      </c>
      <c r="G4638" s="66">
        <v>128.7199355</v>
      </c>
      <c r="H4638" s="8">
        <v>8.687</v>
      </c>
      <c r="J4638" s="26"/>
      <c r="K4638"/>
    </row>
    <row r="4639" spans="1:11">
      <c r="A4639">
        <v>33</v>
      </c>
      <c r="B4639" s="64">
        <v>40641</v>
      </c>
      <c r="C4639" s="2">
        <v>271924.73</v>
      </c>
      <c r="D4639">
        <v>0</v>
      </c>
      <c r="E4639" s="65">
        <v>75.11</v>
      </c>
      <c r="F4639" s="8">
        <v>3.818</v>
      </c>
      <c r="G4639" s="66">
        <v>128.8238065</v>
      </c>
      <c r="H4639" s="8">
        <v>8.687</v>
      </c>
      <c r="J4639" s="26"/>
      <c r="K4639"/>
    </row>
    <row r="4640" spans="1:11">
      <c r="A4640">
        <v>33</v>
      </c>
      <c r="B4640" s="64">
        <v>40648</v>
      </c>
      <c r="C4640" s="2">
        <v>275749.56</v>
      </c>
      <c r="D4640">
        <v>0</v>
      </c>
      <c r="E4640" s="65">
        <v>64.64</v>
      </c>
      <c r="F4640" s="8">
        <v>4.089</v>
      </c>
      <c r="G4640" s="66">
        <v>128.9107333</v>
      </c>
      <c r="H4640" s="8">
        <v>8.687</v>
      </c>
      <c r="J4640" s="26"/>
      <c r="K4640"/>
    </row>
    <row r="4641" spans="1:11">
      <c r="A4641">
        <v>33</v>
      </c>
      <c r="B4641" s="64">
        <v>40655</v>
      </c>
      <c r="C4641" s="2">
        <v>248603.3</v>
      </c>
      <c r="D4641">
        <v>0</v>
      </c>
      <c r="E4641" s="65">
        <v>79.46</v>
      </c>
      <c r="F4641" s="8">
        <v>3.917</v>
      </c>
      <c r="G4641" s="66">
        <v>128.9553</v>
      </c>
      <c r="H4641" s="8">
        <v>8.687</v>
      </c>
      <c r="J4641" s="26"/>
      <c r="K4641"/>
    </row>
    <row r="4642" spans="1:11">
      <c r="A4642">
        <v>33</v>
      </c>
      <c r="B4642" s="64">
        <v>40662</v>
      </c>
      <c r="C4642" s="2">
        <v>248561.86</v>
      </c>
      <c r="D4642">
        <v>0</v>
      </c>
      <c r="E4642" s="65">
        <v>77.44</v>
      </c>
      <c r="F4642" s="8">
        <v>4.151</v>
      </c>
      <c r="G4642" s="66">
        <v>128.9998667</v>
      </c>
      <c r="H4642" s="8">
        <v>8.687</v>
      </c>
      <c r="J4642" s="26"/>
      <c r="K4642"/>
    </row>
    <row r="4643" spans="1:11">
      <c r="A4643">
        <v>33</v>
      </c>
      <c r="B4643" s="64">
        <v>40669</v>
      </c>
      <c r="C4643" s="2">
        <v>257031.19</v>
      </c>
      <c r="D4643">
        <v>0</v>
      </c>
      <c r="E4643" s="65">
        <v>77.92</v>
      </c>
      <c r="F4643" s="8">
        <v>4.193</v>
      </c>
      <c r="G4643" s="66">
        <v>129.0444333</v>
      </c>
      <c r="H4643" s="8">
        <v>8.687</v>
      </c>
      <c r="J4643" s="26"/>
      <c r="K4643"/>
    </row>
    <row r="4644" spans="1:11">
      <c r="A4644">
        <v>33</v>
      </c>
      <c r="B4644" s="64">
        <v>40676</v>
      </c>
      <c r="C4644" s="2">
        <v>279466.87</v>
      </c>
      <c r="D4644">
        <v>0</v>
      </c>
      <c r="E4644" s="65">
        <v>78.24</v>
      </c>
      <c r="F4644" s="8">
        <v>4.202</v>
      </c>
      <c r="G4644" s="66">
        <v>129.089</v>
      </c>
      <c r="H4644" s="8">
        <v>8.687</v>
      </c>
      <c r="J4644" s="26"/>
      <c r="K4644"/>
    </row>
    <row r="4645" spans="1:11">
      <c r="A4645">
        <v>33</v>
      </c>
      <c r="B4645" s="64">
        <v>40683</v>
      </c>
      <c r="C4645" s="2">
        <v>239206.26</v>
      </c>
      <c r="D4645">
        <v>0</v>
      </c>
      <c r="E4645" s="65">
        <v>76.07</v>
      </c>
      <c r="F4645" s="8">
        <v>3.99</v>
      </c>
      <c r="G4645" s="66">
        <v>129.0756774</v>
      </c>
      <c r="H4645" s="8">
        <v>8.687</v>
      </c>
      <c r="J4645" s="26"/>
      <c r="K4645"/>
    </row>
    <row r="4646" spans="1:11">
      <c r="A4646">
        <v>33</v>
      </c>
      <c r="B4646" s="64">
        <v>40690</v>
      </c>
      <c r="C4646" s="2">
        <v>239431.85</v>
      </c>
      <c r="D4646">
        <v>0</v>
      </c>
      <c r="E4646" s="65">
        <v>82.32</v>
      </c>
      <c r="F4646" s="8">
        <v>3.933</v>
      </c>
      <c r="G4646" s="66">
        <v>129.0623548</v>
      </c>
      <c r="H4646" s="8">
        <v>8.687</v>
      </c>
      <c r="J4646" s="26"/>
      <c r="K4646"/>
    </row>
    <row r="4647" spans="1:11">
      <c r="A4647">
        <v>33</v>
      </c>
      <c r="B4647" s="64">
        <v>40697</v>
      </c>
      <c r="C4647" s="2">
        <v>243477.03</v>
      </c>
      <c r="D4647">
        <v>0</v>
      </c>
      <c r="E4647" s="65">
        <v>82.93</v>
      </c>
      <c r="F4647" s="8">
        <v>3.893</v>
      </c>
      <c r="G4647" s="66">
        <v>129.0490323</v>
      </c>
      <c r="H4647" s="8">
        <v>8.687</v>
      </c>
      <c r="J4647" s="26"/>
      <c r="K4647"/>
    </row>
    <row r="4648" spans="1:11">
      <c r="A4648">
        <v>33</v>
      </c>
      <c r="B4648" s="64">
        <v>40704</v>
      </c>
      <c r="C4648" s="2">
        <v>258427.39</v>
      </c>
      <c r="D4648">
        <v>0</v>
      </c>
      <c r="E4648" s="65">
        <v>87.02</v>
      </c>
      <c r="F4648" s="8">
        <v>3.981</v>
      </c>
      <c r="G4648" s="66">
        <v>129.0357097</v>
      </c>
      <c r="H4648" s="8">
        <v>8.687</v>
      </c>
      <c r="J4648" s="26"/>
      <c r="K4648"/>
    </row>
    <row r="4649" spans="1:11">
      <c r="A4649">
        <v>33</v>
      </c>
      <c r="B4649" s="64">
        <v>40711</v>
      </c>
      <c r="C4649" s="2">
        <v>238172.66</v>
      </c>
      <c r="D4649">
        <v>0</v>
      </c>
      <c r="E4649" s="65">
        <v>91.11</v>
      </c>
      <c r="F4649" s="8">
        <v>3.935</v>
      </c>
      <c r="G4649" s="66">
        <v>129.0432</v>
      </c>
      <c r="H4649" s="8">
        <v>8.687</v>
      </c>
      <c r="J4649" s="26"/>
      <c r="K4649"/>
    </row>
    <row r="4650" spans="1:11">
      <c r="A4650">
        <v>33</v>
      </c>
      <c r="B4650" s="64">
        <v>40718</v>
      </c>
      <c r="C4650" s="2">
        <v>238433.53</v>
      </c>
      <c r="D4650">
        <v>0</v>
      </c>
      <c r="E4650" s="65">
        <v>94.11</v>
      </c>
      <c r="F4650" s="8">
        <v>3.807</v>
      </c>
      <c r="G4650" s="66">
        <v>129.0663</v>
      </c>
      <c r="H4650" s="8">
        <v>8.687</v>
      </c>
      <c r="J4650" s="26"/>
      <c r="K4650"/>
    </row>
    <row r="4651" spans="1:11">
      <c r="A4651">
        <v>33</v>
      </c>
      <c r="B4651" s="64">
        <v>40725</v>
      </c>
      <c r="C4651" s="2">
        <v>226702.36</v>
      </c>
      <c r="D4651">
        <v>0</v>
      </c>
      <c r="E4651" s="65">
        <v>98.43</v>
      </c>
      <c r="F4651" s="8">
        <v>3.842</v>
      </c>
      <c r="G4651" s="66">
        <v>129.0894</v>
      </c>
      <c r="H4651" s="8">
        <v>8.442</v>
      </c>
      <c r="J4651" s="26"/>
      <c r="K4651"/>
    </row>
    <row r="4652" spans="1:11">
      <c r="A4652">
        <v>33</v>
      </c>
      <c r="B4652" s="64">
        <v>40732</v>
      </c>
      <c r="C4652" s="2">
        <v>262717.71</v>
      </c>
      <c r="D4652">
        <v>0</v>
      </c>
      <c r="E4652" s="65">
        <v>96.44</v>
      </c>
      <c r="F4652" s="8">
        <v>3.793</v>
      </c>
      <c r="G4652" s="66">
        <v>129.1125</v>
      </c>
      <c r="H4652" s="8">
        <v>8.442</v>
      </c>
      <c r="J4652" s="26"/>
      <c r="K4652"/>
    </row>
    <row r="4653" spans="1:11">
      <c r="A4653">
        <v>33</v>
      </c>
      <c r="B4653" s="64">
        <v>40739</v>
      </c>
      <c r="C4653" s="2">
        <v>265003.47</v>
      </c>
      <c r="D4653">
        <v>0</v>
      </c>
      <c r="E4653" s="65">
        <v>92.83</v>
      </c>
      <c r="F4653" s="8">
        <v>3.779</v>
      </c>
      <c r="G4653" s="66">
        <v>129.1338387</v>
      </c>
      <c r="H4653" s="8">
        <v>8.442</v>
      </c>
      <c r="J4653" s="26"/>
      <c r="K4653"/>
    </row>
    <row r="4654" spans="1:11">
      <c r="A4654">
        <v>33</v>
      </c>
      <c r="B4654" s="64">
        <v>40746</v>
      </c>
      <c r="C4654" s="2">
        <v>238915.05</v>
      </c>
      <c r="D4654">
        <v>0</v>
      </c>
      <c r="E4654" s="65">
        <v>97.17</v>
      </c>
      <c r="F4654" s="8">
        <v>3.697</v>
      </c>
      <c r="G4654" s="66">
        <v>129.1507742</v>
      </c>
      <c r="H4654" s="8">
        <v>8.442</v>
      </c>
      <c r="J4654" s="26"/>
      <c r="K4654"/>
    </row>
    <row r="4655" spans="1:11">
      <c r="A4655">
        <v>33</v>
      </c>
      <c r="B4655" s="64">
        <v>40753</v>
      </c>
      <c r="C4655" s="2">
        <v>224806.96</v>
      </c>
      <c r="D4655">
        <v>0</v>
      </c>
      <c r="E4655" s="65">
        <v>95.28</v>
      </c>
      <c r="F4655" s="8">
        <v>3.694</v>
      </c>
      <c r="G4655" s="66">
        <v>129.1677097</v>
      </c>
      <c r="H4655" s="8">
        <v>8.442</v>
      </c>
      <c r="J4655" s="26"/>
      <c r="K4655"/>
    </row>
    <row r="4656" spans="1:11">
      <c r="A4656">
        <v>33</v>
      </c>
      <c r="B4656" s="64">
        <v>40760</v>
      </c>
      <c r="C4656" s="2">
        <v>242456.39</v>
      </c>
      <c r="D4656">
        <v>0</v>
      </c>
      <c r="E4656" s="65">
        <v>96.93</v>
      </c>
      <c r="F4656" s="8">
        <v>3.803</v>
      </c>
      <c r="G4656" s="66">
        <v>129.1846452</v>
      </c>
      <c r="H4656" s="8">
        <v>8.442</v>
      </c>
      <c r="J4656" s="26"/>
      <c r="K4656"/>
    </row>
    <row r="4657" spans="1:11">
      <c r="A4657">
        <v>33</v>
      </c>
      <c r="B4657" s="64">
        <v>40767</v>
      </c>
      <c r="C4657" s="2">
        <v>274721.85</v>
      </c>
      <c r="D4657">
        <v>0</v>
      </c>
      <c r="E4657" s="65">
        <v>96</v>
      </c>
      <c r="F4657" s="8">
        <v>3.794</v>
      </c>
      <c r="G4657" s="66">
        <v>129.2015806</v>
      </c>
      <c r="H4657" s="8">
        <v>8.442</v>
      </c>
      <c r="J4657" s="26"/>
      <c r="K4657"/>
    </row>
    <row r="4658" spans="1:11">
      <c r="A4658">
        <v>33</v>
      </c>
      <c r="B4658" s="64">
        <v>40774</v>
      </c>
      <c r="C4658" s="2">
        <v>242771.37</v>
      </c>
      <c r="D4658">
        <v>0</v>
      </c>
      <c r="E4658" s="65">
        <v>95.89</v>
      </c>
      <c r="F4658" s="8">
        <v>3.743</v>
      </c>
      <c r="G4658" s="66">
        <v>129.2405806</v>
      </c>
      <c r="H4658" s="8">
        <v>8.442</v>
      </c>
      <c r="J4658" s="26"/>
      <c r="K4658"/>
    </row>
    <row r="4659" spans="1:11">
      <c r="A4659">
        <v>33</v>
      </c>
      <c r="B4659" s="64">
        <v>40781</v>
      </c>
      <c r="C4659" s="2">
        <v>237095.82</v>
      </c>
      <c r="D4659">
        <v>0</v>
      </c>
      <c r="E4659" s="65">
        <v>99.66</v>
      </c>
      <c r="F4659" s="8">
        <v>3.663</v>
      </c>
      <c r="G4659" s="66">
        <v>129.2832581</v>
      </c>
      <c r="H4659" s="8">
        <v>8.442</v>
      </c>
      <c r="J4659" s="26"/>
      <c r="K4659"/>
    </row>
    <row r="4660" spans="1:11">
      <c r="A4660">
        <v>33</v>
      </c>
      <c r="B4660" s="64">
        <v>40788</v>
      </c>
      <c r="C4660" s="2">
        <v>239198.36</v>
      </c>
      <c r="D4660">
        <v>0</v>
      </c>
      <c r="E4660" s="65">
        <v>99.2</v>
      </c>
      <c r="F4660" s="8">
        <v>3.798</v>
      </c>
      <c r="G4660" s="66">
        <v>129.3259355</v>
      </c>
      <c r="H4660" s="8">
        <v>8.442</v>
      </c>
      <c r="J4660" s="26"/>
      <c r="K4660"/>
    </row>
    <row r="4661" spans="1:11">
      <c r="A4661">
        <v>33</v>
      </c>
      <c r="B4661" s="64">
        <v>40795</v>
      </c>
      <c r="C4661" s="2">
        <v>281842.28</v>
      </c>
      <c r="D4661">
        <v>1</v>
      </c>
      <c r="E4661" s="65">
        <v>96.22</v>
      </c>
      <c r="F4661" s="8">
        <v>3.771</v>
      </c>
      <c r="G4661" s="66">
        <v>129.3686129</v>
      </c>
      <c r="H4661" s="8">
        <v>8.442</v>
      </c>
      <c r="J4661" s="26"/>
      <c r="K4661"/>
    </row>
    <row r="4662" spans="1:11">
      <c r="A4662">
        <v>33</v>
      </c>
      <c r="B4662" s="64">
        <v>40802</v>
      </c>
      <c r="C4662" s="2">
        <v>262407.57</v>
      </c>
      <c r="D4662">
        <v>0</v>
      </c>
      <c r="E4662" s="65">
        <v>85.79</v>
      </c>
      <c r="F4662" s="8">
        <v>3.784</v>
      </c>
      <c r="G4662" s="66">
        <v>129.4306</v>
      </c>
      <c r="H4662" s="8">
        <v>8.442</v>
      </c>
      <c r="J4662" s="26"/>
      <c r="K4662"/>
    </row>
    <row r="4663" spans="1:11">
      <c r="A4663">
        <v>33</v>
      </c>
      <c r="B4663" s="64">
        <v>40809</v>
      </c>
      <c r="C4663" s="2">
        <v>234793.12</v>
      </c>
      <c r="D4663">
        <v>0</v>
      </c>
      <c r="E4663" s="65">
        <v>88.93</v>
      </c>
      <c r="F4663" s="8">
        <v>3.789</v>
      </c>
      <c r="G4663" s="66">
        <v>129.5183333</v>
      </c>
      <c r="H4663" s="8">
        <v>8.442</v>
      </c>
      <c r="J4663" s="26"/>
      <c r="K4663"/>
    </row>
    <row r="4664" spans="1:11">
      <c r="A4664">
        <v>33</v>
      </c>
      <c r="B4664" s="64">
        <v>40816</v>
      </c>
      <c r="C4664" s="2">
        <v>229731.98</v>
      </c>
      <c r="D4664">
        <v>0</v>
      </c>
      <c r="E4664" s="65">
        <v>89.1</v>
      </c>
      <c r="F4664" s="8">
        <v>3.877</v>
      </c>
      <c r="G4664" s="66">
        <v>129.6060667</v>
      </c>
      <c r="H4664" s="8">
        <v>8.442</v>
      </c>
      <c r="J4664" s="26"/>
      <c r="K4664"/>
    </row>
    <row r="4665" spans="1:11">
      <c r="A4665">
        <v>33</v>
      </c>
      <c r="B4665" s="64">
        <v>40823</v>
      </c>
      <c r="C4665" s="2">
        <v>262159.13</v>
      </c>
      <c r="D4665">
        <v>0</v>
      </c>
      <c r="E4665" s="65">
        <v>81.16</v>
      </c>
      <c r="F4665" s="8">
        <v>3.827</v>
      </c>
      <c r="G4665" s="66">
        <v>129.6938</v>
      </c>
      <c r="H4665" s="8">
        <v>8.01</v>
      </c>
      <c r="J4665" s="26"/>
      <c r="K4665"/>
    </row>
    <row r="4666" spans="1:11">
      <c r="A4666">
        <v>33</v>
      </c>
      <c r="B4666" s="64">
        <v>40830</v>
      </c>
      <c r="C4666" s="2">
        <v>272487.33</v>
      </c>
      <c r="D4666">
        <v>0</v>
      </c>
      <c r="E4666" s="65">
        <v>76.49</v>
      </c>
      <c r="F4666" s="8">
        <v>3.698</v>
      </c>
      <c r="G4666" s="66">
        <v>129.7706452</v>
      </c>
      <c r="H4666" s="8">
        <v>8.01</v>
      </c>
      <c r="J4666" s="26"/>
      <c r="K4666"/>
    </row>
    <row r="4667" spans="1:11">
      <c r="A4667">
        <v>33</v>
      </c>
      <c r="B4667" s="64">
        <v>40837</v>
      </c>
      <c r="C4667" s="2">
        <v>233543.08</v>
      </c>
      <c r="D4667">
        <v>0</v>
      </c>
      <c r="E4667" s="65">
        <v>81.74</v>
      </c>
      <c r="F4667" s="8">
        <v>3.842</v>
      </c>
      <c r="G4667" s="66">
        <v>129.7821613</v>
      </c>
      <c r="H4667" s="8">
        <v>8.01</v>
      </c>
      <c r="J4667" s="26"/>
      <c r="K4667"/>
    </row>
    <row r="4668" spans="1:11">
      <c r="A4668">
        <v>33</v>
      </c>
      <c r="B4668" s="64">
        <v>40844</v>
      </c>
      <c r="C4668" s="2">
        <v>231319.96</v>
      </c>
      <c r="D4668">
        <v>0</v>
      </c>
      <c r="E4668" s="65">
        <v>76.73</v>
      </c>
      <c r="F4668" s="8">
        <v>3.843</v>
      </c>
      <c r="G4668" s="66">
        <v>129.7936774</v>
      </c>
      <c r="H4668" s="8">
        <v>8.01</v>
      </c>
      <c r="J4668" s="26"/>
      <c r="K4668"/>
    </row>
    <row r="4669" spans="1:11">
      <c r="A4669">
        <v>33</v>
      </c>
      <c r="B4669" s="64">
        <v>40851</v>
      </c>
      <c r="C4669" s="2">
        <v>236157.12</v>
      </c>
      <c r="D4669">
        <v>0</v>
      </c>
      <c r="E4669" s="65">
        <v>71.91</v>
      </c>
      <c r="F4669" s="8">
        <v>3.828</v>
      </c>
      <c r="G4669" s="66">
        <v>129.8051935</v>
      </c>
      <c r="H4669" s="8">
        <v>8.01</v>
      </c>
      <c r="J4669" s="26"/>
      <c r="K4669"/>
    </row>
    <row r="4670" spans="1:11">
      <c r="A4670">
        <v>33</v>
      </c>
      <c r="B4670" s="64">
        <v>40858</v>
      </c>
      <c r="C4670" s="2">
        <v>271961.04</v>
      </c>
      <c r="D4670">
        <v>0</v>
      </c>
      <c r="E4670" s="65">
        <v>58.75</v>
      </c>
      <c r="F4670" s="8">
        <v>3.677</v>
      </c>
      <c r="G4670" s="66">
        <v>129.8167097</v>
      </c>
      <c r="H4670" s="8">
        <v>8.01</v>
      </c>
      <c r="J4670" s="26"/>
      <c r="K4670"/>
    </row>
    <row r="4671" spans="1:11">
      <c r="A4671">
        <v>33</v>
      </c>
      <c r="B4671" s="64">
        <v>40865</v>
      </c>
      <c r="C4671" s="2">
        <v>251294.5</v>
      </c>
      <c r="D4671">
        <v>0</v>
      </c>
      <c r="E4671" s="65">
        <v>63.35</v>
      </c>
      <c r="F4671" s="8">
        <v>3.669</v>
      </c>
      <c r="G4671" s="66">
        <v>129.8268333</v>
      </c>
      <c r="H4671" s="8">
        <v>8.01</v>
      </c>
      <c r="J4671" s="26"/>
      <c r="K4671"/>
    </row>
    <row r="4672" spans="1:11">
      <c r="A4672">
        <v>33</v>
      </c>
      <c r="B4672" s="64">
        <v>40872</v>
      </c>
      <c r="C4672" s="2">
        <v>255996.47</v>
      </c>
      <c r="D4672">
        <v>1</v>
      </c>
      <c r="E4672" s="65">
        <v>62.35</v>
      </c>
      <c r="F4672" s="8">
        <v>3.76</v>
      </c>
      <c r="G4672" s="66">
        <v>129.8364</v>
      </c>
      <c r="H4672" s="8">
        <v>8.01</v>
      </c>
      <c r="J4672" s="26"/>
      <c r="K4672"/>
    </row>
    <row r="4673" spans="1:11">
      <c r="A4673">
        <v>33</v>
      </c>
      <c r="B4673" s="64">
        <v>40879</v>
      </c>
      <c r="C4673" s="2">
        <v>220060.35</v>
      </c>
      <c r="D4673">
        <v>0</v>
      </c>
      <c r="E4673" s="65">
        <v>59.12</v>
      </c>
      <c r="F4673" s="8">
        <v>3.701</v>
      </c>
      <c r="G4673" s="66">
        <v>129.8459667</v>
      </c>
      <c r="H4673" s="8">
        <v>8.01</v>
      </c>
      <c r="J4673" s="26"/>
      <c r="K4673"/>
    </row>
    <row r="4674" spans="1:11">
      <c r="A4674">
        <v>33</v>
      </c>
      <c r="B4674" s="64">
        <v>40886</v>
      </c>
      <c r="C4674" s="2">
        <v>270373.05</v>
      </c>
      <c r="D4674">
        <v>0</v>
      </c>
      <c r="E4674" s="65">
        <v>47.7</v>
      </c>
      <c r="F4674" s="8">
        <v>3.644</v>
      </c>
      <c r="G4674" s="66">
        <v>129.8555333</v>
      </c>
      <c r="H4674" s="8">
        <v>8.01</v>
      </c>
      <c r="J4674" s="26"/>
      <c r="K4674"/>
    </row>
    <row r="4675" spans="1:11">
      <c r="A4675">
        <v>33</v>
      </c>
      <c r="B4675" s="64">
        <v>40893</v>
      </c>
      <c r="C4675" s="2">
        <v>259638.35</v>
      </c>
      <c r="D4675">
        <v>0</v>
      </c>
      <c r="E4675" s="65">
        <v>53.18</v>
      </c>
      <c r="F4675" s="8">
        <v>3.489</v>
      </c>
      <c r="G4675" s="66">
        <v>129.8980645</v>
      </c>
      <c r="H4675" s="8">
        <v>8.01</v>
      </c>
      <c r="J4675" s="26"/>
      <c r="K4675"/>
    </row>
    <row r="4676" spans="1:11">
      <c r="A4676">
        <v>33</v>
      </c>
      <c r="B4676" s="64">
        <v>40900</v>
      </c>
      <c r="C4676" s="2">
        <v>256235.19</v>
      </c>
      <c r="D4676">
        <v>0</v>
      </c>
      <c r="E4676" s="65">
        <v>53.39</v>
      </c>
      <c r="F4676" s="8">
        <v>3.541</v>
      </c>
      <c r="G4676" s="66">
        <v>129.9845484</v>
      </c>
      <c r="H4676" s="8">
        <v>8.01</v>
      </c>
      <c r="J4676" s="26"/>
      <c r="K4676"/>
    </row>
    <row r="4677" spans="1:11">
      <c r="A4677">
        <v>33</v>
      </c>
      <c r="B4677" s="64">
        <v>40907</v>
      </c>
      <c r="C4677" s="2">
        <v>215359.21</v>
      </c>
      <c r="D4677">
        <v>1</v>
      </c>
      <c r="E4677" s="65">
        <v>51.6</v>
      </c>
      <c r="F4677" s="8">
        <v>3.428</v>
      </c>
      <c r="G4677" s="66">
        <v>130.0710323</v>
      </c>
      <c r="H4677" s="8">
        <v>8.01</v>
      </c>
      <c r="J4677" s="26"/>
      <c r="K4677"/>
    </row>
    <row r="4678" spans="1:11">
      <c r="A4678">
        <v>33</v>
      </c>
      <c r="B4678" s="64">
        <v>40914</v>
      </c>
      <c r="C4678" s="2">
        <v>267058.08</v>
      </c>
      <c r="D4678">
        <v>0</v>
      </c>
      <c r="E4678" s="65">
        <v>60.92</v>
      </c>
      <c r="F4678" s="8">
        <v>3.443</v>
      </c>
      <c r="G4678" s="66">
        <v>130.1575161</v>
      </c>
      <c r="H4678" s="8">
        <v>7.603</v>
      </c>
      <c r="J4678" s="26"/>
      <c r="K4678"/>
    </row>
    <row r="4679" spans="1:11">
      <c r="A4679">
        <v>33</v>
      </c>
      <c r="B4679" s="64">
        <v>40921</v>
      </c>
      <c r="C4679" s="2">
        <v>279447.22</v>
      </c>
      <c r="D4679">
        <v>0</v>
      </c>
      <c r="E4679" s="65">
        <v>54.61</v>
      </c>
      <c r="F4679" s="8">
        <v>3.477</v>
      </c>
      <c r="G4679" s="66">
        <v>130.244</v>
      </c>
      <c r="H4679" s="8">
        <v>7.603</v>
      </c>
      <c r="J4679" s="26"/>
      <c r="K4679"/>
    </row>
    <row r="4680" spans="1:11">
      <c r="A4680">
        <v>33</v>
      </c>
      <c r="B4680" s="64">
        <v>40928</v>
      </c>
      <c r="C4680" s="2">
        <v>244899.2</v>
      </c>
      <c r="D4680">
        <v>0</v>
      </c>
      <c r="E4680" s="65">
        <v>55.99</v>
      </c>
      <c r="F4680" s="8">
        <v>3.66</v>
      </c>
      <c r="G4680" s="66">
        <v>130.2792258</v>
      </c>
      <c r="H4680" s="8">
        <v>7.603</v>
      </c>
      <c r="J4680" s="26"/>
      <c r="K4680"/>
    </row>
    <row r="4681" spans="1:11">
      <c r="A4681">
        <v>33</v>
      </c>
      <c r="B4681" s="64">
        <v>40935</v>
      </c>
      <c r="C4681" s="2">
        <v>236920.49</v>
      </c>
      <c r="D4681">
        <v>0</v>
      </c>
      <c r="E4681" s="65">
        <v>56.33</v>
      </c>
      <c r="F4681" s="8">
        <v>3.675</v>
      </c>
      <c r="G4681" s="66">
        <v>130.3144516</v>
      </c>
      <c r="H4681" s="8">
        <v>7.603</v>
      </c>
      <c r="J4681" s="26"/>
      <c r="K4681"/>
    </row>
    <row r="4682" spans="1:11">
      <c r="A4682">
        <v>33</v>
      </c>
      <c r="B4682" s="64">
        <v>40942</v>
      </c>
      <c r="C4682" s="2">
        <v>256091.32</v>
      </c>
      <c r="D4682">
        <v>0</v>
      </c>
      <c r="E4682" s="65">
        <v>59.53</v>
      </c>
      <c r="F4682" s="8">
        <v>3.543</v>
      </c>
      <c r="G4682" s="66">
        <v>130.3496774</v>
      </c>
      <c r="H4682" s="8">
        <v>7.603</v>
      </c>
      <c r="J4682" s="26"/>
      <c r="K4682"/>
    </row>
    <row r="4683" spans="1:11">
      <c r="A4683">
        <v>33</v>
      </c>
      <c r="B4683" s="64">
        <v>40949</v>
      </c>
      <c r="C4683" s="2">
        <v>282552.58</v>
      </c>
      <c r="D4683">
        <v>1</v>
      </c>
      <c r="E4683" s="65">
        <v>59.94</v>
      </c>
      <c r="F4683" s="8">
        <v>3.722</v>
      </c>
      <c r="G4683" s="66">
        <v>130.3849032</v>
      </c>
      <c r="H4683" s="8">
        <v>7.603</v>
      </c>
      <c r="J4683" s="26"/>
      <c r="K4683"/>
    </row>
    <row r="4684" spans="1:11">
      <c r="A4684">
        <v>33</v>
      </c>
      <c r="B4684" s="64">
        <v>40956</v>
      </c>
      <c r="C4684" s="2">
        <v>266300.98</v>
      </c>
      <c r="D4684">
        <v>0</v>
      </c>
      <c r="E4684" s="65">
        <v>57.8</v>
      </c>
      <c r="F4684" s="8">
        <v>3.781</v>
      </c>
      <c r="G4684" s="66">
        <v>130.4546207</v>
      </c>
      <c r="H4684" s="8">
        <v>7.603</v>
      </c>
      <c r="J4684" s="26"/>
      <c r="K4684"/>
    </row>
    <row r="4685" spans="1:11">
      <c r="A4685">
        <v>33</v>
      </c>
      <c r="B4685" s="64">
        <v>40963</v>
      </c>
      <c r="C4685" s="2">
        <v>242526.7</v>
      </c>
      <c r="D4685">
        <v>0</v>
      </c>
      <c r="E4685" s="65">
        <v>59.41</v>
      </c>
      <c r="F4685" s="8">
        <v>3.95</v>
      </c>
      <c r="G4685" s="66">
        <v>130.5502069</v>
      </c>
      <c r="H4685" s="8">
        <v>7.603</v>
      </c>
      <c r="J4685" s="26"/>
      <c r="K4685"/>
    </row>
    <row r="4686" spans="1:11">
      <c r="A4686">
        <v>33</v>
      </c>
      <c r="B4686" s="64">
        <v>40970</v>
      </c>
      <c r="C4686" s="2">
        <v>248051.53</v>
      </c>
      <c r="D4686">
        <v>0</v>
      </c>
      <c r="E4686" s="65">
        <v>60.91</v>
      </c>
      <c r="F4686" s="8">
        <v>3.882</v>
      </c>
      <c r="G4686" s="66">
        <v>130.6457931</v>
      </c>
      <c r="H4686" s="8">
        <v>7.603</v>
      </c>
      <c r="J4686" s="26"/>
      <c r="K4686"/>
    </row>
    <row r="4687" spans="1:11">
      <c r="A4687">
        <v>33</v>
      </c>
      <c r="B4687" s="64">
        <v>40977</v>
      </c>
      <c r="C4687" s="2">
        <v>287346.29</v>
      </c>
      <c r="D4687">
        <v>0</v>
      </c>
      <c r="E4687" s="65">
        <v>62.2</v>
      </c>
      <c r="F4687" s="8">
        <v>3.963</v>
      </c>
      <c r="G4687" s="66">
        <v>130.7413793</v>
      </c>
      <c r="H4687" s="8">
        <v>7.603</v>
      </c>
      <c r="J4687" s="26"/>
      <c r="K4687"/>
    </row>
    <row r="4688" spans="1:11">
      <c r="A4688">
        <v>33</v>
      </c>
      <c r="B4688" s="64">
        <v>40984</v>
      </c>
      <c r="C4688" s="2">
        <v>278067.73</v>
      </c>
      <c r="D4688">
        <v>0</v>
      </c>
      <c r="E4688" s="65">
        <v>65.99</v>
      </c>
      <c r="F4688" s="8">
        <v>4.273</v>
      </c>
      <c r="G4688" s="66">
        <v>130.8261935</v>
      </c>
      <c r="H4688" s="8">
        <v>7.603</v>
      </c>
      <c r="J4688" s="26"/>
      <c r="K4688"/>
    </row>
    <row r="4689" spans="1:11">
      <c r="A4689">
        <v>33</v>
      </c>
      <c r="B4689" s="64">
        <v>40991</v>
      </c>
      <c r="C4689" s="2">
        <v>246970.97</v>
      </c>
      <c r="D4689">
        <v>0</v>
      </c>
      <c r="E4689" s="65">
        <v>60.82</v>
      </c>
      <c r="F4689" s="8">
        <v>4.288</v>
      </c>
      <c r="G4689" s="66">
        <v>130.8966452</v>
      </c>
      <c r="H4689" s="8">
        <v>7.603</v>
      </c>
      <c r="J4689" s="26"/>
      <c r="K4689"/>
    </row>
    <row r="4690" spans="1:11">
      <c r="A4690">
        <v>33</v>
      </c>
      <c r="B4690" s="64">
        <v>40998</v>
      </c>
      <c r="C4690" s="2">
        <v>251327.67</v>
      </c>
      <c r="D4690">
        <v>0</v>
      </c>
      <c r="E4690" s="65">
        <v>71.34</v>
      </c>
      <c r="F4690" s="8">
        <v>4.294</v>
      </c>
      <c r="G4690" s="66">
        <v>130.9670968</v>
      </c>
      <c r="H4690" s="8">
        <v>7.603</v>
      </c>
      <c r="J4690" s="26"/>
      <c r="K4690"/>
    </row>
    <row r="4691" spans="1:11">
      <c r="A4691">
        <v>33</v>
      </c>
      <c r="B4691" s="64">
        <v>41005</v>
      </c>
      <c r="C4691" s="2">
        <v>275911.97</v>
      </c>
      <c r="D4691">
        <v>0</v>
      </c>
      <c r="E4691" s="65">
        <v>70.75</v>
      </c>
      <c r="F4691" s="8">
        <v>4.282</v>
      </c>
      <c r="G4691" s="66">
        <v>131.0375484</v>
      </c>
      <c r="H4691" s="8">
        <v>7.396</v>
      </c>
      <c r="J4691" s="26"/>
      <c r="K4691"/>
    </row>
    <row r="4692" spans="1:11">
      <c r="A4692">
        <v>33</v>
      </c>
      <c r="B4692" s="64">
        <v>41012</v>
      </c>
      <c r="C4692" s="2">
        <v>312698.67</v>
      </c>
      <c r="D4692">
        <v>0</v>
      </c>
      <c r="E4692" s="65">
        <v>73.17</v>
      </c>
      <c r="F4692" s="8">
        <v>4.254</v>
      </c>
      <c r="G4692" s="66">
        <v>131.108</v>
      </c>
      <c r="H4692" s="8">
        <v>7.396</v>
      </c>
      <c r="J4692" s="26"/>
      <c r="K4692"/>
    </row>
    <row r="4693" spans="1:11">
      <c r="A4693">
        <v>33</v>
      </c>
      <c r="B4693" s="64">
        <v>41019</v>
      </c>
      <c r="C4693" s="2">
        <v>261837.2</v>
      </c>
      <c r="D4693">
        <v>0</v>
      </c>
      <c r="E4693" s="65">
        <v>72.94</v>
      </c>
      <c r="F4693" s="8">
        <v>4.111</v>
      </c>
      <c r="G4693" s="66">
        <v>131.1173333</v>
      </c>
      <c r="H4693" s="8">
        <v>7.396</v>
      </c>
      <c r="J4693" s="26"/>
      <c r="K4693"/>
    </row>
    <row r="4694" spans="1:11">
      <c r="A4694">
        <v>33</v>
      </c>
      <c r="B4694" s="64">
        <v>41026</v>
      </c>
      <c r="C4694" s="2">
        <v>249798.75</v>
      </c>
      <c r="D4694">
        <v>0</v>
      </c>
      <c r="E4694" s="65">
        <v>83.07</v>
      </c>
      <c r="F4694" s="8">
        <v>4.088</v>
      </c>
      <c r="G4694" s="66">
        <v>131.1266667</v>
      </c>
      <c r="H4694" s="8">
        <v>7.396</v>
      </c>
      <c r="J4694" s="26"/>
      <c r="K4694"/>
    </row>
    <row r="4695" spans="1:11">
      <c r="A4695">
        <v>33</v>
      </c>
      <c r="B4695" s="64">
        <v>41033</v>
      </c>
      <c r="C4695" s="2">
        <v>270497.51</v>
      </c>
      <c r="D4695">
        <v>0</v>
      </c>
      <c r="E4695" s="65">
        <v>82.43</v>
      </c>
      <c r="F4695" s="8">
        <v>4.058</v>
      </c>
      <c r="G4695" s="66">
        <v>131.136</v>
      </c>
      <c r="H4695" s="8">
        <v>7.396</v>
      </c>
      <c r="J4695" s="26"/>
      <c r="K4695"/>
    </row>
    <row r="4696" spans="1:11">
      <c r="A4696">
        <v>33</v>
      </c>
      <c r="B4696" s="64">
        <v>41040</v>
      </c>
      <c r="C4696" s="2">
        <v>295841.84</v>
      </c>
      <c r="D4696">
        <v>0</v>
      </c>
      <c r="E4696" s="65">
        <v>81.02</v>
      </c>
      <c r="F4696" s="8">
        <v>4.186</v>
      </c>
      <c r="G4696" s="66">
        <v>131.1453333</v>
      </c>
      <c r="H4696" s="8">
        <v>7.396</v>
      </c>
      <c r="J4696" s="26"/>
      <c r="K4696"/>
    </row>
    <row r="4697" spans="1:11">
      <c r="A4697">
        <v>33</v>
      </c>
      <c r="B4697" s="64">
        <v>41047</v>
      </c>
      <c r="C4697" s="2">
        <v>276899.95</v>
      </c>
      <c r="D4697">
        <v>0</v>
      </c>
      <c r="E4697" s="65">
        <v>89.81</v>
      </c>
      <c r="F4697" s="8">
        <v>4.308</v>
      </c>
      <c r="G4697" s="66">
        <v>131.0983226</v>
      </c>
      <c r="H4697" s="8">
        <v>7.396</v>
      </c>
      <c r="J4697" s="26"/>
      <c r="K4697"/>
    </row>
    <row r="4698" spans="1:11">
      <c r="A4698">
        <v>33</v>
      </c>
      <c r="B4698" s="64">
        <v>41054</v>
      </c>
      <c r="C4698" s="2">
        <v>261851.74</v>
      </c>
      <c r="D4698">
        <v>0</v>
      </c>
      <c r="E4698" s="65">
        <v>88.89</v>
      </c>
      <c r="F4698" s="8">
        <v>4.127</v>
      </c>
      <c r="G4698" s="66">
        <v>131.0287742</v>
      </c>
      <c r="H4698" s="8">
        <v>7.396</v>
      </c>
      <c r="J4698" s="26"/>
      <c r="K4698"/>
    </row>
    <row r="4699" spans="1:11">
      <c r="A4699">
        <v>33</v>
      </c>
      <c r="B4699" s="64">
        <v>41061</v>
      </c>
      <c r="C4699" s="2">
        <v>261131.09</v>
      </c>
      <c r="D4699">
        <v>0</v>
      </c>
      <c r="E4699" s="65">
        <v>83.57</v>
      </c>
      <c r="F4699" s="8">
        <v>4.277</v>
      </c>
      <c r="G4699" s="66">
        <v>130.9592258</v>
      </c>
      <c r="H4699" s="8">
        <v>7.396</v>
      </c>
      <c r="J4699" s="26"/>
      <c r="K4699"/>
    </row>
    <row r="4700" spans="1:11">
      <c r="A4700">
        <v>33</v>
      </c>
      <c r="B4700" s="64">
        <v>41068</v>
      </c>
      <c r="C4700" s="2">
        <v>286082.76</v>
      </c>
      <c r="D4700">
        <v>0</v>
      </c>
      <c r="E4700" s="65">
        <v>90.94</v>
      </c>
      <c r="F4700" s="8">
        <v>4.103</v>
      </c>
      <c r="G4700" s="66">
        <v>130.8896774</v>
      </c>
      <c r="H4700" s="8">
        <v>7.396</v>
      </c>
      <c r="J4700" s="26"/>
      <c r="K4700"/>
    </row>
    <row r="4701" spans="1:11">
      <c r="A4701">
        <v>33</v>
      </c>
      <c r="B4701" s="64">
        <v>41075</v>
      </c>
      <c r="C4701" s="2">
        <v>290444.31</v>
      </c>
      <c r="D4701">
        <v>0</v>
      </c>
      <c r="E4701" s="65">
        <v>92.44</v>
      </c>
      <c r="F4701" s="8">
        <v>4.144</v>
      </c>
      <c r="G4701" s="66">
        <v>130.8295333</v>
      </c>
      <c r="H4701" s="8">
        <v>7.396</v>
      </c>
      <c r="J4701" s="26"/>
      <c r="K4701"/>
    </row>
    <row r="4702" spans="1:11">
      <c r="A4702">
        <v>33</v>
      </c>
      <c r="B4702" s="64">
        <v>41082</v>
      </c>
      <c r="C4702" s="2">
        <v>261666.29</v>
      </c>
      <c r="D4702">
        <v>0</v>
      </c>
      <c r="E4702" s="65">
        <v>95.75</v>
      </c>
      <c r="F4702" s="8">
        <v>4.014</v>
      </c>
      <c r="G4702" s="66">
        <v>130.7929</v>
      </c>
      <c r="H4702" s="8">
        <v>7.396</v>
      </c>
      <c r="J4702" s="26"/>
      <c r="K4702"/>
    </row>
    <row r="4703" spans="1:11">
      <c r="A4703">
        <v>33</v>
      </c>
      <c r="B4703" s="64">
        <v>41089</v>
      </c>
      <c r="C4703" s="2">
        <v>244338.31</v>
      </c>
      <c r="D4703">
        <v>0</v>
      </c>
      <c r="E4703" s="65">
        <v>98.15</v>
      </c>
      <c r="F4703" s="8">
        <v>3.875</v>
      </c>
      <c r="G4703" s="66">
        <v>130.7562667</v>
      </c>
      <c r="H4703" s="8">
        <v>7.396</v>
      </c>
      <c r="J4703" s="26"/>
      <c r="K4703"/>
    </row>
    <row r="4704" spans="1:11">
      <c r="A4704">
        <v>33</v>
      </c>
      <c r="B4704" s="64">
        <v>41096</v>
      </c>
      <c r="C4704" s="2">
        <v>273690.37</v>
      </c>
      <c r="D4704">
        <v>0</v>
      </c>
      <c r="E4704" s="65">
        <v>93.21</v>
      </c>
      <c r="F4704" s="8">
        <v>3.666</v>
      </c>
      <c r="G4704" s="66">
        <v>130.7196333</v>
      </c>
      <c r="H4704" s="8">
        <v>7.147</v>
      </c>
      <c r="J4704" s="26"/>
      <c r="K4704"/>
    </row>
    <row r="4705" spans="1:11">
      <c r="A4705">
        <v>33</v>
      </c>
      <c r="B4705" s="64">
        <v>41103</v>
      </c>
      <c r="C4705" s="2">
        <v>287033.64</v>
      </c>
      <c r="D4705">
        <v>0</v>
      </c>
      <c r="E4705" s="65">
        <v>97.6</v>
      </c>
      <c r="F4705" s="8">
        <v>3.723</v>
      </c>
      <c r="G4705" s="66">
        <v>130.683</v>
      </c>
      <c r="H4705" s="8">
        <v>7.147</v>
      </c>
      <c r="J4705" s="26"/>
      <c r="K4705"/>
    </row>
    <row r="4706" spans="1:11">
      <c r="A4706">
        <v>33</v>
      </c>
      <c r="B4706" s="64">
        <v>41110</v>
      </c>
      <c r="C4706" s="2">
        <v>253205.89</v>
      </c>
      <c r="D4706">
        <v>0</v>
      </c>
      <c r="E4706" s="65">
        <v>91.49</v>
      </c>
      <c r="F4706" s="8">
        <v>3.589</v>
      </c>
      <c r="G4706" s="66">
        <v>130.7012903</v>
      </c>
      <c r="H4706" s="8">
        <v>7.147</v>
      </c>
      <c r="J4706" s="26"/>
      <c r="K4706"/>
    </row>
    <row r="4707" spans="1:11">
      <c r="A4707">
        <v>33</v>
      </c>
      <c r="B4707" s="64">
        <v>41117</v>
      </c>
      <c r="C4707" s="2">
        <v>249134.32</v>
      </c>
      <c r="D4707">
        <v>0</v>
      </c>
      <c r="E4707" s="65">
        <v>93.95</v>
      </c>
      <c r="F4707" s="8">
        <v>3.769</v>
      </c>
      <c r="G4707" s="66">
        <v>130.7195806</v>
      </c>
      <c r="H4707" s="8">
        <v>7.147</v>
      </c>
      <c r="J4707" s="26"/>
      <c r="K4707"/>
    </row>
    <row r="4708" spans="1:11">
      <c r="A4708">
        <v>33</v>
      </c>
      <c r="B4708" s="64">
        <v>41124</v>
      </c>
      <c r="C4708" s="2">
        <v>258533.12</v>
      </c>
      <c r="D4708">
        <v>0</v>
      </c>
      <c r="E4708" s="65">
        <v>92.13</v>
      </c>
      <c r="F4708" s="8">
        <v>3.595</v>
      </c>
      <c r="G4708" s="66">
        <v>130.737871</v>
      </c>
      <c r="H4708" s="8">
        <v>7.147</v>
      </c>
      <c r="J4708" s="26"/>
      <c r="K4708"/>
    </row>
    <row r="4709" spans="1:11">
      <c r="A4709">
        <v>33</v>
      </c>
      <c r="B4709" s="64">
        <v>41131</v>
      </c>
      <c r="C4709" s="2">
        <v>297753.49</v>
      </c>
      <c r="D4709">
        <v>0</v>
      </c>
      <c r="E4709" s="65">
        <v>100.07</v>
      </c>
      <c r="F4709" s="8">
        <v>3.811</v>
      </c>
      <c r="G4709" s="66">
        <v>130.7561613</v>
      </c>
      <c r="H4709" s="8">
        <v>7.147</v>
      </c>
      <c r="J4709" s="26"/>
      <c r="K4709"/>
    </row>
    <row r="4710" spans="1:11">
      <c r="A4710">
        <v>33</v>
      </c>
      <c r="B4710" s="64">
        <v>41138</v>
      </c>
      <c r="C4710" s="2">
        <v>270097.76</v>
      </c>
      <c r="D4710">
        <v>0</v>
      </c>
      <c r="E4710" s="65">
        <v>96.79</v>
      </c>
      <c r="F4710" s="8">
        <v>4.002</v>
      </c>
      <c r="G4710" s="66">
        <v>130.7909677</v>
      </c>
      <c r="H4710" s="8">
        <v>7.147</v>
      </c>
      <c r="J4710" s="26"/>
      <c r="K4710"/>
    </row>
    <row r="4711" spans="1:11">
      <c r="A4711">
        <v>33</v>
      </c>
      <c r="B4711" s="64">
        <v>41145</v>
      </c>
      <c r="C4711" s="2">
        <v>247672.56</v>
      </c>
      <c r="D4711">
        <v>0</v>
      </c>
      <c r="E4711" s="65">
        <v>89.62</v>
      </c>
      <c r="F4711" s="8">
        <v>4.055</v>
      </c>
      <c r="G4711" s="66">
        <v>130.8381613</v>
      </c>
      <c r="H4711" s="8">
        <v>7.147</v>
      </c>
      <c r="J4711" s="26"/>
      <c r="K4711"/>
    </row>
    <row r="4712" spans="1:11">
      <c r="A4712">
        <v>33</v>
      </c>
      <c r="B4712" s="64">
        <v>41152</v>
      </c>
      <c r="C4712" s="2">
        <v>237129.81</v>
      </c>
      <c r="D4712">
        <v>0</v>
      </c>
      <c r="E4712" s="65">
        <v>94.55</v>
      </c>
      <c r="F4712" s="8">
        <v>3.886</v>
      </c>
      <c r="G4712" s="66">
        <v>130.8853548</v>
      </c>
      <c r="H4712" s="8">
        <v>7.147</v>
      </c>
      <c r="J4712" s="26"/>
      <c r="K4712"/>
    </row>
    <row r="4713" spans="1:11">
      <c r="A4713">
        <v>33</v>
      </c>
      <c r="B4713" s="64">
        <v>41159</v>
      </c>
      <c r="C4713" s="2">
        <v>286428.78</v>
      </c>
      <c r="D4713">
        <v>1</v>
      </c>
      <c r="E4713" s="65">
        <v>92.02</v>
      </c>
      <c r="F4713" s="8">
        <v>4.124</v>
      </c>
      <c r="G4713" s="66">
        <v>130.9325484</v>
      </c>
      <c r="H4713" s="8">
        <v>7.147</v>
      </c>
      <c r="J4713" s="26"/>
      <c r="K4713"/>
    </row>
    <row r="4714" spans="1:11">
      <c r="A4714">
        <v>33</v>
      </c>
      <c r="B4714" s="64">
        <v>41166</v>
      </c>
      <c r="C4714" s="2">
        <v>277417.53</v>
      </c>
      <c r="D4714">
        <v>0</v>
      </c>
      <c r="E4714" s="65">
        <v>83.4</v>
      </c>
      <c r="F4714" s="8">
        <v>3.966</v>
      </c>
      <c r="G4714" s="66">
        <v>130.9776667</v>
      </c>
      <c r="H4714" s="8">
        <v>7.147</v>
      </c>
      <c r="J4714" s="26"/>
      <c r="K4714"/>
    </row>
    <row r="4715" spans="1:11">
      <c r="A4715">
        <v>33</v>
      </c>
      <c r="B4715" s="64">
        <v>41173</v>
      </c>
      <c r="C4715" s="2">
        <v>252709.58</v>
      </c>
      <c r="D4715">
        <v>0</v>
      </c>
      <c r="E4715" s="65">
        <v>86.53</v>
      </c>
      <c r="F4715" s="8">
        <v>4.125</v>
      </c>
      <c r="G4715" s="66">
        <v>131.0103333</v>
      </c>
      <c r="H4715" s="8">
        <v>7.147</v>
      </c>
      <c r="J4715" s="26"/>
      <c r="K4715"/>
    </row>
    <row r="4716" spans="1:11">
      <c r="A4716">
        <v>33</v>
      </c>
      <c r="B4716" s="64">
        <v>41180</v>
      </c>
      <c r="C4716" s="2">
        <v>242813.51</v>
      </c>
      <c r="D4716">
        <v>0</v>
      </c>
      <c r="E4716" s="65">
        <v>86.42</v>
      </c>
      <c r="F4716" s="8">
        <v>3.966</v>
      </c>
      <c r="G4716" s="66">
        <v>131.043</v>
      </c>
      <c r="H4716" s="8">
        <v>7.147</v>
      </c>
      <c r="J4716" s="26"/>
      <c r="K4716"/>
    </row>
    <row r="4717" spans="1:11">
      <c r="A4717">
        <v>33</v>
      </c>
      <c r="B4717" s="64">
        <v>41187</v>
      </c>
      <c r="C4717" s="2">
        <v>265444.9</v>
      </c>
      <c r="D4717">
        <v>0</v>
      </c>
      <c r="E4717" s="65">
        <v>85.18</v>
      </c>
      <c r="F4717" s="8">
        <v>4.132</v>
      </c>
      <c r="G4717" s="66">
        <v>131.0756667</v>
      </c>
      <c r="H4717" s="8">
        <v>6.895</v>
      </c>
      <c r="J4717" s="26"/>
      <c r="K4717"/>
    </row>
    <row r="4718" spans="1:11">
      <c r="A4718">
        <v>33</v>
      </c>
      <c r="B4718" s="64">
        <v>41194</v>
      </c>
      <c r="C4718" s="2">
        <v>291781.15</v>
      </c>
      <c r="D4718">
        <v>0</v>
      </c>
      <c r="E4718" s="65">
        <v>79.64</v>
      </c>
      <c r="F4718" s="8">
        <v>4.468</v>
      </c>
      <c r="G4718" s="66">
        <v>131.1083333</v>
      </c>
      <c r="H4718" s="8">
        <v>6.895</v>
      </c>
      <c r="J4718" s="26"/>
      <c r="K4718"/>
    </row>
    <row r="4719" spans="1:11">
      <c r="A4719">
        <v>33</v>
      </c>
      <c r="B4719" s="64">
        <v>41201</v>
      </c>
      <c r="C4719" s="2">
        <v>254412.34</v>
      </c>
      <c r="D4719">
        <v>0</v>
      </c>
      <c r="E4719" s="65">
        <v>75.55</v>
      </c>
      <c r="F4719" s="8">
        <v>4.449</v>
      </c>
      <c r="G4719" s="66">
        <v>131.1499677</v>
      </c>
      <c r="H4719" s="8">
        <v>6.895</v>
      </c>
      <c r="J4719" s="26"/>
      <c r="K4719"/>
    </row>
    <row r="4720" spans="1:11">
      <c r="A4720">
        <v>33</v>
      </c>
      <c r="B4720" s="64">
        <v>41208</v>
      </c>
      <c r="C4720" s="2">
        <v>253731.13</v>
      </c>
      <c r="D4720">
        <v>0</v>
      </c>
      <c r="E4720" s="65">
        <v>73.7</v>
      </c>
      <c r="F4720" s="8">
        <v>4.301</v>
      </c>
      <c r="G4720" s="66">
        <v>131.1930968</v>
      </c>
      <c r="H4720" s="8">
        <v>6.895</v>
      </c>
      <c r="J4720" s="26"/>
      <c r="K4720"/>
    </row>
    <row r="4721" spans="1:11">
      <c r="A4721">
        <v>34</v>
      </c>
      <c r="B4721" s="64">
        <v>40214</v>
      </c>
      <c r="C4721" s="2">
        <v>956228.96</v>
      </c>
      <c r="D4721">
        <v>0</v>
      </c>
      <c r="E4721" s="65">
        <v>35.44</v>
      </c>
      <c r="F4721" s="8">
        <v>2.598</v>
      </c>
      <c r="G4721" s="66">
        <v>126.4420645</v>
      </c>
      <c r="H4721" s="8">
        <v>9.521</v>
      </c>
      <c r="J4721" s="26"/>
      <c r="K4721"/>
    </row>
    <row r="4722" spans="1:11">
      <c r="A4722">
        <v>34</v>
      </c>
      <c r="B4722" s="64">
        <v>40221</v>
      </c>
      <c r="C4722" s="2">
        <v>994610.99</v>
      </c>
      <c r="D4722">
        <v>1</v>
      </c>
      <c r="E4722" s="65">
        <v>36.13</v>
      </c>
      <c r="F4722" s="8">
        <v>2.573</v>
      </c>
      <c r="G4722" s="66">
        <v>126.4962581</v>
      </c>
      <c r="H4722" s="8">
        <v>9.521</v>
      </c>
      <c r="J4722" s="26"/>
      <c r="K4722"/>
    </row>
    <row r="4723" spans="1:11">
      <c r="A4723">
        <v>34</v>
      </c>
      <c r="B4723" s="64">
        <v>40228</v>
      </c>
      <c r="C4723" s="2">
        <v>983963.07</v>
      </c>
      <c r="D4723">
        <v>0</v>
      </c>
      <c r="E4723" s="65">
        <v>38.36</v>
      </c>
      <c r="F4723" s="8">
        <v>2.54</v>
      </c>
      <c r="G4723" s="66">
        <v>126.5262857</v>
      </c>
      <c r="H4723" s="8">
        <v>9.521</v>
      </c>
      <c r="J4723" s="26"/>
      <c r="K4723"/>
    </row>
    <row r="4724" spans="1:11">
      <c r="A4724">
        <v>34</v>
      </c>
      <c r="B4724" s="64">
        <v>40235</v>
      </c>
      <c r="C4724" s="2">
        <v>905756.13</v>
      </c>
      <c r="D4724">
        <v>0</v>
      </c>
      <c r="E4724" s="65">
        <v>37.28</v>
      </c>
      <c r="F4724" s="8">
        <v>2.59</v>
      </c>
      <c r="G4724" s="66">
        <v>126.5522857</v>
      </c>
      <c r="H4724" s="8">
        <v>9.521</v>
      </c>
      <c r="J4724" s="26"/>
      <c r="K4724"/>
    </row>
    <row r="4725" spans="1:11">
      <c r="A4725">
        <v>34</v>
      </c>
      <c r="B4725" s="64">
        <v>40242</v>
      </c>
      <c r="C4725" s="2">
        <v>918295.79</v>
      </c>
      <c r="D4725">
        <v>0</v>
      </c>
      <c r="E4725" s="65">
        <v>42.65</v>
      </c>
      <c r="F4725" s="8">
        <v>2.654</v>
      </c>
      <c r="G4725" s="66">
        <v>126.5782857</v>
      </c>
      <c r="H4725" s="8">
        <v>9.521</v>
      </c>
      <c r="J4725" s="26"/>
      <c r="K4725"/>
    </row>
    <row r="4726" spans="1:11">
      <c r="A4726">
        <v>34</v>
      </c>
      <c r="B4726" s="64">
        <v>40249</v>
      </c>
      <c r="C4726" s="2">
        <v>921247.88</v>
      </c>
      <c r="D4726">
        <v>0</v>
      </c>
      <c r="E4726" s="65">
        <v>42.26</v>
      </c>
      <c r="F4726" s="8">
        <v>2.704</v>
      </c>
      <c r="G4726" s="66">
        <v>126.6042857</v>
      </c>
      <c r="H4726" s="8">
        <v>9.521</v>
      </c>
      <c r="J4726" s="26"/>
      <c r="K4726"/>
    </row>
    <row r="4727" spans="1:11">
      <c r="A4727">
        <v>34</v>
      </c>
      <c r="B4727" s="64">
        <v>40256</v>
      </c>
      <c r="C4727" s="2">
        <v>892070.82</v>
      </c>
      <c r="D4727">
        <v>0</v>
      </c>
      <c r="E4727" s="65">
        <v>45.86</v>
      </c>
      <c r="F4727" s="8">
        <v>2.743</v>
      </c>
      <c r="G4727" s="66">
        <v>126.6066452</v>
      </c>
      <c r="H4727" s="8">
        <v>9.521</v>
      </c>
      <c r="J4727" s="26"/>
      <c r="K4727"/>
    </row>
    <row r="4728" spans="1:11">
      <c r="A4728">
        <v>34</v>
      </c>
      <c r="B4728" s="64">
        <v>40263</v>
      </c>
      <c r="C4728" s="2">
        <v>880742.35</v>
      </c>
      <c r="D4728">
        <v>0</v>
      </c>
      <c r="E4728" s="65">
        <v>42.91</v>
      </c>
      <c r="F4728" s="8">
        <v>2.752</v>
      </c>
      <c r="G4728" s="66">
        <v>126.6050645</v>
      </c>
      <c r="H4728" s="8">
        <v>9.521</v>
      </c>
      <c r="J4728" s="26"/>
      <c r="K4728"/>
    </row>
    <row r="4729" spans="1:11">
      <c r="A4729">
        <v>34</v>
      </c>
      <c r="B4729" s="64">
        <v>40270</v>
      </c>
      <c r="C4729" s="2">
        <v>979428.66</v>
      </c>
      <c r="D4729">
        <v>0</v>
      </c>
      <c r="E4729" s="65">
        <v>50.07</v>
      </c>
      <c r="F4729" s="8">
        <v>2.74</v>
      </c>
      <c r="G4729" s="66">
        <v>126.6034839</v>
      </c>
      <c r="H4729" s="8">
        <v>9.593</v>
      </c>
      <c r="J4729" s="26"/>
      <c r="K4729"/>
    </row>
    <row r="4730" spans="1:11">
      <c r="A4730">
        <v>34</v>
      </c>
      <c r="B4730" s="64">
        <v>40277</v>
      </c>
      <c r="C4730" s="2">
        <v>950684.2</v>
      </c>
      <c r="D4730">
        <v>0</v>
      </c>
      <c r="E4730" s="65">
        <v>51.26</v>
      </c>
      <c r="F4730" s="8">
        <v>2.773</v>
      </c>
      <c r="G4730" s="66">
        <v>126.6019032</v>
      </c>
      <c r="H4730" s="8">
        <v>9.593</v>
      </c>
      <c r="J4730" s="26"/>
      <c r="K4730"/>
    </row>
    <row r="4731" spans="1:11">
      <c r="A4731">
        <v>34</v>
      </c>
      <c r="B4731" s="64">
        <v>40284</v>
      </c>
      <c r="C4731" s="2">
        <v>923344.54</v>
      </c>
      <c r="D4731">
        <v>0</v>
      </c>
      <c r="E4731" s="65">
        <v>59.18</v>
      </c>
      <c r="F4731" s="8">
        <v>2.81</v>
      </c>
      <c r="G4731" s="66">
        <v>126.5621</v>
      </c>
      <c r="H4731" s="8">
        <v>9.593</v>
      </c>
      <c r="J4731" s="26"/>
      <c r="K4731"/>
    </row>
    <row r="4732" spans="1:11">
      <c r="A4732">
        <v>34</v>
      </c>
      <c r="B4732" s="64">
        <v>40291</v>
      </c>
      <c r="C4732" s="2">
        <v>910240.68</v>
      </c>
      <c r="D4732">
        <v>0</v>
      </c>
      <c r="E4732" s="65">
        <v>55.04</v>
      </c>
      <c r="F4732" s="8">
        <v>2.805</v>
      </c>
      <c r="G4732" s="66">
        <v>126.4713333</v>
      </c>
      <c r="H4732" s="8">
        <v>9.593</v>
      </c>
      <c r="J4732" s="26"/>
      <c r="K4732"/>
    </row>
    <row r="4733" spans="1:11">
      <c r="A4733">
        <v>34</v>
      </c>
      <c r="B4733" s="64">
        <v>40298</v>
      </c>
      <c r="C4733" s="2">
        <v>859922.19</v>
      </c>
      <c r="D4733">
        <v>0</v>
      </c>
      <c r="E4733" s="65">
        <v>56.58</v>
      </c>
      <c r="F4733" s="8">
        <v>2.787</v>
      </c>
      <c r="G4733" s="66">
        <v>126.3805667</v>
      </c>
      <c r="H4733" s="8">
        <v>9.593</v>
      </c>
      <c r="J4733" s="26"/>
      <c r="K4733"/>
    </row>
    <row r="4734" spans="1:11">
      <c r="A4734">
        <v>34</v>
      </c>
      <c r="B4734" s="64">
        <v>40305</v>
      </c>
      <c r="C4734" s="2">
        <v>953495.48</v>
      </c>
      <c r="D4734">
        <v>0</v>
      </c>
      <c r="E4734" s="65">
        <v>57.39</v>
      </c>
      <c r="F4734" s="8">
        <v>2.836</v>
      </c>
      <c r="G4734" s="66">
        <v>126.2898</v>
      </c>
      <c r="H4734" s="8">
        <v>9.593</v>
      </c>
      <c r="J4734" s="26"/>
      <c r="K4734"/>
    </row>
    <row r="4735" spans="1:11">
      <c r="A4735">
        <v>34</v>
      </c>
      <c r="B4735" s="64">
        <v>40312</v>
      </c>
      <c r="C4735" s="2">
        <v>933924.44</v>
      </c>
      <c r="D4735">
        <v>0</v>
      </c>
      <c r="E4735" s="65">
        <v>60.74</v>
      </c>
      <c r="F4735" s="8">
        <v>2.845</v>
      </c>
      <c r="G4735" s="66">
        <v>126.2085484</v>
      </c>
      <c r="H4735" s="8">
        <v>9.593</v>
      </c>
      <c r="J4735" s="26"/>
      <c r="K4735"/>
    </row>
    <row r="4736" spans="1:11">
      <c r="A4736">
        <v>34</v>
      </c>
      <c r="B4736" s="64">
        <v>40319</v>
      </c>
      <c r="C4736" s="2">
        <v>913616.32</v>
      </c>
      <c r="D4736">
        <v>0</v>
      </c>
      <c r="E4736" s="65">
        <v>63.99</v>
      </c>
      <c r="F4736" s="8">
        <v>2.82</v>
      </c>
      <c r="G4736" s="66">
        <v>126.1843871</v>
      </c>
      <c r="H4736" s="8">
        <v>9.593</v>
      </c>
      <c r="J4736" s="26"/>
      <c r="K4736"/>
    </row>
    <row r="4737" spans="1:11">
      <c r="A4737">
        <v>34</v>
      </c>
      <c r="B4737" s="64">
        <v>40326</v>
      </c>
      <c r="C4737" s="2">
        <v>942868.38</v>
      </c>
      <c r="D4737">
        <v>0</v>
      </c>
      <c r="E4737" s="65">
        <v>68.68</v>
      </c>
      <c r="F4737" s="8">
        <v>2.756</v>
      </c>
      <c r="G4737" s="66">
        <v>126.1602258</v>
      </c>
      <c r="H4737" s="8">
        <v>9.593</v>
      </c>
      <c r="J4737" s="26"/>
      <c r="K4737"/>
    </row>
    <row r="4738" spans="1:11">
      <c r="A4738">
        <v>34</v>
      </c>
      <c r="B4738" s="64">
        <v>40333</v>
      </c>
      <c r="C4738" s="2">
        <v>966187.51</v>
      </c>
      <c r="D4738">
        <v>0</v>
      </c>
      <c r="E4738" s="65">
        <v>72.17</v>
      </c>
      <c r="F4738" s="8">
        <v>2.701</v>
      </c>
      <c r="G4738" s="66">
        <v>126.1360645</v>
      </c>
      <c r="H4738" s="8">
        <v>9.593</v>
      </c>
      <c r="J4738" s="26"/>
      <c r="K4738"/>
    </row>
    <row r="4739" spans="1:11">
      <c r="A4739">
        <v>34</v>
      </c>
      <c r="B4739" s="64">
        <v>40340</v>
      </c>
      <c r="C4739" s="2">
        <v>954681.56</v>
      </c>
      <c r="D4739">
        <v>0</v>
      </c>
      <c r="E4739" s="65">
        <v>80.84</v>
      </c>
      <c r="F4739" s="8">
        <v>2.668</v>
      </c>
      <c r="G4739" s="66">
        <v>126.1119032</v>
      </c>
      <c r="H4739" s="8">
        <v>9.593</v>
      </c>
      <c r="J4739" s="26"/>
      <c r="K4739"/>
    </row>
    <row r="4740" spans="1:11">
      <c r="A4740">
        <v>34</v>
      </c>
      <c r="B4740" s="64">
        <v>40347</v>
      </c>
      <c r="C4740" s="2">
        <v>941612.04</v>
      </c>
      <c r="D4740">
        <v>0</v>
      </c>
      <c r="E4740" s="65">
        <v>73.48</v>
      </c>
      <c r="F4740" s="8">
        <v>2.635</v>
      </c>
      <c r="G4740" s="66">
        <v>126.114</v>
      </c>
      <c r="H4740" s="8">
        <v>9.593</v>
      </c>
      <c r="J4740" s="26"/>
      <c r="K4740"/>
    </row>
    <row r="4741" spans="1:11">
      <c r="A4741">
        <v>34</v>
      </c>
      <c r="B4741" s="64">
        <v>40354</v>
      </c>
      <c r="C4741" s="2">
        <v>895800.07</v>
      </c>
      <c r="D4741">
        <v>0</v>
      </c>
      <c r="E4741" s="65">
        <v>78.47</v>
      </c>
      <c r="F4741" s="8">
        <v>2.654</v>
      </c>
      <c r="G4741" s="66">
        <v>126.1266</v>
      </c>
      <c r="H4741" s="8">
        <v>9.593</v>
      </c>
      <c r="J4741" s="26"/>
      <c r="K4741"/>
    </row>
    <row r="4742" spans="1:11">
      <c r="A4742">
        <v>34</v>
      </c>
      <c r="B4742" s="64">
        <v>40361</v>
      </c>
      <c r="C4742" s="2">
        <v>919229.36</v>
      </c>
      <c r="D4742">
        <v>0</v>
      </c>
      <c r="E4742" s="65">
        <v>73.66</v>
      </c>
      <c r="F4742" s="8">
        <v>2.668</v>
      </c>
      <c r="G4742" s="66">
        <v>126.1392</v>
      </c>
      <c r="H4742" s="8">
        <v>9.816</v>
      </c>
      <c r="J4742" s="26"/>
      <c r="K4742"/>
    </row>
    <row r="4743" spans="1:11">
      <c r="A4743">
        <v>34</v>
      </c>
      <c r="B4743" s="64">
        <v>40368</v>
      </c>
      <c r="C4743" s="2">
        <v>911210.81</v>
      </c>
      <c r="D4743">
        <v>0</v>
      </c>
      <c r="E4743" s="65">
        <v>75</v>
      </c>
      <c r="F4743" s="8">
        <v>2.637</v>
      </c>
      <c r="G4743" s="66">
        <v>126.1518</v>
      </c>
      <c r="H4743" s="8">
        <v>9.816</v>
      </c>
      <c r="J4743" s="26"/>
      <c r="K4743"/>
    </row>
    <row r="4744" spans="1:11">
      <c r="A4744">
        <v>34</v>
      </c>
      <c r="B4744" s="64">
        <v>40375</v>
      </c>
      <c r="C4744" s="2">
        <v>930269.79</v>
      </c>
      <c r="D4744">
        <v>0</v>
      </c>
      <c r="E4744" s="65">
        <v>78.53</v>
      </c>
      <c r="F4744" s="8">
        <v>2.621</v>
      </c>
      <c r="G4744" s="66">
        <v>126.1498065</v>
      </c>
      <c r="H4744" s="8">
        <v>9.816</v>
      </c>
      <c r="J4744" s="26"/>
      <c r="K4744"/>
    </row>
    <row r="4745" spans="1:11">
      <c r="A4745">
        <v>34</v>
      </c>
      <c r="B4745" s="64">
        <v>40382</v>
      </c>
      <c r="C4745" s="2">
        <v>902050.95</v>
      </c>
      <c r="D4745">
        <v>0</v>
      </c>
      <c r="E4745" s="65">
        <v>79.58</v>
      </c>
      <c r="F4745" s="8">
        <v>2.612</v>
      </c>
      <c r="G4745" s="66">
        <v>126.1283548</v>
      </c>
      <c r="H4745" s="8">
        <v>9.816</v>
      </c>
      <c r="J4745" s="26"/>
      <c r="K4745"/>
    </row>
    <row r="4746" spans="1:11">
      <c r="A4746">
        <v>34</v>
      </c>
      <c r="B4746" s="64">
        <v>40389</v>
      </c>
      <c r="C4746" s="2">
        <v>875976.83</v>
      </c>
      <c r="D4746">
        <v>0</v>
      </c>
      <c r="E4746" s="65">
        <v>72.26</v>
      </c>
      <c r="F4746" s="8">
        <v>2.65</v>
      </c>
      <c r="G4746" s="66">
        <v>126.1069032</v>
      </c>
      <c r="H4746" s="8">
        <v>9.816</v>
      </c>
      <c r="J4746" s="26"/>
      <c r="K4746"/>
    </row>
    <row r="4747" spans="1:11">
      <c r="A4747">
        <v>34</v>
      </c>
      <c r="B4747" s="64">
        <v>40396</v>
      </c>
      <c r="C4747" s="2">
        <v>987435.35</v>
      </c>
      <c r="D4747">
        <v>0</v>
      </c>
      <c r="E4747" s="65">
        <v>73.8</v>
      </c>
      <c r="F4747" s="8">
        <v>2.64</v>
      </c>
      <c r="G4747" s="66">
        <v>126.0854516</v>
      </c>
      <c r="H4747" s="8">
        <v>9.816</v>
      </c>
      <c r="J4747" s="26"/>
      <c r="K4747"/>
    </row>
    <row r="4748" spans="1:11">
      <c r="A4748">
        <v>34</v>
      </c>
      <c r="B4748" s="64">
        <v>40403</v>
      </c>
      <c r="C4748" s="2">
        <v>951208.65</v>
      </c>
      <c r="D4748">
        <v>0</v>
      </c>
      <c r="E4748" s="65">
        <v>76.72</v>
      </c>
      <c r="F4748" s="8">
        <v>2.698</v>
      </c>
      <c r="G4748" s="66">
        <v>126.064</v>
      </c>
      <c r="H4748" s="8">
        <v>9.816</v>
      </c>
      <c r="J4748" s="26"/>
      <c r="K4748"/>
    </row>
    <row r="4749" spans="1:11">
      <c r="A4749">
        <v>34</v>
      </c>
      <c r="B4749" s="64">
        <v>40410</v>
      </c>
      <c r="C4749" s="2">
        <v>985152.94</v>
      </c>
      <c r="D4749">
        <v>0</v>
      </c>
      <c r="E4749" s="65">
        <v>76.45</v>
      </c>
      <c r="F4749" s="8">
        <v>2.671</v>
      </c>
      <c r="G4749" s="66">
        <v>126.0766452</v>
      </c>
      <c r="H4749" s="8">
        <v>9.816</v>
      </c>
      <c r="J4749" s="26"/>
      <c r="K4749"/>
    </row>
    <row r="4750" spans="1:11">
      <c r="A4750">
        <v>34</v>
      </c>
      <c r="B4750" s="64">
        <v>40417</v>
      </c>
      <c r="C4750" s="2">
        <v>855421.39</v>
      </c>
      <c r="D4750">
        <v>0</v>
      </c>
      <c r="E4750" s="65">
        <v>72.87</v>
      </c>
      <c r="F4750" s="8">
        <v>2.621</v>
      </c>
      <c r="G4750" s="66">
        <v>126.0892903</v>
      </c>
      <c r="H4750" s="8">
        <v>9.816</v>
      </c>
      <c r="J4750" s="26"/>
      <c r="K4750"/>
    </row>
    <row r="4751" spans="1:11">
      <c r="A4751">
        <v>34</v>
      </c>
      <c r="B4751" s="64">
        <v>40424</v>
      </c>
      <c r="C4751" s="2">
        <v>964356.74</v>
      </c>
      <c r="D4751">
        <v>0</v>
      </c>
      <c r="E4751" s="65">
        <v>72.59</v>
      </c>
      <c r="F4751" s="8">
        <v>2.584</v>
      </c>
      <c r="G4751" s="66">
        <v>126.1019355</v>
      </c>
      <c r="H4751" s="8">
        <v>9.816</v>
      </c>
      <c r="J4751" s="26"/>
      <c r="K4751"/>
    </row>
    <row r="4752" spans="1:11">
      <c r="A4752">
        <v>34</v>
      </c>
      <c r="B4752" s="64">
        <v>40431</v>
      </c>
      <c r="C4752" s="2">
        <v>932240.96</v>
      </c>
      <c r="D4752">
        <v>1</v>
      </c>
      <c r="E4752" s="65">
        <v>72.61</v>
      </c>
      <c r="F4752" s="8">
        <v>2.574</v>
      </c>
      <c r="G4752" s="66">
        <v>126.1145806</v>
      </c>
      <c r="H4752" s="8">
        <v>9.816</v>
      </c>
      <c r="J4752" s="26"/>
      <c r="K4752"/>
    </row>
    <row r="4753" spans="1:11">
      <c r="A4753">
        <v>34</v>
      </c>
      <c r="B4753" s="64">
        <v>40438</v>
      </c>
      <c r="C4753" s="2">
        <v>885445.47</v>
      </c>
      <c r="D4753">
        <v>0</v>
      </c>
      <c r="E4753" s="65">
        <v>70.71</v>
      </c>
      <c r="F4753" s="8">
        <v>2.594</v>
      </c>
      <c r="G4753" s="66">
        <v>126.1454667</v>
      </c>
      <c r="H4753" s="8">
        <v>9.816</v>
      </c>
      <c r="J4753" s="26"/>
      <c r="K4753"/>
    </row>
    <row r="4754" spans="1:11">
      <c r="A4754">
        <v>34</v>
      </c>
      <c r="B4754" s="64">
        <v>40445</v>
      </c>
      <c r="C4754" s="2">
        <v>867539.07</v>
      </c>
      <c r="D4754">
        <v>0</v>
      </c>
      <c r="E4754" s="65">
        <v>69.78</v>
      </c>
      <c r="F4754" s="8">
        <v>2.642</v>
      </c>
      <c r="G4754" s="66">
        <v>126.1900333</v>
      </c>
      <c r="H4754" s="8">
        <v>9.816</v>
      </c>
      <c r="J4754" s="26"/>
      <c r="K4754"/>
    </row>
    <row r="4755" spans="1:11">
      <c r="A4755">
        <v>34</v>
      </c>
      <c r="B4755" s="64">
        <v>40452</v>
      </c>
      <c r="C4755" s="2">
        <v>865709.11</v>
      </c>
      <c r="D4755">
        <v>0</v>
      </c>
      <c r="E4755" s="65">
        <v>70.13</v>
      </c>
      <c r="F4755" s="8">
        <v>2.619</v>
      </c>
      <c r="G4755" s="66">
        <v>126.2346</v>
      </c>
      <c r="H4755" s="8">
        <v>10.21</v>
      </c>
      <c r="J4755" s="26"/>
      <c r="K4755"/>
    </row>
    <row r="4756" spans="1:11">
      <c r="A4756">
        <v>34</v>
      </c>
      <c r="B4756" s="64">
        <v>40459</v>
      </c>
      <c r="C4756" s="2">
        <v>931710.67</v>
      </c>
      <c r="D4756">
        <v>0</v>
      </c>
      <c r="E4756" s="65">
        <v>65.21</v>
      </c>
      <c r="F4756" s="8">
        <v>2.645</v>
      </c>
      <c r="G4756" s="66">
        <v>126.2791667</v>
      </c>
      <c r="H4756" s="8">
        <v>10.21</v>
      </c>
      <c r="J4756" s="26"/>
      <c r="K4756"/>
    </row>
    <row r="4757" spans="1:11">
      <c r="A4757">
        <v>34</v>
      </c>
      <c r="B4757" s="64">
        <v>40466</v>
      </c>
      <c r="C4757" s="2">
        <v>888703.62</v>
      </c>
      <c r="D4757">
        <v>0</v>
      </c>
      <c r="E4757" s="65">
        <v>59.57</v>
      </c>
      <c r="F4757" s="8">
        <v>2.732</v>
      </c>
      <c r="G4757" s="66">
        <v>126.3266774</v>
      </c>
      <c r="H4757" s="8">
        <v>10.21</v>
      </c>
      <c r="J4757" s="26"/>
      <c r="K4757"/>
    </row>
    <row r="4758" spans="1:11">
      <c r="A4758">
        <v>34</v>
      </c>
      <c r="B4758" s="64">
        <v>40473</v>
      </c>
      <c r="C4758" s="2">
        <v>936293.6</v>
      </c>
      <c r="D4758">
        <v>0</v>
      </c>
      <c r="E4758" s="65">
        <v>58.11</v>
      </c>
      <c r="F4758" s="8">
        <v>2.736</v>
      </c>
      <c r="G4758" s="66">
        <v>126.3815484</v>
      </c>
      <c r="H4758" s="8">
        <v>10.21</v>
      </c>
      <c r="J4758" s="26"/>
      <c r="K4758"/>
    </row>
    <row r="4759" spans="1:11">
      <c r="A4759">
        <v>34</v>
      </c>
      <c r="B4759" s="64">
        <v>40480</v>
      </c>
      <c r="C4759" s="2">
        <v>926294.02</v>
      </c>
      <c r="D4759">
        <v>0</v>
      </c>
      <c r="E4759" s="65">
        <v>50.78</v>
      </c>
      <c r="F4759" s="8">
        <v>2.718</v>
      </c>
      <c r="G4759" s="66">
        <v>126.4364194</v>
      </c>
      <c r="H4759" s="8">
        <v>10.21</v>
      </c>
      <c r="J4759" s="26"/>
      <c r="K4759"/>
    </row>
    <row r="4760" spans="1:11">
      <c r="A4760">
        <v>34</v>
      </c>
      <c r="B4760" s="64">
        <v>40487</v>
      </c>
      <c r="C4760" s="2">
        <v>972292.31</v>
      </c>
      <c r="D4760">
        <v>0</v>
      </c>
      <c r="E4760" s="65">
        <v>52.43</v>
      </c>
      <c r="F4760" s="8">
        <v>2.699</v>
      </c>
      <c r="G4760" s="66">
        <v>126.4912903</v>
      </c>
      <c r="H4760" s="8">
        <v>10.21</v>
      </c>
      <c r="J4760" s="26"/>
      <c r="K4760"/>
    </row>
    <row r="4761" spans="1:11">
      <c r="A4761">
        <v>34</v>
      </c>
      <c r="B4761" s="64">
        <v>40494</v>
      </c>
      <c r="C4761" s="2">
        <v>979730.78</v>
      </c>
      <c r="D4761">
        <v>0</v>
      </c>
      <c r="E4761" s="65">
        <v>47.2</v>
      </c>
      <c r="F4761" s="8">
        <v>2.741</v>
      </c>
      <c r="G4761" s="66">
        <v>126.5461613</v>
      </c>
      <c r="H4761" s="8">
        <v>10.21</v>
      </c>
      <c r="J4761" s="26"/>
      <c r="K4761"/>
    </row>
    <row r="4762" spans="1:11">
      <c r="A4762">
        <v>34</v>
      </c>
      <c r="B4762" s="64">
        <v>40501</v>
      </c>
      <c r="C4762" s="2">
        <v>955766.33</v>
      </c>
      <c r="D4762">
        <v>0</v>
      </c>
      <c r="E4762" s="65">
        <v>40.93</v>
      </c>
      <c r="F4762" s="8">
        <v>2.78</v>
      </c>
      <c r="G4762" s="66">
        <v>126.6072</v>
      </c>
      <c r="H4762" s="8">
        <v>10.21</v>
      </c>
      <c r="J4762" s="26"/>
      <c r="K4762"/>
    </row>
    <row r="4763" spans="1:11">
      <c r="A4763">
        <v>34</v>
      </c>
      <c r="B4763" s="64">
        <v>40508</v>
      </c>
      <c r="C4763" s="2">
        <v>1309476.68</v>
      </c>
      <c r="D4763">
        <v>1</v>
      </c>
      <c r="E4763" s="65">
        <v>41.13</v>
      </c>
      <c r="F4763" s="8">
        <v>2.752</v>
      </c>
      <c r="G4763" s="66">
        <v>126.6692667</v>
      </c>
      <c r="H4763" s="8">
        <v>10.21</v>
      </c>
      <c r="J4763" s="26"/>
      <c r="K4763"/>
    </row>
    <row r="4764" spans="1:11">
      <c r="A4764">
        <v>34</v>
      </c>
      <c r="B4764" s="64">
        <v>40515</v>
      </c>
      <c r="C4764" s="2">
        <v>1001512.21</v>
      </c>
      <c r="D4764">
        <v>0</v>
      </c>
      <c r="E4764" s="65">
        <v>34.7</v>
      </c>
      <c r="F4764" s="8">
        <v>2.727</v>
      </c>
      <c r="G4764" s="66">
        <v>126.7313333</v>
      </c>
      <c r="H4764" s="8">
        <v>10.21</v>
      </c>
      <c r="J4764" s="26"/>
      <c r="K4764"/>
    </row>
    <row r="4765" spans="1:11">
      <c r="A4765">
        <v>34</v>
      </c>
      <c r="B4765" s="64">
        <v>40522</v>
      </c>
      <c r="C4765" s="2">
        <v>1086661.02</v>
      </c>
      <c r="D4765">
        <v>0</v>
      </c>
      <c r="E4765" s="65">
        <v>41.93</v>
      </c>
      <c r="F4765" s="8">
        <v>2.86</v>
      </c>
      <c r="G4765" s="66">
        <v>126.7934</v>
      </c>
      <c r="H4765" s="8">
        <v>10.21</v>
      </c>
      <c r="J4765" s="26"/>
      <c r="K4765"/>
    </row>
    <row r="4766" spans="1:11">
      <c r="A4766">
        <v>34</v>
      </c>
      <c r="B4766" s="64">
        <v>40529</v>
      </c>
      <c r="C4766" s="2">
        <v>1227148.13</v>
      </c>
      <c r="D4766">
        <v>0</v>
      </c>
      <c r="E4766" s="65">
        <v>42.64</v>
      </c>
      <c r="F4766" s="8">
        <v>2.884</v>
      </c>
      <c r="G4766" s="66">
        <v>126.8794839</v>
      </c>
      <c r="H4766" s="8">
        <v>10.21</v>
      </c>
      <c r="J4766" s="26"/>
      <c r="K4766"/>
    </row>
    <row r="4767" spans="1:11">
      <c r="A4767">
        <v>34</v>
      </c>
      <c r="B4767" s="64">
        <v>40536</v>
      </c>
      <c r="C4767" s="2">
        <v>1620748.25</v>
      </c>
      <c r="D4767">
        <v>0</v>
      </c>
      <c r="E4767" s="65">
        <v>42.74</v>
      </c>
      <c r="F4767" s="8">
        <v>2.887</v>
      </c>
      <c r="G4767" s="66">
        <v>126.9835806</v>
      </c>
      <c r="H4767" s="8">
        <v>10.21</v>
      </c>
      <c r="J4767" s="26"/>
      <c r="K4767"/>
    </row>
    <row r="4768" spans="1:11">
      <c r="A4768">
        <v>34</v>
      </c>
      <c r="B4768" s="64">
        <v>40543</v>
      </c>
      <c r="C4768" s="2">
        <v>902109.69</v>
      </c>
      <c r="D4768">
        <v>1</v>
      </c>
      <c r="E4768" s="65">
        <v>34.11</v>
      </c>
      <c r="F4768" s="8">
        <v>2.955</v>
      </c>
      <c r="G4768" s="66">
        <v>127.0876774</v>
      </c>
      <c r="H4768" s="8">
        <v>10.21</v>
      </c>
      <c r="J4768" s="26"/>
      <c r="K4768"/>
    </row>
    <row r="4769" spans="1:11">
      <c r="A4769">
        <v>34</v>
      </c>
      <c r="B4769" s="64">
        <v>40550</v>
      </c>
      <c r="C4769" s="2">
        <v>900646.94</v>
      </c>
      <c r="D4769">
        <v>0</v>
      </c>
      <c r="E4769" s="65">
        <v>24.5</v>
      </c>
      <c r="F4769" s="8">
        <v>2.98</v>
      </c>
      <c r="G4769" s="66">
        <v>127.1917742</v>
      </c>
      <c r="H4769" s="8">
        <v>10.398</v>
      </c>
      <c r="J4769" s="26"/>
      <c r="K4769"/>
    </row>
    <row r="4770" spans="1:11">
      <c r="A4770">
        <v>34</v>
      </c>
      <c r="B4770" s="64">
        <v>40557</v>
      </c>
      <c r="C4770" s="2">
        <v>898610.33</v>
      </c>
      <c r="D4770">
        <v>0</v>
      </c>
      <c r="E4770" s="65">
        <v>30.75</v>
      </c>
      <c r="F4770" s="8">
        <v>2.992</v>
      </c>
      <c r="G4770" s="66">
        <v>127.3009355</v>
      </c>
      <c r="H4770" s="8">
        <v>10.398</v>
      </c>
      <c r="J4770" s="26"/>
      <c r="K4770"/>
    </row>
    <row r="4771" spans="1:11">
      <c r="A4771">
        <v>34</v>
      </c>
      <c r="B4771" s="64">
        <v>40564</v>
      </c>
      <c r="C4771" s="2">
        <v>891025.39</v>
      </c>
      <c r="D4771">
        <v>0</v>
      </c>
      <c r="E4771" s="65">
        <v>39.57</v>
      </c>
      <c r="F4771" s="8">
        <v>3.017</v>
      </c>
      <c r="G4771" s="66">
        <v>127.4404839</v>
      </c>
      <c r="H4771" s="8">
        <v>10.398</v>
      </c>
      <c r="J4771" s="26"/>
      <c r="K4771"/>
    </row>
    <row r="4772" spans="1:11">
      <c r="A4772">
        <v>34</v>
      </c>
      <c r="B4772" s="64">
        <v>40571</v>
      </c>
      <c r="C4772" s="2">
        <v>836717.75</v>
      </c>
      <c r="D4772">
        <v>0</v>
      </c>
      <c r="E4772" s="65">
        <v>34.68</v>
      </c>
      <c r="F4772" s="8">
        <v>3.022</v>
      </c>
      <c r="G4772" s="66">
        <v>127.5800323</v>
      </c>
      <c r="H4772" s="8">
        <v>10.398</v>
      </c>
      <c r="J4772" s="26"/>
      <c r="K4772"/>
    </row>
    <row r="4773" spans="1:11">
      <c r="A4773">
        <v>34</v>
      </c>
      <c r="B4773" s="64">
        <v>40578</v>
      </c>
      <c r="C4773" s="2">
        <v>971932.87</v>
      </c>
      <c r="D4773">
        <v>0</v>
      </c>
      <c r="E4773" s="65">
        <v>23.82</v>
      </c>
      <c r="F4773" s="8">
        <v>2.996</v>
      </c>
      <c r="G4773" s="66">
        <v>127.7195806</v>
      </c>
      <c r="H4773" s="8">
        <v>10.398</v>
      </c>
      <c r="J4773" s="26"/>
      <c r="K4773"/>
    </row>
    <row r="4774" spans="1:11">
      <c r="A4774">
        <v>34</v>
      </c>
      <c r="B4774" s="64">
        <v>40585</v>
      </c>
      <c r="C4774" s="2">
        <v>1015654.6</v>
      </c>
      <c r="D4774">
        <v>1</v>
      </c>
      <c r="E4774" s="65">
        <v>28.66</v>
      </c>
      <c r="F4774" s="8">
        <v>3.033</v>
      </c>
      <c r="G4774" s="66">
        <v>127.859129</v>
      </c>
      <c r="H4774" s="8">
        <v>10.398</v>
      </c>
      <c r="J4774" s="26"/>
      <c r="K4774"/>
    </row>
    <row r="4775" spans="1:11">
      <c r="A4775">
        <v>34</v>
      </c>
      <c r="B4775" s="64">
        <v>40592</v>
      </c>
      <c r="C4775" s="2">
        <v>1062629.3</v>
      </c>
      <c r="D4775">
        <v>0</v>
      </c>
      <c r="E4775" s="65">
        <v>45.12</v>
      </c>
      <c r="F4775" s="8">
        <v>3.058</v>
      </c>
      <c r="G4775" s="66">
        <v>127.99525</v>
      </c>
      <c r="H4775" s="8">
        <v>10.398</v>
      </c>
      <c r="J4775" s="26"/>
      <c r="K4775"/>
    </row>
    <row r="4776" spans="1:11">
      <c r="A4776">
        <v>34</v>
      </c>
      <c r="B4776" s="64">
        <v>40599</v>
      </c>
      <c r="C4776" s="2">
        <v>953331.45</v>
      </c>
      <c r="D4776">
        <v>0</v>
      </c>
      <c r="E4776" s="65">
        <v>44.57</v>
      </c>
      <c r="F4776" s="8">
        <v>3.087</v>
      </c>
      <c r="G4776" s="66">
        <v>128.13</v>
      </c>
      <c r="H4776" s="8">
        <v>10.398</v>
      </c>
      <c r="J4776" s="26"/>
      <c r="K4776"/>
    </row>
    <row r="4777" spans="1:11">
      <c r="A4777">
        <v>34</v>
      </c>
      <c r="B4777" s="64">
        <v>40606</v>
      </c>
      <c r="C4777" s="2">
        <v>963910.81</v>
      </c>
      <c r="D4777">
        <v>0</v>
      </c>
      <c r="E4777" s="65">
        <v>46.21</v>
      </c>
      <c r="F4777" s="8">
        <v>3.305</v>
      </c>
      <c r="G4777" s="66">
        <v>128.26475</v>
      </c>
      <c r="H4777" s="8">
        <v>10.398</v>
      </c>
      <c r="J4777" s="26"/>
      <c r="K4777"/>
    </row>
    <row r="4778" spans="1:11">
      <c r="A4778">
        <v>34</v>
      </c>
      <c r="B4778" s="64">
        <v>40613</v>
      </c>
      <c r="C4778" s="2">
        <v>943951.67</v>
      </c>
      <c r="D4778">
        <v>0</v>
      </c>
      <c r="E4778" s="65">
        <v>45.87</v>
      </c>
      <c r="F4778" s="8">
        <v>3.461</v>
      </c>
      <c r="G4778" s="66">
        <v>128.3995</v>
      </c>
      <c r="H4778" s="8">
        <v>10.398</v>
      </c>
      <c r="J4778" s="26"/>
      <c r="K4778"/>
    </row>
    <row r="4779" spans="1:11">
      <c r="A4779">
        <v>34</v>
      </c>
      <c r="B4779" s="64">
        <v>40620</v>
      </c>
      <c r="C4779" s="2">
        <v>1014218.8</v>
      </c>
      <c r="D4779">
        <v>0</v>
      </c>
      <c r="E4779" s="65">
        <v>55.58</v>
      </c>
      <c r="F4779" s="8">
        <v>3.495</v>
      </c>
      <c r="G4779" s="66">
        <v>128.5121935</v>
      </c>
      <c r="H4779" s="8">
        <v>10.398</v>
      </c>
      <c r="J4779" s="26"/>
      <c r="K4779"/>
    </row>
    <row r="4780" spans="1:11">
      <c r="A4780">
        <v>34</v>
      </c>
      <c r="B4780" s="64">
        <v>40627</v>
      </c>
      <c r="C4780" s="2">
        <v>922898.38</v>
      </c>
      <c r="D4780">
        <v>0</v>
      </c>
      <c r="E4780" s="65">
        <v>53.11</v>
      </c>
      <c r="F4780" s="8">
        <v>3.48</v>
      </c>
      <c r="G4780" s="66">
        <v>128.6160645</v>
      </c>
      <c r="H4780" s="8">
        <v>10.398</v>
      </c>
      <c r="J4780" s="26"/>
      <c r="K4780"/>
    </row>
    <row r="4781" spans="1:11">
      <c r="A4781">
        <v>34</v>
      </c>
      <c r="B4781" s="64">
        <v>40634</v>
      </c>
      <c r="C4781" s="2">
        <v>884233.67</v>
      </c>
      <c r="D4781">
        <v>0</v>
      </c>
      <c r="E4781" s="65">
        <v>55.46</v>
      </c>
      <c r="F4781" s="8">
        <v>3.521</v>
      </c>
      <c r="G4781" s="66">
        <v>128.7199355</v>
      </c>
      <c r="H4781" s="8">
        <v>10.581</v>
      </c>
      <c r="J4781" s="26"/>
      <c r="K4781"/>
    </row>
    <row r="4782" spans="1:11">
      <c r="A4782">
        <v>34</v>
      </c>
      <c r="B4782" s="64">
        <v>40641</v>
      </c>
      <c r="C4782" s="2">
        <v>975479.83</v>
      </c>
      <c r="D4782">
        <v>0</v>
      </c>
      <c r="E4782" s="65">
        <v>58.59</v>
      </c>
      <c r="F4782" s="8">
        <v>3.605</v>
      </c>
      <c r="G4782" s="66">
        <v>128.8238065</v>
      </c>
      <c r="H4782" s="8">
        <v>10.581</v>
      </c>
      <c r="J4782" s="26"/>
      <c r="K4782"/>
    </row>
    <row r="4783" spans="1:11">
      <c r="A4783">
        <v>34</v>
      </c>
      <c r="B4783" s="64">
        <v>40648</v>
      </c>
      <c r="C4783" s="2">
        <v>941829</v>
      </c>
      <c r="D4783">
        <v>0</v>
      </c>
      <c r="E4783" s="65">
        <v>53.3</v>
      </c>
      <c r="F4783" s="8">
        <v>3.724</v>
      </c>
      <c r="G4783" s="66">
        <v>128.9107333</v>
      </c>
      <c r="H4783" s="8">
        <v>10.581</v>
      </c>
      <c r="J4783" s="26"/>
      <c r="K4783"/>
    </row>
    <row r="4784" spans="1:11">
      <c r="A4784">
        <v>34</v>
      </c>
      <c r="B4784" s="64">
        <v>40655</v>
      </c>
      <c r="C4784" s="2">
        <v>1051518.45</v>
      </c>
      <c r="D4784">
        <v>0</v>
      </c>
      <c r="E4784" s="65">
        <v>63.83</v>
      </c>
      <c r="F4784" s="8">
        <v>3.781</v>
      </c>
      <c r="G4784" s="66">
        <v>128.9553</v>
      </c>
      <c r="H4784" s="8">
        <v>10.581</v>
      </c>
      <c r="J4784" s="26"/>
      <c r="K4784"/>
    </row>
    <row r="4785" spans="1:11">
      <c r="A4785">
        <v>34</v>
      </c>
      <c r="B4785" s="64">
        <v>40662</v>
      </c>
      <c r="C4785" s="2">
        <v>895973.02</v>
      </c>
      <c r="D4785">
        <v>0</v>
      </c>
      <c r="E4785" s="65">
        <v>57.73</v>
      </c>
      <c r="F4785" s="8">
        <v>3.781</v>
      </c>
      <c r="G4785" s="66">
        <v>128.9998667</v>
      </c>
      <c r="H4785" s="8">
        <v>10.581</v>
      </c>
      <c r="J4785" s="26"/>
      <c r="K4785"/>
    </row>
    <row r="4786" spans="1:11">
      <c r="A4786">
        <v>34</v>
      </c>
      <c r="B4786" s="64">
        <v>40669</v>
      </c>
      <c r="C4786" s="2">
        <v>965853.58</v>
      </c>
      <c r="D4786">
        <v>0</v>
      </c>
      <c r="E4786" s="65">
        <v>54.4</v>
      </c>
      <c r="F4786" s="8">
        <v>3.866</v>
      </c>
      <c r="G4786" s="66">
        <v>129.0444333</v>
      </c>
      <c r="H4786" s="8">
        <v>10.581</v>
      </c>
      <c r="J4786" s="26"/>
      <c r="K4786"/>
    </row>
    <row r="4787" spans="1:11">
      <c r="A4787">
        <v>34</v>
      </c>
      <c r="B4787" s="64">
        <v>40676</v>
      </c>
      <c r="C4787" s="2">
        <v>966232.69</v>
      </c>
      <c r="D4787">
        <v>0</v>
      </c>
      <c r="E4787" s="65">
        <v>63.05</v>
      </c>
      <c r="F4787" s="8">
        <v>3.872</v>
      </c>
      <c r="G4787" s="66">
        <v>129.089</v>
      </c>
      <c r="H4787" s="8">
        <v>10.581</v>
      </c>
      <c r="J4787" s="26"/>
      <c r="K4787"/>
    </row>
    <row r="4788" spans="1:11">
      <c r="A4788">
        <v>34</v>
      </c>
      <c r="B4788" s="64">
        <v>40683</v>
      </c>
      <c r="C4788" s="2">
        <v>945018.83</v>
      </c>
      <c r="D4788">
        <v>0</v>
      </c>
      <c r="E4788" s="65">
        <v>61.47</v>
      </c>
      <c r="F4788" s="8">
        <v>3.881</v>
      </c>
      <c r="G4788" s="66">
        <v>129.0756774</v>
      </c>
      <c r="H4788" s="8">
        <v>10.581</v>
      </c>
      <c r="J4788" s="26"/>
      <c r="K4788"/>
    </row>
    <row r="4789" spans="1:11">
      <c r="A4789">
        <v>34</v>
      </c>
      <c r="B4789" s="64">
        <v>40690</v>
      </c>
      <c r="C4789" s="2">
        <v>941311.83</v>
      </c>
      <c r="D4789">
        <v>0</v>
      </c>
      <c r="E4789" s="65">
        <v>65.99</v>
      </c>
      <c r="F4789" s="8">
        <v>3.771</v>
      </c>
      <c r="G4789" s="66">
        <v>129.0623548</v>
      </c>
      <c r="H4789" s="8">
        <v>10.581</v>
      </c>
      <c r="J4789" s="26"/>
      <c r="K4789"/>
    </row>
    <row r="4790" spans="1:11">
      <c r="A4790">
        <v>34</v>
      </c>
      <c r="B4790" s="64">
        <v>40697</v>
      </c>
      <c r="C4790" s="2">
        <v>947229.24</v>
      </c>
      <c r="D4790">
        <v>0</v>
      </c>
      <c r="E4790" s="65">
        <v>74.64</v>
      </c>
      <c r="F4790" s="8">
        <v>3.683</v>
      </c>
      <c r="G4790" s="66">
        <v>129.0490323</v>
      </c>
      <c r="H4790" s="8">
        <v>10.581</v>
      </c>
      <c r="J4790" s="26"/>
      <c r="K4790"/>
    </row>
    <row r="4791" spans="1:11">
      <c r="A4791">
        <v>34</v>
      </c>
      <c r="B4791" s="64">
        <v>40704</v>
      </c>
      <c r="C4791" s="2">
        <v>943912.77</v>
      </c>
      <c r="D4791">
        <v>0</v>
      </c>
      <c r="E4791" s="65">
        <v>74.57</v>
      </c>
      <c r="F4791" s="8">
        <v>3.64</v>
      </c>
      <c r="G4791" s="66">
        <v>129.0357097</v>
      </c>
      <c r="H4791" s="8">
        <v>10.581</v>
      </c>
      <c r="J4791" s="26"/>
      <c r="K4791"/>
    </row>
    <row r="4792" spans="1:11">
      <c r="A4792">
        <v>34</v>
      </c>
      <c r="B4792" s="64">
        <v>40711</v>
      </c>
      <c r="C4792" s="2">
        <v>968258.09</v>
      </c>
      <c r="D4792">
        <v>0</v>
      </c>
      <c r="E4792" s="65">
        <v>76.58</v>
      </c>
      <c r="F4792" s="8">
        <v>3.618</v>
      </c>
      <c r="G4792" s="66">
        <v>129.0432</v>
      </c>
      <c r="H4792" s="8">
        <v>10.581</v>
      </c>
      <c r="J4792" s="26"/>
      <c r="K4792"/>
    </row>
    <row r="4793" spans="1:11">
      <c r="A4793">
        <v>34</v>
      </c>
      <c r="B4793" s="64">
        <v>40718</v>
      </c>
      <c r="C4793" s="2">
        <v>923795.04</v>
      </c>
      <c r="D4793">
        <v>0</v>
      </c>
      <c r="E4793" s="65">
        <v>77.16</v>
      </c>
      <c r="F4793" s="8">
        <v>3.57</v>
      </c>
      <c r="G4793" s="66">
        <v>129.0663</v>
      </c>
      <c r="H4793" s="8">
        <v>10.581</v>
      </c>
      <c r="J4793" s="26"/>
      <c r="K4793"/>
    </row>
    <row r="4794" spans="1:11">
      <c r="A4794">
        <v>34</v>
      </c>
      <c r="B4794" s="64">
        <v>40725</v>
      </c>
      <c r="C4794" s="2">
        <v>911106.22</v>
      </c>
      <c r="D4794">
        <v>0</v>
      </c>
      <c r="E4794" s="65">
        <v>81.96</v>
      </c>
      <c r="F4794" s="8">
        <v>3.504</v>
      </c>
      <c r="G4794" s="66">
        <v>129.0894</v>
      </c>
      <c r="H4794" s="8">
        <v>10.641</v>
      </c>
      <c r="J4794" s="26"/>
      <c r="K4794"/>
    </row>
    <row r="4795" spans="1:11">
      <c r="A4795">
        <v>34</v>
      </c>
      <c r="B4795" s="64">
        <v>40732</v>
      </c>
      <c r="C4795" s="2">
        <v>926934.57</v>
      </c>
      <c r="D4795">
        <v>0</v>
      </c>
      <c r="E4795" s="65">
        <v>80.84</v>
      </c>
      <c r="F4795" s="8">
        <v>3.469</v>
      </c>
      <c r="G4795" s="66">
        <v>129.1125</v>
      </c>
      <c r="H4795" s="8">
        <v>10.641</v>
      </c>
      <c r="J4795" s="26"/>
      <c r="K4795"/>
    </row>
    <row r="4796" spans="1:11">
      <c r="A4796">
        <v>34</v>
      </c>
      <c r="B4796" s="64">
        <v>40739</v>
      </c>
      <c r="C4796" s="2">
        <v>903882.96</v>
      </c>
      <c r="D4796">
        <v>0</v>
      </c>
      <c r="E4796" s="65">
        <v>78.09</v>
      </c>
      <c r="F4796" s="8">
        <v>3.563</v>
      </c>
      <c r="G4796" s="66">
        <v>129.1338387</v>
      </c>
      <c r="H4796" s="8">
        <v>10.641</v>
      </c>
      <c r="J4796" s="26"/>
      <c r="K4796"/>
    </row>
    <row r="4797" spans="1:11">
      <c r="A4797">
        <v>34</v>
      </c>
      <c r="B4797" s="64">
        <v>40746</v>
      </c>
      <c r="C4797" s="2">
        <v>913236.62</v>
      </c>
      <c r="D4797">
        <v>0</v>
      </c>
      <c r="E4797" s="65">
        <v>80.75</v>
      </c>
      <c r="F4797" s="8">
        <v>3.627</v>
      </c>
      <c r="G4797" s="66">
        <v>129.1507742</v>
      </c>
      <c r="H4797" s="8">
        <v>10.641</v>
      </c>
      <c r="J4797" s="26"/>
      <c r="K4797"/>
    </row>
    <row r="4798" spans="1:11">
      <c r="A4798">
        <v>34</v>
      </c>
      <c r="B4798" s="64">
        <v>40753</v>
      </c>
      <c r="C4798" s="2">
        <v>851461.9</v>
      </c>
      <c r="D4798">
        <v>0</v>
      </c>
      <c r="E4798" s="65">
        <v>78.04</v>
      </c>
      <c r="F4798" s="8">
        <v>3.659</v>
      </c>
      <c r="G4798" s="66">
        <v>129.1677097</v>
      </c>
      <c r="H4798" s="8">
        <v>10.641</v>
      </c>
      <c r="J4798" s="26"/>
      <c r="K4798"/>
    </row>
    <row r="4799" spans="1:11">
      <c r="A4799">
        <v>34</v>
      </c>
      <c r="B4799" s="64">
        <v>40760</v>
      </c>
      <c r="C4799" s="2">
        <v>942236.45</v>
      </c>
      <c r="D4799">
        <v>0</v>
      </c>
      <c r="E4799" s="65">
        <v>76.71</v>
      </c>
      <c r="F4799" s="8">
        <v>3.662</v>
      </c>
      <c r="G4799" s="66">
        <v>129.1846452</v>
      </c>
      <c r="H4799" s="8">
        <v>10.641</v>
      </c>
      <c r="J4799" s="26"/>
      <c r="K4799"/>
    </row>
    <row r="4800" spans="1:11">
      <c r="A4800">
        <v>34</v>
      </c>
      <c r="B4800" s="64">
        <v>40767</v>
      </c>
      <c r="C4800" s="2">
        <v>956251.18</v>
      </c>
      <c r="D4800">
        <v>0</v>
      </c>
      <c r="E4800" s="65">
        <v>80.23</v>
      </c>
      <c r="F4800" s="8">
        <v>3.617</v>
      </c>
      <c r="G4800" s="66">
        <v>129.2015806</v>
      </c>
      <c r="H4800" s="8">
        <v>10.641</v>
      </c>
      <c r="J4800" s="26"/>
      <c r="K4800"/>
    </row>
    <row r="4801" spans="1:11">
      <c r="A4801">
        <v>34</v>
      </c>
      <c r="B4801" s="64">
        <v>40774</v>
      </c>
      <c r="C4801" s="2">
        <v>960418.54</v>
      </c>
      <c r="D4801">
        <v>0</v>
      </c>
      <c r="E4801" s="65">
        <v>77.08</v>
      </c>
      <c r="F4801" s="8">
        <v>3.55</v>
      </c>
      <c r="G4801" s="66">
        <v>129.2405806</v>
      </c>
      <c r="H4801" s="8">
        <v>10.641</v>
      </c>
      <c r="J4801" s="26"/>
      <c r="K4801"/>
    </row>
    <row r="4802" spans="1:11">
      <c r="A4802">
        <v>34</v>
      </c>
      <c r="B4802" s="64">
        <v>40781</v>
      </c>
      <c r="C4802" s="2">
        <v>871404.6</v>
      </c>
      <c r="D4802">
        <v>0</v>
      </c>
      <c r="E4802" s="65">
        <v>77.27</v>
      </c>
      <c r="F4802" s="8">
        <v>3.523</v>
      </c>
      <c r="G4802" s="66">
        <v>129.2832581</v>
      </c>
      <c r="H4802" s="8">
        <v>10.641</v>
      </c>
      <c r="J4802" s="26"/>
      <c r="K4802"/>
    </row>
    <row r="4803" spans="1:11">
      <c r="A4803">
        <v>34</v>
      </c>
      <c r="B4803" s="64">
        <v>40788</v>
      </c>
      <c r="C4803" s="2">
        <v>926455.64</v>
      </c>
      <c r="D4803">
        <v>0</v>
      </c>
      <c r="E4803" s="65">
        <v>78.24</v>
      </c>
      <c r="F4803" s="8">
        <v>3.533</v>
      </c>
      <c r="G4803" s="66">
        <v>129.3259355</v>
      </c>
      <c r="H4803" s="8">
        <v>10.641</v>
      </c>
      <c r="J4803" s="26"/>
      <c r="K4803"/>
    </row>
    <row r="4804" spans="1:11">
      <c r="A4804">
        <v>34</v>
      </c>
      <c r="B4804" s="64">
        <v>40795</v>
      </c>
      <c r="C4804" s="2">
        <v>930506.14</v>
      </c>
      <c r="D4804">
        <v>1</v>
      </c>
      <c r="E4804" s="65">
        <v>70.05</v>
      </c>
      <c r="F4804" s="8">
        <v>3.554</v>
      </c>
      <c r="G4804" s="66">
        <v>129.3686129</v>
      </c>
      <c r="H4804" s="8">
        <v>10.641</v>
      </c>
      <c r="J4804" s="26"/>
      <c r="K4804"/>
    </row>
    <row r="4805" spans="1:11">
      <c r="A4805">
        <v>34</v>
      </c>
      <c r="B4805" s="64">
        <v>40802</v>
      </c>
      <c r="C4805" s="2">
        <v>927249.61</v>
      </c>
      <c r="D4805">
        <v>0</v>
      </c>
      <c r="E4805" s="65">
        <v>64.94</v>
      </c>
      <c r="F4805" s="8">
        <v>3.532</v>
      </c>
      <c r="G4805" s="66">
        <v>129.4306</v>
      </c>
      <c r="H4805" s="8">
        <v>10.641</v>
      </c>
      <c r="J4805" s="26"/>
      <c r="K4805"/>
    </row>
    <row r="4806" spans="1:11">
      <c r="A4806">
        <v>34</v>
      </c>
      <c r="B4806" s="64">
        <v>40809</v>
      </c>
      <c r="C4806" s="2">
        <v>902852.73</v>
      </c>
      <c r="D4806">
        <v>0</v>
      </c>
      <c r="E4806" s="65">
        <v>66.23</v>
      </c>
      <c r="F4806" s="8">
        <v>3.473</v>
      </c>
      <c r="G4806" s="66">
        <v>129.5183333</v>
      </c>
      <c r="H4806" s="8">
        <v>10.641</v>
      </c>
      <c r="J4806" s="26"/>
      <c r="K4806"/>
    </row>
    <row r="4807" spans="1:11">
      <c r="A4807">
        <v>34</v>
      </c>
      <c r="B4807" s="64">
        <v>40816</v>
      </c>
      <c r="C4807" s="2">
        <v>871847.85</v>
      </c>
      <c r="D4807">
        <v>0</v>
      </c>
      <c r="E4807" s="65">
        <v>69.44</v>
      </c>
      <c r="F4807" s="8">
        <v>3.371</v>
      </c>
      <c r="G4807" s="66">
        <v>129.6060667</v>
      </c>
      <c r="H4807" s="8">
        <v>10.641</v>
      </c>
      <c r="J4807" s="26"/>
      <c r="K4807"/>
    </row>
    <row r="4808" spans="1:11">
      <c r="A4808">
        <v>34</v>
      </c>
      <c r="B4808" s="64">
        <v>40823</v>
      </c>
      <c r="C4808" s="2">
        <v>954069.45</v>
      </c>
      <c r="D4808">
        <v>0</v>
      </c>
      <c r="E4808" s="65">
        <v>60.42</v>
      </c>
      <c r="F4808" s="8">
        <v>3.299</v>
      </c>
      <c r="G4808" s="66">
        <v>129.6938</v>
      </c>
      <c r="H4808" s="8">
        <v>10.148</v>
      </c>
      <c r="J4808" s="26"/>
      <c r="K4808"/>
    </row>
    <row r="4809" spans="1:11">
      <c r="A4809">
        <v>34</v>
      </c>
      <c r="B4809" s="64">
        <v>40830</v>
      </c>
      <c r="C4809" s="2">
        <v>911788.79</v>
      </c>
      <c r="D4809">
        <v>0</v>
      </c>
      <c r="E4809" s="65">
        <v>54.72</v>
      </c>
      <c r="F4809" s="8">
        <v>3.283</v>
      </c>
      <c r="G4809" s="66">
        <v>129.7706452</v>
      </c>
      <c r="H4809" s="8">
        <v>10.148</v>
      </c>
      <c r="J4809" s="26"/>
      <c r="K4809"/>
    </row>
    <row r="4810" spans="1:11">
      <c r="A4810">
        <v>34</v>
      </c>
      <c r="B4810" s="64">
        <v>40837</v>
      </c>
      <c r="C4810" s="2">
        <v>953693.23</v>
      </c>
      <c r="D4810">
        <v>0</v>
      </c>
      <c r="E4810" s="65">
        <v>58.93</v>
      </c>
      <c r="F4810" s="8">
        <v>3.361</v>
      </c>
      <c r="G4810" s="66">
        <v>129.7821613</v>
      </c>
      <c r="H4810" s="8">
        <v>10.148</v>
      </c>
      <c r="J4810" s="26"/>
      <c r="K4810"/>
    </row>
    <row r="4811" spans="1:11">
      <c r="A4811">
        <v>34</v>
      </c>
      <c r="B4811" s="64">
        <v>40844</v>
      </c>
      <c r="C4811" s="2">
        <v>958063.87</v>
      </c>
      <c r="D4811">
        <v>0</v>
      </c>
      <c r="E4811" s="65">
        <v>54.56</v>
      </c>
      <c r="F4811" s="8">
        <v>3.362</v>
      </c>
      <c r="G4811" s="66">
        <v>129.7936774</v>
      </c>
      <c r="H4811" s="8">
        <v>10.148</v>
      </c>
      <c r="J4811" s="26"/>
      <c r="K4811"/>
    </row>
    <row r="4812" spans="1:11">
      <c r="A4812">
        <v>34</v>
      </c>
      <c r="B4812" s="64">
        <v>40851</v>
      </c>
      <c r="C4812" s="2">
        <v>992621.93</v>
      </c>
      <c r="D4812">
        <v>0</v>
      </c>
      <c r="E4812" s="65">
        <v>48.04</v>
      </c>
      <c r="F4812" s="8">
        <v>3.322</v>
      </c>
      <c r="G4812" s="66">
        <v>129.8051935</v>
      </c>
      <c r="H4812" s="8">
        <v>10.148</v>
      </c>
      <c r="J4812" s="26"/>
      <c r="K4812"/>
    </row>
    <row r="4813" spans="1:11">
      <c r="A4813">
        <v>34</v>
      </c>
      <c r="B4813" s="64">
        <v>40858</v>
      </c>
      <c r="C4813" s="2">
        <v>991570.02</v>
      </c>
      <c r="D4813">
        <v>0</v>
      </c>
      <c r="E4813" s="65">
        <v>41.04</v>
      </c>
      <c r="F4813" s="8">
        <v>3.286</v>
      </c>
      <c r="G4813" s="66">
        <v>129.8167097</v>
      </c>
      <c r="H4813" s="8">
        <v>10.148</v>
      </c>
      <c r="J4813" s="26"/>
      <c r="K4813"/>
    </row>
    <row r="4814" spans="1:11">
      <c r="A4814">
        <v>34</v>
      </c>
      <c r="B4814" s="64">
        <v>40865</v>
      </c>
      <c r="C4814" s="2">
        <v>947552.44</v>
      </c>
      <c r="D4814">
        <v>0</v>
      </c>
      <c r="E4814" s="65">
        <v>46</v>
      </c>
      <c r="F4814" s="8">
        <v>3.294</v>
      </c>
      <c r="G4814" s="66">
        <v>129.8268333</v>
      </c>
      <c r="H4814" s="8">
        <v>10.148</v>
      </c>
      <c r="J4814" s="26"/>
      <c r="K4814"/>
    </row>
    <row r="4815" spans="1:11">
      <c r="A4815">
        <v>34</v>
      </c>
      <c r="B4815" s="64">
        <v>40872</v>
      </c>
      <c r="C4815" s="2">
        <v>1345595.82</v>
      </c>
      <c r="D4815">
        <v>1</v>
      </c>
      <c r="E4815" s="65">
        <v>45.99</v>
      </c>
      <c r="F4815" s="8">
        <v>3.225</v>
      </c>
      <c r="G4815" s="66">
        <v>129.8364</v>
      </c>
      <c r="H4815" s="8">
        <v>10.148</v>
      </c>
      <c r="J4815" s="26"/>
      <c r="K4815"/>
    </row>
    <row r="4816" spans="1:11">
      <c r="A4816">
        <v>34</v>
      </c>
      <c r="B4816" s="64">
        <v>40879</v>
      </c>
      <c r="C4816" s="2">
        <v>988742.08</v>
      </c>
      <c r="D4816">
        <v>0</v>
      </c>
      <c r="E4816" s="65">
        <v>39.75</v>
      </c>
      <c r="F4816" s="8">
        <v>3.176</v>
      </c>
      <c r="G4816" s="66">
        <v>129.8459667</v>
      </c>
      <c r="H4816" s="8">
        <v>10.148</v>
      </c>
      <c r="J4816" s="26"/>
      <c r="K4816"/>
    </row>
    <row r="4817" spans="1:11">
      <c r="A4817">
        <v>34</v>
      </c>
      <c r="B4817" s="64">
        <v>40886</v>
      </c>
      <c r="C4817" s="2">
        <v>1084243.91</v>
      </c>
      <c r="D4817">
        <v>0</v>
      </c>
      <c r="E4817" s="65">
        <v>24.69</v>
      </c>
      <c r="F4817" s="8">
        <v>3.153</v>
      </c>
      <c r="G4817" s="66">
        <v>129.8555333</v>
      </c>
      <c r="H4817" s="8">
        <v>10.148</v>
      </c>
      <c r="J4817" s="26"/>
      <c r="K4817"/>
    </row>
    <row r="4818" spans="1:11">
      <c r="A4818">
        <v>34</v>
      </c>
      <c r="B4818" s="64">
        <v>40893</v>
      </c>
      <c r="C4818" s="2">
        <v>1151052.86</v>
      </c>
      <c r="D4818">
        <v>0</v>
      </c>
      <c r="E4818" s="65">
        <v>32.31</v>
      </c>
      <c r="F4818" s="8">
        <v>3.149</v>
      </c>
      <c r="G4818" s="66">
        <v>129.8980645</v>
      </c>
      <c r="H4818" s="8">
        <v>10.148</v>
      </c>
      <c r="J4818" s="26"/>
      <c r="K4818"/>
    </row>
    <row r="4819" spans="1:11">
      <c r="A4819">
        <v>34</v>
      </c>
      <c r="B4819" s="64">
        <v>40900</v>
      </c>
      <c r="C4819" s="2">
        <v>1593655.96</v>
      </c>
      <c r="D4819">
        <v>0</v>
      </c>
      <c r="E4819" s="65">
        <v>32.45</v>
      </c>
      <c r="F4819" s="8">
        <v>3.103</v>
      </c>
      <c r="G4819" s="66">
        <v>129.9845484</v>
      </c>
      <c r="H4819" s="8">
        <v>10.148</v>
      </c>
      <c r="J4819" s="26"/>
      <c r="K4819"/>
    </row>
    <row r="4820" spans="1:11">
      <c r="A4820">
        <v>34</v>
      </c>
      <c r="B4820" s="64">
        <v>40907</v>
      </c>
      <c r="C4820" s="2">
        <v>965512.36</v>
      </c>
      <c r="D4820">
        <v>1</v>
      </c>
      <c r="E4820" s="65">
        <v>28.84</v>
      </c>
      <c r="F4820" s="8">
        <v>3.119</v>
      </c>
      <c r="G4820" s="66">
        <v>130.0710323</v>
      </c>
      <c r="H4820" s="8">
        <v>10.148</v>
      </c>
      <c r="J4820" s="26"/>
      <c r="K4820"/>
    </row>
    <row r="4821" spans="1:11">
      <c r="A4821">
        <v>34</v>
      </c>
      <c r="B4821" s="64">
        <v>40914</v>
      </c>
      <c r="C4821" s="2">
        <v>953844.85</v>
      </c>
      <c r="D4821">
        <v>0</v>
      </c>
      <c r="E4821" s="65">
        <v>36.39</v>
      </c>
      <c r="F4821" s="8">
        <v>3.158</v>
      </c>
      <c r="G4821" s="66">
        <v>130.1575161</v>
      </c>
      <c r="H4821" s="8">
        <v>9.653</v>
      </c>
      <c r="J4821" s="26"/>
      <c r="K4821"/>
    </row>
    <row r="4822" spans="1:11">
      <c r="A4822">
        <v>34</v>
      </c>
      <c r="B4822" s="64">
        <v>40921</v>
      </c>
      <c r="C4822" s="2">
        <v>913755.12</v>
      </c>
      <c r="D4822">
        <v>0</v>
      </c>
      <c r="E4822" s="65">
        <v>33.99</v>
      </c>
      <c r="F4822" s="8">
        <v>3.263</v>
      </c>
      <c r="G4822" s="66">
        <v>130.244</v>
      </c>
      <c r="H4822" s="8">
        <v>9.653</v>
      </c>
      <c r="J4822" s="26"/>
      <c r="K4822"/>
    </row>
    <row r="4823" spans="1:11">
      <c r="A4823">
        <v>34</v>
      </c>
      <c r="B4823" s="64">
        <v>40928</v>
      </c>
      <c r="C4823" s="2">
        <v>910899.05</v>
      </c>
      <c r="D4823">
        <v>0</v>
      </c>
      <c r="E4823" s="65">
        <v>39.28</v>
      </c>
      <c r="F4823" s="8">
        <v>3.273</v>
      </c>
      <c r="G4823" s="66">
        <v>130.2792258</v>
      </c>
      <c r="H4823" s="8">
        <v>9.653</v>
      </c>
      <c r="J4823" s="26"/>
      <c r="K4823"/>
    </row>
    <row r="4824" spans="1:11">
      <c r="A4824">
        <v>34</v>
      </c>
      <c r="B4824" s="64">
        <v>40935</v>
      </c>
      <c r="C4824" s="2">
        <v>872450.37</v>
      </c>
      <c r="D4824">
        <v>0</v>
      </c>
      <c r="E4824" s="65">
        <v>39.81</v>
      </c>
      <c r="F4824" s="8">
        <v>3.29</v>
      </c>
      <c r="G4824" s="66">
        <v>130.3144516</v>
      </c>
      <c r="H4824" s="8">
        <v>9.653</v>
      </c>
      <c r="J4824" s="26"/>
      <c r="K4824"/>
    </row>
    <row r="4825" spans="1:11">
      <c r="A4825">
        <v>34</v>
      </c>
      <c r="B4825" s="64">
        <v>40942</v>
      </c>
      <c r="C4825" s="2">
        <v>939367.14</v>
      </c>
      <c r="D4825">
        <v>0</v>
      </c>
      <c r="E4825" s="65">
        <v>38.64</v>
      </c>
      <c r="F4825" s="8">
        <v>3.354</v>
      </c>
      <c r="G4825" s="66">
        <v>130.3496774</v>
      </c>
      <c r="H4825" s="8">
        <v>9.653</v>
      </c>
      <c r="J4825" s="26"/>
      <c r="K4825"/>
    </row>
    <row r="4826" spans="1:11">
      <c r="A4826">
        <v>34</v>
      </c>
      <c r="B4826" s="64">
        <v>40949</v>
      </c>
      <c r="C4826" s="2">
        <v>1047658.09</v>
      </c>
      <c r="D4826">
        <v>1</v>
      </c>
      <c r="E4826" s="65">
        <v>36.7</v>
      </c>
      <c r="F4826" s="8">
        <v>3.411</v>
      </c>
      <c r="G4826" s="66">
        <v>130.3849032</v>
      </c>
      <c r="H4826" s="8">
        <v>9.653</v>
      </c>
      <c r="J4826" s="26"/>
      <c r="K4826"/>
    </row>
    <row r="4827" spans="1:11">
      <c r="A4827">
        <v>34</v>
      </c>
      <c r="B4827" s="64">
        <v>40956</v>
      </c>
      <c r="C4827" s="2">
        <v>1123446.51</v>
      </c>
      <c r="D4827">
        <v>0</v>
      </c>
      <c r="E4827" s="65">
        <v>37.25</v>
      </c>
      <c r="F4827" s="8">
        <v>3.493</v>
      </c>
      <c r="G4827" s="66">
        <v>130.4546207</v>
      </c>
      <c r="H4827" s="8">
        <v>9.653</v>
      </c>
      <c r="J4827" s="26"/>
      <c r="K4827"/>
    </row>
    <row r="4828" spans="1:11">
      <c r="A4828">
        <v>34</v>
      </c>
      <c r="B4828" s="64">
        <v>40963</v>
      </c>
      <c r="C4828" s="2">
        <v>950154.24</v>
      </c>
      <c r="D4828">
        <v>0</v>
      </c>
      <c r="E4828" s="65">
        <v>39.89</v>
      </c>
      <c r="F4828" s="8">
        <v>3.541</v>
      </c>
      <c r="G4828" s="66">
        <v>130.5502069</v>
      </c>
      <c r="H4828" s="8">
        <v>9.653</v>
      </c>
      <c r="J4828" s="26"/>
      <c r="K4828"/>
    </row>
    <row r="4829" spans="1:11">
      <c r="A4829">
        <v>34</v>
      </c>
      <c r="B4829" s="64">
        <v>40970</v>
      </c>
      <c r="C4829" s="2">
        <v>990263.7</v>
      </c>
      <c r="D4829">
        <v>0</v>
      </c>
      <c r="E4829" s="65">
        <v>42.74</v>
      </c>
      <c r="F4829" s="8">
        <v>3.619</v>
      </c>
      <c r="G4829" s="66">
        <v>130.6457931</v>
      </c>
      <c r="H4829" s="8">
        <v>9.653</v>
      </c>
      <c r="J4829" s="26"/>
      <c r="K4829"/>
    </row>
    <row r="4830" spans="1:11">
      <c r="A4830">
        <v>34</v>
      </c>
      <c r="B4830" s="64">
        <v>40977</v>
      </c>
      <c r="C4830" s="2">
        <v>976393.43</v>
      </c>
      <c r="D4830">
        <v>0</v>
      </c>
      <c r="E4830" s="65">
        <v>42.7</v>
      </c>
      <c r="F4830" s="8">
        <v>3.667</v>
      </c>
      <c r="G4830" s="66">
        <v>130.7413793</v>
      </c>
      <c r="H4830" s="8">
        <v>9.653</v>
      </c>
      <c r="J4830" s="26"/>
      <c r="K4830"/>
    </row>
    <row r="4831" spans="1:11">
      <c r="A4831">
        <v>34</v>
      </c>
      <c r="B4831" s="64">
        <v>40984</v>
      </c>
      <c r="C4831" s="2">
        <v>999298.43</v>
      </c>
      <c r="D4831">
        <v>0</v>
      </c>
      <c r="E4831" s="65">
        <v>48.09</v>
      </c>
      <c r="F4831" s="8">
        <v>3.707</v>
      </c>
      <c r="G4831" s="66">
        <v>130.8261935</v>
      </c>
      <c r="H4831" s="8">
        <v>9.653</v>
      </c>
      <c r="J4831" s="26"/>
      <c r="K4831"/>
    </row>
    <row r="4832" spans="1:11">
      <c r="A4832">
        <v>34</v>
      </c>
      <c r="B4832" s="64">
        <v>40991</v>
      </c>
      <c r="C4832" s="2">
        <v>945143.33</v>
      </c>
      <c r="D4832">
        <v>0</v>
      </c>
      <c r="E4832" s="65">
        <v>47.93</v>
      </c>
      <c r="F4832" s="8">
        <v>3.759</v>
      </c>
      <c r="G4832" s="66">
        <v>130.8966452</v>
      </c>
      <c r="H4832" s="8">
        <v>9.653</v>
      </c>
      <c r="J4832" s="26"/>
      <c r="K4832"/>
    </row>
    <row r="4833" spans="1:11">
      <c r="A4833">
        <v>34</v>
      </c>
      <c r="B4833" s="64">
        <v>40998</v>
      </c>
      <c r="C4833" s="2">
        <v>938861.77</v>
      </c>
      <c r="D4833">
        <v>0</v>
      </c>
      <c r="E4833" s="65">
        <v>59.29</v>
      </c>
      <c r="F4833" s="8">
        <v>3.82</v>
      </c>
      <c r="G4833" s="66">
        <v>130.9670968</v>
      </c>
      <c r="H4833" s="8">
        <v>9.653</v>
      </c>
      <c r="J4833" s="26"/>
      <c r="K4833"/>
    </row>
    <row r="4834" spans="1:11">
      <c r="A4834">
        <v>34</v>
      </c>
      <c r="B4834" s="64">
        <v>41005</v>
      </c>
      <c r="C4834" s="2">
        <v>1091020.37</v>
      </c>
      <c r="D4834">
        <v>0</v>
      </c>
      <c r="E4834" s="65">
        <v>54.42</v>
      </c>
      <c r="F4834" s="8">
        <v>3.864</v>
      </c>
      <c r="G4834" s="66">
        <v>131.0375484</v>
      </c>
      <c r="H4834" s="8">
        <v>9.575</v>
      </c>
      <c r="J4834" s="26"/>
      <c r="K4834"/>
    </row>
    <row r="4835" spans="1:11">
      <c r="A4835">
        <v>34</v>
      </c>
      <c r="B4835" s="64">
        <v>41012</v>
      </c>
      <c r="C4835" s="2">
        <v>987353.65</v>
      </c>
      <c r="D4835">
        <v>0</v>
      </c>
      <c r="E4835" s="65">
        <v>59.12</v>
      </c>
      <c r="F4835" s="8">
        <v>3.881</v>
      </c>
      <c r="G4835" s="66">
        <v>131.108</v>
      </c>
      <c r="H4835" s="8">
        <v>9.575</v>
      </c>
      <c r="J4835" s="26"/>
      <c r="K4835"/>
    </row>
    <row r="4836" spans="1:11">
      <c r="A4836">
        <v>34</v>
      </c>
      <c r="B4836" s="64">
        <v>41019</v>
      </c>
      <c r="C4836" s="2">
        <v>977628.78</v>
      </c>
      <c r="D4836">
        <v>0</v>
      </c>
      <c r="E4836" s="65">
        <v>55.34</v>
      </c>
      <c r="F4836" s="8">
        <v>3.864</v>
      </c>
      <c r="G4836" s="66">
        <v>131.1173333</v>
      </c>
      <c r="H4836" s="8">
        <v>9.575</v>
      </c>
      <c r="J4836" s="26"/>
      <c r="K4836"/>
    </row>
    <row r="4837" spans="1:11">
      <c r="A4837">
        <v>34</v>
      </c>
      <c r="B4837" s="64">
        <v>41026</v>
      </c>
      <c r="C4837" s="2">
        <v>940299.87</v>
      </c>
      <c r="D4837">
        <v>0</v>
      </c>
      <c r="E4837" s="65">
        <v>66.49</v>
      </c>
      <c r="F4837" s="8">
        <v>3.81</v>
      </c>
      <c r="G4837" s="66">
        <v>131.1266667</v>
      </c>
      <c r="H4837" s="8">
        <v>9.575</v>
      </c>
      <c r="J4837" s="26"/>
      <c r="K4837"/>
    </row>
    <row r="4838" spans="1:11">
      <c r="A4838">
        <v>34</v>
      </c>
      <c r="B4838" s="64">
        <v>41033</v>
      </c>
      <c r="C4838" s="2">
        <v>991104.4</v>
      </c>
      <c r="D4838">
        <v>0</v>
      </c>
      <c r="E4838" s="65">
        <v>65.04</v>
      </c>
      <c r="F4838" s="8">
        <v>3.747</v>
      </c>
      <c r="G4838" s="66">
        <v>131.136</v>
      </c>
      <c r="H4838" s="8">
        <v>9.575</v>
      </c>
      <c r="J4838" s="26"/>
      <c r="K4838"/>
    </row>
    <row r="4839" spans="1:11">
      <c r="A4839">
        <v>34</v>
      </c>
      <c r="B4839" s="64">
        <v>41040</v>
      </c>
      <c r="C4839" s="2">
        <v>949625.52</v>
      </c>
      <c r="D4839">
        <v>0</v>
      </c>
      <c r="E4839" s="65">
        <v>61.92</v>
      </c>
      <c r="F4839" s="8">
        <v>3.685</v>
      </c>
      <c r="G4839" s="66">
        <v>131.1453333</v>
      </c>
      <c r="H4839" s="8">
        <v>9.575</v>
      </c>
      <c r="J4839" s="26"/>
      <c r="K4839"/>
    </row>
    <row r="4840" spans="1:11">
      <c r="A4840">
        <v>34</v>
      </c>
      <c r="B4840" s="64">
        <v>41047</v>
      </c>
      <c r="C4840" s="2">
        <v>998672.85</v>
      </c>
      <c r="D4840">
        <v>0</v>
      </c>
      <c r="E4840" s="65">
        <v>64.97</v>
      </c>
      <c r="F4840" s="8">
        <v>3.62</v>
      </c>
      <c r="G4840" s="66">
        <v>131.0983226</v>
      </c>
      <c r="H4840" s="8">
        <v>9.575</v>
      </c>
      <c r="J4840" s="26"/>
      <c r="K4840"/>
    </row>
    <row r="4841" spans="1:11">
      <c r="A4841">
        <v>34</v>
      </c>
      <c r="B4841" s="64">
        <v>41054</v>
      </c>
      <c r="C4841" s="2">
        <v>1015737.61</v>
      </c>
      <c r="D4841">
        <v>0</v>
      </c>
      <c r="E4841" s="65">
        <v>72.42</v>
      </c>
      <c r="F4841" s="8">
        <v>3.551</v>
      </c>
      <c r="G4841" s="66">
        <v>131.0287742</v>
      </c>
      <c r="H4841" s="8">
        <v>9.575</v>
      </c>
      <c r="J4841" s="26"/>
      <c r="K4841"/>
    </row>
    <row r="4842" spans="1:11">
      <c r="A4842">
        <v>34</v>
      </c>
      <c r="B4842" s="64">
        <v>41061</v>
      </c>
      <c r="C4842" s="2">
        <v>977062.44</v>
      </c>
      <c r="D4842">
        <v>0</v>
      </c>
      <c r="E4842" s="65">
        <v>70.41</v>
      </c>
      <c r="F4842" s="8">
        <v>3.483</v>
      </c>
      <c r="G4842" s="66">
        <v>130.9592258</v>
      </c>
      <c r="H4842" s="8">
        <v>9.575</v>
      </c>
      <c r="J4842" s="26"/>
      <c r="K4842"/>
    </row>
    <row r="4843" spans="1:11">
      <c r="A4843">
        <v>34</v>
      </c>
      <c r="B4843" s="64">
        <v>41068</v>
      </c>
      <c r="C4843" s="2">
        <v>999511.29</v>
      </c>
      <c r="D4843">
        <v>0</v>
      </c>
      <c r="E4843" s="65">
        <v>75.35</v>
      </c>
      <c r="F4843" s="8">
        <v>3.433</v>
      </c>
      <c r="G4843" s="66">
        <v>130.8896774</v>
      </c>
      <c r="H4843" s="8">
        <v>9.575</v>
      </c>
      <c r="J4843" s="26"/>
      <c r="K4843"/>
    </row>
    <row r="4844" spans="1:11">
      <c r="A4844">
        <v>34</v>
      </c>
      <c r="B4844" s="64">
        <v>41075</v>
      </c>
      <c r="C4844" s="2">
        <v>982345.51</v>
      </c>
      <c r="D4844">
        <v>0</v>
      </c>
      <c r="E4844" s="65">
        <v>76.48</v>
      </c>
      <c r="F4844" s="8">
        <v>3.372</v>
      </c>
      <c r="G4844" s="66">
        <v>130.8295333</v>
      </c>
      <c r="H4844" s="8">
        <v>9.575</v>
      </c>
      <c r="J4844" s="26"/>
      <c r="K4844"/>
    </row>
    <row r="4845" spans="1:11">
      <c r="A4845">
        <v>34</v>
      </c>
      <c r="B4845" s="64">
        <v>41082</v>
      </c>
      <c r="C4845" s="2">
        <v>1000285.1</v>
      </c>
      <c r="D4845">
        <v>0</v>
      </c>
      <c r="E4845" s="65">
        <v>78.85</v>
      </c>
      <c r="F4845" s="8">
        <v>3.329</v>
      </c>
      <c r="G4845" s="66">
        <v>130.7929</v>
      </c>
      <c r="H4845" s="8">
        <v>9.575</v>
      </c>
      <c r="J4845" s="26"/>
      <c r="K4845"/>
    </row>
    <row r="4846" spans="1:11">
      <c r="A4846">
        <v>34</v>
      </c>
      <c r="B4846" s="64">
        <v>41089</v>
      </c>
      <c r="C4846" s="2">
        <v>942970.63</v>
      </c>
      <c r="D4846">
        <v>0</v>
      </c>
      <c r="E4846" s="65">
        <v>81.91</v>
      </c>
      <c r="F4846" s="8">
        <v>3.257</v>
      </c>
      <c r="G4846" s="66">
        <v>130.7562667</v>
      </c>
      <c r="H4846" s="8">
        <v>9.575</v>
      </c>
      <c r="J4846" s="26"/>
      <c r="K4846"/>
    </row>
    <row r="4847" spans="1:11">
      <c r="A4847">
        <v>34</v>
      </c>
      <c r="B4847" s="64">
        <v>41096</v>
      </c>
      <c r="C4847" s="2">
        <v>1007867.68</v>
      </c>
      <c r="D4847">
        <v>0</v>
      </c>
      <c r="E4847" s="65">
        <v>77.95</v>
      </c>
      <c r="F4847" s="8">
        <v>3.187</v>
      </c>
      <c r="G4847" s="66">
        <v>130.7196333</v>
      </c>
      <c r="H4847" s="8">
        <v>9.285</v>
      </c>
      <c r="J4847" s="26"/>
      <c r="K4847"/>
    </row>
    <row r="4848" spans="1:11">
      <c r="A4848">
        <v>34</v>
      </c>
      <c r="B4848" s="64">
        <v>41103</v>
      </c>
      <c r="C4848" s="2">
        <v>954677.75</v>
      </c>
      <c r="D4848">
        <v>0</v>
      </c>
      <c r="E4848" s="65">
        <v>74.02</v>
      </c>
      <c r="F4848" s="8">
        <v>3.224</v>
      </c>
      <c r="G4848" s="66">
        <v>130.683</v>
      </c>
      <c r="H4848" s="8">
        <v>9.285</v>
      </c>
      <c r="J4848" s="26"/>
      <c r="K4848"/>
    </row>
    <row r="4849" spans="1:11">
      <c r="A4849">
        <v>34</v>
      </c>
      <c r="B4849" s="64">
        <v>41110</v>
      </c>
      <c r="C4849" s="2">
        <v>950929.59</v>
      </c>
      <c r="D4849">
        <v>0</v>
      </c>
      <c r="E4849" s="65">
        <v>77.7</v>
      </c>
      <c r="F4849" s="8">
        <v>3.263</v>
      </c>
      <c r="G4849" s="66">
        <v>130.7012903</v>
      </c>
      <c r="H4849" s="8">
        <v>9.285</v>
      </c>
      <c r="J4849" s="26"/>
      <c r="K4849"/>
    </row>
    <row r="4850" spans="1:11">
      <c r="A4850">
        <v>34</v>
      </c>
      <c r="B4850" s="64">
        <v>41117</v>
      </c>
      <c r="C4850" s="2">
        <v>917883.79</v>
      </c>
      <c r="D4850">
        <v>0</v>
      </c>
      <c r="E4850" s="65">
        <v>77.3</v>
      </c>
      <c r="F4850" s="8">
        <v>3.356</v>
      </c>
      <c r="G4850" s="66">
        <v>130.7195806</v>
      </c>
      <c r="H4850" s="8">
        <v>9.285</v>
      </c>
      <c r="J4850" s="26"/>
      <c r="K4850"/>
    </row>
    <row r="4851" spans="1:11">
      <c r="A4851">
        <v>34</v>
      </c>
      <c r="B4851" s="64">
        <v>41124</v>
      </c>
      <c r="C4851" s="2">
        <v>973250.41</v>
      </c>
      <c r="D4851">
        <v>0</v>
      </c>
      <c r="E4851" s="65">
        <v>78.93</v>
      </c>
      <c r="F4851" s="8">
        <v>3.374</v>
      </c>
      <c r="G4851" s="66">
        <v>130.737871</v>
      </c>
      <c r="H4851" s="8">
        <v>9.285</v>
      </c>
      <c r="J4851" s="26"/>
      <c r="K4851"/>
    </row>
    <row r="4852" spans="1:11">
      <c r="A4852">
        <v>34</v>
      </c>
      <c r="B4852" s="64">
        <v>41131</v>
      </c>
      <c r="C4852" s="2">
        <v>1004523.59</v>
      </c>
      <c r="D4852">
        <v>0</v>
      </c>
      <c r="E4852" s="65">
        <v>78.26</v>
      </c>
      <c r="F4852" s="8">
        <v>3.476</v>
      </c>
      <c r="G4852" s="66">
        <v>130.7561613</v>
      </c>
      <c r="H4852" s="8">
        <v>9.285</v>
      </c>
      <c r="J4852" s="26"/>
      <c r="K4852"/>
    </row>
    <row r="4853" spans="1:11">
      <c r="A4853">
        <v>34</v>
      </c>
      <c r="B4853" s="64">
        <v>41138</v>
      </c>
      <c r="C4853" s="2">
        <v>1013820.86</v>
      </c>
      <c r="D4853">
        <v>0</v>
      </c>
      <c r="E4853" s="65">
        <v>77.78</v>
      </c>
      <c r="F4853" s="8">
        <v>3.552</v>
      </c>
      <c r="G4853" s="66">
        <v>130.7909677</v>
      </c>
      <c r="H4853" s="8">
        <v>9.285</v>
      </c>
      <c r="J4853" s="26"/>
      <c r="K4853"/>
    </row>
    <row r="4854" spans="1:11">
      <c r="A4854">
        <v>34</v>
      </c>
      <c r="B4854" s="64">
        <v>41145</v>
      </c>
      <c r="C4854" s="2">
        <v>926250.21</v>
      </c>
      <c r="D4854">
        <v>0</v>
      </c>
      <c r="E4854" s="65">
        <v>72.44</v>
      </c>
      <c r="F4854" s="8">
        <v>3.61</v>
      </c>
      <c r="G4854" s="66">
        <v>130.8381613</v>
      </c>
      <c r="H4854" s="8">
        <v>9.285</v>
      </c>
      <c r="J4854" s="26"/>
      <c r="K4854"/>
    </row>
    <row r="4855" spans="1:11">
      <c r="A4855">
        <v>34</v>
      </c>
      <c r="B4855" s="64">
        <v>41152</v>
      </c>
      <c r="C4855" s="2">
        <v>933487.71</v>
      </c>
      <c r="D4855">
        <v>0</v>
      </c>
      <c r="E4855" s="65">
        <v>75.89</v>
      </c>
      <c r="F4855" s="8">
        <v>3.646</v>
      </c>
      <c r="G4855" s="66">
        <v>130.8853548</v>
      </c>
      <c r="H4855" s="8">
        <v>9.285</v>
      </c>
      <c r="J4855" s="26"/>
      <c r="K4855"/>
    </row>
    <row r="4856" spans="1:11">
      <c r="A4856">
        <v>34</v>
      </c>
      <c r="B4856" s="64">
        <v>41159</v>
      </c>
      <c r="C4856" s="2">
        <v>976415.56</v>
      </c>
      <c r="D4856">
        <v>1</v>
      </c>
      <c r="E4856" s="65">
        <v>78.26</v>
      </c>
      <c r="F4856" s="8">
        <v>3.709</v>
      </c>
      <c r="G4856" s="66">
        <v>130.9325484</v>
      </c>
      <c r="H4856" s="8">
        <v>9.285</v>
      </c>
      <c r="J4856" s="26"/>
      <c r="K4856"/>
    </row>
    <row r="4857" spans="1:11">
      <c r="A4857">
        <v>34</v>
      </c>
      <c r="B4857" s="64">
        <v>41166</v>
      </c>
      <c r="C4857" s="2">
        <v>955211.7</v>
      </c>
      <c r="D4857">
        <v>0</v>
      </c>
      <c r="E4857" s="65">
        <v>64.28</v>
      </c>
      <c r="F4857" s="8">
        <v>3.706</v>
      </c>
      <c r="G4857" s="66">
        <v>130.9776667</v>
      </c>
      <c r="H4857" s="8">
        <v>9.285</v>
      </c>
      <c r="J4857" s="26"/>
      <c r="K4857"/>
    </row>
    <row r="4858" spans="1:11">
      <c r="A4858">
        <v>34</v>
      </c>
      <c r="B4858" s="64">
        <v>41173</v>
      </c>
      <c r="C4858" s="2">
        <v>943047.78</v>
      </c>
      <c r="D4858">
        <v>0</v>
      </c>
      <c r="E4858" s="65">
        <v>66.08</v>
      </c>
      <c r="F4858" s="8">
        <v>3.721</v>
      </c>
      <c r="G4858" s="66">
        <v>131.0103333</v>
      </c>
      <c r="H4858" s="8">
        <v>9.285</v>
      </c>
      <c r="J4858" s="26"/>
      <c r="K4858"/>
    </row>
    <row r="4859" spans="1:11">
      <c r="A4859">
        <v>34</v>
      </c>
      <c r="B4859" s="64">
        <v>41180</v>
      </c>
      <c r="C4859" s="2">
        <v>928629.31</v>
      </c>
      <c r="D4859">
        <v>0</v>
      </c>
      <c r="E4859" s="65">
        <v>67.06</v>
      </c>
      <c r="F4859" s="8">
        <v>3.666</v>
      </c>
      <c r="G4859" s="66">
        <v>131.043</v>
      </c>
      <c r="H4859" s="8">
        <v>9.285</v>
      </c>
      <c r="J4859" s="26"/>
      <c r="K4859"/>
    </row>
    <row r="4860" spans="1:11">
      <c r="A4860">
        <v>34</v>
      </c>
      <c r="B4860" s="64">
        <v>41187</v>
      </c>
      <c r="C4860" s="2">
        <v>968896.68</v>
      </c>
      <c r="D4860">
        <v>0</v>
      </c>
      <c r="E4860" s="65">
        <v>65.41</v>
      </c>
      <c r="F4860" s="8">
        <v>3.62</v>
      </c>
      <c r="G4860" s="66">
        <v>131.0756667</v>
      </c>
      <c r="H4860" s="8">
        <v>8.839</v>
      </c>
      <c r="J4860" s="26"/>
      <c r="K4860"/>
    </row>
    <row r="4861" spans="1:11">
      <c r="A4861">
        <v>34</v>
      </c>
      <c r="B4861" s="64">
        <v>41194</v>
      </c>
      <c r="C4861" s="2">
        <v>948613.39</v>
      </c>
      <c r="D4861">
        <v>0</v>
      </c>
      <c r="E4861" s="65">
        <v>59.94</v>
      </c>
      <c r="F4861" s="8">
        <v>3.603</v>
      </c>
      <c r="G4861" s="66">
        <v>131.1083333</v>
      </c>
      <c r="H4861" s="8">
        <v>8.839</v>
      </c>
      <c r="J4861" s="26"/>
      <c r="K4861"/>
    </row>
    <row r="4862" spans="1:11">
      <c r="A4862">
        <v>34</v>
      </c>
      <c r="B4862" s="64">
        <v>41201</v>
      </c>
      <c r="C4862" s="2">
        <v>963516.28</v>
      </c>
      <c r="D4862">
        <v>0</v>
      </c>
      <c r="E4862" s="65">
        <v>58.47</v>
      </c>
      <c r="F4862" s="8">
        <v>3.61</v>
      </c>
      <c r="G4862" s="66">
        <v>131.1499677</v>
      </c>
      <c r="H4862" s="8">
        <v>8.839</v>
      </c>
      <c r="J4862" s="26"/>
      <c r="K4862"/>
    </row>
    <row r="4863" spans="1:11">
      <c r="A4863">
        <v>34</v>
      </c>
      <c r="B4863" s="64">
        <v>41208</v>
      </c>
      <c r="C4863" s="2">
        <v>956987.81</v>
      </c>
      <c r="D4863">
        <v>0</v>
      </c>
      <c r="E4863" s="65">
        <v>57.95</v>
      </c>
      <c r="F4863" s="8">
        <v>3.514</v>
      </c>
      <c r="G4863" s="66">
        <v>131.1930968</v>
      </c>
      <c r="H4863" s="8">
        <v>8.839</v>
      </c>
      <c r="J4863" s="26"/>
      <c r="K4863"/>
    </row>
    <row r="4864" spans="1:11">
      <c r="A4864">
        <v>35</v>
      </c>
      <c r="B4864" s="64">
        <v>40214</v>
      </c>
      <c r="C4864" s="2">
        <v>1230613.5</v>
      </c>
      <c r="D4864">
        <v>0</v>
      </c>
      <c r="E4864" s="65">
        <v>27.19</v>
      </c>
      <c r="F4864" s="8">
        <v>2.784</v>
      </c>
      <c r="G4864" s="66">
        <v>135.3524608</v>
      </c>
      <c r="H4864" s="8">
        <v>9.262</v>
      </c>
      <c r="J4864" s="26"/>
      <c r="K4864"/>
    </row>
    <row r="4865" spans="1:11">
      <c r="A4865">
        <v>35</v>
      </c>
      <c r="B4865" s="64">
        <v>40221</v>
      </c>
      <c r="C4865" s="2">
        <v>1168815.31</v>
      </c>
      <c r="D4865">
        <v>1</v>
      </c>
      <c r="E4865" s="65">
        <v>29.81</v>
      </c>
      <c r="F4865" s="8">
        <v>2.773</v>
      </c>
      <c r="G4865" s="66">
        <v>135.4113076</v>
      </c>
      <c r="H4865" s="8">
        <v>9.262</v>
      </c>
      <c r="J4865" s="26"/>
      <c r="K4865"/>
    </row>
    <row r="4866" spans="1:11">
      <c r="A4866">
        <v>35</v>
      </c>
      <c r="B4866" s="64">
        <v>40228</v>
      </c>
      <c r="C4866" s="2">
        <v>1270658.64</v>
      </c>
      <c r="D4866">
        <v>0</v>
      </c>
      <c r="E4866" s="65">
        <v>32.44</v>
      </c>
      <c r="F4866" s="8">
        <v>2.745</v>
      </c>
      <c r="G4866" s="66">
        <v>135.4657781</v>
      </c>
      <c r="H4866" s="8">
        <v>9.262</v>
      </c>
      <c r="J4866" s="26"/>
      <c r="K4866"/>
    </row>
    <row r="4867" spans="1:11">
      <c r="A4867">
        <v>35</v>
      </c>
      <c r="B4867" s="64">
        <v>40235</v>
      </c>
      <c r="C4867" s="2">
        <v>1020651.74</v>
      </c>
      <c r="D4867">
        <v>0</v>
      </c>
      <c r="E4867" s="65">
        <v>36</v>
      </c>
      <c r="F4867" s="8">
        <v>2.754</v>
      </c>
      <c r="G4867" s="66">
        <v>135.5195191</v>
      </c>
      <c r="H4867" s="8">
        <v>9.262</v>
      </c>
      <c r="J4867" s="26"/>
      <c r="K4867"/>
    </row>
    <row r="4868" spans="1:11">
      <c r="A4868">
        <v>35</v>
      </c>
      <c r="B4868" s="64">
        <v>40242</v>
      </c>
      <c r="C4868" s="2">
        <v>1162610.27</v>
      </c>
      <c r="D4868">
        <v>0</v>
      </c>
      <c r="E4868" s="65">
        <v>38.07</v>
      </c>
      <c r="F4868" s="8">
        <v>2.777</v>
      </c>
      <c r="G4868" s="66">
        <v>135.5732602</v>
      </c>
      <c r="H4868" s="8">
        <v>9.262</v>
      </c>
      <c r="J4868" s="26"/>
      <c r="K4868"/>
    </row>
    <row r="4869" spans="1:11">
      <c r="A4869">
        <v>35</v>
      </c>
      <c r="B4869" s="64">
        <v>40249</v>
      </c>
      <c r="C4869" s="2">
        <v>1150344.39</v>
      </c>
      <c r="D4869">
        <v>0</v>
      </c>
      <c r="E4869" s="65">
        <v>45.98</v>
      </c>
      <c r="F4869" s="8">
        <v>2.818</v>
      </c>
      <c r="G4869" s="66">
        <v>135.6270013</v>
      </c>
      <c r="H4869" s="8">
        <v>9.262</v>
      </c>
      <c r="J4869" s="26"/>
      <c r="K4869"/>
    </row>
    <row r="4870" spans="1:11">
      <c r="A4870">
        <v>35</v>
      </c>
      <c r="B4870" s="64">
        <v>40256</v>
      </c>
      <c r="C4870" s="2">
        <v>1117536.09</v>
      </c>
      <c r="D4870">
        <v>0</v>
      </c>
      <c r="E4870" s="65">
        <v>49.04</v>
      </c>
      <c r="F4870" s="8">
        <v>2.844</v>
      </c>
      <c r="G4870" s="66">
        <v>135.6682247</v>
      </c>
      <c r="H4870" s="8">
        <v>9.262</v>
      </c>
      <c r="J4870" s="26"/>
      <c r="K4870"/>
    </row>
    <row r="4871" spans="1:11">
      <c r="A4871">
        <v>35</v>
      </c>
      <c r="B4871" s="64">
        <v>40263</v>
      </c>
      <c r="C4871" s="2">
        <v>1078900.44</v>
      </c>
      <c r="D4871">
        <v>0</v>
      </c>
      <c r="E4871" s="65">
        <v>52.34</v>
      </c>
      <c r="F4871" s="8">
        <v>2.854</v>
      </c>
      <c r="G4871" s="66">
        <v>135.7073618</v>
      </c>
      <c r="H4871" s="8">
        <v>9.262</v>
      </c>
      <c r="J4871" s="26"/>
      <c r="K4871"/>
    </row>
    <row r="4872" spans="1:11">
      <c r="A4872">
        <v>35</v>
      </c>
      <c r="B4872" s="64">
        <v>40270</v>
      </c>
      <c r="C4872" s="2">
        <v>1189556.47</v>
      </c>
      <c r="D4872">
        <v>0</v>
      </c>
      <c r="E4872" s="65">
        <v>46.9</v>
      </c>
      <c r="F4872" s="8">
        <v>2.85</v>
      </c>
      <c r="G4872" s="66">
        <v>135.7464988</v>
      </c>
      <c r="H4872" s="8">
        <v>9.051</v>
      </c>
      <c r="J4872" s="26"/>
      <c r="K4872"/>
    </row>
    <row r="4873" spans="1:11">
      <c r="A4873">
        <v>35</v>
      </c>
      <c r="B4873" s="64">
        <v>40277</v>
      </c>
      <c r="C4873" s="2">
        <v>1198014.97</v>
      </c>
      <c r="D4873">
        <v>0</v>
      </c>
      <c r="E4873" s="65">
        <v>62.62</v>
      </c>
      <c r="F4873" s="8">
        <v>2.869</v>
      </c>
      <c r="G4873" s="66">
        <v>135.7856359</v>
      </c>
      <c r="H4873" s="8">
        <v>9.051</v>
      </c>
      <c r="J4873" s="26"/>
      <c r="K4873"/>
    </row>
    <row r="4874" spans="1:11">
      <c r="A4874">
        <v>35</v>
      </c>
      <c r="B4874" s="64">
        <v>40284</v>
      </c>
      <c r="C4874" s="2">
        <v>1084487.55</v>
      </c>
      <c r="D4874">
        <v>0</v>
      </c>
      <c r="E4874" s="65">
        <v>54.95</v>
      </c>
      <c r="F4874" s="8">
        <v>2.899</v>
      </c>
      <c r="G4874" s="66">
        <v>135.82725</v>
      </c>
      <c r="H4874" s="8">
        <v>9.051</v>
      </c>
      <c r="J4874" s="26"/>
      <c r="K4874"/>
    </row>
    <row r="4875" spans="1:11">
      <c r="A4875">
        <v>35</v>
      </c>
      <c r="B4875" s="64">
        <v>40291</v>
      </c>
      <c r="C4875" s="2">
        <v>1110827.48</v>
      </c>
      <c r="D4875">
        <v>0</v>
      </c>
      <c r="E4875" s="65">
        <v>53.91</v>
      </c>
      <c r="F4875" s="8">
        <v>2.902</v>
      </c>
      <c r="G4875" s="66">
        <v>135.8721667</v>
      </c>
      <c r="H4875" s="8">
        <v>9.051</v>
      </c>
      <c r="J4875" s="26"/>
      <c r="K4875"/>
    </row>
    <row r="4876" spans="1:11">
      <c r="A4876">
        <v>35</v>
      </c>
      <c r="B4876" s="64">
        <v>40298</v>
      </c>
      <c r="C4876" s="2">
        <v>1096930.65</v>
      </c>
      <c r="D4876">
        <v>0</v>
      </c>
      <c r="E4876" s="65">
        <v>53.55</v>
      </c>
      <c r="F4876" s="8">
        <v>2.921</v>
      </c>
      <c r="G4876" s="66">
        <v>135.9170833</v>
      </c>
      <c r="H4876" s="8">
        <v>9.051</v>
      </c>
      <c r="J4876" s="26"/>
      <c r="K4876"/>
    </row>
    <row r="4877" spans="1:11">
      <c r="A4877">
        <v>35</v>
      </c>
      <c r="B4877" s="64">
        <v>40305</v>
      </c>
      <c r="C4877" s="2">
        <v>1182099.88</v>
      </c>
      <c r="D4877">
        <v>0</v>
      </c>
      <c r="E4877" s="65">
        <v>69.02</v>
      </c>
      <c r="F4877" s="8">
        <v>2.966</v>
      </c>
      <c r="G4877" s="66">
        <v>135.962</v>
      </c>
      <c r="H4877" s="8">
        <v>9.051</v>
      </c>
      <c r="J4877" s="26"/>
      <c r="K4877"/>
    </row>
    <row r="4878" spans="1:11">
      <c r="A4878">
        <v>35</v>
      </c>
      <c r="B4878" s="64">
        <v>40312</v>
      </c>
      <c r="C4878" s="2">
        <v>1104277.57</v>
      </c>
      <c r="D4878">
        <v>0</v>
      </c>
      <c r="E4878" s="65">
        <v>53.82</v>
      </c>
      <c r="F4878" s="8">
        <v>2.982</v>
      </c>
      <c r="G4878" s="66">
        <v>136.010394</v>
      </c>
      <c r="H4878" s="8">
        <v>9.051</v>
      </c>
      <c r="J4878" s="26"/>
      <c r="K4878"/>
    </row>
    <row r="4879" spans="1:11">
      <c r="A4879">
        <v>35</v>
      </c>
      <c r="B4879" s="64">
        <v>40319</v>
      </c>
      <c r="C4879" s="2">
        <v>1078182.18</v>
      </c>
      <c r="D4879">
        <v>0</v>
      </c>
      <c r="E4879" s="65">
        <v>63.31</v>
      </c>
      <c r="F4879" s="8">
        <v>2.958</v>
      </c>
      <c r="G4879" s="66">
        <v>136.0796521</v>
      </c>
      <c r="H4879" s="8">
        <v>9.051</v>
      </c>
      <c r="J4879" s="26"/>
      <c r="K4879"/>
    </row>
    <row r="4880" spans="1:11">
      <c r="A4880">
        <v>35</v>
      </c>
      <c r="B4880" s="64">
        <v>40326</v>
      </c>
      <c r="C4880" s="2">
        <v>1223777.48</v>
      </c>
      <c r="D4880">
        <v>0</v>
      </c>
      <c r="E4880" s="65">
        <v>67.88</v>
      </c>
      <c r="F4880" s="8">
        <v>2.899</v>
      </c>
      <c r="G4880" s="66">
        <v>136.1489101</v>
      </c>
      <c r="H4880" s="8">
        <v>9.051</v>
      </c>
      <c r="J4880" s="26"/>
      <c r="K4880"/>
    </row>
    <row r="4881" spans="1:11">
      <c r="A4881">
        <v>35</v>
      </c>
      <c r="B4881" s="64">
        <v>40333</v>
      </c>
      <c r="C4881" s="2">
        <v>1282378.71</v>
      </c>
      <c r="D4881">
        <v>0</v>
      </c>
      <c r="E4881" s="65">
        <v>74.29</v>
      </c>
      <c r="F4881" s="8">
        <v>2.847</v>
      </c>
      <c r="G4881" s="66">
        <v>136.2181682</v>
      </c>
      <c r="H4881" s="8">
        <v>9.051</v>
      </c>
      <c r="J4881" s="26"/>
      <c r="K4881"/>
    </row>
    <row r="4882" spans="1:11">
      <c r="A4882">
        <v>35</v>
      </c>
      <c r="B4882" s="64">
        <v>40340</v>
      </c>
      <c r="C4882" s="2">
        <v>1160412.71</v>
      </c>
      <c r="D4882">
        <v>0</v>
      </c>
      <c r="E4882" s="65">
        <v>68.9</v>
      </c>
      <c r="F4882" s="8">
        <v>2.809</v>
      </c>
      <c r="G4882" s="66">
        <v>136.2874263</v>
      </c>
      <c r="H4882" s="8">
        <v>9.051</v>
      </c>
      <c r="J4882" s="26"/>
      <c r="K4882"/>
    </row>
    <row r="4883" spans="1:11">
      <c r="A4883">
        <v>35</v>
      </c>
      <c r="B4883" s="64">
        <v>40347</v>
      </c>
      <c r="C4883" s="2">
        <v>1198025.76</v>
      </c>
      <c r="D4883">
        <v>0</v>
      </c>
      <c r="E4883" s="65">
        <v>70</v>
      </c>
      <c r="F4883" s="8">
        <v>2.78</v>
      </c>
      <c r="G4883" s="66">
        <v>136.3243393</v>
      </c>
      <c r="H4883" s="8">
        <v>9.051</v>
      </c>
      <c r="J4883" s="26"/>
      <c r="K4883"/>
    </row>
    <row r="4884" spans="1:11">
      <c r="A4884">
        <v>35</v>
      </c>
      <c r="B4884" s="64">
        <v>40354</v>
      </c>
      <c r="C4884" s="2">
        <v>1230245.74</v>
      </c>
      <c r="D4884">
        <v>0</v>
      </c>
      <c r="E4884" s="65">
        <v>78.02</v>
      </c>
      <c r="F4884" s="8">
        <v>2.808</v>
      </c>
      <c r="G4884" s="66">
        <v>136.3483143</v>
      </c>
      <c r="H4884" s="8">
        <v>9.051</v>
      </c>
      <c r="J4884" s="26"/>
      <c r="K4884"/>
    </row>
    <row r="4885" spans="1:11">
      <c r="A4885">
        <v>35</v>
      </c>
      <c r="B4885" s="64">
        <v>40361</v>
      </c>
      <c r="C4885" s="2">
        <v>1245827.08</v>
      </c>
      <c r="D4885">
        <v>0</v>
      </c>
      <c r="E4885" s="65">
        <v>76.25</v>
      </c>
      <c r="F4885" s="8">
        <v>2.815</v>
      </c>
      <c r="G4885" s="66">
        <v>136.3722893</v>
      </c>
      <c r="H4885" s="8">
        <v>8.861</v>
      </c>
      <c r="J4885" s="26"/>
      <c r="K4885"/>
    </row>
    <row r="4886" spans="1:11">
      <c r="A4886">
        <v>35</v>
      </c>
      <c r="B4886" s="64">
        <v>40368</v>
      </c>
      <c r="C4886" s="2">
        <v>1268766.76</v>
      </c>
      <c r="D4886">
        <v>0</v>
      </c>
      <c r="E4886" s="65">
        <v>82.69</v>
      </c>
      <c r="F4886" s="8">
        <v>2.793</v>
      </c>
      <c r="G4886" s="66">
        <v>136.3962643</v>
      </c>
      <c r="H4886" s="8">
        <v>8.861</v>
      </c>
      <c r="J4886" s="26"/>
      <c r="K4886"/>
    </row>
    <row r="4887" spans="1:11">
      <c r="A4887">
        <v>35</v>
      </c>
      <c r="B4887" s="64">
        <v>40375</v>
      </c>
      <c r="C4887" s="2">
        <v>1124414.87</v>
      </c>
      <c r="D4887">
        <v>0</v>
      </c>
      <c r="E4887" s="65">
        <v>78.26</v>
      </c>
      <c r="F4887" s="8">
        <v>2.783</v>
      </c>
      <c r="G4887" s="66">
        <v>136.4179827</v>
      </c>
      <c r="H4887" s="8">
        <v>8.861</v>
      </c>
      <c r="J4887" s="26"/>
      <c r="K4887"/>
    </row>
    <row r="4888" spans="1:11">
      <c r="A4888">
        <v>35</v>
      </c>
      <c r="B4888" s="64">
        <v>40382</v>
      </c>
      <c r="C4888" s="2">
        <v>1121756.43</v>
      </c>
      <c r="D4888">
        <v>0</v>
      </c>
      <c r="E4888" s="65">
        <v>81.56</v>
      </c>
      <c r="F4888" s="8">
        <v>2.771</v>
      </c>
      <c r="G4888" s="66">
        <v>136.4366924</v>
      </c>
      <c r="H4888" s="8">
        <v>8.861</v>
      </c>
      <c r="J4888" s="26"/>
      <c r="K4888"/>
    </row>
    <row r="4889" spans="1:11">
      <c r="A4889">
        <v>35</v>
      </c>
      <c r="B4889" s="64">
        <v>40389</v>
      </c>
      <c r="C4889" s="2">
        <v>1139131.78</v>
      </c>
      <c r="D4889">
        <v>0</v>
      </c>
      <c r="E4889" s="65">
        <v>79.78</v>
      </c>
      <c r="F4889" s="8">
        <v>2.781</v>
      </c>
      <c r="G4889" s="66">
        <v>136.4554021</v>
      </c>
      <c r="H4889" s="8">
        <v>8.861</v>
      </c>
      <c r="J4889" s="26"/>
      <c r="K4889"/>
    </row>
    <row r="4890" spans="1:11">
      <c r="A4890">
        <v>35</v>
      </c>
      <c r="B4890" s="64">
        <v>40396</v>
      </c>
      <c r="C4890" s="2">
        <v>1180183.39</v>
      </c>
      <c r="D4890">
        <v>0</v>
      </c>
      <c r="E4890" s="65">
        <v>77.45</v>
      </c>
      <c r="F4890" s="8">
        <v>2.784</v>
      </c>
      <c r="G4890" s="66">
        <v>136.4741118</v>
      </c>
      <c r="H4890" s="8">
        <v>8.861</v>
      </c>
      <c r="J4890" s="26"/>
      <c r="K4890"/>
    </row>
    <row r="4891" spans="1:11">
      <c r="A4891">
        <v>35</v>
      </c>
      <c r="B4891" s="64">
        <v>40403</v>
      </c>
      <c r="C4891" s="2">
        <v>1090587.5</v>
      </c>
      <c r="D4891">
        <v>0</v>
      </c>
      <c r="E4891" s="65">
        <v>77.36</v>
      </c>
      <c r="F4891" s="8">
        <v>2.805</v>
      </c>
      <c r="G4891" s="66">
        <v>136.4928214</v>
      </c>
      <c r="H4891" s="8">
        <v>8.861</v>
      </c>
      <c r="J4891" s="26"/>
      <c r="K4891"/>
    </row>
    <row r="4892" spans="1:11">
      <c r="A4892">
        <v>35</v>
      </c>
      <c r="B4892" s="64">
        <v>40410</v>
      </c>
      <c r="C4892" s="2">
        <v>1033719.5</v>
      </c>
      <c r="D4892">
        <v>0</v>
      </c>
      <c r="E4892" s="65">
        <v>75.16</v>
      </c>
      <c r="F4892" s="8">
        <v>2.779</v>
      </c>
      <c r="G4892" s="66">
        <v>136.5249182</v>
      </c>
      <c r="H4892" s="8">
        <v>8.861</v>
      </c>
      <c r="J4892" s="26"/>
      <c r="K4892"/>
    </row>
    <row r="4893" spans="1:11">
      <c r="A4893">
        <v>35</v>
      </c>
      <c r="B4893" s="64">
        <v>40417</v>
      </c>
      <c r="C4893" s="2">
        <v>917693.06</v>
      </c>
      <c r="D4893">
        <v>0</v>
      </c>
      <c r="E4893" s="65">
        <v>70.31</v>
      </c>
      <c r="F4893" s="8">
        <v>2.755</v>
      </c>
      <c r="G4893" s="66">
        <v>136.557015</v>
      </c>
      <c r="H4893" s="8">
        <v>8.861</v>
      </c>
      <c r="J4893" s="26"/>
      <c r="K4893"/>
    </row>
    <row r="4894" spans="1:11">
      <c r="A4894">
        <v>35</v>
      </c>
      <c r="B4894" s="64">
        <v>40424</v>
      </c>
      <c r="C4894" s="2">
        <v>948660.79</v>
      </c>
      <c r="D4894">
        <v>0</v>
      </c>
      <c r="E4894" s="65">
        <v>78.52</v>
      </c>
      <c r="F4894" s="8">
        <v>2.715</v>
      </c>
      <c r="G4894" s="66">
        <v>136.5891118</v>
      </c>
      <c r="H4894" s="8">
        <v>8.861</v>
      </c>
      <c r="J4894" s="26"/>
      <c r="K4894"/>
    </row>
    <row r="4895" spans="1:11">
      <c r="A4895">
        <v>35</v>
      </c>
      <c r="B4895" s="64">
        <v>40431</v>
      </c>
      <c r="C4895" s="2">
        <v>961685.98</v>
      </c>
      <c r="D4895">
        <v>1</v>
      </c>
      <c r="E4895" s="65">
        <v>70.38</v>
      </c>
      <c r="F4895" s="8">
        <v>2.699</v>
      </c>
      <c r="G4895" s="66">
        <v>136.6212085</v>
      </c>
      <c r="H4895" s="8">
        <v>8.861</v>
      </c>
      <c r="J4895" s="26"/>
      <c r="K4895"/>
    </row>
    <row r="4896" spans="1:11">
      <c r="A4896">
        <v>35</v>
      </c>
      <c r="B4896" s="64">
        <v>40438</v>
      </c>
      <c r="C4896" s="2">
        <v>831443.61</v>
      </c>
      <c r="D4896">
        <v>0</v>
      </c>
      <c r="E4896" s="65">
        <v>64.5</v>
      </c>
      <c r="F4896" s="8">
        <v>2.706</v>
      </c>
      <c r="G4896" s="66">
        <v>136.6338071</v>
      </c>
      <c r="H4896" s="8">
        <v>8.861</v>
      </c>
      <c r="J4896" s="26"/>
      <c r="K4896"/>
    </row>
    <row r="4897" spans="1:11">
      <c r="A4897">
        <v>35</v>
      </c>
      <c r="B4897" s="64">
        <v>40445</v>
      </c>
      <c r="C4897" s="2">
        <v>758069.78</v>
      </c>
      <c r="D4897">
        <v>0</v>
      </c>
      <c r="E4897" s="65">
        <v>67.08</v>
      </c>
      <c r="F4897" s="8">
        <v>2.713</v>
      </c>
      <c r="G4897" s="66">
        <v>136.6317821</v>
      </c>
      <c r="H4897" s="8">
        <v>8.861</v>
      </c>
      <c r="J4897" s="26"/>
      <c r="K4897"/>
    </row>
    <row r="4898" spans="1:11">
      <c r="A4898">
        <v>35</v>
      </c>
      <c r="B4898" s="64">
        <v>40452</v>
      </c>
      <c r="C4898" s="2">
        <v>771065.21</v>
      </c>
      <c r="D4898">
        <v>0</v>
      </c>
      <c r="E4898" s="65">
        <v>70.19</v>
      </c>
      <c r="F4898" s="8">
        <v>2.707</v>
      </c>
      <c r="G4898" s="66">
        <v>136.6297571</v>
      </c>
      <c r="H4898" s="8">
        <v>8.763</v>
      </c>
      <c r="J4898" s="26"/>
      <c r="K4898"/>
    </row>
    <row r="4899" spans="1:11">
      <c r="A4899">
        <v>35</v>
      </c>
      <c r="B4899" s="64">
        <v>40459</v>
      </c>
      <c r="C4899" s="2">
        <v>874615.32</v>
      </c>
      <c r="D4899">
        <v>0</v>
      </c>
      <c r="E4899" s="65">
        <v>57.78</v>
      </c>
      <c r="F4899" s="8">
        <v>2.764</v>
      </c>
      <c r="G4899" s="66">
        <v>136.6277321</v>
      </c>
      <c r="H4899" s="8">
        <v>8.763</v>
      </c>
      <c r="J4899" s="26"/>
      <c r="K4899"/>
    </row>
    <row r="4900" spans="1:11">
      <c r="A4900">
        <v>35</v>
      </c>
      <c r="B4900" s="64">
        <v>40466</v>
      </c>
      <c r="C4900" s="2">
        <v>798376.99</v>
      </c>
      <c r="D4900">
        <v>0</v>
      </c>
      <c r="E4900" s="65">
        <v>58.38</v>
      </c>
      <c r="F4900" s="8">
        <v>2.868</v>
      </c>
      <c r="G4900" s="66">
        <v>136.6401935</v>
      </c>
      <c r="H4900" s="8">
        <v>8.763</v>
      </c>
      <c r="J4900" s="26"/>
      <c r="K4900"/>
    </row>
    <row r="4901" spans="1:11">
      <c r="A4901">
        <v>35</v>
      </c>
      <c r="B4901" s="64">
        <v>40473</v>
      </c>
      <c r="C4901" s="2">
        <v>827705.82</v>
      </c>
      <c r="D4901">
        <v>0</v>
      </c>
      <c r="E4901" s="65">
        <v>52.82</v>
      </c>
      <c r="F4901" s="8">
        <v>2.917</v>
      </c>
      <c r="G4901" s="66">
        <v>136.688871</v>
      </c>
      <c r="H4901" s="8">
        <v>8.763</v>
      </c>
      <c r="J4901" s="26"/>
      <c r="K4901"/>
    </row>
    <row r="4902" spans="1:11">
      <c r="A4902">
        <v>35</v>
      </c>
      <c r="B4902" s="64">
        <v>40480</v>
      </c>
      <c r="C4902" s="2">
        <v>857797.33</v>
      </c>
      <c r="D4902">
        <v>0</v>
      </c>
      <c r="E4902" s="65">
        <v>61.02</v>
      </c>
      <c r="F4902" s="8">
        <v>2.921</v>
      </c>
      <c r="G4902" s="66">
        <v>136.7375484</v>
      </c>
      <c r="H4902" s="8">
        <v>8.763</v>
      </c>
      <c r="J4902" s="26"/>
      <c r="K4902"/>
    </row>
    <row r="4903" spans="1:11">
      <c r="A4903">
        <v>35</v>
      </c>
      <c r="B4903" s="64">
        <v>40487</v>
      </c>
      <c r="C4903" s="2">
        <v>843755.12</v>
      </c>
      <c r="D4903">
        <v>0</v>
      </c>
      <c r="E4903" s="65">
        <v>45.91</v>
      </c>
      <c r="F4903" s="8">
        <v>2.917</v>
      </c>
      <c r="G4903" s="66">
        <v>136.7862258</v>
      </c>
      <c r="H4903" s="8">
        <v>8.763</v>
      </c>
      <c r="J4903" s="26"/>
      <c r="K4903"/>
    </row>
    <row r="4904" spans="1:11">
      <c r="A4904">
        <v>35</v>
      </c>
      <c r="B4904" s="64">
        <v>40494</v>
      </c>
      <c r="C4904" s="2">
        <v>870914.69</v>
      </c>
      <c r="D4904">
        <v>0</v>
      </c>
      <c r="E4904" s="65">
        <v>45.9</v>
      </c>
      <c r="F4904" s="8">
        <v>2.931</v>
      </c>
      <c r="G4904" s="66">
        <v>136.8349032</v>
      </c>
      <c r="H4904" s="8">
        <v>8.763</v>
      </c>
      <c r="J4904" s="26"/>
      <c r="K4904"/>
    </row>
    <row r="4905" spans="1:11">
      <c r="A4905">
        <v>35</v>
      </c>
      <c r="B4905" s="64">
        <v>40501</v>
      </c>
      <c r="C4905" s="2">
        <v>846850.35</v>
      </c>
      <c r="D4905">
        <v>0</v>
      </c>
      <c r="E4905" s="65">
        <v>50.81</v>
      </c>
      <c r="F4905" s="8">
        <v>3</v>
      </c>
      <c r="G4905" s="66">
        <v>136.7715714</v>
      </c>
      <c r="H4905" s="8">
        <v>8.763</v>
      </c>
      <c r="J4905" s="26"/>
      <c r="K4905"/>
    </row>
    <row r="4906" spans="1:11">
      <c r="A4906">
        <v>35</v>
      </c>
      <c r="B4906" s="64">
        <v>40508</v>
      </c>
      <c r="C4906" s="2">
        <v>1781866.98</v>
      </c>
      <c r="D4906">
        <v>1</v>
      </c>
      <c r="E4906" s="65">
        <v>46.67</v>
      </c>
      <c r="F4906" s="8">
        <v>3.039</v>
      </c>
      <c r="G4906" s="66">
        <v>136.6895714</v>
      </c>
      <c r="H4906" s="8">
        <v>8.763</v>
      </c>
      <c r="J4906" s="26"/>
      <c r="K4906"/>
    </row>
    <row r="4907" spans="1:11">
      <c r="A4907">
        <v>35</v>
      </c>
      <c r="B4907" s="64">
        <v>40515</v>
      </c>
      <c r="C4907" s="2">
        <v>982598.88</v>
      </c>
      <c r="D4907">
        <v>0</v>
      </c>
      <c r="E4907" s="65">
        <v>41.81</v>
      </c>
      <c r="F4907" s="8">
        <v>3.046</v>
      </c>
      <c r="G4907" s="66">
        <v>136.6075714</v>
      </c>
      <c r="H4907" s="8">
        <v>8.763</v>
      </c>
      <c r="J4907" s="26"/>
      <c r="K4907"/>
    </row>
    <row r="4908" spans="1:11">
      <c r="A4908">
        <v>35</v>
      </c>
      <c r="B4908" s="64">
        <v>40522</v>
      </c>
      <c r="C4908" s="2">
        <v>1108580.19</v>
      </c>
      <c r="D4908">
        <v>0</v>
      </c>
      <c r="E4908" s="65">
        <v>30.83</v>
      </c>
      <c r="F4908" s="8">
        <v>3.109</v>
      </c>
      <c r="G4908" s="66">
        <v>136.5255714</v>
      </c>
      <c r="H4908" s="8">
        <v>8.763</v>
      </c>
      <c r="J4908" s="26"/>
      <c r="K4908"/>
    </row>
    <row r="4909" spans="1:11">
      <c r="A4909">
        <v>35</v>
      </c>
      <c r="B4909" s="64">
        <v>40529</v>
      </c>
      <c r="C4909" s="2">
        <v>1314987.4</v>
      </c>
      <c r="D4909">
        <v>0</v>
      </c>
      <c r="E4909" s="65">
        <v>31.62</v>
      </c>
      <c r="F4909" s="8">
        <v>3.14</v>
      </c>
      <c r="G4909" s="66">
        <v>136.5292811</v>
      </c>
      <c r="H4909" s="8">
        <v>8.763</v>
      </c>
      <c r="J4909" s="26"/>
      <c r="K4909"/>
    </row>
    <row r="4910" spans="1:11">
      <c r="A4910">
        <v>35</v>
      </c>
      <c r="B4910" s="64">
        <v>40536</v>
      </c>
      <c r="C4910" s="2">
        <v>1779236.54</v>
      </c>
      <c r="D4910">
        <v>0</v>
      </c>
      <c r="E4910" s="65">
        <v>31.34</v>
      </c>
      <c r="F4910" s="8">
        <v>3.141</v>
      </c>
      <c r="G4910" s="66">
        <v>136.597273</v>
      </c>
      <c r="H4910" s="8">
        <v>8.763</v>
      </c>
      <c r="J4910" s="26"/>
      <c r="K4910"/>
    </row>
    <row r="4911" spans="1:11">
      <c r="A4911">
        <v>35</v>
      </c>
      <c r="B4911" s="64">
        <v>40543</v>
      </c>
      <c r="C4911" s="2">
        <v>576332.05</v>
      </c>
      <c r="D4911">
        <v>1</v>
      </c>
      <c r="E4911" s="65">
        <v>29.59</v>
      </c>
      <c r="F4911" s="8">
        <v>3.179</v>
      </c>
      <c r="G4911" s="66">
        <v>136.665265</v>
      </c>
      <c r="H4911" s="8">
        <v>8.763</v>
      </c>
      <c r="J4911" s="26"/>
      <c r="K4911"/>
    </row>
    <row r="4912" spans="1:11">
      <c r="A4912">
        <v>35</v>
      </c>
      <c r="B4912" s="64">
        <v>40550</v>
      </c>
      <c r="C4912" s="2">
        <v>649289.75</v>
      </c>
      <c r="D4912">
        <v>0</v>
      </c>
      <c r="E4912" s="65">
        <v>34.42</v>
      </c>
      <c r="F4912" s="8">
        <v>3.193</v>
      </c>
      <c r="G4912" s="66">
        <v>136.7332569</v>
      </c>
      <c r="H4912" s="8">
        <v>8.549</v>
      </c>
      <c r="J4912" s="26"/>
      <c r="K4912"/>
    </row>
    <row r="4913" spans="1:11">
      <c r="A4913">
        <v>35</v>
      </c>
      <c r="B4913" s="64">
        <v>40557</v>
      </c>
      <c r="C4913" s="2">
        <v>687670.78</v>
      </c>
      <c r="D4913">
        <v>0</v>
      </c>
      <c r="E4913" s="65">
        <v>25.7</v>
      </c>
      <c r="F4913" s="8">
        <v>3.205</v>
      </c>
      <c r="G4913" s="66">
        <v>136.803477</v>
      </c>
      <c r="H4913" s="8">
        <v>8.549</v>
      </c>
      <c r="J4913" s="26"/>
      <c r="K4913"/>
    </row>
    <row r="4914" spans="1:11">
      <c r="A4914">
        <v>35</v>
      </c>
      <c r="B4914" s="64">
        <v>40564</v>
      </c>
      <c r="C4914" s="2">
        <v>659902.07</v>
      </c>
      <c r="D4914">
        <v>0</v>
      </c>
      <c r="E4914" s="65">
        <v>30.13</v>
      </c>
      <c r="F4914" s="8">
        <v>3.229</v>
      </c>
      <c r="G4914" s="66">
        <v>136.8870657</v>
      </c>
      <c r="H4914" s="8">
        <v>8.549</v>
      </c>
      <c r="J4914" s="26"/>
      <c r="K4914"/>
    </row>
    <row r="4915" spans="1:11">
      <c r="A4915">
        <v>35</v>
      </c>
      <c r="B4915" s="64">
        <v>40571</v>
      </c>
      <c r="C4915" s="2">
        <v>633289.78</v>
      </c>
      <c r="D4915">
        <v>0</v>
      </c>
      <c r="E4915" s="65">
        <v>23.64</v>
      </c>
      <c r="F4915" s="8">
        <v>3.237</v>
      </c>
      <c r="G4915" s="66">
        <v>136.9706544</v>
      </c>
      <c r="H4915" s="8">
        <v>8.549</v>
      </c>
      <c r="J4915" s="26"/>
      <c r="K4915"/>
    </row>
    <row r="4916" spans="1:11">
      <c r="A4916">
        <v>35</v>
      </c>
      <c r="B4916" s="64">
        <v>40578</v>
      </c>
      <c r="C4916" s="2">
        <v>747577.05</v>
      </c>
      <c r="D4916">
        <v>0</v>
      </c>
      <c r="E4916" s="65">
        <v>28.7</v>
      </c>
      <c r="F4916" s="8">
        <v>3.231</v>
      </c>
      <c r="G4916" s="66">
        <v>137.0542431</v>
      </c>
      <c r="H4916" s="8">
        <v>8.549</v>
      </c>
      <c r="J4916" s="26"/>
      <c r="K4916"/>
    </row>
    <row r="4917" spans="1:11">
      <c r="A4917">
        <v>35</v>
      </c>
      <c r="B4917" s="64">
        <v>40585</v>
      </c>
      <c r="C4917" s="2">
        <v>859258.17</v>
      </c>
      <c r="D4917">
        <v>1</v>
      </c>
      <c r="E4917" s="65">
        <v>30.45</v>
      </c>
      <c r="F4917" s="8">
        <v>3.239</v>
      </c>
      <c r="G4917" s="66">
        <v>137.1378318</v>
      </c>
      <c r="H4917" s="8">
        <v>8.549</v>
      </c>
      <c r="J4917" s="26"/>
      <c r="K4917"/>
    </row>
    <row r="4918" spans="1:11">
      <c r="A4918">
        <v>35</v>
      </c>
      <c r="B4918" s="64">
        <v>40592</v>
      </c>
      <c r="C4918" s="2">
        <v>865305.88</v>
      </c>
      <c r="D4918">
        <v>0</v>
      </c>
      <c r="E4918" s="65">
        <v>39.32</v>
      </c>
      <c r="F4918" s="8">
        <v>3.245</v>
      </c>
      <c r="G4918" s="66">
        <v>137.2511849</v>
      </c>
      <c r="H4918" s="8">
        <v>8.549</v>
      </c>
      <c r="J4918" s="26"/>
      <c r="K4918"/>
    </row>
    <row r="4919" spans="1:11">
      <c r="A4919">
        <v>35</v>
      </c>
      <c r="B4919" s="64">
        <v>40599</v>
      </c>
      <c r="C4919" s="2">
        <v>841129.26</v>
      </c>
      <c r="D4919">
        <v>0</v>
      </c>
      <c r="E4919" s="65">
        <v>33.05</v>
      </c>
      <c r="F4919" s="8">
        <v>3.274</v>
      </c>
      <c r="G4919" s="66">
        <v>137.3764439</v>
      </c>
      <c r="H4919" s="8">
        <v>8.549</v>
      </c>
      <c r="J4919" s="26"/>
      <c r="K4919"/>
    </row>
    <row r="4920" spans="1:11">
      <c r="A4920">
        <v>35</v>
      </c>
      <c r="B4920" s="64">
        <v>40606</v>
      </c>
      <c r="C4920" s="2">
        <v>850448.54</v>
      </c>
      <c r="D4920">
        <v>0</v>
      </c>
      <c r="E4920" s="65">
        <v>36.99</v>
      </c>
      <c r="F4920" s="8">
        <v>3.433</v>
      </c>
      <c r="G4920" s="66">
        <v>137.5017028</v>
      </c>
      <c r="H4920" s="8">
        <v>8.549</v>
      </c>
      <c r="J4920" s="26"/>
      <c r="K4920"/>
    </row>
    <row r="4921" spans="1:11">
      <c r="A4921">
        <v>35</v>
      </c>
      <c r="B4921" s="64">
        <v>40613</v>
      </c>
      <c r="C4921" s="2">
        <v>830601.39</v>
      </c>
      <c r="D4921">
        <v>0</v>
      </c>
      <c r="E4921" s="65">
        <v>43.64</v>
      </c>
      <c r="F4921" s="8">
        <v>3.582</v>
      </c>
      <c r="G4921" s="66">
        <v>137.6269617</v>
      </c>
      <c r="H4921" s="8">
        <v>8.549</v>
      </c>
      <c r="J4921" s="26"/>
      <c r="K4921"/>
    </row>
    <row r="4922" spans="1:11">
      <c r="A4922">
        <v>35</v>
      </c>
      <c r="B4922" s="64">
        <v>40620</v>
      </c>
      <c r="C4922" s="2">
        <v>800662.82</v>
      </c>
      <c r="D4922">
        <v>0</v>
      </c>
      <c r="E4922" s="65">
        <v>46.65</v>
      </c>
      <c r="F4922" s="8">
        <v>3.631</v>
      </c>
      <c r="G4922" s="66">
        <v>137.7398929</v>
      </c>
      <c r="H4922" s="8">
        <v>8.549</v>
      </c>
      <c r="J4922" s="26"/>
      <c r="K4922"/>
    </row>
    <row r="4923" spans="1:11">
      <c r="A4923">
        <v>35</v>
      </c>
      <c r="B4923" s="64">
        <v>40627</v>
      </c>
      <c r="C4923" s="2">
        <v>762184.1</v>
      </c>
      <c r="D4923">
        <v>0</v>
      </c>
      <c r="E4923" s="65">
        <v>40.11</v>
      </c>
      <c r="F4923" s="8">
        <v>3.625</v>
      </c>
      <c r="G4923" s="66">
        <v>137.8478929</v>
      </c>
      <c r="H4923" s="8">
        <v>8.549</v>
      </c>
      <c r="J4923" s="26"/>
      <c r="K4923"/>
    </row>
    <row r="4924" spans="1:11">
      <c r="A4924">
        <v>35</v>
      </c>
      <c r="B4924" s="64">
        <v>40634</v>
      </c>
      <c r="C4924" s="2">
        <v>762620.94</v>
      </c>
      <c r="D4924">
        <v>0</v>
      </c>
      <c r="E4924" s="65">
        <v>37.27</v>
      </c>
      <c r="F4924" s="8">
        <v>3.638</v>
      </c>
      <c r="G4924" s="66">
        <v>137.9558929</v>
      </c>
      <c r="H4924" s="8">
        <v>8.512</v>
      </c>
      <c r="J4924" s="26"/>
      <c r="K4924"/>
    </row>
    <row r="4925" spans="1:11">
      <c r="A4925">
        <v>35</v>
      </c>
      <c r="B4925" s="64">
        <v>40641</v>
      </c>
      <c r="C4925" s="2">
        <v>813352.41</v>
      </c>
      <c r="D4925">
        <v>0</v>
      </c>
      <c r="E4925" s="65">
        <v>46.87</v>
      </c>
      <c r="F4925" s="8">
        <v>3.72</v>
      </c>
      <c r="G4925" s="66">
        <v>138.0638929</v>
      </c>
      <c r="H4925" s="8">
        <v>8.512</v>
      </c>
      <c r="J4925" s="26"/>
      <c r="K4925"/>
    </row>
    <row r="4926" spans="1:11">
      <c r="A4926">
        <v>35</v>
      </c>
      <c r="B4926" s="64">
        <v>40648</v>
      </c>
      <c r="C4926" s="2">
        <v>795157.2</v>
      </c>
      <c r="D4926">
        <v>0</v>
      </c>
      <c r="E4926" s="65">
        <v>52.24</v>
      </c>
      <c r="F4926" s="8">
        <v>3.821</v>
      </c>
      <c r="G4926" s="66">
        <v>138.1646952</v>
      </c>
      <c r="H4926" s="8">
        <v>8.512</v>
      </c>
      <c r="J4926" s="26"/>
      <c r="K4926"/>
    </row>
    <row r="4927" spans="1:11">
      <c r="A4927">
        <v>35</v>
      </c>
      <c r="B4927" s="64">
        <v>40655</v>
      </c>
      <c r="C4927" s="2">
        <v>841778.34</v>
      </c>
      <c r="D4927">
        <v>0</v>
      </c>
      <c r="E4927" s="65">
        <v>50.02</v>
      </c>
      <c r="F4927" s="8">
        <v>3.892</v>
      </c>
      <c r="G4927" s="66">
        <v>138.2475036</v>
      </c>
      <c r="H4927" s="8">
        <v>8.512</v>
      </c>
      <c r="J4927" s="26"/>
      <c r="K4927"/>
    </row>
    <row r="4928" spans="1:11">
      <c r="A4928">
        <v>35</v>
      </c>
      <c r="B4928" s="64">
        <v>40662</v>
      </c>
      <c r="C4928" s="2">
        <v>811824.06</v>
      </c>
      <c r="D4928">
        <v>0</v>
      </c>
      <c r="E4928" s="65">
        <v>61.71</v>
      </c>
      <c r="F4928" s="8">
        <v>3.962</v>
      </c>
      <c r="G4928" s="66">
        <v>138.3303119</v>
      </c>
      <c r="H4928" s="8">
        <v>8.512</v>
      </c>
      <c r="J4928" s="26"/>
      <c r="K4928"/>
    </row>
    <row r="4929" spans="1:11">
      <c r="A4929">
        <v>35</v>
      </c>
      <c r="B4929" s="64">
        <v>40669</v>
      </c>
      <c r="C4929" s="2">
        <v>835181.18</v>
      </c>
      <c r="D4929">
        <v>0</v>
      </c>
      <c r="E4929" s="65">
        <v>56.48</v>
      </c>
      <c r="F4929" s="8">
        <v>4.046</v>
      </c>
      <c r="G4929" s="66">
        <v>138.4131202</v>
      </c>
      <c r="H4929" s="8">
        <v>8.512</v>
      </c>
      <c r="J4929" s="26"/>
      <c r="K4929"/>
    </row>
    <row r="4930" spans="1:11">
      <c r="A4930">
        <v>35</v>
      </c>
      <c r="B4930" s="64">
        <v>40676</v>
      </c>
      <c r="C4930" s="2">
        <v>826155.95</v>
      </c>
      <c r="D4930">
        <v>0</v>
      </c>
      <c r="E4930" s="65">
        <v>60.07</v>
      </c>
      <c r="F4930" s="8">
        <v>4.066</v>
      </c>
      <c r="G4930" s="66">
        <v>138.4959286</v>
      </c>
      <c r="H4930" s="8">
        <v>8.512</v>
      </c>
      <c r="J4930" s="26"/>
      <c r="K4930"/>
    </row>
    <row r="4931" spans="1:11">
      <c r="A4931">
        <v>35</v>
      </c>
      <c r="B4931" s="64">
        <v>40683</v>
      </c>
      <c r="C4931" s="2">
        <v>776838.56</v>
      </c>
      <c r="D4931">
        <v>0</v>
      </c>
      <c r="E4931" s="65">
        <v>60.22</v>
      </c>
      <c r="F4931" s="8">
        <v>4.062</v>
      </c>
      <c r="G4931" s="66">
        <v>138.587106</v>
      </c>
      <c r="H4931" s="8">
        <v>8.512</v>
      </c>
      <c r="J4931" s="26"/>
      <c r="K4931"/>
    </row>
    <row r="4932" spans="1:11">
      <c r="A4932">
        <v>35</v>
      </c>
      <c r="B4932" s="64">
        <v>40690</v>
      </c>
      <c r="C4932" s="2">
        <v>850708.6</v>
      </c>
      <c r="D4932">
        <v>0</v>
      </c>
      <c r="E4932" s="65">
        <v>66.43</v>
      </c>
      <c r="F4932" s="8">
        <v>3.985</v>
      </c>
      <c r="G4932" s="66">
        <v>138.6782834</v>
      </c>
      <c r="H4932" s="8">
        <v>8.512</v>
      </c>
      <c r="J4932" s="26"/>
      <c r="K4932"/>
    </row>
    <row r="4933" spans="1:11">
      <c r="A4933">
        <v>35</v>
      </c>
      <c r="B4933" s="64">
        <v>40697</v>
      </c>
      <c r="C4933" s="2">
        <v>955466.84</v>
      </c>
      <c r="D4933">
        <v>0</v>
      </c>
      <c r="E4933" s="65">
        <v>74.17</v>
      </c>
      <c r="F4933" s="8">
        <v>3.922</v>
      </c>
      <c r="G4933" s="66">
        <v>138.7694608</v>
      </c>
      <c r="H4933" s="8">
        <v>8.512</v>
      </c>
      <c r="J4933" s="26"/>
      <c r="K4933"/>
    </row>
    <row r="4934" spans="1:11">
      <c r="A4934">
        <v>35</v>
      </c>
      <c r="B4934" s="64">
        <v>40704</v>
      </c>
      <c r="C4934" s="2">
        <v>855130.21</v>
      </c>
      <c r="D4934">
        <v>0</v>
      </c>
      <c r="E4934" s="65">
        <v>73.26</v>
      </c>
      <c r="F4934" s="8">
        <v>3.881</v>
      </c>
      <c r="G4934" s="66">
        <v>138.8606382</v>
      </c>
      <c r="H4934" s="8">
        <v>8.512</v>
      </c>
      <c r="J4934" s="26"/>
      <c r="K4934"/>
    </row>
    <row r="4935" spans="1:11">
      <c r="A4935">
        <v>35</v>
      </c>
      <c r="B4935" s="64">
        <v>40711</v>
      </c>
      <c r="C4935" s="2">
        <v>828594.86</v>
      </c>
      <c r="D4935">
        <v>0</v>
      </c>
      <c r="E4935" s="65">
        <v>67.03</v>
      </c>
      <c r="F4935" s="8">
        <v>3.842</v>
      </c>
      <c r="G4935" s="66">
        <v>139.0028333</v>
      </c>
      <c r="H4935" s="8">
        <v>8.512</v>
      </c>
      <c r="J4935" s="26"/>
      <c r="K4935"/>
    </row>
    <row r="4936" spans="1:11">
      <c r="A4936">
        <v>35</v>
      </c>
      <c r="B4936" s="64">
        <v>40718</v>
      </c>
      <c r="C4936" s="2">
        <v>849397.57</v>
      </c>
      <c r="D4936">
        <v>0</v>
      </c>
      <c r="E4936" s="65">
        <v>72.02</v>
      </c>
      <c r="F4936" s="8">
        <v>3.804</v>
      </c>
      <c r="G4936" s="66">
        <v>139.1832917</v>
      </c>
      <c r="H4936" s="8">
        <v>8.512</v>
      </c>
      <c r="J4936" s="26"/>
      <c r="K4936"/>
    </row>
    <row r="4937" spans="1:11">
      <c r="A4937">
        <v>35</v>
      </c>
      <c r="B4937" s="64">
        <v>40725</v>
      </c>
      <c r="C4937" s="2">
        <v>874453.88</v>
      </c>
      <c r="D4937">
        <v>0</v>
      </c>
      <c r="E4937" s="65">
        <v>73.76</v>
      </c>
      <c r="F4937" s="8">
        <v>3.748</v>
      </c>
      <c r="G4937" s="66">
        <v>139.36375</v>
      </c>
      <c r="H4937" s="8">
        <v>8.684</v>
      </c>
      <c r="J4937" s="26"/>
      <c r="K4937"/>
    </row>
    <row r="4938" spans="1:11">
      <c r="A4938">
        <v>35</v>
      </c>
      <c r="B4938" s="64">
        <v>40732</v>
      </c>
      <c r="C4938" s="2">
        <v>827717.85</v>
      </c>
      <c r="D4938">
        <v>0</v>
      </c>
      <c r="E4938" s="65">
        <v>76.87</v>
      </c>
      <c r="F4938" s="8">
        <v>3.711</v>
      </c>
      <c r="G4938" s="66">
        <v>139.5442083</v>
      </c>
      <c r="H4938" s="8">
        <v>8.684</v>
      </c>
      <c r="J4938" s="26"/>
      <c r="K4938"/>
    </row>
    <row r="4939" spans="1:11">
      <c r="A4939">
        <v>35</v>
      </c>
      <c r="B4939" s="64">
        <v>40739</v>
      </c>
      <c r="C4939" s="2">
        <v>813845.5</v>
      </c>
      <c r="D4939">
        <v>0</v>
      </c>
      <c r="E4939" s="65">
        <v>77.83</v>
      </c>
      <c r="F4939" s="8">
        <v>3.76</v>
      </c>
      <c r="G4939" s="66">
        <v>139.7006325</v>
      </c>
      <c r="H4939" s="8">
        <v>8.684</v>
      </c>
      <c r="J4939" s="26"/>
      <c r="K4939"/>
    </row>
    <row r="4940" spans="1:11">
      <c r="A4940">
        <v>35</v>
      </c>
      <c r="B4940" s="64">
        <v>40746</v>
      </c>
      <c r="C4940" s="2">
        <v>820188.42</v>
      </c>
      <c r="D4940">
        <v>0</v>
      </c>
      <c r="E4940" s="65">
        <v>82.28</v>
      </c>
      <c r="F4940" s="8">
        <v>3.811</v>
      </c>
      <c r="G4940" s="66">
        <v>139.7969712</v>
      </c>
      <c r="H4940" s="8">
        <v>8.684</v>
      </c>
      <c r="J4940" s="26"/>
      <c r="K4940"/>
    </row>
    <row r="4941" spans="1:11">
      <c r="A4941">
        <v>35</v>
      </c>
      <c r="B4941" s="64">
        <v>40753</v>
      </c>
      <c r="C4941" s="2">
        <v>770820.27</v>
      </c>
      <c r="D4941">
        <v>0</v>
      </c>
      <c r="E4941" s="65">
        <v>79.41</v>
      </c>
      <c r="F4941" s="8">
        <v>3.829</v>
      </c>
      <c r="G4941" s="66">
        <v>139.8933099</v>
      </c>
      <c r="H4941" s="8">
        <v>8.684</v>
      </c>
      <c r="J4941" s="26"/>
      <c r="K4941"/>
    </row>
    <row r="4942" spans="1:11">
      <c r="A4942">
        <v>35</v>
      </c>
      <c r="B4942" s="64">
        <v>40760</v>
      </c>
      <c r="C4942" s="2">
        <v>826820.71</v>
      </c>
      <c r="D4942">
        <v>0</v>
      </c>
      <c r="E4942" s="65">
        <v>78.14</v>
      </c>
      <c r="F4942" s="8">
        <v>3.842</v>
      </c>
      <c r="G4942" s="66">
        <v>139.9896486</v>
      </c>
      <c r="H4942" s="8">
        <v>8.684</v>
      </c>
      <c r="J4942" s="26"/>
      <c r="K4942"/>
    </row>
    <row r="4943" spans="1:11">
      <c r="A4943">
        <v>35</v>
      </c>
      <c r="B4943" s="64">
        <v>40767</v>
      </c>
      <c r="C4943" s="2">
        <v>819911.89</v>
      </c>
      <c r="D4943">
        <v>0</v>
      </c>
      <c r="E4943" s="65">
        <v>76.67</v>
      </c>
      <c r="F4943" s="8">
        <v>3.812</v>
      </c>
      <c r="G4943" s="66">
        <v>140.0859873</v>
      </c>
      <c r="H4943" s="8">
        <v>8.684</v>
      </c>
      <c r="J4943" s="26"/>
      <c r="K4943"/>
    </row>
    <row r="4944" spans="1:11">
      <c r="A4944">
        <v>35</v>
      </c>
      <c r="B4944" s="64">
        <v>40774</v>
      </c>
      <c r="C4944" s="2">
        <v>820288.35</v>
      </c>
      <c r="D4944">
        <v>0</v>
      </c>
      <c r="E4944" s="65">
        <v>72.97</v>
      </c>
      <c r="F4944" s="8">
        <v>3.747</v>
      </c>
      <c r="G4944" s="66">
        <v>140.1289205</v>
      </c>
      <c r="H4944" s="8">
        <v>8.684</v>
      </c>
      <c r="J4944" s="26"/>
      <c r="K4944"/>
    </row>
    <row r="4945" spans="1:11">
      <c r="A4945">
        <v>35</v>
      </c>
      <c r="B4945" s="64">
        <v>40781</v>
      </c>
      <c r="C4945" s="2">
        <v>897037.25</v>
      </c>
      <c r="D4945">
        <v>0</v>
      </c>
      <c r="E4945" s="65">
        <v>72.88</v>
      </c>
      <c r="F4945" s="8">
        <v>3.704</v>
      </c>
      <c r="G4945" s="66">
        <v>140.1629528</v>
      </c>
      <c r="H4945" s="8">
        <v>8.684</v>
      </c>
      <c r="J4945" s="26"/>
      <c r="K4945"/>
    </row>
    <row r="4946" spans="1:11">
      <c r="A4946">
        <v>35</v>
      </c>
      <c r="B4946" s="64">
        <v>40788</v>
      </c>
      <c r="C4946" s="2">
        <v>813486.55</v>
      </c>
      <c r="D4946">
        <v>0</v>
      </c>
      <c r="E4946" s="65">
        <v>71.44</v>
      </c>
      <c r="F4946" s="8">
        <v>3.703</v>
      </c>
      <c r="G4946" s="66">
        <v>140.196985</v>
      </c>
      <c r="H4946" s="8">
        <v>8.684</v>
      </c>
      <c r="J4946" s="26"/>
      <c r="K4946"/>
    </row>
    <row r="4947" spans="1:11">
      <c r="A4947">
        <v>35</v>
      </c>
      <c r="B4947" s="64">
        <v>40795</v>
      </c>
      <c r="C4947" s="2">
        <v>922440.64</v>
      </c>
      <c r="D4947">
        <v>1</v>
      </c>
      <c r="E4947" s="65">
        <v>70.93</v>
      </c>
      <c r="F4947" s="8">
        <v>3.738</v>
      </c>
      <c r="G4947" s="66">
        <v>140.2310173</v>
      </c>
      <c r="H4947" s="8">
        <v>8.684</v>
      </c>
      <c r="J4947" s="26"/>
      <c r="K4947"/>
    </row>
    <row r="4948" spans="1:11">
      <c r="A4948">
        <v>35</v>
      </c>
      <c r="B4948" s="64">
        <v>40802</v>
      </c>
      <c r="C4948" s="2">
        <v>738792.11</v>
      </c>
      <c r="D4948">
        <v>0</v>
      </c>
      <c r="E4948" s="65">
        <v>69.65</v>
      </c>
      <c r="F4948" s="8">
        <v>3.742</v>
      </c>
      <c r="G4948" s="66">
        <v>140.2735</v>
      </c>
      <c r="H4948" s="8">
        <v>8.684</v>
      </c>
      <c r="J4948" s="26"/>
      <c r="K4948"/>
    </row>
    <row r="4949" spans="1:11">
      <c r="A4949">
        <v>35</v>
      </c>
      <c r="B4949" s="64">
        <v>40809</v>
      </c>
      <c r="C4949" s="2">
        <v>705802.45</v>
      </c>
      <c r="D4949">
        <v>0</v>
      </c>
      <c r="E4949" s="65">
        <v>63.61</v>
      </c>
      <c r="F4949" s="8">
        <v>3.711</v>
      </c>
      <c r="G4949" s="66">
        <v>140.32725</v>
      </c>
      <c r="H4949" s="8">
        <v>8.684</v>
      </c>
      <c r="J4949" s="26"/>
      <c r="K4949"/>
    </row>
    <row r="4950" spans="1:11">
      <c r="A4950">
        <v>35</v>
      </c>
      <c r="B4950" s="64">
        <v>40816</v>
      </c>
      <c r="C4950" s="2">
        <v>749676.95</v>
      </c>
      <c r="D4950">
        <v>0</v>
      </c>
      <c r="E4950" s="65">
        <v>70.92</v>
      </c>
      <c r="F4950" s="8">
        <v>3.645</v>
      </c>
      <c r="G4950" s="66">
        <v>140.381</v>
      </c>
      <c r="H4950" s="8">
        <v>8.684</v>
      </c>
      <c r="J4950" s="26"/>
      <c r="K4950"/>
    </row>
    <row r="4951" spans="1:11">
      <c r="A4951">
        <v>35</v>
      </c>
      <c r="B4951" s="64">
        <v>40823</v>
      </c>
      <c r="C4951" s="2">
        <v>791637.53</v>
      </c>
      <c r="D4951">
        <v>0</v>
      </c>
      <c r="E4951" s="65">
        <v>56.91</v>
      </c>
      <c r="F4951" s="8">
        <v>3.583</v>
      </c>
      <c r="G4951" s="66">
        <v>140.43475</v>
      </c>
      <c r="H4951" s="8">
        <v>8.745</v>
      </c>
      <c r="J4951" s="26"/>
      <c r="K4951"/>
    </row>
    <row r="4952" spans="1:11">
      <c r="A4952">
        <v>35</v>
      </c>
      <c r="B4952" s="64">
        <v>40830</v>
      </c>
      <c r="C4952" s="2">
        <v>772859.25</v>
      </c>
      <c r="D4952">
        <v>0</v>
      </c>
      <c r="E4952" s="65">
        <v>64.78</v>
      </c>
      <c r="F4952" s="8">
        <v>3.541</v>
      </c>
      <c r="G4952" s="66">
        <v>140.4784194</v>
      </c>
      <c r="H4952" s="8">
        <v>8.745</v>
      </c>
      <c r="J4952" s="26"/>
      <c r="K4952"/>
    </row>
    <row r="4953" spans="1:11">
      <c r="A4953">
        <v>35</v>
      </c>
      <c r="B4953" s="64">
        <v>40837</v>
      </c>
      <c r="C4953" s="2">
        <v>811328.4</v>
      </c>
      <c r="D4953">
        <v>0</v>
      </c>
      <c r="E4953" s="65">
        <v>59.62</v>
      </c>
      <c r="F4953" s="8">
        <v>3.57</v>
      </c>
      <c r="G4953" s="66">
        <v>140.4616048</v>
      </c>
      <c r="H4953" s="8">
        <v>8.745</v>
      </c>
      <c r="J4953" s="26"/>
      <c r="K4953"/>
    </row>
    <row r="4954" spans="1:11">
      <c r="A4954">
        <v>35</v>
      </c>
      <c r="B4954" s="64">
        <v>40844</v>
      </c>
      <c r="C4954" s="2">
        <v>808821.5</v>
      </c>
      <c r="D4954">
        <v>0</v>
      </c>
      <c r="E4954" s="65">
        <v>51.81</v>
      </c>
      <c r="F4954" s="8">
        <v>3.569</v>
      </c>
      <c r="G4954" s="66">
        <v>140.4447903</v>
      </c>
      <c r="H4954" s="8">
        <v>8.745</v>
      </c>
      <c r="J4954" s="26"/>
      <c r="K4954"/>
    </row>
    <row r="4955" spans="1:11">
      <c r="A4955">
        <v>35</v>
      </c>
      <c r="B4955" s="64">
        <v>40851</v>
      </c>
      <c r="C4955" s="2">
        <v>653468.75</v>
      </c>
      <c r="D4955">
        <v>0</v>
      </c>
      <c r="E4955" s="65">
        <v>44.46</v>
      </c>
      <c r="F4955" s="8">
        <v>3.551</v>
      </c>
      <c r="G4955" s="66">
        <v>140.4279758</v>
      </c>
      <c r="H4955" s="8">
        <v>8.745</v>
      </c>
      <c r="J4955" s="26"/>
      <c r="K4955"/>
    </row>
    <row r="4956" spans="1:11">
      <c r="A4956">
        <v>35</v>
      </c>
      <c r="B4956" s="64">
        <v>40858</v>
      </c>
      <c r="C4956" s="2">
        <v>880576.33</v>
      </c>
      <c r="D4956">
        <v>0</v>
      </c>
      <c r="E4956" s="65">
        <v>49.69</v>
      </c>
      <c r="F4956" s="8">
        <v>3.53</v>
      </c>
      <c r="G4956" s="66">
        <v>140.4111613</v>
      </c>
      <c r="H4956" s="8">
        <v>8.745</v>
      </c>
      <c r="J4956" s="26"/>
      <c r="K4956"/>
    </row>
    <row r="4957" spans="1:11">
      <c r="A4957">
        <v>35</v>
      </c>
      <c r="B4957" s="64">
        <v>40865</v>
      </c>
      <c r="C4957" s="2">
        <v>820964.1</v>
      </c>
      <c r="D4957">
        <v>0</v>
      </c>
      <c r="E4957" s="65">
        <v>51.42</v>
      </c>
      <c r="F4957" s="8">
        <v>3.53</v>
      </c>
      <c r="G4957" s="66">
        <v>140.4127857</v>
      </c>
      <c r="H4957" s="8">
        <v>8.745</v>
      </c>
      <c r="J4957" s="26"/>
      <c r="K4957"/>
    </row>
    <row r="4958" spans="1:11">
      <c r="A4958">
        <v>35</v>
      </c>
      <c r="B4958" s="64">
        <v>40872</v>
      </c>
      <c r="C4958" s="2">
        <v>1733822.4</v>
      </c>
      <c r="D4958">
        <v>1</v>
      </c>
      <c r="E4958" s="65">
        <v>47.88</v>
      </c>
      <c r="F4958" s="8">
        <v>3.492</v>
      </c>
      <c r="G4958" s="66">
        <v>140.4217857</v>
      </c>
      <c r="H4958" s="8">
        <v>8.745</v>
      </c>
      <c r="J4958" s="26"/>
      <c r="K4958"/>
    </row>
    <row r="4959" spans="1:11">
      <c r="A4959">
        <v>35</v>
      </c>
      <c r="B4959" s="64">
        <v>40879</v>
      </c>
      <c r="C4959" s="2">
        <v>903606.03</v>
      </c>
      <c r="D4959">
        <v>0</v>
      </c>
      <c r="E4959" s="65">
        <v>50.55</v>
      </c>
      <c r="F4959" s="8">
        <v>3.452</v>
      </c>
      <c r="G4959" s="66">
        <v>140.4307857</v>
      </c>
      <c r="H4959" s="8">
        <v>8.745</v>
      </c>
      <c r="J4959" s="26"/>
      <c r="K4959"/>
    </row>
    <row r="4960" spans="1:11">
      <c r="A4960">
        <v>35</v>
      </c>
      <c r="B4960" s="64">
        <v>40886</v>
      </c>
      <c r="C4960" s="2">
        <v>948964.99</v>
      </c>
      <c r="D4960">
        <v>0</v>
      </c>
      <c r="E4960" s="65">
        <v>46.28</v>
      </c>
      <c r="F4960" s="8">
        <v>3.415</v>
      </c>
      <c r="G4960" s="66">
        <v>140.4397857</v>
      </c>
      <c r="H4960" s="8">
        <v>8.745</v>
      </c>
      <c r="J4960" s="26"/>
      <c r="K4960"/>
    </row>
    <row r="4961" spans="1:11">
      <c r="A4961">
        <v>35</v>
      </c>
      <c r="B4961" s="64">
        <v>40893</v>
      </c>
      <c r="C4961" s="2">
        <v>1115255.65</v>
      </c>
      <c r="D4961">
        <v>0</v>
      </c>
      <c r="E4961" s="65">
        <v>40.68</v>
      </c>
      <c r="F4961" s="8">
        <v>3.413</v>
      </c>
      <c r="G4961" s="66">
        <v>140.4700795</v>
      </c>
      <c r="H4961" s="8">
        <v>8.745</v>
      </c>
      <c r="J4961" s="26"/>
      <c r="K4961"/>
    </row>
    <row r="4962" spans="1:11">
      <c r="A4962">
        <v>35</v>
      </c>
      <c r="B4962" s="64">
        <v>40900</v>
      </c>
      <c r="C4962" s="2">
        <v>1550214.02</v>
      </c>
      <c r="D4962">
        <v>0</v>
      </c>
      <c r="E4962" s="65">
        <v>41.59</v>
      </c>
      <c r="F4962" s="8">
        <v>3.389</v>
      </c>
      <c r="G4962" s="66">
        <v>140.528765</v>
      </c>
      <c r="H4962" s="8">
        <v>8.745</v>
      </c>
      <c r="J4962" s="26"/>
      <c r="K4962"/>
    </row>
    <row r="4963" spans="1:11">
      <c r="A4963">
        <v>35</v>
      </c>
      <c r="B4963" s="64">
        <v>40907</v>
      </c>
      <c r="C4963" s="2">
        <v>904650.55</v>
      </c>
      <c r="D4963">
        <v>1</v>
      </c>
      <c r="E4963" s="65">
        <v>37.85</v>
      </c>
      <c r="F4963" s="8">
        <v>3.389</v>
      </c>
      <c r="G4963" s="66">
        <v>140.5874505</v>
      </c>
      <c r="H4963" s="8">
        <v>8.745</v>
      </c>
      <c r="J4963" s="26"/>
      <c r="K4963"/>
    </row>
    <row r="4964" spans="1:11">
      <c r="A4964">
        <v>35</v>
      </c>
      <c r="B4964" s="64">
        <v>40914</v>
      </c>
      <c r="C4964" s="2">
        <v>671708.09</v>
      </c>
      <c r="D4964">
        <v>0</v>
      </c>
      <c r="E4964" s="65">
        <v>35.8</v>
      </c>
      <c r="F4964" s="8">
        <v>3.422</v>
      </c>
      <c r="G4964" s="66">
        <v>140.6461359</v>
      </c>
      <c r="H4964" s="8">
        <v>8.744</v>
      </c>
      <c r="J4964" s="26"/>
      <c r="K4964"/>
    </row>
    <row r="4965" spans="1:11">
      <c r="A4965">
        <v>35</v>
      </c>
      <c r="B4965" s="64">
        <v>40921</v>
      </c>
      <c r="C4965" s="2">
        <v>625135.11</v>
      </c>
      <c r="D4965">
        <v>0</v>
      </c>
      <c r="E4965" s="65">
        <v>41.3</v>
      </c>
      <c r="F4965" s="8">
        <v>3.513</v>
      </c>
      <c r="G4965" s="66">
        <v>140.7048214</v>
      </c>
      <c r="H4965" s="8">
        <v>8.744</v>
      </c>
      <c r="J4965" s="26"/>
      <c r="K4965"/>
    </row>
    <row r="4966" spans="1:11">
      <c r="A4966">
        <v>35</v>
      </c>
      <c r="B4966" s="64">
        <v>40928</v>
      </c>
      <c r="C4966" s="2">
        <v>669850.04</v>
      </c>
      <c r="D4966">
        <v>0</v>
      </c>
      <c r="E4966" s="65">
        <v>30.35</v>
      </c>
      <c r="F4966" s="8">
        <v>3.533</v>
      </c>
      <c r="G4966" s="66">
        <v>140.8086118</v>
      </c>
      <c r="H4966" s="8">
        <v>8.744</v>
      </c>
      <c r="J4966" s="26"/>
      <c r="K4966"/>
    </row>
    <row r="4967" spans="1:11">
      <c r="A4967">
        <v>35</v>
      </c>
      <c r="B4967" s="64">
        <v>40935</v>
      </c>
      <c r="C4967" s="2">
        <v>588722.99</v>
      </c>
      <c r="D4967">
        <v>0</v>
      </c>
      <c r="E4967" s="65">
        <v>36.96</v>
      </c>
      <c r="F4967" s="8">
        <v>3.567</v>
      </c>
      <c r="G4967" s="66">
        <v>140.9124021</v>
      </c>
      <c r="H4967" s="8">
        <v>8.744</v>
      </c>
      <c r="J4967" s="26"/>
      <c r="K4967"/>
    </row>
    <row r="4968" spans="1:11">
      <c r="A4968">
        <v>35</v>
      </c>
      <c r="B4968" s="64">
        <v>40942</v>
      </c>
      <c r="C4968" s="2">
        <v>746901.03</v>
      </c>
      <c r="D4968">
        <v>0</v>
      </c>
      <c r="E4968" s="65">
        <v>42.52</v>
      </c>
      <c r="F4968" s="8">
        <v>3.617</v>
      </c>
      <c r="G4968" s="66">
        <v>141.0161924</v>
      </c>
      <c r="H4968" s="8">
        <v>8.744</v>
      </c>
      <c r="J4968" s="26"/>
      <c r="K4968"/>
    </row>
    <row r="4969" spans="1:11">
      <c r="A4969">
        <v>35</v>
      </c>
      <c r="B4969" s="64">
        <v>40949</v>
      </c>
      <c r="C4969" s="2">
        <v>849779.14</v>
      </c>
      <c r="D4969">
        <v>1</v>
      </c>
      <c r="E4969" s="65">
        <v>37.86</v>
      </c>
      <c r="F4969" s="8">
        <v>3.64</v>
      </c>
      <c r="G4969" s="66">
        <v>141.1199827</v>
      </c>
      <c r="H4969" s="8">
        <v>8.744</v>
      </c>
      <c r="J4969" s="26"/>
      <c r="K4969"/>
    </row>
    <row r="4970" spans="1:11">
      <c r="A4970">
        <v>35</v>
      </c>
      <c r="B4970" s="64">
        <v>40956</v>
      </c>
      <c r="C4970" s="2">
        <v>824568.39</v>
      </c>
      <c r="D4970">
        <v>0</v>
      </c>
      <c r="E4970" s="65">
        <v>37.24</v>
      </c>
      <c r="F4970" s="8">
        <v>3.695</v>
      </c>
      <c r="G4970" s="66">
        <v>141.2140357</v>
      </c>
      <c r="H4970" s="8">
        <v>8.744</v>
      </c>
      <c r="J4970" s="26"/>
      <c r="K4970"/>
    </row>
    <row r="4971" spans="1:11">
      <c r="A4971">
        <v>35</v>
      </c>
      <c r="B4971" s="64">
        <v>40963</v>
      </c>
      <c r="C4971" s="2">
        <v>805028.74</v>
      </c>
      <c r="D4971">
        <v>0</v>
      </c>
      <c r="E4971" s="65">
        <v>41.74</v>
      </c>
      <c r="F4971" s="8">
        <v>3.739</v>
      </c>
      <c r="G4971" s="66">
        <v>141.3007857</v>
      </c>
      <c r="H4971" s="8">
        <v>8.744</v>
      </c>
      <c r="J4971" s="26"/>
      <c r="K4971"/>
    </row>
    <row r="4972" spans="1:11">
      <c r="A4972">
        <v>35</v>
      </c>
      <c r="B4972" s="64">
        <v>40970</v>
      </c>
      <c r="C4972" s="2">
        <v>766571.1</v>
      </c>
      <c r="D4972">
        <v>0</v>
      </c>
      <c r="E4972" s="65">
        <v>40.07</v>
      </c>
      <c r="F4972" s="8">
        <v>3.816</v>
      </c>
      <c r="G4972" s="66">
        <v>141.3875357</v>
      </c>
      <c r="H4972" s="8">
        <v>8.744</v>
      </c>
      <c r="J4972" s="26"/>
      <c r="K4972"/>
    </row>
    <row r="4973" spans="1:11">
      <c r="A4973">
        <v>35</v>
      </c>
      <c r="B4973" s="64">
        <v>40977</v>
      </c>
      <c r="C4973" s="2">
        <v>796351.35</v>
      </c>
      <c r="D4973">
        <v>0</v>
      </c>
      <c r="E4973" s="65">
        <v>44.32</v>
      </c>
      <c r="F4973" s="8">
        <v>3.848</v>
      </c>
      <c r="G4973" s="66">
        <v>141.4742857</v>
      </c>
      <c r="H4973" s="8">
        <v>8.744</v>
      </c>
      <c r="J4973" s="26"/>
      <c r="K4973"/>
    </row>
    <row r="4974" spans="1:11">
      <c r="A4974">
        <v>35</v>
      </c>
      <c r="B4974" s="64">
        <v>40984</v>
      </c>
      <c r="C4974" s="2">
        <v>793045.82</v>
      </c>
      <c r="D4974">
        <v>0</v>
      </c>
      <c r="E4974" s="65">
        <v>49.6</v>
      </c>
      <c r="F4974" s="8">
        <v>3.862</v>
      </c>
      <c r="G4974" s="66">
        <v>141.55478</v>
      </c>
      <c r="H4974" s="8">
        <v>8.744</v>
      </c>
      <c r="J4974" s="26"/>
      <c r="K4974"/>
    </row>
    <row r="4975" spans="1:11">
      <c r="A4975">
        <v>35</v>
      </c>
      <c r="B4975" s="64">
        <v>40991</v>
      </c>
      <c r="C4975" s="2">
        <v>760671.1</v>
      </c>
      <c r="D4975">
        <v>0</v>
      </c>
      <c r="E4975" s="65">
        <v>57.3</v>
      </c>
      <c r="F4975" s="8">
        <v>3.9</v>
      </c>
      <c r="G4975" s="66">
        <v>141.6269332</v>
      </c>
      <c r="H4975" s="8">
        <v>8.744</v>
      </c>
      <c r="J4975" s="26"/>
      <c r="K4975"/>
    </row>
    <row r="4976" spans="1:11">
      <c r="A4976">
        <v>35</v>
      </c>
      <c r="B4976" s="64">
        <v>40998</v>
      </c>
      <c r="C4976" s="2">
        <v>744525.69</v>
      </c>
      <c r="D4976">
        <v>0</v>
      </c>
      <c r="E4976" s="65">
        <v>49.4</v>
      </c>
      <c r="F4976" s="8">
        <v>3.953</v>
      </c>
      <c r="G4976" s="66">
        <v>141.6990864</v>
      </c>
      <c r="H4976" s="8">
        <v>8.744</v>
      </c>
      <c r="J4976" s="26"/>
      <c r="K4976"/>
    </row>
    <row r="4977" spans="1:11">
      <c r="A4977">
        <v>35</v>
      </c>
      <c r="B4977" s="64">
        <v>41005</v>
      </c>
      <c r="C4977" s="2">
        <v>860293.46</v>
      </c>
      <c r="D4977">
        <v>0</v>
      </c>
      <c r="E4977" s="65">
        <v>48.73</v>
      </c>
      <c r="F4977" s="8">
        <v>3.996</v>
      </c>
      <c r="G4977" s="66">
        <v>141.7712396</v>
      </c>
      <c r="H4977" s="8">
        <v>8.876</v>
      </c>
      <c r="J4977" s="26"/>
      <c r="K4977"/>
    </row>
    <row r="4978" spans="1:11">
      <c r="A4978">
        <v>35</v>
      </c>
      <c r="B4978" s="64">
        <v>41012</v>
      </c>
      <c r="C4978" s="2">
        <v>788633.42</v>
      </c>
      <c r="D4978">
        <v>0</v>
      </c>
      <c r="E4978" s="65">
        <v>52.22</v>
      </c>
      <c r="F4978" s="8">
        <v>4.044</v>
      </c>
      <c r="G4978" s="66">
        <v>141.8433929</v>
      </c>
      <c r="H4978" s="8">
        <v>8.876</v>
      </c>
      <c r="J4978" s="26"/>
      <c r="K4978"/>
    </row>
    <row r="4979" spans="1:11">
      <c r="A4979">
        <v>35</v>
      </c>
      <c r="B4979" s="64">
        <v>41019</v>
      </c>
      <c r="C4979" s="2">
        <v>794660.24</v>
      </c>
      <c r="D4979">
        <v>0</v>
      </c>
      <c r="E4979" s="65">
        <v>62.62</v>
      </c>
      <c r="F4979" s="8">
        <v>4.027</v>
      </c>
      <c r="G4979" s="66">
        <v>141.9015262</v>
      </c>
      <c r="H4979" s="8">
        <v>8.876</v>
      </c>
      <c r="J4979" s="26"/>
      <c r="K4979"/>
    </row>
    <row r="4980" spans="1:11">
      <c r="A4980">
        <v>35</v>
      </c>
      <c r="B4980" s="64">
        <v>41026</v>
      </c>
      <c r="C4980" s="2">
        <v>721212.45</v>
      </c>
      <c r="D4980">
        <v>0</v>
      </c>
      <c r="E4980" s="65">
        <v>52.33</v>
      </c>
      <c r="F4980" s="8">
        <v>4.004</v>
      </c>
      <c r="G4980" s="66">
        <v>141.9596595</v>
      </c>
      <c r="H4980" s="8">
        <v>8.876</v>
      </c>
      <c r="J4980" s="26"/>
      <c r="K4980"/>
    </row>
    <row r="4981" spans="1:11">
      <c r="A4981">
        <v>35</v>
      </c>
      <c r="B4981" s="64">
        <v>41033</v>
      </c>
      <c r="C4981" s="2">
        <v>772036.6</v>
      </c>
      <c r="D4981">
        <v>0</v>
      </c>
      <c r="E4981" s="65">
        <v>53.68</v>
      </c>
      <c r="F4981" s="8">
        <v>3.951</v>
      </c>
      <c r="G4981" s="66">
        <v>142.0177929</v>
      </c>
      <c r="H4981" s="8">
        <v>8.876</v>
      </c>
      <c r="J4981" s="26"/>
      <c r="K4981"/>
    </row>
    <row r="4982" spans="1:11">
      <c r="A4982">
        <v>35</v>
      </c>
      <c r="B4982" s="64">
        <v>41040</v>
      </c>
      <c r="C4982" s="2">
        <v>802383.63</v>
      </c>
      <c r="D4982">
        <v>0</v>
      </c>
      <c r="E4982" s="65">
        <v>58.97</v>
      </c>
      <c r="F4982" s="8">
        <v>3.889</v>
      </c>
      <c r="G4982" s="66">
        <v>142.0759262</v>
      </c>
      <c r="H4982" s="8">
        <v>8.876</v>
      </c>
      <c r="J4982" s="26"/>
      <c r="K4982"/>
    </row>
    <row r="4983" spans="1:11">
      <c r="A4983">
        <v>35</v>
      </c>
      <c r="B4983" s="64">
        <v>41047</v>
      </c>
      <c r="C4983" s="2">
        <v>819196.68</v>
      </c>
      <c r="D4983">
        <v>0</v>
      </c>
      <c r="E4983" s="65">
        <v>65.15</v>
      </c>
      <c r="F4983" s="8">
        <v>3.848</v>
      </c>
      <c r="G4983" s="66">
        <v>142.0970115</v>
      </c>
      <c r="H4983" s="8">
        <v>8.876</v>
      </c>
      <c r="J4983" s="26"/>
      <c r="K4983"/>
    </row>
    <row r="4984" spans="1:11">
      <c r="A4984">
        <v>35</v>
      </c>
      <c r="B4984" s="64">
        <v>41054</v>
      </c>
      <c r="C4984" s="2">
        <v>822167.17</v>
      </c>
      <c r="D4984">
        <v>0</v>
      </c>
      <c r="E4984" s="65">
        <v>64.77</v>
      </c>
      <c r="F4984" s="8">
        <v>3.798</v>
      </c>
      <c r="G4984" s="66">
        <v>142.1032776</v>
      </c>
      <c r="H4984" s="8">
        <v>8.876</v>
      </c>
      <c r="J4984" s="26"/>
      <c r="K4984"/>
    </row>
    <row r="4985" spans="1:11">
      <c r="A4985">
        <v>35</v>
      </c>
      <c r="B4985" s="64">
        <v>41061</v>
      </c>
      <c r="C4985" s="2">
        <v>932195.52</v>
      </c>
      <c r="D4985">
        <v>0</v>
      </c>
      <c r="E4985" s="65">
        <v>73.4</v>
      </c>
      <c r="F4985" s="8">
        <v>3.742</v>
      </c>
      <c r="G4985" s="66">
        <v>142.1095438</v>
      </c>
      <c r="H4985" s="8">
        <v>8.876</v>
      </c>
      <c r="J4985" s="26"/>
      <c r="K4985"/>
    </row>
    <row r="4986" spans="1:11">
      <c r="A4986">
        <v>35</v>
      </c>
      <c r="B4986" s="64">
        <v>41068</v>
      </c>
      <c r="C4986" s="2">
        <v>873415.01</v>
      </c>
      <c r="D4986">
        <v>0</v>
      </c>
      <c r="E4986" s="65">
        <v>64.05</v>
      </c>
      <c r="F4986" s="8">
        <v>3.689</v>
      </c>
      <c r="G4986" s="66">
        <v>142.1158099</v>
      </c>
      <c r="H4986" s="8">
        <v>8.876</v>
      </c>
      <c r="J4986" s="26"/>
      <c r="K4986"/>
    </row>
    <row r="4987" spans="1:11">
      <c r="A4987">
        <v>35</v>
      </c>
      <c r="B4987" s="64">
        <v>41075</v>
      </c>
      <c r="C4987" s="2">
        <v>848289.41</v>
      </c>
      <c r="D4987">
        <v>0</v>
      </c>
      <c r="E4987" s="65">
        <v>69.52</v>
      </c>
      <c r="F4987" s="8">
        <v>3.62</v>
      </c>
      <c r="G4987" s="66">
        <v>142.1292548</v>
      </c>
      <c r="H4987" s="8">
        <v>8.876</v>
      </c>
      <c r="J4987" s="26"/>
      <c r="K4987"/>
    </row>
    <row r="4988" spans="1:11">
      <c r="A4988">
        <v>35</v>
      </c>
      <c r="B4988" s="64">
        <v>41082</v>
      </c>
      <c r="C4988" s="2">
        <v>911696</v>
      </c>
      <c r="D4988">
        <v>0</v>
      </c>
      <c r="E4988" s="65">
        <v>73.23</v>
      </c>
      <c r="F4988" s="8">
        <v>3.564</v>
      </c>
      <c r="G4988" s="66">
        <v>142.1606464</v>
      </c>
      <c r="H4988" s="8">
        <v>8.876</v>
      </c>
      <c r="J4988" s="26"/>
      <c r="K4988"/>
    </row>
    <row r="4989" spans="1:11">
      <c r="A4989">
        <v>35</v>
      </c>
      <c r="B4989" s="64">
        <v>41089</v>
      </c>
      <c r="C4989" s="2">
        <v>892133.41</v>
      </c>
      <c r="D4989">
        <v>0</v>
      </c>
      <c r="E4989" s="65">
        <v>73.94</v>
      </c>
      <c r="F4989" s="8">
        <v>3.506</v>
      </c>
      <c r="G4989" s="66">
        <v>142.1920381</v>
      </c>
      <c r="H4989" s="8">
        <v>8.876</v>
      </c>
      <c r="J4989" s="26"/>
      <c r="K4989"/>
    </row>
    <row r="4990" spans="1:11">
      <c r="A4990">
        <v>35</v>
      </c>
      <c r="B4990" s="64">
        <v>41096</v>
      </c>
      <c r="C4990" s="2">
        <v>985479.64</v>
      </c>
      <c r="D4990">
        <v>0</v>
      </c>
      <c r="E4990" s="65">
        <v>82.08</v>
      </c>
      <c r="F4990" s="8">
        <v>3.475</v>
      </c>
      <c r="G4990" s="66">
        <v>142.2234298</v>
      </c>
      <c r="H4990" s="8">
        <v>8.839</v>
      </c>
      <c r="J4990" s="26"/>
      <c r="K4990"/>
    </row>
    <row r="4991" spans="1:11">
      <c r="A4991">
        <v>35</v>
      </c>
      <c r="B4991" s="64">
        <v>41103</v>
      </c>
      <c r="C4991" s="2">
        <v>825763.48</v>
      </c>
      <c r="D4991">
        <v>0</v>
      </c>
      <c r="E4991" s="65">
        <v>78.95</v>
      </c>
      <c r="F4991" s="8">
        <v>3.523</v>
      </c>
      <c r="G4991" s="66">
        <v>142.2548214</v>
      </c>
      <c r="H4991" s="8">
        <v>8.839</v>
      </c>
      <c r="J4991" s="26"/>
      <c r="K4991"/>
    </row>
    <row r="4992" spans="1:11">
      <c r="A4992">
        <v>35</v>
      </c>
      <c r="B4992" s="64">
        <v>41110</v>
      </c>
      <c r="C4992" s="2">
        <v>841224.74</v>
      </c>
      <c r="D4992">
        <v>0</v>
      </c>
      <c r="E4992" s="65">
        <v>78.64</v>
      </c>
      <c r="F4992" s="8">
        <v>3.567</v>
      </c>
      <c r="G4992" s="66">
        <v>142.2337569</v>
      </c>
      <c r="H4992" s="8">
        <v>8.839</v>
      </c>
      <c r="J4992" s="26"/>
      <c r="K4992"/>
    </row>
    <row r="4993" spans="1:11">
      <c r="A4993">
        <v>35</v>
      </c>
      <c r="B4993" s="64">
        <v>41117</v>
      </c>
      <c r="C4993" s="2">
        <v>808030.15</v>
      </c>
      <c r="D4993">
        <v>0</v>
      </c>
      <c r="E4993" s="65">
        <v>76.01</v>
      </c>
      <c r="F4993" s="8">
        <v>3.647</v>
      </c>
      <c r="G4993" s="66">
        <v>142.2126924</v>
      </c>
      <c r="H4993" s="8">
        <v>8.839</v>
      </c>
      <c r="J4993" s="26"/>
      <c r="K4993"/>
    </row>
    <row r="4994" spans="1:11">
      <c r="A4994">
        <v>35</v>
      </c>
      <c r="B4994" s="64">
        <v>41124</v>
      </c>
      <c r="C4994" s="2">
        <v>866216.36</v>
      </c>
      <c r="D4994">
        <v>0</v>
      </c>
      <c r="E4994" s="65">
        <v>75.22</v>
      </c>
      <c r="F4994" s="8">
        <v>3.654</v>
      </c>
      <c r="G4994" s="66">
        <v>142.1916279</v>
      </c>
      <c r="H4994" s="8">
        <v>8.839</v>
      </c>
      <c r="J4994" s="26"/>
      <c r="K4994"/>
    </row>
    <row r="4995" spans="1:11">
      <c r="A4995">
        <v>35</v>
      </c>
      <c r="B4995" s="64">
        <v>41131</v>
      </c>
      <c r="C4995" s="2">
        <v>888368.8</v>
      </c>
      <c r="D4995">
        <v>0</v>
      </c>
      <c r="E4995" s="65">
        <v>78.44</v>
      </c>
      <c r="F4995" s="8">
        <v>3.722</v>
      </c>
      <c r="G4995" s="66">
        <v>142.1705634</v>
      </c>
      <c r="H4995" s="8">
        <v>8.839</v>
      </c>
      <c r="J4995" s="26"/>
      <c r="K4995"/>
    </row>
    <row r="4996" spans="1:11">
      <c r="A4996">
        <v>35</v>
      </c>
      <c r="B4996" s="64">
        <v>41138</v>
      </c>
      <c r="C4996" s="2">
        <v>887979.47</v>
      </c>
      <c r="D4996">
        <v>0</v>
      </c>
      <c r="E4996" s="65">
        <v>76.51</v>
      </c>
      <c r="F4996" s="8">
        <v>3.807</v>
      </c>
      <c r="G4996" s="66">
        <v>142.2157385</v>
      </c>
      <c r="H4996" s="8">
        <v>8.839</v>
      </c>
      <c r="J4996" s="26"/>
      <c r="K4996"/>
    </row>
    <row r="4997" spans="1:11">
      <c r="A4997">
        <v>35</v>
      </c>
      <c r="B4997" s="64">
        <v>41145</v>
      </c>
      <c r="C4997" s="2">
        <v>895274.72</v>
      </c>
      <c r="D4997">
        <v>0</v>
      </c>
      <c r="E4997" s="65">
        <v>72.93</v>
      </c>
      <c r="F4997" s="8">
        <v>3.834</v>
      </c>
      <c r="G4997" s="66">
        <v>142.3105933</v>
      </c>
      <c r="H4997" s="8">
        <v>8.839</v>
      </c>
      <c r="J4997" s="26"/>
      <c r="K4997"/>
    </row>
    <row r="4998" spans="1:11">
      <c r="A4998">
        <v>35</v>
      </c>
      <c r="B4998" s="64">
        <v>41152</v>
      </c>
      <c r="C4998" s="2">
        <v>931278.97</v>
      </c>
      <c r="D4998">
        <v>0</v>
      </c>
      <c r="E4998" s="65">
        <v>75</v>
      </c>
      <c r="F4998" s="8">
        <v>3.867</v>
      </c>
      <c r="G4998" s="66">
        <v>142.4054482</v>
      </c>
      <c r="H4998" s="8">
        <v>8.839</v>
      </c>
      <c r="J4998" s="26"/>
      <c r="K4998"/>
    </row>
    <row r="4999" spans="1:11">
      <c r="A4999">
        <v>35</v>
      </c>
      <c r="B4999" s="64">
        <v>41159</v>
      </c>
      <c r="C4999" s="2">
        <v>984833.35</v>
      </c>
      <c r="D4999">
        <v>1</v>
      </c>
      <c r="E4999" s="65">
        <v>76</v>
      </c>
      <c r="F4999" s="8">
        <v>3.911</v>
      </c>
      <c r="G4999" s="66">
        <v>142.500303</v>
      </c>
      <c r="H4999" s="8">
        <v>8.839</v>
      </c>
      <c r="J4999" s="26"/>
      <c r="K4999"/>
    </row>
    <row r="5000" spans="1:11">
      <c r="A5000">
        <v>35</v>
      </c>
      <c r="B5000" s="64">
        <v>41166</v>
      </c>
      <c r="C5000" s="2">
        <v>821568.64</v>
      </c>
      <c r="D5000">
        <v>0</v>
      </c>
      <c r="E5000" s="65">
        <v>68.72</v>
      </c>
      <c r="F5000" s="8">
        <v>3.948</v>
      </c>
      <c r="G5000" s="66">
        <v>142.5938833</v>
      </c>
      <c r="H5000" s="8">
        <v>8.839</v>
      </c>
      <c r="J5000" s="26"/>
      <c r="K5000"/>
    </row>
    <row r="5001" spans="1:11">
      <c r="A5001">
        <v>35</v>
      </c>
      <c r="B5001" s="64">
        <v>41173</v>
      </c>
      <c r="C5001" s="2">
        <v>772302.94</v>
      </c>
      <c r="D5001">
        <v>0</v>
      </c>
      <c r="E5001" s="65">
        <v>66.1</v>
      </c>
      <c r="F5001" s="8">
        <v>4.038</v>
      </c>
      <c r="G5001" s="66">
        <v>142.6798167</v>
      </c>
      <c r="H5001" s="8">
        <v>8.839</v>
      </c>
      <c r="J5001" s="26"/>
      <c r="K5001"/>
    </row>
    <row r="5002" spans="1:11">
      <c r="A5002">
        <v>35</v>
      </c>
      <c r="B5002" s="64">
        <v>41180</v>
      </c>
      <c r="C5002" s="2">
        <v>814099.86</v>
      </c>
      <c r="D5002">
        <v>0</v>
      </c>
      <c r="E5002" s="65">
        <v>64.92</v>
      </c>
      <c r="F5002" s="8">
        <v>3.997</v>
      </c>
      <c r="G5002" s="66">
        <v>142.76575</v>
      </c>
      <c r="H5002" s="8">
        <v>8.839</v>
      </c>
      <c r="J5002" s="26"/>
      <c r="K5002"/>
    </row>
    <row r="5003" spans="1:11">
      <c r="A5003">
        <v>35</v>
      </c>
      <c r="B5003" s="64">
        <v>41187</v>
      </c>
      <c r="C5003" s="2">
        <v>866064.4</v>
      </c>
      <c r="D5003">
        <v>0</v>
      </c>
      <c r="E5003" s="65">
        <v>64.5</v>
      </c>
      <c r="F5003" s="8">
        <v>3.985</v>
      </c>
      <c r="G5003" s="66">
        <v>142.8516833</v>
      </c>
      <c r="H5003" s="8">
        <v>8.665</v>
      </c>
      <c r="J5003" s="26"/>
      <c r="K5003"/>
    </row>
    <row r="5004" spans="1:11">
      <c r="A5004">
        <v>35</v>
      </c>
      <c r="B5004" s="64">
        <v>41194</v>
      </c>
      <c r="C5004" s="2">
        <v>873643.14</v>
      </c>
      <c r="D5004">
        <v>0</v>
      </c>
      <c r="E5004" s="65">
        <v>55.4</v>
      </c>
      <c r="F5004" s="8">
        <v>4</v>
      </c>
      <c r="G5004" s="66">
        <v>142.9376167</v>
      </c>
      <c r="H5004" s="8">
        <v>8.665</v>
      </c>
      <c r="J5004" s="26"/>
      <c r="K5004"/>
    </row>
    <row r="5005" spans="1:11">
      <c r="A5005">
        <v>35</v>
      </c>
      <c r="B5005" s="64">
        <v>41201</v>
      </c>
      <c r="C5005" s="2">
        <v>829284.67</v>
      </c>
      <c r="D5005">
        <v>0</v>
      </c>
      <c r="E5005" s="65">
        <v>56.53</v>
      </c>
      <c r="F5005" s="8">
        <v>3.969</v>
      </c>
      <c r="G5005" s="66">
        <v>142.8633629</v>
      </c>
      <c r="H5005" s="8">
        <v>8.665</v>
      </c>
      <c r="J5005" s="26"/>
      <c r="K5005"/>
    </row>
    <row r="5006" spans="1:11">
      <c r="A5006">
        <v>35</v>
      </c>
      <c r="B5006" s="64">
        <v>41208</v>
      </c>
      <c r="C5006" s="2">
        <v>865137.6</v>
      </c>
      <c r="D5006">
        <v>0</v>
      </c>
      <c r="E5006" s="65">
        <v>58.99</v>
      </c>
      <c r="F5006" s="8">
        <v>3.882</v>
      </c>
      <c r="G5006" s="66">
        <v>142.7624113</v>
      </c>
      <c r="H5006" s="8">
        <v>8.665</v>
      </c>
      <c r="J5006" s="26"/>
      <c r="K5006"/>
    </row>
    <row r="5007" spans="1:11">
      <c r="A5007">
        <v>36</v>
      </c>
      <c r="B5007" s="64">
        <v>40214</v>
      </c>
      <c r="C5007" s="2">
        <v>467546.74</v>
      </c>
      <c r="D5007">
        <v>0</v>
      </c>
      <c r="E5007" s="65">
        <v>45.97</v>
      </c>
      <c r="F5007" s="8">
        <v>2.545</v>
      </c>
      <c r="G5007" s="66">
        <v>209.8529663</v>
      </c>
      <c r="H5007" s="8">
        <v>8.554</v>
      </c>
      <c r="J5007" s="26"/>
      <c r="K5007"/>
    </row>
    <row r="5008" spans="1:11">
      <c r="A5008">
        <v>36</v>
      </c>
      <c r="B5008" s="64">
        <v>40221</v>
      </c>
      <c r="C5008" s="2">
        <v>469563.7</v>
      </c>
      <c r="D5008">
        <v>1</v>
      </c>
      <c r="E5008" s="65">
        <v>46.11</v>
      </c>
      <c r="F5008" s="8">
        <v>2.539</v>
      </c>
      <c r="G5008" s="66">
        <v>209.9970208</v>
      </c>
      <c r="H5008" s="8">
        <v>8.554</v>
      </c>
      <c r="J5008" s="26"/>
      <c r="K5008"/>
    </row>
    <row r="5009" spans="1:11">
      <c r="A5009">
        <v>36</v>
      </c>
      <c r="B5009" s="64">
        <v>40228</v>
      </c>
      <c r="C5009" s="2">
        <v>470281.03</v>
      </c>
      <c r="D5009">
        <v>0</v>
      </c>
      <c r="E5009" s="65">
        <v>45.66</v>
      </c>
      <c r="F5009" s="8">
        <v>2.472</v>
      </c>
      <c r="G5009" s="66">
        <v>210.0451024</v>
      </c>
      <c r="H5009" s="8">
        <v>8.554</v>
      </c>
      <c r="J5009" s="26"/>
      <c r="K5009"/>
    </row>
    <row r="5010" spans="1:11">
      <c r="A5010">
        <v>36</v>
      </c>
      <c r="B5010" s="64">
        <v>40235</v>
      </c>
      <c r="C5010" s="2">
        <v>447519.44</v>
      </c>
      <c r="D5010">
        <v>0</v>
      </c>
      <c r="E5010" s="65">
        <v>50.87</v>
      </c>
      <c r="F5010" s="8">
        <v>2.52</v>
      </c>
      <c r="G5010" s="66">
        <v>210.0771885</v>
      </c>
      <c r="H5010" s="8">
        <v>8.554</v>
      </c>
      <c r="J5010" s="26"/>
      <c r="K5010"/>
    </row>
    <row r="5011" spans="1:11">
      <c r="A5011">
        <v>36</v>
      </c>
      <c r="B5011" s="64">
        <v>40242</v>
      </c>
      <c r="C5011" s="2">
        <v>480203.43</v>
      </c>
      <c r="D5011">
        <v>0</v>
      </c>
      <c r="E5011" s="65">
        <v>51.33</v>
      </c>
      <c r="F5011" s="8">
        <v>2.574</v>
      </c>
      <c r="G5011" s="66">
        <v>210.1092746</v>
      </c>
      <c r="H5011" s="8">
        <v>8.554</v>
      </c>
      <c r="J5011" s="26"/>
      <c r="K5011"/>
    </row>
    <row r="5012" spans="1:11">
      <c r="A5012">
        <v>36</v>
      </c>
      <c r="B5012" s="64">
        <v>40249</v>
      </c>
      <c r="C5012" s="2">
        <v>441434.2</v>
      </c>
      <c r="D5012">
        <v>0</v>
      </c>
      <c r="E5012" s="65">
        <v>61.96</v>
      </c>
      <c r="F5012" s="8">
        <v>2.619</v>
      </c>
      <c r="G5012" s="66">
        <v>210.1413607</v>
      </c>
      <c r="H5012" s="8">
        <v>8.554</v>
      </c>
      <c r="J5012" s="26"/>
      <c r="K5012"/>
    </row>
    <row r="5013" spans="1:11">
      <c r="A5013">
        <v>36</v>
      </c>
      <c r="B5013" s="64">
        <v>40256</v>
      </c>
      <c r="C5013" s="2">
        <v>428851.99</v>
      </c>
      <c r="D5013">
        <v>0</v>
      </c>
      <c r="E5013" s="65">
        <v>59.56</v>
      </c>
      <c r="F5013" s="8">
        <v>2.701</v>
      </c>
      <c r="G5013" s="66">
        <v>209.9803208</v>
      </c>
      <c r="H5013" s="8">
        <v>8.554</v>
      </c>
      <c r="J5013" s="26"/>
      <c r="K5013"/>
    </row>
    <row r="5014" spans="1:11">
      <c r="A5014">
        <v>36</v>
      </c>
      <c r="B5014" s="64">
        <v>40263</v>
      </c>
      <c r="C5014" s="2">
        <v>404438.51</v>
      </c>
      <c r="D5014">
        <v>0</v>
      </c>
      <c r="E5014" s="65">
        <v>55.76</v>
      </c>
      <c r="F5014" s="8">
        <v>2.711</v>
      </c>
      <c r="G5014" s="66">
        <v>209.7870932</v>
      </c>
      <c r="H5014" s="8">
        <v>8.554</v>
      </c>
      <c r="J5014" s="26"/>
      <c r="K5014"/>
    </row>
    <row r="5015" spans="1:11">
      <c r="A5015">
        <v>36</v>
      </c>
      <c r="B5015" s="64">
        <v>40270</v>
      </c>
      <c r="C5015" s="2">
        <v>435972.82</v>
      </c>
      <c r="D5015">
        <v>0</v>
      </c>
      <c r="E5015" s="65">
        <v>63.43</v>
      </c>
      <c r="F5015" s="8">
        <v>2.708</v>
      </c>
      <c r="G5015" s="66">
        <v>209.5938656</v>
      </c>
      <c r="H5015" s="8">
        <v>8.464</v>
      </c>
      <c r="J5015" s="26"/>
      <c r="K5015"/>
    </row>
    <row r="5016" spans="1:11">
      <c r="A5016">
        <v>36</v>
      </c>
      <c r="B5016" s="64">
        <v>40277</v>
      </c>
      <c r="C5016" s="2">
        <v>453016.91</v>
      </c>
      <c r="D5016">
        <v>0</v>
      </c>
      <c r="E5016" s="65">
        <v>68.54</v>
      </c>
      <c r="F5016" s="8">
        <v>2.743</v>
      </c>
      <c r="G5016" s="66">
        <v>209.400638</v>
      </c>
      <c r="H5016" s="8">
        <v>8.464</v>
      </c>
      <c r="J5016" s="26"/>
      <c r="K5016"/>
    </row>
    <row r="5017" spans="1:11">
      <c r="A5017">
        <v>36</v>
      </c>
      <c r="B5017" s="64">
        <v>40284</v>
      </c>
      <c r="C5017" s="2">
        <v>483699.56</v>
      </c>
      <c r="D5017">
        <v>0</v>
      </c>
      <c r="E5017" s="65">
        <v>66.74</v>
      </c>
      <c r="F5017" s="8">
        <v>2.769</v>
      </c>
      <c r="G5017" s="66">
        <v>209.2691428</v>
      </c>
      <c r="H5017" s="8">
        <v>8.464</v>
      </c>
      <c r="J5017" s="26"/>
      <c r="K5017"/>
    </row>
    <row r="5018" spans="1:11">
      <c r="A5018">
        <v>36</v>
      </c>
      <c r="B5018" s="64">
        <v>40291</v>
      </c>
      <c r="C5018" s="2">
        <v>434116.8</v>
      </c>
      <c r="D5018">
        <v>0</v>
      </c>
      <c r="E5018" s="65">
        <v>68.03</v>
      </c>
      <c r="F5018" s="8">
        <v>2.762</v>
      </c>
      <c r="G5018" s="66">
        <v>209.2199574</v>
      </c>
      <c r="H5018" s="8">
        <v>8.464</v>
      </c>
      <c r="J5018" s="26"/>
      <c r="K5018"/>
    </row>
    <row r="5019" spans="1:11">
      <c r="A5019">
        <v>36</v>
      </c>
      <c r="B5019" s="64">
        <v>40298</v>
      </c>
      <c r="C5019" s="2">
        <v>457899.64</v>
      </c>
      <c r="D5019">
        <v>0</v>
      </c>
      <c r="E5019" s="65">
        <v>70.9</v>
      </c>
      <c r="F5019" s="8">
        <v>2.725</v>
      </c>
      <c r="G5019" s="66">
        <v>209.170772</v>
      </c>
      <c r="H5019" s="8">
        <v>8.464</v>
      </c>
      <c r="J5019" s="26"/>
      <c r="K5019"/>
    </row>
    <row r="5020" spans="1:11">
      <c r="A5020">
        <v>36</v>
      </c>
      <c r="B5020" s="64">
        <v>40305</v>
      </c>
      <c r="C5020" s="2">
        <v>489372.02</v>
      </c>
      <c r="D5020">
        <v>0</v>
      </c>
      <c r="E5020" s="65">
        <v>75.56</v>
      </c>
      <c r="F5020" s="8">
        <v>2.786</v>
      </c>
      <c r="G5020" s="66">
        <v>209.1215867</v>
      </c>
      <c r="H5020" s="8">
        <v>8.464</v>
      </c>
      <c r="J5020" s="26"/>
      <c r="K5020"/>
    </row>
    <row r="5021" spans="1:11">
      <c r="A5021">
        <v>36</v>
      </c>
      <c r="B5021" s="64">
        <v>40312</v>
      </c>
      <c r="C5021" s="2">
        <v>476733.74</v>
      </c>
      <c r="D5021">
        <v>0</v>
      </c>
      <c r="E5021" s="65">
        <v>77.53</v>
      </c>
      <c r="F5021" s="8">
        <v>2.805</v>
      </c>
      <c r="G5021" s="66">
        <v>209.118536</v>
      </c>
      <c r="H5021" s="8">
        <v>8.464</v>
      </c>
      <c r="J5021" s="26"/>
      <c r="K5021"/>
    </row>
    <row r="5022" spans="1:11">
      <c r="A5022">
        <v>36</v>
      </c>
      <c r="B5022" s="64">
        <v>40319</v>
      </c>
      <c r="C5022" s="2">
        <v>474917.98</v>
      </c>
      <c r="D5022">
        <v>0</v>
      </c>
      <c r="E5022" s="65">
        <v>77.34</v>
      </c>
      <c r="F5022" s="8">
        <v>2.767</v>
      </c>
      <c r="G5022" s="66">
        <v>209.3922937</v>
      </c>
      <c r="H5022" s="8">
        <v>8.464</v>
      </c>
      <c r="J5022" s="26"/>
      <c r="K5022"/>
    </row>
    <row r="5023" spans="1:11">
      <c r="A5023">
        <v>36</v>
      </c>
      <c r="B5023" s="64">
        <v>40326</v>
      </c>
      <c r="C5023" s="2">
        <v>447050.42</v>
      </c>
      <c r="D5023">
        <v>0</v>
      </c>
      <c r="E5023" s="65">
        <v>80.87</v>
      </c>
      <c r="F5023" s="8">
        <v>2.716</v>
      </c>
      <c r="G5023" s="66">
        <v>209.6660514</v>
      </c>
      <c r="H5023" s="8">
        <v>8.464</v>
      </c>
      <c r="J5023" s="26"/>
      <c r="K5023"/>
    </row>
    <row r="5024" spans="1:11">
      <c r="A5024">
        <v>36</v>
      </c>
      <c r="B5024" s="64">
        <v>40333</v>
      </c>
      <c r="C5024" s="2">
        <v>471088.88</v>
      </c>
      <c r="D5024">
        <v>0</v>
      </c>
      <c r="E5024" s="65">
        <v>79.93</v>
      </c>
      <c r="F5024" s="8">
        <v>2.664</v>
      </c>
      <c r="G5024" s="66">
        <v>209.9398091</v>
      </c>
      <c r="H5024" s="8">
        <v>8.464</v>
      </c>
      <c r="J5024" s="26"/>
      <c r="K5024"/>
    </row>
    <row r="5025" spans="1:11">
      <c r="A5025">
        <v>36</v>
      </c>
      <c r="B5025" s="64">
        <v>40340</v>
      </c>
      <c r="C5025" s="2">
        <v>467711.18</v>
      </c>
      <c r="D5025">
        <v>0</v>
      </c>
      <c r="E5025" s="65">
        <v>82.3</v>
      </c>
      <c r="F5025" s="8">
        <v>2.615</v>
      </c>
      <c r="G5025" s="66">
        <v>210.2135668</v>
      </c>
      <c r="H5025" s="8">
        <v>8.464</v>
      </c>
      <c r="J5025" s="26"/>
      <c r="K5025"/>
    </row>
    <row r="5026" spans="1:11">
      <c r="A5026">
        <v>36</v>
      </c>
      <c r="B5026" s="64">
        <v>40347</v>
      </c>
      <c r="C5026" s="2">
        <v>485694.72</v>
      </c>
      <c r="D5026">
        <v>0</v>
      </c>
      <c r="E5026" s="65">
        <v>84.37</v>
      </c>
      <c r="F5026" s="8">
        <v>2.572</v>
      </c>
      <c r="G5026" s="66">
        <v>210.2108417</v>
      </c>
      <c r="H5026" s="8">
        <v>8.464</v>
      </c>
      <c r="J5026" s="26"/>
      <c r="K5026"/>
    </row>
    <row r="5027" spans="1:11">
      <c r="A5027">
        <v>36</v>
      </c>
      <c r="B5027" s="64">
        <v>40354</v>
      </c>
      <c r="C5027" s="2">
        <v>434879.87</v>
      </c>
      <c r="D5027">
        <v>0</v>
      </c>
      <c r="E5027" s="65">
        <v>84.14</v>
      </c>
      <c r="F5027" s="8">
        <v>2.601</v>
      </c>
      <c r="G5027" s="66">
        <v>210.0975233</v>
      </c>
      <c r="H5027" s="8">
        <v>8.464</v>
      </c>
      <c r="J5027" s="26"/>
      <c r="K5027"/>
    </row>
    <row r="5028" spans="1:11">
      <c r="A5028">
        <v>36</v>
      </c>
      <c r="B5028" s="64">
        <v>40361</v>
      </c>
      <c r="C5028" s="2">
        <v>434252.15</v>
      </c>
      <c r="D5028">
        <v>0</v>
      </c>
      <c r="E5028" s="65">
        <v>81.85</v>
      </c>
      <c r="F5028" s="8">
        <v>2.606</v>
      </c>
      <c r="G5028" s="66">
        <v>209.984205</v>
      </c>
      <c r="H5028" s="8">
        <v>8.36</v>
      </c>
      <c r="J5028" s="26"/>
      <c r="K5028"/>
    </row>
    <row r="5029" spans="1:11">
      <c r="A5029">
        <v>36</v>
      </c>
      <c r="B5029" s="64">
        <v>40368</v>
      </c>
      <c r="C5029" s="2">
        <v>471713.59</v>
      </c>
      <c r="D5029">
        <v>0</v>
      </c>
      <c r="E5029" s="65">
        <v>81.74</v>
      </c>
      <c r="F5029" s="8">
        <v>2.596</v>
      </c>
      <c r="G5029" s="66">
        <v>209.8708867</v>
      </c>
      <c r="H5029" s="8">
        <v>8.36</v>
      </c>
      <c r="J5029" s="26"/>
      <c r="K5029"/>
    </row>
    <row r="5030" spans="1:11">
      <c r="A5030">
        <v>36</v>
      </c>
      <c r="B5030" s="64">
        <v>40375</v>
      </c>
      <c r="C5030" s="2">
        <v>466962.04</v>
      </c>
      <c r="D5030">
        <v>0</v>
      </c>
      <c r="E5030" s="65">
        <v>84.43</v>
      </c>
      <c r="F5030" s="8">
        <v>2.561</v>
      </c>
      <c r="G5030" s="66">
        <v>209.8630532</v>
      </c>
      <c r="H5030" s="8">
        <v>8.36</v>
      </c>
      <c r="J5030" s="26"/>
      <c r="K5030"/>
    </row>
    <row r="5031" spans="1:11">
      <c r="A5031">
        <v>36</v>
      </c>
      <c r="B5031" s="64">
        <v>40382</v>
      </c>
      <c r="C5031" s="2">
        <v>452021.2</v>
      </c>
      <c r="D5031">
        <v>0</v>
      </c>
      <c r="E5031" s="65">
        <v>82.6</v>
      </c>
      <c r="F5031" s="8">
        <v>2.542</v>
      </c>
      <c r="G5031" s="66">
        <v>209.9958663</v>
      </c>
      <c r="H5031" s="8">
        <v>8.36</v>
      </c>
      <c r="J5031" s="26"/>
      <c r="K5031"/>
    </row>
    <row r="5032" spans="1:11">
      <c r="A5032">
        <v>36</v>
      </c>
      <c r="B5032" s="64">
        <v>40389</v>
      </c>
      <c r="C5032" s="2">
        <v>432451.91</v>
      </c>
      <c r="D5032">
        <v>0</v>
      </c>
      <c r="E5032" s="65">
        <v>81.88</v>
      </c>
      <c r="F5032" s="8">
        <v>2.602</v>
      </c>
      <c r="G5032" s="66">
        <v>210.1286794</v>
      </c>
      <c r="H5032" s="8">
        <v>8.36</v>
      </c>
      <c r="J5032" s="26"/>
      <c r="K5032"/>
    </row>
    <row r="5033" spans="1:11">
      <c r="A5033">
        <v>36</v>
      </c>
      <c r="B5033" s="64">
        <v>40396</v>
      </c>
      <c r="C5033" s="2">
        <v>467442.94</v>
      </c>
      <c r="D5033">
        <v>0</v>
      </c>
      <c r="E5033" s="65">
        <v>85.49</v>
      </c>
      <c r="F5033" s="8">
        <v>2.573</v>
      </c>
      <c r="G5033" s="66">
        <v>210.2614925</v>
      </c>
      <c r="H5033" s="8">
        <v>8.36</v>
      </c>
      <c r="J5033" s="26"/>
      <c r="K5033"/>
    </row>
    <row r="5034" spans="1:11">
      <c r="A5034">
        <v>36</v>
      </c>
      <c r="B5034" s="64">
        <v>40403</v>
      </c>
      <c r="C5034" s="2">
        <v>470436.8</v>
      </c>
      <c r="D5034">
        <v>0</v>
      </c>
      <c r="E5034" s="65">
        <v>86.06</v>
      </c>
      <c r="F5034" s="8">
        <v>2.644</v>
      </c>
      <c r="G5034" s="66">
        <v>210.3943056</v>
      </c>
      <c r="H5034" s="8">
        <v>8.36</v>
      </c>
      <c r="J5034" s="26"/>
      <c r="K5034"/>
    </row>
    <row r="5035" spans="1:11">
      <c r="A5035">
        <v>36</v>
      </c>
      <c r="B5035" s="64">
        <v>40410</v>
      </c>
      <c r="C5035" s="2">
        <v>437949.9</v>
      </c>
      <c r="D5035">
        <v>0</v>
      </c>
      <c r="E5035" s="65">
        <v>85.54</v>
      </c>
      <c r="F5035" s="8">
        <v>2.604</v>
      </c>
      <c r="G5035" s="66">
        <v>210.3617581</v>
      </c>
      <c r="H5035" s="8">
        <v>8.36</v>
      </c>
      <c r="J5035" s="26"/>
      <c r="K5035"/>
    </row>
    <row r="5036" spans="1:11">
      <c r="A5036">
        <v>36</v>
      </c>
      <c r="B5036" s="64">
        <v>40417</v>
      </c>
      <c r="C5036" s="2">
        <v>412050.73</v>
      </c>
      <c r="D5036">
        <v>0</v>
      </c>
      <c r="E5036" s="65">
        <v>84.62</v>
      </c>
      <c r="F5036" s="8">
        <v>2.562</v>
      </c>
      <c r="G5036" s="66">
        <v>210.3292106</v>
      </c>
      <c r="H5036" s="8">
        <v>8.36</v>
      </c>
      <c r="J5036" s="26"/>
      <c r="K5036"/>
    </row>
    <row r="5037" spans="1:11">
      <c r="A5037">
        <v>36</v>
      </c>
      <c r="B5037" s="64">
        <v>40424</v>
      </c>
      <c r="C5037" s="2">
        <v>431294.45</v>
      </c>
      <c r="D5037">
        <v>0</v>
      </c>
      <c r="E5037" s="65">
        <v>82.29</v>
      </c>
      <c r="F5037" s="8">
        <v>2.533</v>
      </c>
      <c r="G5037" s="66">
        <v>210.2966631</v>
      </c>
      <c r="H5037" s="8">
        <v>8.36</v>
      </c>
      <c r="J5037" s="26"/>
      <c r="K5037"/>
    </row>
    <row r="5038" spans="1:11">
      <c r="A5038">
        <v>36</v>
      </c>
      <c r="B5038" s="64">
        <v>40431</v>
      </c>
      <c r="C5038" s="2">
        <v>434471.38</v>
      </c>
      <c r="D5038">
        <v>1</v>
      </c>
      <c r="E5038" s="65">
        <v>80.58</v>
      </c>
      <c r="F5038" s="8">
        <v>2.513</v>
      </c>
      <c r="G5038" s="66">
        <v>210.2641156</v>
      </c>
      <c r="H5038" s="8">
        <v>8.36</v>
      </c>
      <c r="J5038" s="26"/>
      <c r="K5038"/>
    </row>
    <row r="5039" spans="1:11">
      <c r="A5039">
        <v>36</v>
      </c>
      <c r="B5039" s="64">
        <v>40438</v>
      </c>
      <c r="C5039" s="2">
        <v>454694.21</v>
      </c>
      <c r="D5039">
        <v>0</v>
      </c>
      <c r="E5039" s="65">
        <v>82.1</v>
      </c>
      <c r="F5039" s="8">
        <v>2.55</v>
      </c>
      <c r="G5039" s="66">
        <v>210.2924504</v>
      </c>
      <c r="H5039" s="8">
        <v>8.36</v>
      </c>
      <c r="J5039" s="26"/>
      <c r="K5039"/>
    </row>
    <row r="5040" spans="1:11">
      <c r="A5040">
        <v>36</v>
      </c>
      <c r="B5040" s="64">
        <v>40445</v>
      </c>
      <c r="C5040" s="2">
        <v>419348.59</v>
      </c>
      <c r="D5040">
        <v>0</v>
      </c>
      <c r="E5040" s="65">
        <v>79.17</v>
      </c>
      <c r="F5040" s="8">
        <v>2.578</v>
      </c>
      <c r="G5040" s="66">
        <v>210.3664469</v>
      </c>
      <c r="H5040" s="8">
        <v>8.36</v>
      </c>
      <c r="J5040" s="26"/>
      <c r="K5040"/>
    </row>
    <row r="5041" spans="1:11">
      <c r="A5041">
        <v>36</v>
      </c>
      <c r="B5041" s="64">
        <v>40452</v>
      </c>
      <c r="C5041" s="2">
        <v>422169.47</v>
      </c>
      <c r="D5041">
        <v>0</v>
      </c>
      <c r="E5041" s="65">
        <v>74.66</v>
      </c>
      <c r="F5041" s="8">
        <v>2.567</v>
      </c>
      <c r="G5041" s="66">
        <v>210.4404433</v>
      </c>
      <c r="H5041" s="8">
        <v>8.476</v>
      </c>
      <c r="J5041" s="26"/>
      <c r="K5041"/>
    </row>
    <row r="5042" spans="1:11">
      <c r="A5042">
        <v>36</v>
      </c>
      <c r="B5042" s="64">
        <v>40459</v>
      </c>
      <c r="C5042" s="2">
        <v>444351.61</v>
      </c>
      <c r="D5042">
        <v>0</v>
      </c>
      <c r="E5042" s="65">
        <v>66.34</v>
      </c>
      <c r="F5042" s="8">
        <v>2.595</v>
      </c>
      <c r="G5042" s="66">
        <v>210.5144398</v>
      </c>
      <c r="H5042" s="8">
        <v>8.476</v>
      </c>
      <c r="J5042" s="26"/>
      <c r="K5042"/>
    </row>
    <row r="5043" spans="1:11">
      <c r="A5043">
        <v>36</v>
      </c>
      <c r="B5043" s="64">
        <v>40466</v>
      </c>
      <c r="C5043" s="2">
        <v>453308.15</v>
      </c>
      <c r="D5043">
        <v>0</v>
      </c>
      <c r="E5043" s="65">
        <v>71.57</v>
      </c>
      <c r="F5043" s="8">
        <v>2.705</v>
      </c>
      <c r="G5043" s="66">
        <v>210.5805944</v>
      </c>
      <c r="H5043" s="8">
        <v>8.476</v>
      </c>
      <c r="J5043" s="26"/>
      <c r="K5043"/>
    </row>
    <row r="5044" spans="1:11">
      <c r="A5044">
        <v>36</v>
      </c>
      <c r="B5044" s="64">
        <v>40473</v>
      </c>
      <c r="C5044" s="2">
        <v>424956.3</v>
      </c>
      <c r="D5044">
        <v>0</v>
      </c>
      <c r="E5044" s="65">
        <v>72.24</v>
      </c>
      <c r="F5044" s="8">
        <v>2.698</v>
      </c>
      <c r="G5044" s="66">
        <v>210.6271444</v>
      </c>
      <c r="H5044" s="8">
        <v>8.476</v>
      </c>
      <c r="J5044" s="26"/>
      <c r="K5044"/>
    </row>
    <row r="5045" spans="1:11">
      <c r="A5045">
        <v>36</v>
      </c>
      <c r="B5045" s="64">
        <v>40480</v>
      </c>
      <c r="C5045" s="2">
        <v>392654.26</v>
      </c>
      <c r="D5045">
        <v>0</v>
      </c>
      <c r="E5045" s="65">
        <v>76.22</v>
      </c>
      <c r="F5045" s="8">
        <v>2.68</v>
      </c>
      <c r="G5045" s="66">
        <v>210.6736944</v>
      </c>
      <c r="H5045" s="8">
        <v>8.476</v>
      </c>
      <c r="J5045" s="26"/>
      <c r="K5045"/>
    </row>
    <row r="5046" spans="1:11">
      <c r="A5046">
        <v>36</v>
      </c>
      <c r="B5046" s="64">
        <v>40487</v>
      </c>
      <c r="C5046" s="2">
        <v>405860.37</v>
      </c>
      <c r="D5046">
        <v>0</v>
      </c>
      <c r="E5046" s="65">
        <v>62.72</v>
      </c>
      <c r="F5046" s="8">
        <v>2.655</v>
      </c>
      <c r="G5046" s="66">
        <v>210.7202444</v>
      </c>
      <c r="H5046" s="8">
        <v>8.476</v>
      </c>
      <c r="J5046" s="26"/>
      <c r="K5046"/>
    </row>
    <row r="5047" spans="1:11">
      <c r="A5047">
        <v>36</v>
      </c>
      <c r="B5047" s="64">
        <v>40494</v>
      </c>
      <c r="C5047" s="2">
        <v>425804.8</v>
      </c>
      <c r="D5047">
        <v>0</v>
      </c>
      <c r="E5047" s="65">
        <v>61.97</v>
      </c>
      <c r="F5047" s="8">
        <v>2.705</v>
      </c>
      <c r="G5047" s="66">
        <v>210.7667944</v>
      </c>
      <c r="H5047" s="8">
        <v>8.476</v>
      </c>
      <c r="J5047" s="26"/>
      <c r="K5047"/>
    </row>
    <row r="5048" spans="1:11">
      <c r="A5048">
        <v>36</v>
      </c>
      <c r="B5048" s="64">
        <v>40501</v>
      </c>
      <c r="C5048" s="2">
        <v>411615.71</v>
      </c>
      <c r="D5048">
        <v>0</v>
      </c>
      <c r="E5048" s="65">
        <v>56.73</v>
      </c>
      <c r="F5048" s="8">
        <v>2.741</v>
      </c>
      <c r="G5048" s="66">
        <v>210.65429</v>
      </c>
      <c r="H5048" s="8">
        <v>8.476</v>
      </c>
      <c r="J5048" s="26"/>
      <c r="K5048"/>
    </row>
    <row r="5049" spans="1:11">
      <c r="A5049">
        <v>36</v>
      </c>
      <c r="B5049" s="64">
        <v>40508</v>
      </c>
      <c r="C5049" s="2">
        <v>408891.49</v>
      </c>
      <c r="D5049">
        <v>1</v>
      </c>
      <c r="E5049" s="65">
        <v>67.73</v>
      </c>
      <c r="F5049" s="8">
        <v>2.725</v>
      </c>
      <c r="G5049" s="66">
        <v>210.5152765</v>
      </c>
      <c r="H5049" s="8">
        <v>8.476</v>
      </c>
      <c r="J5049" s="26"/>
      <c r="K5049"/>
    </row>
    <row r="5050" spans="1:11">
      <c r="A5050">
        <v>36</v>
      </c>
      <c r="B5050" s="64">
        <v>40515</v>
      </c>
      <c r="C5050" s="2">
        <v>360266.09</v>
      </c>
      <c r="D5050">
        <v>0</v>
      </c>
      <c r="E5050" s="65">
        <v>54.44</v>
      </c>
      <c r="F5050" s="8">
        <v>2.694</v>
      </c>
      <c r="G5050" s="66">
        <v>210.376263</v>
      </c>
      <c r="H5050" s="8">
        <v>8.476</v>
      </c>
      <c r="J5050" s="26"/>
      <c r="K5050"/>
    </row>
    <row r="5051" spans="1:11">
      <c r="A5051">
        <v>36</v>
      </c>
      <c r="B5051" s="64">
        <v>40522</v>
      </c>
      <c r="C5051" s="2">
        <v>404545.03</v>
      </c>
      <c r="D5051">
        <v>0</v>
      </c>
      <c r="E5051" s="65">
        <v>51.83</v>
      </c>
      <c r="F5051" s="8">
        <v>2.813</v>
      </c>
      <c r="G5051" s="66">
        <v>210.2372494</v>
      </c>
      <c r="H5051" s="8">
        <v>8.476</v>
      </c>
      <c r="J5051" s="26"/>
      <c r="K5051"/>
    </row>
    <row r="5052" spans="1:11">
      <c r="A5052">
        <v>36</v>
      </c>
      <c r="B5052" s="64">
        <v>40529</v>
      </c>
      <c r="C5052" s="2">
        <v>410214.7</v>
      </c>
      <c r="D5052">
        <v>0</v>
      </c>
      <c r="E5052" s="65">
        <v>56.73</v>
      </c>
      <c r="F5052" s="8">
        <v>2.852</v>
      </c>
      <c r="G5052" s="66">
        <v>210.1787224</v>
      </c>
      <c r="H5052" s="8">
        <v>8.476</v>
      </c>
      <c r="J5052" s="26"/>
      <c r="K5052"/>
    </row>
    <row r="5053" spans="1:11">
      <c r="A5053">
        <v>36</v>
      </c>
      <c r="B5053" s="64">
        <v>40536</v>
      </c>
      <c r="C5053" s="2">
        <v>422093.59</v>
      </c>
      <c r="D5053">
        <v>0</v>
      </c>
      <c r="E5053" s="65">
        <v>59.1</v>
      </c>
      <c r="F5053" s="8">
        <v>2.863</v>
      </c>
      <c r="G5053" s="66">
        <v>210.1805602</v>
      </c>
      <c r="H5053" s="8">
        <v>8.476</v>
      </c>
      <c r="J5053" s="26"/>
      <c r="K5053"/>
    </row>
    <row r="5054" spans="1:11">
      <c r="A5054">
        <v>36</v>
      </c>
      <c r="B5054" s="64">
        <v>40543</v>
      </c>
      <c r="C5054" s="2">
        <v>359310.65</v>
      </c>
      <c r="D5054">
        <v>1</v>
      </c>
      <c r="E5054" s="65">
        <v>52.88</v>
      </c>
      <c r="F5054" s="8">
        <v>2.949</v>
      </c>
      <c r="G5054" s="66">
        <v>210.182398</v>
      </c>
      <c r="H5054" s="8">
        <v>8.476</v>
      </c>
      <c r="J5054" s="26"/>
      <c r="K5054"/>
    </row>
    <row r="5055" spans="1:11">
      <c r="A5055">
        <v>36</v>
      </c>
      <c r="B5055" s="64">
        <v>40550</v>
      </c>
      <c r="C5055" s="2">
        <v>384659.85</v>
      </c>
      <c r="D5055">
        <v>0</v>
      </c>
      <c r="E5055" s="65">
        <v>54.11</v>
      </c>
      <c r="F5055" s="8">
        <v>2.942</v>
      </c>
      <c r="G5055" s="66">
        <v>210.1842358</v>
      </c>
      <c r="H5055" s="8">
        <v>8.395</v>
      </c>
      <c r="J5055" s="26"/>
      <c r="K5055"/>
    </row>
    <row r="5056" spans="1:11">
      <c r="A5056">
        <v>36</v>
      </c>
      <c r="B5056" s="64">
        <v>40557</v>
      </c>
      <c r="C5056" s="2">
        <v>410497.73</v>
      </c>
      <c r="D5056">
        <v>0</v>
      </c>
      <c r="E5056" s="65">
        <v>42.87</v>
      </c>
      <c r="F5056" s="8">
        <v>2.971</v>
      </c>
      <c r="G5056" s="66">
        <v>210.2379731</v>
      </c>
      <c r="H5056" s="8">
        <v>8.395</v>
      </c>
      <c r="J5056" s="26"/>
      <c r="K5056"/>
    </row>
    <row r="5057" spans="1:11">
      <c r="A5057">
        <v>36</v>
      </c>
      <c r="B5057" s="64">
        <v>40564</v>
      </c>
      <c r="C5057" s="2">
        <v>399191.05</v>
      </c>
      <c r="D5057">
        <v>0</v>
      </c>
      <c r="E5057" s="65">
        <v>51.18</v>
      </c>
      <c r="F5057" s="8">
        <v>2.98</v>
      </c>
      <c r="G5057" s="66">
        <v>210.6031072</v>
      </c>
      <c r="H5057" s="8">
        <v>8.395</v>
      </c>
      <c r="J5057" s="26"/>
      <c r="K5057"/>
    </row>
    <row r="5058" spans="1:11">
      <c r="A5058">
        <v>36</v>
      </c>
      <c r="B5058" s="64">
        <v>40571</v>
      </c>
      <c r="C5058" s="2">
        <v>372174.12</v>
      </c>
      <c r="D5058">
        <v>0</v>
      </c>
      <c r="E5058" s="65">
        <v>48.74</v>
      </c>
      <c r="F5058" s="8">
        <v>2.995</v>
      </c>
      <c r="G5058" s="66">
        <v>210.9682412</v>
      </c>
      <c r="H5058" s="8">
        <v>8.395</v>
      </c>
      <c r="J5058" s="26"/>
      <c r="K5058"/>
    </row>
    <row r="5059" spans="1:11">
      <c r="A5059">
        <v>36</v>
      </c>
      <c r="B5059" s="64">
        <v>40578</v>
      </c>
      <c r="C5059" s="2">
        <v>417521.7</v>
      </c>
      <c r="D5059">
        <v>0</v>
      </c>
      <c r="E5059" s="65">
        <v>46.68</v>
      </c>
      <c r="F5059" s="8">
        <v>2.98</v>
      </c>
      <c r="G5059" s="66">
        <v>211.3333753</v>
      </c>
      <c r="H5059" s="8">
        <v>8.395</v>
      </c>
      <c r="J5059" s="26"/>
      <c r="K5059"/>
    </row>
    <row r="5060" spans="1:11">
      <c r="A5060">
        <v>36</v>
      </c>
      <c r="B5060" s="64">
        <v>40585</v>
      </c>
      <c r="C5060" s="2">
        <v>401501.2</v>
      </c>
      <c r="D5060">
        <v>1</v>
      </c>
      <c r="E5060" s="65">
        <v>41.16</v>
      </c>
      <c r="F5060" s="8">
        <v>3.009</v>
      </c>
      <c r="G5060" s="66">
        <v>211.6985093</v>
      </c>
      <c r="H5060" s="8">
        <v>8.395</v>
      </c>
      <c r="J5060" s="26"/>
      <c r="K5060"/>
    </row>
    <row r="5061" spans="1:11">
      <c r="A5061">
        <v>36</v>
      </c>
      <c r="B5061" s="64">
        <v>40592</v>
      </c>
      <c r="C5061" s="2">
        <v>427175.03</v>
      </c>
      <c r="D5061">
        <v>0</v>
      </c>
      <c r="E5061" s="65">
        <v>57.48</v>
      </c>
      <c r="F5061" s="8">
        <v>3.017</v>
      </c>
      <c r="G5061" s="66">
        <v>212.0063522</v>
      </c>
      <c r="H5061" s="8">
        <v>8.395</v>
      </c>
      <c r="J5061" s="26"/>
      <c r="K5061"/>
    </row>
    <row r="5062" spans="1:11">
      <c r="A5062">
        <v>36</v>
      </c>
      <c r="B5062" s="64">
        <v>40599</v>
      </c>
      <c r="C5062" s="2">
        <v>380279.44</v>
      </c>
      <c r="D5062">
        <v>0</v>
      </c>
      <c r="E5062" s="65">
        <v>67.73</v>
      </c>
      <c r="F5062" s="8">
        <v>3.053</v>
      </c>
      <c r="G5062" s="66">
        <v>212.2912786</v>
      </c>
      <c r="H5062" s="8">
        <v>8.395</v>
      </c>
      <c r="J5062" s="26"/>
      <c r="K5062"/>
    </row>
    <row r="5063" spans="1:11">
      <c r="A5063">
        <v>36</v>
      </c>
      <c r="B5063" s="64">
        <v>40606</v>
      </c>
      <c r="C5063" s="2">
        <v>402579.84</v>
      </c>
      <c r="D5063">
        <v>0</v>
      </c>
      <c r="E5063" s="65">
        <v>64.55</v>
      </c>
      <c r="F5063" s="8">
        <v>3.282</v>
      </c>
      <c r="G5063" s="66">
        <v>212.576205</v>
      </c>
      <c r="H5063" s="8">
        <v>8.395</v>
      </c>
      <c r="J5063" s="26"/>
      <c r="K5063"/>
    </row>
    <row r="5064" spans="1:11">
      <c r="A5064">
        <v>36</v>
      </c>
      <c r="B5064" s="64">
        <v>40613</v>
      </c>
      <c r="C5064" s="2">
        <v>407506.78</v>
      </c>
      <c r="D5064">
        <v>0</v>
      </c>
      <c r="E5064" s="65">
        <v>59.15</v>
      </c>
      <c r="F5064" s="8">
        <v>3.448</v>
      </c>
      <c r="G5064" s="66">
        <v>212.8611313</v>
      </c>
      <c r="H5064" s="8">
        <v>8.395</v>
      </c>
      <c r="J5064" s="26"/>
      <c r="K5064"/>
    </row>
    <row r="5065" spans="1:11">
      <c r="A5065">
        <v>36</v>
      </c>
      <c r="B5065" s="64">
        <v>40620</v>
      </c>
      <c r="C5065" s="2">
        <v>431412.22</v>
      </c>
      <c r="D5065">
        <v>0</v>
      </c>
      <c r="E5065" s="65">
        <v>64.9</v>
      </c>
      <c r="F5065" s="8">
        <v>3.487</v>
      </c>
      <c r="G5065" s="66">
        <v>213.1096787</v>
      </c>
      <c r="H5065" s="8">
        <v>8.395</v>
      </c>
      <c r="J5065" s="26"/>
      <c r="K5065"/>
    </row>
    <row r="5066" spans="1:11">
      <c r="A5066">
        <v>36</v>
      </c>
      <c r="B5066" s="64">
        <v>40627</v>
      </c>
      <c r="C5066" s="2">
        <v>390732.02</v>
      </c>
      <c r="D5066">
        <v>0</v>
      </c>
      <c r="E5066" s="65">
        <v>71.07</v>
      </c>
      <c r="F5066" s="8">
        <v>3.488</v>
      </c>
      <c r="G5066" s="66">
        <v>213.3436744</v>
      </c>
      <c r="H5066" s="8">
        <v>8.395</v>
      </c>
      <c r="J5066" s="26"/>
      <c r="K5066"/>
    </row>
    <row r="5067" spans="1:11">
      <c r="A5067">
        <v>36</v>
      </c>
      <c r="B5067" s="64">
        <v>40634</v>
      </c>
      <c r="C5067" s="2">
        <v>385672.11</v>
      </c>
      <c r="D5067">
        <v>0</v>
      </c>
      <c r="E5067" s="65">
        <v>67.31</v>
      </c>
      <c r="F5067" s="8">
        <v>3.529</v>
      </c>
      <c r="G5067" s="66">
        <v>213.5776701</v>
      </c>
      <c r="H5067" s="8">
        <v>8.3</v>
      </c>
      <c r="J5067" s="26"/>
      <c r="K5067"/>
    </row>
    <row r="5068" spans="1:11">
      <c r="A5068">
        <v>36</v>
      </c>
      <c r="B5068" s="64">
        <v>40641</v>
      </c>
      <c r="C5068" s="2">
        <v>428727.61</v>
      </c>
      <c r="D5068">
        <v>0</v>
      </c>
      <c r="E5068" s="65">
        <v>69.39</v>
      </c>
      <c r="F5068" s="8">
        <v>3.645</v>
      </c>
      <c r="G5068" s="66">
        <v>213.8116658</v>
      </c>
      <c r="H5068" s="8">
        <v>8.3</v>
      </c>
      <c r="J5068" s="26"/>
      <c r="K5068"/>
    </row>
    <row r="5069" spans="1:11">
      <c r="A5069">
        <v>36</v>
      </c>
      <c r="B5069" s="64">
        <v>40648</v>
      </c>
      <c r="C5069" s="2">
        <v>414986.54</v>
      </c>
      <c r="D5069">
        <v>0</v>
      </c>
      <c r="E5069" s="65">
        <v>73.25</v>
      </c>
      <c r="F5069" s="8">
        <v>3.763</v>
      </c>
      <c r="G5069" s="66">
        <v>214.026217</v>
      </c>
      <c r="H5069" s="8">
        <v>8.3</v>
      </c>
      <c r="J5069" s="26"/>
      <c r="K5069"/>
    </row>
    <row r="5070" spans="1:11">
      <c r="A5070">
        <v>36</v>
      </c>
      <c r="B5070" s="64">
        <v>40655</v>
      </c>
      <c r="C5070" s="2">
        <v>374574.72</v>
      </c>
      <c r="D5070">
        <v>0</v>
      </c>
      <c r="E5070" s="65">
        <v>74.57</v>
      </c>
      <c r="F5070" s="8">
        <v>3.805</v>
      </c>
      <c r="G5070" s="66">
        <v>214.1921572</v>
      </c>
      <c r="H5070" s="8">
        <v>8.3</v>
      </c>
      <c r="J5070" s="26"/>
      <c r="K5070"/>
    </row>
    <row r="5071" spans="1:11">
      <c r="A5071">
        <v>36</v>
      </c>
      <c r="B5071" s="64">
        <v>40662</v>
      </c>
      <c r="C5071" s="2">
        <v>340708.78</v>
      </c>
      <c r="D5071">
        <v>0</v>
      </c>
      <c r="E5071" s="65">
        <v>76.1</v>
      </c>
      <c r="F5071" s="8">
        <v>3.837</v>
      </c>
      <c r="G5071" s="66">
        <v>214.3580974</v>
      </c>
      <c r="H5071" s="8">
        <v>8.3</v>
      </c>
      <c r="J5071" s="26"/>
      <c r="K5071"/>
    </row>
    <row r="5072" spans="1:11">
      <c r="A5072">
        <v>36</v>
      </c>
      <c r="B5072" s="64">
        <v>40669</v>
      </c>
      <c r="C5072" s="2">
        <v>393401.4</v>
      </c>
      <c r="D5072">
        <v>0</v>
      </c>
      <c r="E5072" s="65">
        <v>69.56</v>
      </c>
      <c r="F5072" s="8">
        <v>3.917</v>
      </c>
      <c r="G5072" s="66">
        <v>214.5240376</v>
      </c>
      <c r="H5072" s="8">
        <v>8.3</v>
      </c>
      <c r="J5072" s="26"/>
      <c r="K5072"/>
    </row>
    <row r="5073" spans="1:11">
      <c r="A5073">
        <v>36</v>
      </c>
      <c r="B5073" s="64">
        <v>40676</v>
      </c>
      <c r="C5073" s="2">
        <v>395316.65</v>
      </c>
      <c r="D5073">
        <v>0</v>
      </c>
      <c r="E5073" s="65">
        <v>76.73</v>
      </c>
      <c r="F5073" s="8">
        <v>3.92</v>
      </c>
      <c r="G5073" s="66">
        <v>214.6899778</v>
      </c>
      <c r="H5073" s="8">
        <v>8.3</v>
      </c>
      <c r="J5073" s="26"/>
      <c r="K5073"/>
    </row>
    <row r="5074" spans="1:11">
      <c r="A5074">
        <v>36</v>
      </c>
      <c r="B5074" s="64">
        <v>40683</v>
      </c>
      <c r="C5074" s="2">
        <v>376183.44</v>
      </c>
      <c r="D5074">
        <v>0</v>
      </c>
      <c r="E5074" s="65">
        <v>73.02</v>
      </c>
      <c r="F5074" s="8">
        <v>3.925</v>
      </c>
      <c r="G5074" s="66">
        <v>214.465412</v>
      </c>
      <c r="H5074" s="8">
        <v>8.3</v>
      </c>
      <c r="J5074" s="26"/>
      <c r="K5074"/>
    </row>
    <row r="5075" spans="1:11">
      <c r="A5075">
        <v>36</v>
      </c>
      <c r="B5075" s="64">
        <v>40690</v>
      </c>
      <c r="C5075" s="2">
        <v>348655.2</v>
      </c>
      <c r="D5075">
        <v>0</v>
      </c>
      <c r="E5075" s="65">
        <v>81.28</v>
      </c>
      <c r="F5075" s="8">
        <v>3.786</v>
      </c>
      <c r="G5075" s="66">
        <v>214.2408462</v>
      </c>
      <c r="H5075" s="8">
        <v>8.3</v>
      </c>
      <c r="J5075" s="26"/>
      <c r="K5075"/>
    </row>
    <row r="5076" spans="1:11">
      <c r="A5076">
        <v>36</v>
      </c>
      <c r="B5076" s="64">
        <v>40697</v>
      </c>
      <c r="C5076" s="2">
        <v>373703.95</v>
      </c>
      <c r="D5076">
        <v>0</v>
      </c>
      <c r="E5076" s="65">
        <v>82.96</v>
      </c>
      <c r="F5076" s="8">
        <v>3.69</v>
      </c>
      <c r="G5076" s="66">
        <v>214.0162805</v>
      </c>
      <c r="H5076" s="8">
        <v>8.3</v>
      </c>
      <c r="J5076" s="26"/>
      <c r="K5076"/>
    </row>
    <row r="5077" spans="1:11">
      <c r="A5077">
        <v>36</v>
      </c>
      <c r="B5077" s="64">
        <v>40704</v>
      </c>
      <c r="C5077" s="2">
        <v>374182.04</v>
      </c>
      <c r="D5077">
        <v>0</v>
      </c>
      <c r="E5077" s="65">
        <v>82.41</v>
      </c>
      <c r="F5077" s="8">
        <v>3.633</v>
      </c>
      <c r="G5077" s="66">
        <v>213.7917147</v>
      </c>
      <c r="H5077" s="8">
        <v>8.3</v>
      </c>
      <c r="J5077" s="26"/>
      <c r="K5077"/>
    </row>
    <row r="5078" spans="1:11">
      <c r="A5078">
        <v>36</v>
      </c>
      <c r="B5078" s="64">
        <v>40711</v>
      </c>
      <c r="C5078" s="2">
        <v>394645.25</v>
      </c>
      <c r="D5078">
        <v>0</v>
      </c>
      <c r="E5078" s="65">
        <v>84.43</v>
      </c>
      <c r="F5078" s="8">
        <v>3.599</v>
      </c>
      <c r="G5078" s="66">
        <v>213.7481256</v>
      </c>
      <c r="H5078" s="8">
        <v>8.3</v>
      </c>
      <c r="J5078" s="26"/>
      <c r="K5078"/>
    </row>
    <row r="5079" spans="1:11">
      <c r="A5079">
        <v>36</v>
      </c>
      <c r="B5079" s="64">
        <v>40718</v>
      </c>
      <c r="C5079" s="2">
        <v>360009.94</v>
      </c>
      <c r="D5079">
        <v>0</v>
      </c>
      <c r="E5079" s="65">
        <v>83.95</v>
      </c>
      <c r="F5079" s="8">
        <v>3.569</v>
      </c>
      <c r="G5079" s="66">
        <v>213.8402689</v>
      </c>
      <c r="H5079" s="8">
        <v>8.3</v>
      </c>
      <c r="J5079" s="26"/>
      <c r="K5079"/>
    </row>
    <row r="5080" spans="1:11">
      <c r="A5080">
        <v>36</v>
      </c>
      <c r="B5080" s="64">
        <v>40725</v>
      </c>
      <c r="C5080" s="2">
        <v>354270.77</v>
      </c>
      <c r="D5080">
        <v>0</v>
      </c>
      <c r="E5080" s="65">
        <v>85.33</v>
      </c>
      <c r="F5080" s="8">
        <v>3.502</v>
      </c>
      <c r="G5080" s="66">
        <v>213.9324122</v>
      </c>
      <c r="H5080" s="8">
        <v>8.177</v>
      </c>
      <c r="J5080" s="26"/>
      <c r="K5080"/>
    </row>
    <row r="5081" spans="1:11">
      <c r="A5081">
        <v>36</v>
      </c>
      <c r="B5081" s="64">
        <v>40732</v>
      </c>
      <c r="C5081" s="2">
        <v>377464.62</v>
      </c>
      <c r="D5081">
        <v>0</v>
      </c>
      <c r="E5081" s="65">
        <v>84.71</v>
      </c>
      <c r="F5081" s="8">
        <v>3.44</v>
      </c>
      <c r="G5081" s="66">
        <v>214.0245556</v>
      </c>
      <c r="H5081" s="8">
        <v>8.177</v>
      </c>
      <c r="J5081" s="26"/>
      <c r="K5081"/>
    </row>
    <row r="5082" spans="1:11">
      <c r="A5082">
        <v>36</v>
      </c>
      <c r="B5082" s="64">
        <v>40739</v>
      </c>
      <c r="C5082" s="2">
        <v>385631.48</v>
      </c>
      <c r="D5082">
        <v>0</v>
      </c>
      <c r="E5082" s="65">
        <v>85.63</v>
      </c>
      <c r="F5082" s="8">
        <v>3.55</v>
      </c>
      <c r="G5082" s="66">
        <v>214.1083654</v>
      </c>
      <c r="H5082" s="8">
        <v>8.177</v>
      </c>
      <c r="J5082" s="26"/>
      <c r="K5082"/>
    </row>
    <row r="5083" spans="1:11">
      <c r="A5083">
        <v>36</v>
      </c>
      <c r="B5083" s="64">
        <v>40746</v>
      </c>
      <c r="C5083" s="2">
        <v>361311.41</v>
      </c>
      <c r="D5083">
        <v>0</v>
      </c>
      <c r="E5083" s="65">
        <v>83.31</v>
      </c>
      <c r="F5083" s="8">
        <v>3.637</v>
      </c>
      <c r="G5083" s="66">
        <v>214.1713416</v>
      </c>
      <c r="H5083" s="8">
        <v>8.177</v>
      </c>
      <c r="J5083" s="26"/>
      <c r="K5083"/>
    </row>
    <row r="5084" spans="1:11">
      <c r="A5084">
        <v>36</v>
      </c>
      <c r="B5084" s="64">
        <v>40753</v>
      </c>
      <c r="C5084" s="2">
        <v>354361.08</v>
      </c>
      <c r="D5084">
        <v>0</v>
      </c>
      <c r="E5084" s="65">
        <v>84.99</v>
      </c>
      <c r="F5084" s="8">
        <v>3.66</v>
      </c>
      <c r="G5084" s="66">
        <v>214.2343177</v>
      </c>
      <c r="H5084" s="8">
        <v>8.177</v>
      </c>
      <c r="J5084" s="26"/>
      <c r="K5084"/>
    </row>
    <row r="5085" spans="1:11">
      <c r="A5085">
        <v>36</v>
      </c>
      <c r="B5085" s="64">
        <v>40760</v>
      </c>
      <c r="C5085" s="2">
        <v>381017.75</v>
      </c>
      <c r="D5085">
        <v>0</v>
      </c>
      <c r="E5085" s="65">
        <v>86.71</v>
      </c>
      <c r="F5085" s="8">
        <v>3.652</v>
      </c>
      <c r="G5085" s="66">
        <v>214.2972939</v>
      </c>
      <c r="H5085" s="8">
        <v>8.177</v>
      </c>
      <c r="J5085" s="26"/>
      <c r="K5085"/>
    </row>
    <row r="5086" spans="1:11">
      <c r="A5086">
        <v>36</v>
      </c>
      <c r="B5086" s="64">
        <v>40767</v>
      </c>
      <c r="C5086" s="2">
        <v>380188.69</v>
      </c>
      <c r="D5086">
        <v>0</v>
      </c>
      <c r="E5086" s="65">
        <v>87.64</v>
      </c>
      <c r="F5086" s="8">
        <v>3.608</v>
      </c>
      <c r="G5086" s="66">
        <v>214.3602701</v>
      </c>
      <c r="H5086" s="8">
        <v>8.177</v>
      </c>
      <c r="J5086" s="26"/>
      <c r="K5086"/>
    </row>
    <row r="5087" spans="1:11">
      <c r="A5087">
        <v>36</v>
      </c>
      <c r="B5087" s="64">
        <v>40774</v>
      </c>
      <c r="C5087" s="2">
        <v>373267.58</v>
      </c>
      <c r="D5087">
        <v>0</v>
      </c>
      <c r="E5087" s="65">
        <v>87.24</v>
      </c>
      <c r="F5087" s="8">
        <v>3.534</v>
      </c>
      <c r="G5087" s="66">
        <v>214.4239935</v>
      </c>
      <c r="H5087" s="8">
        <v>8.177</v>
      </c>
      <c r="J5087" s="26"/>
      <c r="K5087"/>
    </row>
    <row r="5088" spans="1:11">
      <c r="A5088">
        <v>36</v>
      </c>
      <c r="B5088" s="64">
        <v>40781</v>
      </c>
      <c r="C5088" s="2">
        <v>344964.2</v>
      </c>
      <c r="D5088">
        <v>0</v>
      </c>
      <c r="E5088" s="65">
        <v>86.02</v>
      </c>
      <c r="F5088" s="8">
        <v>3.501</v>
      </c>
      <c r="G5088" s="66">
        <v>214.4878416</v>
      </c>
      <c r="H5088" s="8">
        <v>8.177</v>
      </c>
      <c r="J5088" s="26"/>
      <c r="K5088"/>
    </row>
    <row r="5089" spans="1:11">
      <c r="A5089">
        <v>36</v>
      </c>
      <c r="B5089" s="64">
        <v>40788</v>
      </c>
      <c r="C5089" s="2">
        <v>350276.29</v>
      </c>
      <c r="D5089">
        <v>0</v>
      </c>
      <c r="E5089" s="65">
        <v>87.5</v>
      </c>
      <c r="F5089" s="8">
        <v>3.481</v>
      </c>
      <c r="G5089" s="66">
        <v>214.5516896</v>
      </c>
      <c r="H5089" s="8">
        <v>8.177</v>
      </c>
      <c r="J5089" s="26"/>
      <c r="K5089"/>
    </row>
    <row r="5090" spans="1:11">
      <c r="A5090">
        <v>36</v>
      </c>
      <c r="B5090" s="64">
        <v>40795</v>
      </c>
      <c r="C5090" s="2">
        <v>352960.64</v>
      </c>
      <c r="D5090">
        <v>1</v>
      </c>
      <c r="E5090" s="65">
        <v>77.94</v>
      </c>
      <c r="F5090" s="8">
        <v>3.499</v>
      </c>
      <c r="G5090" s="66">
        <v>214.6155376</v>
      </c>
      <c r="H5090" s="8">
        <v>8.177</v>
      </c>
      <c r="J5090" s="26"/>
      <c r="K5090"/>
    </row>
    <row r="5091" spans="1:11">
      <c r="A5091">
        <v>36</v>
      </c>
      <c r="B5091" s="64">
        <v>40802</v>
      </c>
      <c r="C5091" s="2">
        <v>343108.12</v>
      </c>
      <c r="D5091">
        <v>0</v>
      </c>
      <c r="E5091" s="65">
        <v>82.06</v>
      </c>
      <c r="F5091" s="8">
        <v>3.473</v>
      </c>
      <c r="G5091" s="66">
        <v>214.7934111</v>
      </c>
      <c r="H5091" s="8">
        <v>8.177</v>
      </c>
      <c r="J5091" s="26"/>
      <c r="K5091"/>
    </row>
    <row r="5092" spans="1:11">
      <c r="A5092">
        <v>36</v>
      </c>
      <c r="B5092" s="64">
        <v>40809</v>
      </c>
      <c r="C5092" s="2">
        <v>322405.13</v>
      </c>
      <c r="D5092">
        <v>0</v>
      </c>
      <c r="E5092" s="65">
        <v>78.35</v>
      </c>
      <c r="F5092" s="8">
        <v>3.441</v>
      </c>
      <c r="G5092" s="66">
        <v>215.1233185</v>
      </c>
      <c r="H5092" s="8">
        <v>8.177</v>
      </c>
      <c r="J5092" s="26"/>
      <c r="K5092"/>
    </row>
    <row r="5093" spans="1:11">
      <c r="A5093">
        <v>36</v>
      </c>
      <c r="B5093" s="64">
        <v>40816</v>
      </c>
      <c r="C5093" s="2">
        <v>314910.37</v>
      </c>
      <c r="D5093">
        <v>0</v>
      </c>
      <c r="E5093" s="65">
        <v>81.52</v>
      </c>
      <c r="F5093" s="8">
        <v>3.328</v>
      </c>
      <c r="G5093" s="66">
        <v>215.4532259</v>
      </c>
      <c r="H5093" s="8">
        <v>8.177</v>
      </c>
      <c r="J5093" s="26"/>
      <c r="K5093"/>
    </row>
    <row r="5094" spans="1:11">
      <c r="A5094">
        <v>36</v>
      </c>
      <c r="B5094" s="64">
        <v>40823</v>
      </c>
      <c r="C5094" s="2">
        <v>346137.87</v>
      </c>
      <c r="D5094">
        <v>0</v>
      </c>
      <c r="E5094" s="65">
        <v>71.2</v>
      </c>
      <c r="F5094" s="8">
        <v>3.262</v>
      </c>
      <c r="G5094" s="66">
        <v>215.7831333</v>
      </c>
      <c r="H5094" s="8">
        <v>7.716</v>
      </c>
      <c r="J5094" s="26"/>
      <c r="K5094"/>
    </row>
    <row r="5095" spans="1:11">
      <c r="A5095">
        <v>36</v>
      </c>
      <c r="B5095" s="64">
        <v>40830</v>
      </c>
      <c r="C5095" s="2">
        <v>342076.99</v>
      </c>
      <c r="D5095">
        <v>0</v>
      </c>
      <c r="E5095" s="65">
        <v>74.16</v>
      </c>
      <c r="F5095" s="8">
        <v>3.234</v>
      </c>
      <c r="G5095" s="66">
        <v>216.0885258</v>
      </c>
      <c r="H5095" s="8">
        <v>7.716</v>
      </c>
      <c r="J5095" s="26"/>
      <c r="K5095"/>
    </row>
    <row r="5096" spans="1:11">
      <c r="A5096">
        <v>36</v>
      </c>
      <c r="B5096" s="64">
        <v>40837</v>
      </c>
      <c r="C5096" s="2">
        <v>328633.34</v>
      </c>
      <c r="D5096">
        <v>0</v>
      </c>
      <c r="E5096" s="65">
        <v>67.89</v>
      </c>
      <c r="F5096" s="8">
        <v>3.308</v>
      </c>
      <c r="G5096" s="66">
        <v>216.2468287</v>
      </c>
      <c r="H5096" s="8">
        <v>7.716</v>
      </c>
      <c r="J5096" s="26"/>
      <c r="K5096"/>
    </row>
    <row r="5097" spans="1:11">
      <c r="A5097">
        <v>36</v>
      </c>
      <c r="B5097" s="64">
        <v>40844</v>
      </c>
      <c r="C5097" s="2">
        <v>306193.81</v>
      </c>
      <c r="D5097">
        <v>0</v>
      </c>
      <c r="E5097" s="65">
        <v>71.31</v>
      </c>
      <c r="F5097" s="8">
        <v>3.306</v>
      </c>
      <c r="G5097" s="66">
        <v>216.4051315</v>
      </c>
      <c r="H5097" s="8">
        <v>7.716</v>
      </c>
      <c r="J5097" s="26"/>
      <c r="K5097"/>
    </row>
    <row r="5098" spans="1:11">
      <c r="A5098">
        <v>36</v>
      </c>
      <c r="B5098" s="64">
        <v>40851</v>
      </c>
      <c r="C5098" s="2">
        <v>313387.11</v>
      </c>
      <c r="D5098">
        <v>0</v>
      </c>
      <c r="E5098" s="65">
        <v>58.97</v>
      </c>
      <c r="F5098" s="8">
        <v>3.287</v>
      </c>
      <c r="G5098" s="66">
        <v>216.5634344</v>
      </c>
      <c r="H5098" s="8">
        <v>7.716</v>
      </c>
      <c r="J5098" s="26"/>
      <c r="K5098"/>
    </row>
    <row r="5099" spans="1:11">
      <c r="A5099">
        <v>36</v>
      </c>
      <c r="B5099" s="64">
        <v>40858</v>
      </c>
      <c r="C5099" s="2">
        <v>328498.92</v>
      </c>
      <c r="D5099">
        <v>0</v>
      </c>
      <c r="E5099" s="65">
        <v>63.5</v>
      </c>
      <c r="F5099" s="8">
        <v>3.254</v>
      </c>
      <c r="G5099" s="66">
        <v>216.7217373</v>
      </c>
      <c r="H5099" s="8">
        <v>7.716</v>
      </c>
      <c r="J5099" s="26"/>
      <c r="K5099"/>
    </row>
    <row r="5100" spans="1:11">
      <c r="A5100">
        <v>36</v>
      </c>
      <c r="B5100" s="64">
        <v>40865</v>
      </c>
      <c r="C5100" s="2">
        <v>332901.94</v>
      </c>
      <c r="D5100">
        <v>0</v>
      </c>
      <c r="E5100" s="65">
        <v>66.28</v>
      </c>
      <c r="F5100" s="8">
        <v>3.26</v>
      </c>
      <c r="G5100" s="66">
        <v>216.9395861</v>
      </c>
      <c r="H5100" s="8">
        <v>7.716</v>
      </c>
      <c r="J5100" s="26"/>
      <c r="K5100"/>
    </row>
    <row r="5101" spans="1:11">
      <c r="A5101">
        <v>36</v>
      </c>
      <c r="B5101" s="64">
        <v>40872</v>
      </c>
      <c r="C5101" s="2">
        <v>332811.55</v>
      </c>
      <c r="D5101">
        <v>1</v>
      </c>
      <c r="E5101" s="65">
        <v>66.41</v>
      </c>
      <c r="F5101" s="8">
        <v>3.181</v>
      </c>
      <c r="G5101" s="66">
        <v>217.1812533</v>
      </c>
      <c r="H5101" s="8">
        <v>7.716</v>
      </c>
      <c r="J5101" s="26"/>
      <c r="K5101"/>
    </row>
    <row r="5102" spans="1:11">
      <c r="A5102">
        <v>36</v>
      </c>
      <c r="B5102" s="64">
        <v>40879</v>
      </c>
      <c r="C5102" s="2">
        <v>293350.51</v>
      </c>
      <c r="D5102">
        <v>0</v>
      </c>
      <c r="E5102" s="65">
        <v>53.57</v>
      </c>
      <c r="F5102" s="8">
        <v>3.164</v>
      </c>
      <c r="G5102" s="66">
        <v>217.4229206</v>
      </c>
      <c r="H5102" s="8">
        <v>7.716</v>
      </c>
      <c r="J5102" s="26"/>
      <c r="K5102"/>
    </row>
    <row r="5103" spans="1:11">
      <c r="A5103">
        <v>36</v>
      </c>
      <c r="B5103" s="64">
        <v>40886</v>
      </c>
      <c r="C5103" s="2">
        <v>312298.37</v>
      </c>
      <c r="D5103">
        <v>0</v>
      </c>
      <c r="E5103" s="65">
        <v>50.64</v>
      </c>
      <c r="F5103" s="8">
        <v>3.147</v>
      </c>
      <c r="G5103" s="66">
        <v>217.6645878</v>
      </c>
      <c r="H5103" s="8">
        <v>7.716</v>
      </c>
      <c r="J5103" s="26"/>
      <c r="K5103"/>
    </row>
    <row r="5104" spans="1:11">
      <c r="A5104">
        <v>36</v>
      </c>
      <c r="B5104" s="64">
        <v>40893</v>
      </c>
      <c r="C5104" s="2">
        <v>341503.92</v>
      </c>
      <c r="D5104">
        <v>0</v>
      </c>
      <c r="E5104" s="65">
        <v>58.31</v>
      </c>
      <c r="F5104" s="8">
        <v>3.133</v>
      </c>
      <c r="G5104" s="66">
        <v>217.8781339</v>
      </c>
      <c r="H5104" s="8">
        <v>7.716</v>
      </c>
      <c r="J5104" s="26"/>
      <c r="K5104"/>
    </row>
    <row r="5105" spans="1:11">
      <c r="A5105">
        <v>36</v>
      </c>
      <c r="B5105" s="64">
        <v>40900</v>
      </c>
      <c r="C5105" s="2">
        <v>325262.46</v>
      </c>
      <c r="D5105">
        <v>0</v>
      </c>
      <c r="E5105" s="65">
        <v>55.41</v>
      </c>
      <c r="F5105" s="8">
        <v>3.098</v>
      </c>
      <c r="G5105" s="66">
        <v>218.0541851</v>
      </c>
      <c r="H5105" s="8">
        <v>7.716</v>
      </c>
      <c r="J5105" s="26"/>
      <c r="K5105"/>
    </row>
    <row r="5106" spans="1:11">
      <c r="A5106">
        <v>36</v>
      </c>
      <c r="B5106" s="64">
        <v>40907</v>
      </c>
      <c r="C5106" s="2">
        <v>287425.22</v>
      </c>
      <c r="D5106">
        <v>1</v>
      </c>
      <c r="E5106" s="65">
        <v>48.26</v>
      </c>
      <c r="F5106" s="8">
        <v>3.132</v>
      </c>
      <c r="G5106" s="66">
        <v>218.2302364</v>
      </c>
      <c r="H5106" s="8">
        <v>7.716</v>
      </c>
      <c r="J5106" s="26"/>
      <c r="K5106"/>
    </row>
    <row r="5107" spans="1:11">
      <c r="A5107">
        <v>36</v>
      </c>
      <c r="B5107" s="64">
        <v>40914</v>
      </c>
      <c r="C5107" s="2">
        <v>329467.82</v>
      </c>
      <c r="D5107">
        <v>0</v>
      </c>
      <c r="E5107" s="65">
        <v>57.18</v>
      </c>
      <c r="F5107" s="8">
        <v>3.129</v>
      </c>
      <c r="G5107" s="66">
        <v>218.4062876</v>
      </c>
      <c r="H5107" s="8">
        <v>7.244</v>
      </c>
      <c r="J5107" s="26"/>
      <c r="K5107"/>
    </row>
    <row r="5108" spans="1:11">
      <c r="A5108">
        <v>36</v>
      </c>
      <c r="B5108" s="64">
        <v>40921</v>
      </c>
      <c r="C5108" s="2">
        <v>325976.34</v>
      </c>
      <c r="D5108">
        <v>0</v>
      </c>
      <c r="E5108" s="65">
        <v>56.28</v>
      </c>
      <c r="F5108" s="8">
        <v>3.254</v>
      </c>
      <c r="G5108" s="66">
        <v>218.5823389</v>
      </c>
      <c r="H5108" s="8">
        <v>7.244</v>
      </c>
      <c r="J5108" s="26"/>
      <c r="K5108"/>
    </row>
    <row r="5109" spans="1:11">
      <c r="A5109">
        <v>36</v>
      </c>
      <c r="B5109" s="64">
        <v>40928</v>
      </c>
      <c r="C5109" s="2">
        <v>330927.21</v>
      </c>
      <c r="D5109">
        <v>0</v>
      </c>
      <c r="E5109" s="65">
        <v>58.9</v>
      </c>
      <c r="F5109" s="8">
        <v>3.275</v>
      </c>
      <c r="G5109" s="66">
        <v>218.6755292</v>
      </c>
      <c r="H5109" s="8">
        <v>7.244</v>
      </c>
      <c r="J5109" s="26"/>
      <c r="K5109"/>
    </row>
    <row r="5110" spans="1:11">
      <c r="A5110">
        <v>36</v>
      </c>
      <c r="B5110" s="64">
        <v>40935</v>
      </c>
      <c r="C5110" s="2">
        <v>301444.94</v>
      </c>
      <c r="D5110">
        <v>0</v>
      </c>
      <c r="E5110" s="65">
        <v>62.73</v>
      </c>
      <c r="F5110" s="8">
        <v>3.313</v>
      </c>
      <c r="G5110" s="66">
        <v>218.7687195</v>
      </c>
      <c r="H5110" s="8">
        <v>7.244</v>
      </c>
      <c r="J5110" s="26"/>
      <c r="K5110"/>
    </row>
    <row r="5111" spans="1:11">
      <c r="A5111">
        <v>36</v>
      </c>
      <c r="B5111" s="64">
        <v>40942</v>
      </c>
      <c r="C5111" s="2">
        <v>310982.87</v>
      </c>
      <c r="D5111">
        <v>0</v>
      </c>
      <c r="E5111" s="65">
        <v>61.33</v>
      </c>
      <c r="F5111" s="8">
        <v>3.421</v>
      </c>
      <c r="G5111" s="66">
        <v>218.8619099</v>
      </c>
      <c r="H5111" s="8">
        <v>7.244</v>
      </c>
      <c r="J5111" s="26"/>
      <c r="K5111"/>
    </row>
    <row r="5112" spans="1:11">
      <c r="A5112">
        <v>36</v>
      </c>
      <c r="B5112" s="64">
        <v>40949</v>
      </c>
      <c r="C5112" s="2">
        <v>335741.9</v>
      </c>
      <c r="D5112">
        <v>1</v>
      </c>
      <c r="E5112" s="65">
        <v>54.49</v>
      </c>
      <c r="F5112" s="8">
        <v>3.462</v>
      </c>
      <c r="G5112" s="66">
        <v>218.9551002</v>
      </c>
      <c r="H5112" s="8">
        <v>7.244</v>
      </c>
      <c r="J5112" s="26"/>
      <c r="K5112"/>
    </row>
    <row r="5113" spans="1:11">
      <c r="A5113">
        <v>36</v>
      </c>
      <c r="B5113" s="64">
        <v>40956</v>
      </c>
      <c r="C5113" s="2">
        <v>326316.73</v>
      </c>
      <c r="D5113">
        <v>0</v>
      </c>
      <c r="E5113" s="65">
        <v>54.38</v>
      </c>
      <c r="F5113" s="8">
        <v>3.503</v>
      </c>
      <c r="G5113" s="66">
        <v>219.1148297</v>
      </c>
      <c r="H5113" s="8">
        <v>7.244</v>
      </c>
      <c r="J5113" s="26"/>
      <c r="K5113"/>
    </row>
    <row r="5114" spans="1:11">
      <c r="A5114">
        <v>36</v>
      </c>
      <c r="B5114" s="64">
        <v>40963</v>
      </c>
      <c r="C5114" s="2">
        <v>313270.45</v>
      </c>
      <c r="D5114">
        <v>0</v>
      </c>
      <c r="E5114" s="65">
        <v>62.21</v>
      </c>
      <c r="F5114" s="8">
        <v>3.55</v>
      </c>
      <c r="G5114" s="66">
        <v>219.3244636</v>
      </c>
      <c r="H5114" s="8">
        <v>7.244</v>
      </c>
      <c r="J5114" s="26"/>
      <c r="K5114"/>
    </row>
    <row r="5115" spans="1:11">
      <c r="A5115">
        <v>36</v>
      </c>
      <c r="B5115" s="64">
        <v>40970</v>
      </c>
      <c r="C5115" s="2">
        <v>315396.72</v>
      </c>
      <c r="D5115">
        <v>0</v>
      </c>
      <c r="E5115" s="65">
        <v>64.54</v>
      </c>
      <c r="F5115" s="8">
        <v>3.619</v>
      </c>
      <c r="G5115" s="66">
        <v>219.5340975</v>
      </c>
      <c r="H5115" s="8">
        <v>7.244</v>
      </c>
      <c r="J5115" s="26"/>
      <c r="K5115"/>
    </row>
    <row r="5116" spans="1:11">
      <c r="A5116">
        <v>36</v>
      </c>
      <c r="B5116" s="64">
        <v>40977</v>
      </c>
      <c r="C5116" s="2">
        <v>318674.93</v>
      </c>
      <c r="D5116">
        <v>0</v>
      </c>
      <c r="E5116" s="65">
        <v>63.19</v>
      </c>
      <c r="F5116" s="8">
        <v>3.647</v>
      </c>
      <c r="G5116" s="66">
        <v>219.7437314</v>
      </c>
      <c r="H5116" s="8">
        <v>7.244</v>
      </c>
      <c r="J5116" s="26"/>
      <c r="K5116"/>
    </row>
    <row r="5117" spans="1:11">
      <c r="A5117">
        <v>36</v>
      </c>
      <c r="B5117" s="64">
        <v>40984</v>
      </c>
      <c r="C5117" s="2">
        <v>335345.82</v>
      </c>
      <c r="D5117">
        <v>0</v>
      </c>
      <c r="E5117" s="65">
        <v>67.48</v>
      </c>
      <c r="F5117" s="8">
        <v>3.779</v>
      </c>
      <c r="G5117" s="66">
        <v>219.8956335</v>
      </c>
      <c r="H5117" s="8">
        <v>7.244</v>
      </c>
      <c r="J5117" s="26"/>
      <c r="K5117"/>
    </row>
    <row r="5118" spans="1:11">
      <c r="A5118">
        <v>36</v>
      </c>
      <c r="B5118" s="64">
        <v>40991</v>
      </c>
      <c r="C5118" s="2">
        <v>317872.51</v>
      </c>
      <c r="D5118">
        <v>0</v>
      </c>
      <c r="E5118" s="65">
        <v>69.18</v>
      </c>
      <c r="F5118" s="8">
        <v>3.845</v>
      </c>
      <c r="G5118" s="66">
        <v>219.9705599</v>
      </c>
      <c r="H5118" s="8">
        <v>7.244</v>
      </c>
      <c r="J5118" s="26"/>
      <c r="K5118"/>
    </row>
    <row r="5119" spans="1:11">
      <c r="A5119">
        <v>36</v>
      </c>
      <c r="B5119" s="64">
        <v>40998</v>
      </c>
      <c r="C5119" s="2">
        <v>304144.9</v>
      </c>
      <c r="D5119">
        <v>0</v>
      </c>
      <c r="E5119" s="65">
        <v>70.48</v>
      </c>
      <c r="F5119" s="8">
        <v>3.891</v>
      </c>
      <c r="G5119" s="66">
        <v>220.0454862</v>
      </c>
      <c r="H5119" s="8">
        <v>7.244</v>
      </c>
      <c r="J5119" s="26"/>
      <c r="K5119"/>
    </row>
    <row r="5120" spans="1:11">
      <c r="A5120">
        <v>36</v>
      </c>
      <c r="B5120" s="64">
        <v>41005</v>
      </c>
      <c r="C5120" s="2">
        <v>331026.11</v>
      </c>
      <c r="D5120">
        <v>0</v>
      </c>
      <c r="E5120" s="65">
        <v>73.95</v>
      </c>
      <c r="F5120" s="8">
        <v>3.934</v>
      </c>
      <c r="G5120" s="66">
        <v>220.1204125</v>
      </c>
      <c r="H5120" s="8">
        <v>6.989</v>
      </c>
      <c r="J5120" s="26"/>
      <c r="K5120"/>
    </row>
    <row r="5121" spans="1:11">
      <c r="A5121">
        <v>36</v>
      </c>
      <c r="B5121" s="64">
        <v>41012</v>
      </c>
      <c r="C5121" s="2">
        <v>339407.94</v>
      </c>
      <c r="D5121">
        <v>0</v>
      </c>
      <c r="E5121" s="65">
        <v>72.54</v>
      </c>
      <c r="F5121" s="8">
        <v>3.919</v>
      </c>
      <c r="G5121" s="66">
        <v>220.1953389</v>
      </c>
      <c r="H5121" s="8">
        <v>6.989</v>
      </c>
      <c r="J5121" s="26"/>
      <c r="K5121"/>
    </row>
    <row r="5122" spans="1:11">
      <c r="A5122">
        <v>36</v>
      </c>
      <c r="B5122" s="64">
        <v>41019</v>
      </c>
      <c r="C5122" s="2">
        <v>323915.32</v>
      </c>
      <c r="D5122">
        <v>0</v>
      </c>
      <c r="E5122" s="65">
        <v>70.87</v>
      </c>
      <c r="F5122" s="8">
        <v>3.918</v>
      </c>
      <c r="G5122" s="66">
        <v>220.2483937</v>
      </c>
      <c r="H5122" s="8">
        <v>6.989</v>
      </c>
      <c r="J5122" s="26"/>
      <c r="K5122"/>
    </row>
    <row r="5123" spans="1:11">
      <c r="A5123">
        <v>36</v>
      </c>
      <c r="B5123" s="64">
        <v>41026</v>
      </c>
      <c r="C5123" s="2">
        <v>308389.82</v>
      </c>
      <c r="D5123">
        <v>0</v>
      </c>
      <c r="E5123" s="65">
        <v>70.06</v>
      </c>
      <c r="F5123" s="8">
        <v>3.888</v>
      </c>
      <c r="G5123" s="66">
        <v>220.3014485</v>
      </c>
      <c r="H5123" s="8">
        <v>6.989</v>
      </c>
      <c r="J5123" s="26"/>
      <c r="K5123"/>
    </row>
    <row r="5124" spans="1:11">
      <c r="A5124">
        <v>36</v>
      </c>
      <c r="B5124" s="64">
        <v>41033</v>
      </c>
      <c r="C5124" s="2">
        <v>312467.52</v>
      </c>
      <c r="D5124">
        <v>0</v>
      </c>
      <c r="E5124" s="65">
        <v>77.17</v>
      </c>
      <c r="F5124" s="8">
        <v>3.835</v>
      </c>
      <c r="G5124" s="66">
        <v>220.3545033</v>
      </c>
      <c r="H5124" s="8">
        <v>6.989</v>
      </c>
      <c r="J5124" s="26"/>
      <c r="K5124"/>
    </row>
    <row r="5125" spans="1:11">
      <c r="A5125">
        <v>36</v>
      </c>
      <c r="B5125" s="64">
        <v>41040</v>
      </c>
      <c r="C5125" s="2">
        <v>330518.34</v>
      </c>
      <c r="D5125">
        <v>0</v>
      </c>
      <c r="E5125" s="65">
        <v>76.55</v>
      </c>
      <c r="F5125" s="8">
        <v>3.764</v>
      </c>
      <c r="G5125" s="66">
        <v>220.4075581</v>
      </c>
      <c r="H5125" s="8">
        <v>6.989</v>
      </c>
      <c r="J5125" s="26"/>
      <c r="K5125"/>
    </row>
    <row r="5126" spans="1:11">
      <c r="A5126">
        <v>36</v>
      </c>
      <c r="B5126" s="64">
        <v>41047</v>
      </c>
      <c r="C5126" s="2">
        <v>324801.13</v>
      </c>
      <c r="D5126">
        <v>0</v>
      </c>
      <c r="E5126" s="65">
        <v>73.7</v>
      </c>
      <c r="F5126" s="8">
        <v>3.713</v>
      </c>
      <c r="G5126" s="66">
        <v>220.4252149</v>
      </c>
      <c r="H5126" s="8">
        <v>6.989</v>
      </c>
      <c r="J5126" s="26"/>
      <c r="K5126"/>
    </row>
    <row r="5127" spans="1:11">
      <c r="A5127">
        <v>36</v>
      </c>
      <c r="B5127" s="64">
        <v>41054</v>
      </c>
      <c r="C5127" s="2">
        <v>306098.17</v>
      </c>
      <c r="D5127">
        <v>0</v>
      </c>
      <c r="E5127" s="65">
        <v>78.94</v>
      </c>
      <c r="F5127" s="8">
        <v>3.636</v>
      </c>
      <c r="G5127" s="66">
        <v>220.4287124</v>
      </c>
      <c r="H5127" s="8">
        <v>6.989</v>
      </c>
      <c r="J5127" s="26"/>
      <c r="K5127"/>
    </row>
    <row r="5128" spans="1:11">
      <c r="A5128">
        <v>36</v>
      </c>
      <c r="B5128" s="64">
        <v>41061</v>
      </c>
      <c r="C5128" s="2">
        <v>306005.53</v>
      </c>
      <c r="D5128">
        <v>0</v>
      </c>
      <c r="E5128" s="65">
        <v>80.74</v>
      </c>
      <c r="F5128" s="8">
        <v>3.567</v>
      </c>
      <c r="G5128" s="66">
        <v>220.4322099</v>
      </c>
      <c r="H5128" s="8">
        <v>6.989</v>
      </c>
      <c r="J5128" s="26"/>
      <c r="K5128"/>
    </row>
    <row r="5129" spans="1:11">
      <c r="A5129">
        <v>36</v>
      </c>
      <c r="B5129" s="64">
        <v>41068</v>
      </c>
      <c r="C5129" s="2">
        <v>338273.38</v>
      </c>
      <c r="D5129">
        <v>0</v>
      </c>
      <c r="E5129" s="65">
        <v>81.5</v>
      </c>
      <c r="F5129" s="8">
        <v>3.513</v>
      </c>
      <c r="G5129" s="66">
        <v>220.4357073</v>
      </c>
      <c r="H5129" s="8">
        <v>6.989</v>
      </c>
      <c r="J5129" s="26"/>
      <c r="K5129"/>
    </row>
    <row r="5130" spans="1:11">
      <c r="A5130">
        <v>36</v>
      </c>
      <c r="B5130" s="64">
        <v>41075</v>
      </c>
      <c r="C5130" s="2">
        <v>333146.88</v>
      </c>
      <c r="D5130">
        <v>0</v>
      </c>
      <c r="E5130" s="65">
        <v>82.15</v>
      </c>
      <c r="F5130" s="8">
        <v>3.407</v>
      </c>
      <c r="G5130" s="66">
        <v>220.4494148</v>
      </c>
      <c r="H5130" s="8">
        <v>6.989</v>
      </c>
      <c r="J5130" s="26"/>
      <c r="K5130"/>
    </row>
    <row r="5131" spans="1:11">
      <c r="A5131">
        <v>36</v>
      </c>
      <c r="B5131" s="64">
        <v>41082</v>
      </c>
      <c r="C5131" s="2">
        <v>306411.01</v>
      </c>
      <c r="D5131">
        <v>0</v>
      </c>
      <c r="E5131" s="65">
        <v>80.4</v>
      </c>
      <c r="F5131" s="8">
        <v>3.358</v>
      </c>
      <c r="G5131" s="66">
        <v>220.4886472</v>
      </c>
      <c r="H5131" s="8">
        <v>6.989</v>
      </c>
      <c r="J5131" s="26"/>
      <c r="K5131"/>
    </row>
    <row r="5132" spans="1:11">
      <c r="A5132">
        <v>36</v>
      </c>
      <c r="B5132" s="64">
        <v>41089</v>
      </c>
      <c r="C5132" s="2">
        <v>291530.43</v>
      </c>
      <c r="D5132">
        <v>0</v>
      </c>
      <c r="E5132" s="65">
        <v>86.68</v>
      </c>
      <c r="F5132" s="8">
        <v>3.273</v>
      </c>
      <c r="G5132" s="66">
        <v>220.5278796</v>
      </c>
      <c r="H5132" s="8">
        <v>6.989</v>
      </c>
      <c r="J5132" s="26"/>
      <c r="K5132"/>
    </row>
    <row r="5133" spans="1:11">
      <c r="A5133">
        <v>36</v>
      </c>
      <c r="B5133" s="64">
        <v>41096</v>
      </c>
      <c r="C5133" s="2">
        <v>306578.89</v>
      </c>
      <c r="D5133">
        <v>0</v>
      </c>
      <c r="E5133" s="65">
        <v>81.52</v>
      </c>
      <c r="F5133" s="8">
        <v>3.232</v>
      </c>
      <c r="G5133" s="66">
        <v>220.567112</v>
      </c>
      <c r="H5133" s="8">
        <v>6.623</v>
      </c>
      <c r="J5133" s="26"/>
      <c r="K5133"/>
    </row>
    <row r="5134" spans="1:11">
      <c r="A5134">
        <v>36</v>
      </c>
      <c r="B5134" s="64">
        <v>41103</v>
      </c>
      <c r="C5134" s="2">
        <v>298337.41</v>
      </c>
      <c r="D5134">
        <v>0</v>
      </c>
      <c r="E5134" s="65">
        <v>78.15</v>
      </c>
      <c r="F5134" s="8">
        <v>3.245</v>
      </c>
      <c r="G5134" s="66">
        <v>220.6063444</v>
      </c>
      <c r="H5134" s="8">
        <v>6.623</v>
      </c>
      <c r="J5134" s="26"/>
      <c r="K5134"/>
    </row>
    <row r="5135" spans="1:11">
      <c r="A5135">
        <v>36</v>
      </c>
      <c r="B5135" s="64">
        <v>41110</v>
      </c>
      <c r="C5135" s="2">
        <v>303289.55</v>
      </c>
      <c r="D5135">
        <v>0</v>
      </c>
      <c r="E5135" s="65">
        <v>81.76</v>
      </c>
      <c r="F5135" s="8">
        <v>3.301</v>
      </c>
      <c r="G5135" s="66">
        <v>220.6148749</v>
      </c>
      <c r="H5135" s="8">
        <v>6.623</v>
      </c>
      <c r="J5135" s="26"/>
      <c r="K5135"/>
    </row>
    <row r="5136" spans="1:11">
      <c r="A5136">
        <v>36</v>
      </c>
      <c r="B5136" s="64">
        <v>41117</v>
      </c>
      <c r="C5136" s="2">
        <v>279643.43</v>
      </c>
      <c r="D5136">
        <v>0</v>
      </c>
      <c r="E5136" s="65">
        <v>84</v>
      </c>
      <c r="F5136" s="8">
        <v>3.392</v>
      </c>
      <c r="G5136" s="66">
        <v>220.6234054</v>
      </c>
      <c r="H5136" s="8">
        <v>6.623</v>
      </c>
      <c r="J5136" s="26"/>
      <c r="K5136"/>
    </row>
    <row r="5137" spans="1:11">
      <c r="A5137">
        <v>36</v>
      </c>
      <c r="B5137" s="64">
        <v>41124</v>
      </c>
      <c r="C5137" s="2">
        <v>304989.97</v>
      </c>
      <c r="D5137">
        <v>0</v>
      </c>
      <c r="E5137" s="65">
        <v>85.56</v>
      </c>
      <c r="F5137" s="8">
        <v>3.404</v>
      </c>
      <c r="G5137" s="66">
        <v>220.6319358</v>
      </c>
      <c r="H5137" s="8">
        <v>6.623</v>
      </c>
      <c r="J5137" s="26"/>
      <c r="K5137"/>
    </row>
    <row r="5138" spans="1:11">
      <c r="A5138">
        <v>36</v>
      </c>
      <c r="B5138" s="64">
        <v>41131</v>
      </c>
      <c r="C5138" s="2">
        <v>298947.51</v>
      </c>
      <c r="D5138">
        <v>0</v>
      </c>
      <c r="E5138" s="65">
        <v>84.41</v>
      </c>
      <c r="F5138" s="8">
        <v>3.49</v>
      </c>
      <c r="G5138" s="66">
        <v>220.6404663</v>
      </c>
      <c r="H5138" s="8">
        <v>6.623</v>
      </c>
      <c r="J5138" s="26"/>
      <c r="K5138"/>
    </row>
    <row r="5139" spans="1:11">
      <c r="A5139">
        <v>36</v>
      </c>
      <c r="B5139" s="64">
        <v>41138</v>
      </c>
      <c r="C5139" s="2">
        <v>314607.22</v>
      </c>
      <c r="D5139">
        <v>0</v>
      </c>
      <c r="E5139" s="65">
        <v>85.89</v>
      </c>
      <c r="F5139" s="8">
        <v>3.571</v>
      </c>
      <c r="G5139" s="66">
        <v>220.7199609</v>
      </c>
      <c r="H5139" s="8">
        <v>6.623</v>
      </c>
      <c r="J5139" s="26"/>
      <c r="K5139"/>
    </row>
    <row r="5140" spans="1:11">
      <c r="A5140">
        <v>36</v>
      </c>
      <c r="B5140" s="64">
        <v>41145</v>
      </c>
      <c r="C5140" s="2">
        <v>282545.55</v>
      </c>
      <c r="D5140">
        <v>0</v>
      </c>
      <c r="E5140" s="65">
        <v>81.26</v>
      </c>
      <c r="F5140" s="8">
        <v>3.574</v>
      </c>
      <c r="G5140" s="66">
        <v>220.8526787</v>
      </c>
      <c r="H5140" s="8">
        <v>6.623</v>
      </c>
      <c r="J5140" s="26"/>
      <c r="K5140"/>
    </row>
    <row r="5141" spans="1:11">
      <c r="A5141">
        <v>36</v>
      </c>
      <c r="B5141" s="64">
        <v>41152</v>
      </c>
      <c r="C5141" s="2">
        <v>282647.48</v>
      </c>
      <c r="D5141">
        <v>0</v>
      </c>
      <c r="E5141" s="65">
        <v>84.79</v>
      </c>
      <c r="F5141" s="8">
        <v>3.608</v>
      </c>
      <c r="G5141" s="66">
        <v>220.9853964</v>
      </c>
      <c r="H5141" s="8">
        <v>6.623</v>
      </c>
      <c r="J5141" s="26"/>
      <c r="K5141"/>
    </row>
    <row r="5142" spans="1:11">
      <c r="A5142">
        <v>36</v>
      </c>
      <c r="B5142" s="64">
        <v>41159</v>
      </c>
      <c r="C5142" s="2">
        <v>293728.57</v>
      </c>
      <c r="D5142">
        <v>1</v>
      </c>
      <c r="E5142" s="65">
        <v>84.19</v>
      </c>
      <c r="F5142" s="8">
        <v>3.697</v>
      </c>
      <c r="G5142" s="66">
        <v>221.1181142</v>
      </c>
      <c r="H5142" s="8">
        <v>6.623</v>
      </c>
      <c r="J5142" s="26"/>
      <c r="K5142"/>
    </row>
    <row r="5143" spans="1:11">
      <c r="A5143">
        <v>36</v>
      </c>
      <c r="B5143" s="64">
        <v>41166</v>
      </c>
      <c r="C5143" s="2">
        <v>301893.63</v>
      </c>
      <c r="D5143">
        <v>0</v>
      </c>
      <c r="E5143" s="65">
        <v>78.16</v>
      </c>
      <c r="F5143" s="8">
        <v>3.692</v>
      </c>
      <c r="G5143" s="66">
        <v>221.2601207</v>
      </c>
      <c r="H5143" s="8">
        <v>6.623</v>
      </c>
      <c r="J5143" s="26"/>
      <c r="K5143"/>
    </row>
    <row r="5144" spans="1:11">
      <c r="A5144">
        <v>36</v>
      </c>
      <c r="B5144" s="64">
        <v>41173</v>
      </c>
      <c r="C5144" s="2">
        <v>293804.45</v>
      </c>
      <c r="D5144">
        <v>0</v>
      </c>
      <c r="E5144" s="65">
        <v>75.98</v>
      </c>
      <c r="F5144" s="8">
        <v>3.709</v>
      </c>
      <c r="G5144" s="66">
        <v>221.4578604</v>
      </c>
      <c r="H5144" s="8">
        <v>6.623</v>
      </c>
      <c r="J5144" s="26"/>
      <c r="K5144"/>
    </row>
    <row r="5145" spans="1:11">
      <c r="A5145">
        <v>36</v>
      </c>
      <c r="B5145" s="64">
        <v>41180</v>
      </c>
      <c r="C5145" s="2">
        <v>270677.98</v>
      </c>
      <c r="D5145">
        <v>0</v>
      </c>
      <c r="E5145" s="65">
        <v>79.49</v>
      </c>
      <c r="F5145" s="8">
        <v>3.66</v>
      </c>
      <c r="G5145" s="66">
        <v>221.6556</v>
      </c>
      <c r="H5145" s="8">
        <v>6.623</v>
      </c>
      <c r="J5145" s="26"/>
      <c r="K5145"/>
    </row>
    <row r="5146" spans="1:11">
      <c r="A5146">
        <v>36</v>
      </c>
      <c r="B5146" s="64">
        <v>41187</v>
      </c>
      <c r="C5146" s="2">
        <v>277137.86</v>
      </c>
      <c r="D5146">
        <v>0</v>
      </c>
      <c r="E5146" s="65">
        <v>73.57</v>
      </c>
      <c r="F5146" s="8">
        <v>3.611</v>
      </c>
      <c r="G5146" s="66">
        <v>221.8533396</v>
      </c>
      <c r="H5146" s="8">
        <v>6.228</v>
      </c>
      <c r="J5146" s="26"/>
      <c r="K5146"/>
    </row>
    <row r="5147" spans="1:11">
      <c r="A5147">
        <v>36</v>
      </c>
      <c r="B5147" s="64">
        <v>41194</v>
      </c>
      <c r="C5147" s="2">
        <v>300236.85</v>
      </c>
      <c r="D5147">
        <v>0</v>
      </c>
      <c r="E5147" s="65">
        <v>71.28</v>
      </c>
      <c r="F5147" s="8">
        <v>3.576</v>
      </c>
      <c r="G5147" s="66">
        <v>222.0510793</v>
      </c>
      <c r="H5147" s="8">
        <v>6.228</v>
      </c>
      <c r="J5147" s="26"/>
      <c r="K5147"/>
    </row>
    <row r="5148" spans="1:11">
      <c r="A5148">
        <v>36</v>
      </c>
      <c r="B5148" s="64">
        <v>41201</v>
      </c>
      <c r="C5148" s="2">
        <v>287360.05</v>
      </c>
      <c r="D5148">
        <v>0</v>
      </c>
      <c r="E5148" s="65">
        <v>74.06</v>
      </c>
      <c r="F5148" s="8">
        <v>3.57</v>
      </c>
      <c r="G5148" s="66">
        <v>222.0951719</v>
      </c>
      <c r="H5148" s="8">
        <v>6.228</v>
      </c>
      <c r="J5148" s="26"/>
      <c r="K5148"/>
    </row>
    <row r="5149" spans="1:11">
      <c r="A5149">
        <v>36</v>
      </c>
      <c r="B5149" s="64">
        <v>41208</v>
      </c>
      <c r="C5149" s="2">
        <v>272489.41</v>
      </c>
      <c r="D5149">
        <v>0</v>
      </c>
      <c r="E5149" s="65">
        <v>74.39</v>
      </c>
      <c r="F5149" s="8">
        <v>3.494</v>
      </c>
      <c r="G5149" s="66">
        <v>222.1136566</v>
      </c>
      <c r="H5149" s="8">
        <v>6.228</v>
      </c>
      <c r="J5149" s="26"/>
      <c r="K5149"/>
    </row>
    <row r="5150" spans="1:11">
      <c r="A5150">
        <v>37</v>
      </c>
      <c r="B5150" s="64">
        <v>40214</v>
      </c>
      <c r="C5150" s="2">
        <v>536006.73</v>
      </c>
      <c r="D5150">
        <v>0</v>
      </c>
      <c r="E5150" s="65">
        <v>45.97</v>
      </c>
      <c r="F5150" s="8">
        <v>2.572</v>
      </c>
      <c r="G5150" s="66">
        <v>209.8529663</v>
      </c>
      <c r="H5150" s="8">
        <v>8.554</v>
      </c>
      <c r="J5150" s="26"/>
      <c r="K5150"/>
    </row>
    <row r="5151" spans="1:11">
      <c r="A5151">
        <v>37</v>
      </c>
      <c r="B5151" s="64">
        <v>40221</v>
      </c>
      <c r="C5151" s="2">
        <v>529852.7</v>
      </c>
      <c r="D5151">
        <v>1</v>
      </c>
      <c r="E5151" s="65">
        <v>46.11</v>
      </c>
      <c r="F5151" s="8">
        <v>2.548</v>
      </c>
      <c r="G5151" s="66">
        <v>209.9970208</v>
      </c>
      <c r="H5151" s="8">
        <v>8.554</v>
      </c>
      <c r="J5151" s="26"/>
      <c r="K5151"/>
    </row>
    <row r="5152" spans="1:11">
      <c r="A5152">
        <v>37</v>
      </c>
      <c r="B5152" s="64">
        <v>40228</v>
      </c>
      <c r="C5152" s="2">
        <v>510382.5</v>
      </c>
      <c r="D5152">
        <v>0</v>
      </c>
      <c r="E5152" s="65">
        <v>45.66</v>
      </c>
      <c r="F5152" s="8">
        <v>2.514</v>
      </c>
      <c r="G5152" s="66">
        <v>210.0451024</v>
      </c>
      <c r="H5152" s="8">
        <v>8.554</v>
      </c>
      <c r="J5152" s="26"/>
      <c r="K5152"/>
    </row>
    <row r="5153" spans="1:11">
      <c r="A5153">
        <v>37</v>
      </c>
      <c r="B5153" s="64">
        <v>40235</v>
      </c>
      <c r="C5153" s="2">
        <v>513615.82</v>
      </c>
      <c r="D5153">
        <v>0</v>
      </c>
      <c r="E5153" s="65">
        <v>50.87</v>
      </c>
      <c r="F5153" s="8">
        <v>2.561</v>
      </c>
      <c r="G5153" s="66">
        <v>210.0771885</v>
      </c>
      <c r="H5153" s="8">
        <v>8.554</v>
      </c>
      <c r="J5153" s="26"/>
      <c r="K5153"/>
    </row>
    <row r="5154" spans="1:11">
      <c r="A5154">
        <v>37</v>
      </c>
      <c r="B5154" s="64">
        <v>40242</v>
      </c>
      <c r="C5154" s="2">
        <v>519255.68</v>
      </c>
      <c r="D5154">
        <v>0</v>
      </c>
      <c r="E5154" s="65">
        <v>51.33</v>
      </c>
      <c r="F5154" s="8">
        <v>2.625</v>
      </c>
      <c r="G5154" s="66">
        <v>210.1092746</v>
      </c>
      <c r="H5154" s="8">
        <v>8.554</v>
      </c>
      <c r="J5154" s="26"/>
      <c r="K5154"/>
    </row>
    <row r="5155" spans="1:11">
      <c r="A5155">
        <v>37</v>
      </c>
      <c r="B5155" s="64">
        <v>40249</v>
      </c>
      <c r="C5155" s="2">
        <v>513015.35</v>
      </c>
      <c r="D5155">
        <v>0</v>
      </c>
      <c r="E5155" s="65">
        <v>61.96</v>
      </c>
      <c r="F5155" s="8">
        <v>2.667</v>
      </c>
      <c r="G5155" s="66">
        <v>210.1413607</v>
      </c>
      <c r="H5155" s="8">
        <v>8.554</v>
      </c>
      <c r="J5155" s="26"/>
      <c r="K5155"/>
    </row>
    <row r="5156" spans="1:11">
      <c r="A5156">
        <v>37</v>
      </c>
      <c r="B5156" s="64">
        <v>40256</v>
      </c>
      <c r="C5156" s="2">
        <v>460020.74</v>
      </c>
      <c r="D5156">
        <v>0</v>
      </c>
      <c r="E5156" s="65">
        <v>59.56</v>
      </c>
      <c r="F5156" s="8">
        <v>2.72</v>
      </c>
      <c r="G5156" s="66">
        <v>209.9803208</v>
      </c>
      <c r="H5156" s="8">
        <v>8.554</v>
      </c>
      <c r="J5156" s="26"/>
      <c r="K5156"/>
    </row>
    <row r="5157" spans="1:11">
      <c r="A5157">
        <v>37</v>
      </c>
      <c r="B5157" s="64">
        <v>40263</v>
      </c>
      <c r="C5157" s="2">
        <v>515777.97</v>
      </c>
      <c r="D5157">
        <v>0</v>
      </c>
      <c r="E5157" s="65">
        <v>55.76</v>
      </c>
      <c r="F5157" s="8">
        <v>2.732</v>
      </c>
      <c r="G5157" s="66">
        <v>209.7870932</v>
      </c>
      <c r="H5157" s="8">
        <v>8.554</v>
      </c>
      <c r="J5157" s="26"/>
      <c r="K5157"/>
    </row>
    <row r="5158" spans="1:11">
      <c r="A5158">
        <v>37</v>
      </c>
      <c r="B5158" s="64">
        <v>40270</v>
      </c>
      <c r="C5158" s="2">
        <v>540189.7</v>
      </c>
      <c r="D5158">
        <v>0</v>
      </c>
      <c r="E5158" s="65">
        <v>63.43</v>
      </c>
      <c r="F5158" s="8">
        <v>2.719</v>
      </c>
      <c r="G5158" s="66">
        <v>209.5938656</v>
      </c>
      <c r="H5158" s="8">
        <v>8.464</v>
      </c>
      <c r="J5158" s="26"/>
      <c r="K5158"/>
    </row>
    <row r="5159" spans="1:11">
      <c r="A5159">
        <v>37</v>
      </c>
      <c r="B5159" s="64">
        <v>40277</v>
      </c>
      <c r="C5159" s="2">
        <v>513327.55</v>
      </c>
      <c r="D5159">
        <v>0</v>
      </c>
      <c r="E5159" s="65">
        <v>68.54</v>
      </c>
      <c r="F5159" s="8">
        <v>2.77</v>
      </c>
      <c r="G5159" s="66">
        <v>209.400638</v>
      </c>
      <c r="H5159" s="8">
        <v>8.464</v>
      </c>
      <c r="J5159" s="26"/>
      <c r="K5159"/>
    </row>
    <row r="5160" spans="1:11">
      <c r="A5160">
        <v>37</v>
      </c>
      <c r="B5160" s="64">
        <v>40284</v>
      </c>
      <c r="C5160" s="2">
        <v>524544.83</v>
      </c>
      <c r="D5160">
        <v>0</v>
      </c>
      <c r="E5160" s="65">
        <v>66.74</v>
      </c>
      <c r="F5160" s="8">
        <v>2.808</v>
      </c>
      <c r="G5160" s="66">
        <v>209.2691428</v>
      </c>
      <c r="H5160" s="8">
        <v>8.464</v>
      </c>
      <c r="J5160" s="26"/>
      <c r="K5160"/>
    </row>
    <row r="5161" spans="1:11">
      <c r="A5161">
        <v>37</v>
      </c>
      <c r="B5161" s="64">
        <v>40291</v>
      </c>
      <c r="C5161" s="2">
        <v>527019.78</v>
      </c>
      <c r="D5161">
        <v>0</v>
      </c>
      <c r="E5161" s="65">
        <v>68.03</v>
      </c>
      <c r="F5161" s="8">
        <v>2.795</v>
      </c>
      <c r="G5161" s="66">
        <v>209.2199574</v>
      </c>
      <c r="H5161" s="8">
        <v>8.464</v>
      </c>
      <c r="J5161" s="26"/>
      <c r="K5161"/>
    </row>
    <row r="5162" spans="1:11">
      <c r="A5162">
        <v>37</v>
      </c>
      <c r="B5162" s="64">
        <v>40298</v>
      </c>
      <c r="C5162" s="2">
        <v>517850.83</v>
      </c>
      <c r="D5162">
        <v>0</v>
      </c>
      <c r="E5162" s="65">
        <v>70.9</v>
      </c>
      <c r="F5162" s="8">
        <v>2.78</v>
      </c>
      <c r="G5162" s="66">
        <v>209.170772</v>
      </c>
      <c r="H5162" s="8">
        <v>8.464</v>
      </c>
      <c r="J5162" s="26"/>
      <c r="K5162"/>
    </row>
    <row r="5163" spans="1:11">
      <c r="A5163">
        <v>37</v>
      </c>
      <c r="B5163" s="64">
        <v>40305</v>
      </c>
      <c r="C5163" s="2">
        <v>543234.77</v>
      </c>
      <c r="D5163">
        <v>0</v>
      </c>
      <c r="E5163" s="65">
        <v>75.56</v>
      </c>
      <c r="F5163" s="8">
        <v>2.835</v>
      </c>
      <c r="G5163" s="66">
        <v>209.1215867</v>
      </c>
      <c r="H5163" s="8">
        <v>8.464</v>
      </c>
      <c r="J5163" s="26"/>
      <c r="K5163"/>
    </row>
    <row r="5164" spans="1:11">
      <c r="A5164">
        <v>37</v>
      </c>
      <c r="B5164" s="64">
        <v>40312</v>
      </c>
      <c r="C5164" s="2">
        <v>505196.08</v>
      </c>
      <c r="D5164">
        <v>0</v>
      </c>
      <c r="E5164" s="65">
        <v>77.53</v>
      </c>
      <c r="F5164" s="8">
        <v>2.854</v>
      </c>
      <c r="G5164" s="66">
        <v>209.118536</v>
      </c>
      <c r="H5164" s="8">
        <v>8.464</v>
      </c>
      <c r="J5164" s="26"/>
      <c r="K5164"/>
    </row>
    <row r="5165" spans="1:11">
      <c r="A5165">
        <v>37</v>
      </c>
      <c r="B5165" s="64">
        <v>40319</v>
      </c>
      <c r="C5165" s="2">
        <v>510494.7</v>
      </c>
      <c r="D5165">
        <v>0</v>
      </c>
      <c r="E5165" s="65">
        <v>77.34</v>
      </c>
      <c r="F5165" s="8">
        <v>2.826</v>
      </c>
      <c r="G5165" s="66">
        <v>209.3922937</v>
      </c>
      <c r="H5165" s="8">
        <v>8.464</v>
      </c>
      <c r="J5165" s="26"/>
      <c r="K5165"/>
    </row>
    <row r="5166" spans="1:11">
      <c r="A5166">
        <v>37</v>
      </c>
      <c r="B5166" s="64">
        <v>40326</v>
      </c>
      <c r="C5166" s="2">
        <v>532241.22</v>
      </c>
      <c r="D5166">
        <v>0</v>
      </c>
      <c r="E5166" s="65">
        <v>80.87</v>
      </c>
      <c r="F5166" s="8">
        <v>2.759</v>
      </c>
      <c r="G5166" s="66">
        <v>209.6660514</v>
      </c>
      <c r="H5166" s="8">
        <v>8.464</v>
      </c>
      <c r="J5166" s="26"/>
      <c r="K5166"/>
    </row>
    <row r="5167" spans="1:11">
      <c r="A5167">
        <v>37</v>
      </c>
      <c r="B5167" s="64">
        <v>40333</v>
      </c>
      <c r="C5167" s="2">
        <v>479195.02</v>
      </c>
      <c r="D5167">
        <v>0</v>
      </c>
      <c r="E5167" s="65">
        <v>79.93</v>
      </c>
      <c r="F5167" s="8">
        <v>2.705</v>
      </c>
      <c r="G5167" s="66">
        <v>209.9398091</v>
      </c>
      <c r="H5167" s="8">
        <v>8.464</v>
      </c>
      <c r="J5167" s="26"/>
      <c r="K5167"/>
    </row>
    <row r="5168" spans="1:11">
      <c r="A5168">
        <v>37</v>
      </c>
      <c r="B5168" s="64">
        <v>40340</v>
      </c>
      <c r="C5168" s="2">
        <v>481915.11</v>
      </c>
      <c r="D5168">
        <v>0</v>
      </c>
      <c r="E5168" s="65">
        <v>82.3</v>
      </c>
      <c r="F5168" s="8">
        <v>2.668</v>
      </c>
      <c r="G5168" s="66">
        <v>210.2135668</v>
      </c>
      <c r="H5168" s="8">
        <v>8.464</v>
      </c>
      <c r="J5168" s="26"/>
      <c r="K5168"/>
    </row>
    <row r="5169" spans="1:11">
      <c r="A5169">
        <v>37</v>
      </c>
      <c r="B5169" s="64">
        <v>40347</v>
      </c>
      <c r="C5169" s="2">
        <v>505761.62</v>
      </c>
      <c r="D5169">
        <v>0</v>
      </c>
      <c r="E5169" s="65">
        <v>84.37</v>
      </c>
      <c r="F5169" s="8">
        <v>2.637</v>
      </c>
      <c r="G5169" s="66">
        <v>210.2108417</v>
      </c>
      <c r="H5169" s="8">
        <v>8.464</v>
      </c>
      <c r="J5169" s="26"/>
      <c r="K5169"/>
    </row>
    <row r="5170" spans="1:11">
      <c r="A5170">
        <v>37</v>
      </c>
      <c r="B5170" s="64">
        <v>40354</v>
      </c>
      <c r="C5170" s="2">
        <v>485419.39</v>
      </c>
      <c r="D5170">
        <v>0</v>
      </c>
      <c r="E5170" s="65">
        <v>84.14</v>
      </c>
      <c r="F5170" s="8">
        <v>2.653</v>
      </c>
      <c r="G5170" s="66">
        <v>210.0975233</v>
      </c>
      <c r="H5170" s="8">
        <v>8.464</v>
      </c>
      <c r="J5170" s="26"/>
      <c r="K5170"/>
    </row>
    <row r="5171" spans="1:11">
      <c r="A5171">
        <v>37</v>
      </c>
      <c r="B5171" s="64">
        <v>40361</v>
      </c>
      <c r="C5171" s="2">
        <v>498292.53</v>
      </c>
      <c r="D5171">
        <v>0</v>
      </c>
      <c r="E5171" s="65">
        <v>81.85</v>
      </c>
      <c r="F5171" s="8">
        <v>2.669</v>
      </c>
      <c r="G5171" s="66">
        <v>209.984205</v>
      </c>
      <c r="H5171" s="8">
        <v>8.36</v>
      </c>
      <c r="J5171" s="26"/>
      <c r="K5171"/>
    </row>
    <row r="5172" spans="1:11">
      <c r="A5172">
        <v>37</v>
      </c>
      <c r="B5172" s="64">
        <v>40368</v>
      </c>
      <c r="C5172" s="2">
        <v>502456.04</v>
      </c>
      <c r="D5172">
        <v>0</v>
      </c>
      <c r="E5172" s="65">
        <v>81.74</v>
      </c>
      <c r="F5172" s="8">
        <v>2.642</v>
      </c>
      <c r="G5172" s="66">
        <v>209.8708867</v>
      </c>
      <c r="H5172" s="8">
        <v>8.36</v>
      </c>
      <c r="J5172" s="26"/>
      <c r="K5172"/>
    </row>
    <row r="5173" spans="1:11">
      <c r="A5173">
        <v>37</v>
      </c>
      <c r="B5173" s="64">
        <v>40375</v>
      </c>
      <c r="C5173" s="2">
        <v>485150.01</v>
      </c>
      <c r="D5173">
        <v>0</v>
      </c>
      <c r="E5173" s="65">
        <v>84.43</v>
      </c>
      <c r="F5173" s="8">
        <v>2.623</v>
      </c>
      <c r="G5173" s="66">
        <v>209.8630532</v>
      </c>
      <c r="H5173" s="8">
        <v>8.36</v>
      </c>
      <c r="J5173" s="26"/>
      <c r="K5173"/>
    </row>
    <row r="5174" spans="1:11">
      <c r="A5174">
        <v>37</v>
      </c>
      <c r="B5174" s="64">
        <v>40382</v>
      </c>
      <c r="C5174" s="2">
        <v>491998.12</v>
      </c>
      <c r="D5174">
        <v>0</v>
      </c>
      <c r="E5174" s="65">
        <v>82.6</v>
      </c>
      <c r="F5174" s="8">
        <v>2.608</v>
      </c>
      <c r="G5174" s="66">
        <v>209.9958663</v>
      </c>
      <c r="H5174" s="8">
        <v>8.36</v>
      </c>
      <c r="J5174" s="26"/>
      <c r="K5174"/>
    </row>
    <row r="5175" spans="1:11">
      <c r="A5175">
        <v>37</v>
      </c>
      <c r="B5175" s="64">
        <v>40389</v>
      </c>
      <c r="C5175" s="2">
        <v>487912.95</v>
      </c>
      <c r="D5175">
        <v>0</v>
      </c>
      <c r="E5175" s="65">
        <v>81.88</v>
      </c>
      <c r="F5175" s="8">
        <v>2.64</v>
      </c>
      <c r="G5175" s="66">
        <v>210.1286794</v>
      </c>
      <c r="H5175" s="8">
        <v>8.36</v>
      </c>
      <c r="J5175" s="26"/>
      <c r="K5175"/>
    </row>
    <row r="5176" spans="1:11">
      <c r="A5176">
        <v>37</v>
      </c>
      <c r="B5176" s="64">
        <v>40396</v>
      </c>
      <c r="C5176" s="2">
        <v>508576.62</v>
      </c>
      <c r="D5176">
        <v>0</v>
      </c>
      <c r="E5176" s="65">
        <v>85.49</v>
      </c>
      <c r="F5176" s="8">
        <v>2.627</v>
      </c>
      <c r="G5176" s="66">
        <v>210.2614925</v>
      </c>
      <c r="H5176" s="8">
        <v>8.36</v>
      </c>
      <c r="J5176" s="26"/>
      <c r="K5176"/>
    </row>
    <row r="5177" spans="1:11">
      <c r="A5177">
        <v>37</v>
      </c>
      <c r="B5177" s="64">
        <v>40403</v>
      </c>
      <c r="C5177" s="2">
        <v>491815.83</v>
      </c>
      <c r="D5177">
        <v>0</v>
      </c>
      <c r="E5177" s="65">
        <v>86.06</v>
      </c>
      <c r="F5177" s="8">
        <v>2.692</v>
      </c>
      <c r="G5177" s="66">
        <v>210.3943056</v>
      </c>
      <c r="H5177" s="8">
        <v>8.36</v>
      </c>
      <c r="J5177" s="26"/>
      <c r="K5177"/>
    </row>
    <row r="5178" spans="1:11">
      <c r="A5178">
        <v>37</v>
      </c>
      <c r="B5178" s="64">
        <v>40410</v>
      </c>
      <c r="C5178" s="2">
        <v>486930.72</v>
      </c>
      <c r="D5178">
        <v>0</v>
      </c>
      <c r="E5178" s="65">
        <v>85.54</v>
      </c>
      <c r="F5178" s="8">
        <v>2.664</v>
      </c>
      <c r="G5178" s="66">
        <v>210.3617581</v>
      </c>
      <c r="H5178" s="8">
        <v>8.36</v>
      </c>
      <c r="J5178" s="26"/>
      <c r="K5178"/>
    </row>
    <row r="5179" spans="1:11">
      <c r="A5179">
        <v>37</v>
      </c>
      <c r="B5179" s="64">
        <v>40417</v>
      </c>
      <c r="C5179" s="2">
        <v>512157.25</v>
      </c>
      <c r="D5179">
        <v>0</v>
      </c>
      <c r="E5179" s="65">
        <v>84.62</v>
      </c>
      <c r="F5179" s="8">
        <v>2.619</v>
      </c>
      <c r="G5179" s="66">
        <v>210.3292106</v>
      </c>
      <c r="H5179" s="8">
        <v>8.36</v>
      </c>
      <c r="J5179" s="26"/>
      <c r="K5179"/>
    </row>
    <row r="5180" spans="1:11">
      <c r="A5180">
        <v>37</v>
      </c>
      <c r="B5180" s="64">
        <v>40424</v>
      </c>
      <c r="C5180" s="2">
        <v>510427.53</v>
      </c>
      <c r="D5180">
        <v>0</v>
      </c>
      <c r="E5180" s="65">
        <v>82.29</v>
      </c>
      <c r="F5180" s="8">
        <v>2.577</v>
      </c>
      <c r="G5180" s="66">
        <v>210.2966631</v>
      </c>
      <c r="H5180" s="8">
        <v>8.36</v>
      </c>
      <c r="J5180" s="26"/>
      <c r="K5180"/>
    </row>
    <row r="5181" spans="1:11">
      <c r="A5181">
        <v>37</v>
      </c>
      <c r="B5181" s="64">
        <v>40431</v>
      </c>
      <c r="C5181" s="2">
        <v>510296.07</v>
      </c>
      <c r="D5181">
        <v>1</v>
      </c>
      <c r="E5181" s="65">
        <v>80.58</v>
      </c>
      <c r="F5181" s="8">
        <v>2.565</v>
      </c>
      <c r="G5181" s="66">
        <v>210.2641156</v>
      </c>
      <c r="H5181" s="8">
        <v>8.36</v>
      </c>
      <c r="J5181" s="26"/>
      <c r="K5181"/>
    </row>
    <row r="5182" spans="1:11">
      <c r="A5182">
        <v>37</v>
      </c>
      <c r="B5182" s="64">
        <v>40438</v>
      </c>
      <c r="C5182" s="2">
        <v>501251.4</v>
      </c>
      <c r="D5182">
        <v>0</v>
      </c>
      <c r="E5182" s="65">
        <v>82.1</v>
      </c>
      <c r="F5182" s="8">
        <v>2.582</v>
      </c>
      <c r="G5182" s="66">
        <v>210.2924504</v>
      </c>
      <c r="H5182" s="8">
        <v>8.36</v>
      </c>
      <c r="J5182" s="26"/>
      <c r="K5182"/>
    </row>
    <row r="5183" spans="1:11">
      <c r="A5183">
        <v>37</v>
      </c>
      <c r="B5183" s="64">
        <v>40445</v>
      </c>
      <c r="C5183" s="2">
        <v>494265.48</v>
      </c>
      <c r="D5183">
        <v>0</v>
      </c>
      <c r="E5183" s="65">
        <v>79.17</v>
      </c>
      <c r="F5183" s="8">
        <v>2.624</v>
      </c>
      <c r="G5183" s="66">
        <v>210.3664469</v>
      </c>
      <c r="H5183" s="8">
        <v>8.36</v>
      </c>
      <c r="J5183" s="26"/>
      <c r="K5183"/>
    </row>
    <row r="5184" spans="1:11">
      <c r="A5184">
        <v>37</v>
      </c>
      <c r="B5184" s="64">
        <v>40452</v>
      </c>
      <c r="C5184" s="2">
        <v>529877.93</v>
      </c>
      <c r="D5184">
        <v>0</v>
      </c>
      <c r="E5184" s="65">
        <v>74.66</v>
      </c>
      <c r="F5184" s="8">
        <v>2.603</v>
      </c>
      <c r="G5184" s="66">
        <v>210.4404433</v>
      </c>
      <c r="H5184" s="8">
        <v>8.476</v>
      </c>
      <c r="J5184" s="26"/>
      <c r="K5184"/>
    </row>
    <row r="5185" spans="1:11">
      <c r="A5185">
        <v>37</v>
      </c>
      <c r="B5185" s="64">
        <v>40459</v>
      </c>
      <c r="C5185" s="2">
        <v>524483.65</v>
      </c>
      <c r="D5185">
        <v>0</v>
      </c>
      <c r="E5185" s="65">
        <v>66.34</v>
      </c>
      <c r="F5185" s="8">
        <v>2.633</v>
      </c>
      <c r="G5185" s="66">
        <v>210.5144398</v>
      </c>
      <c r="H5185" s="8">
        <v>8.476</v>
      </c>
      <c r="J5185" s="26"/>
      <c r="K5185"/>
    </row>
    <row r="5186" spans="1:11">
      <c r="A5186">
        <v>37</v>
      </c>
      <c r="B5186" s="64">
        <v>40466</v>
      </c>
      <c r="C5186" s="2">
        <v>498925.86</v>
      </c>
      <c r="D5186">
        <v>0</v>
      </c>
      <c r="E5186" s="65">
        <v>71.57</v>
      </c>
      <c r="F5186" s="8">
        <v>2.72</v>
      </c>
      <c r="G5186" s="66">
        <v>210.5805944</v>
      </c>
      <c r="H5186" s="8">
        <v>8.476</v>
      </c>
      <c r="J5186" s="26"/>
      <c r="K5186"/>
    </row>
    <row r="5187" spans="1:11">
      <c r="A5187">
        <v>37</v>
      </c>
      <c r="B5187" s="64">
        <v>40473</v>
      </c>
      <c r="C5187" s="2">
        <v>510425.4</v>
      </c>
      <c r="D5187">
        <v>0</v>
      </c>
      <c r="E5187" s="65">
        <v>72.24</v>
      </c>
      <c r="F5187" s="8">
        <v>2.725</v>
      </c>
      <c r="G5187" s="66">
        <v>210.6271444</v>
      </c>
      <c r="H5187" s="8">
        <v>8.476</v>
      </c>
      <c r="J5187" s="26"/>
      <c r="K5187"/>
    </row>
    <row r="5188" spans="1:11">
      <c r="A5188">
        <v>37</v>
      </c>
      <c r="B5188" s="64">
        <v>40480</v>
      </c>
      <c r="C5188" s="2">
        <v>514485.9</v>
      </c>
      <c r="D5188">
        <v>0</v>
      </c>
      <c r="E5188" s="65">
        <v>76.22</v>
      </c>
      <c r="F5188" s="8">
        <v>2.716</v>
      </c>
      <c r="G5188" s="66">
        <v>210.6736944</v>
      </c>
      <c r="H5188" s="8">
        <v>8.476</v>
      </c>
      <c r="J5188" s="26"/>
      <c r="K5188"/>
    </row>
    <row r="5189" spans="1:11">
      <c r="A5189">
        <v>37</v>
      </c>
      <c r="B5189" s="64">
        <v>40487</v>
      </c>
      <c r="C5189" s="2">
        <v>539683.42</v>
      </c>
      <c r="D5189">
        <v>0</v>
      </c>
      <c r="E5189" s="65">
        <v>62.72</v>
      </c>
      <c r="F5189" s="8">
        <v>2.689</v>
      </c>
      <c r="G5189" s="66">
        <v>210.7202444</v>
      </c>
      <c r="H5189" s="8">
        <v>8.476</v>
      </c>
      <c r="J5189" s="26"/>
      <c r="K5189"/>
    </row>
    <row r="5190" spans="1:11">
      <c r="A5190">
        <v>37</v>
      </c>
      <c r="B5190" s="64">
        <v>40494</v>
      </c>
      <c r="C5190" s="2">
        <v>517546.69</v>
      </c>
      <c r="D5190">
        <v>0</v>
      </c>
      <c r="E5190" s="65">
        <v>61.97</v>
      </c>
      <c r="F5190" s="8">
        <v>2.728</v>
      </c>
      <c r="G5190" s="66">
        <v>210.7667944</v>
      </c>
      <c r="H5190" s="8">
        <v>8.476</v>
      </c>
      <c r="J5190" s="26"/>
      <c r="K5190"/>
    </row>
    <row r="5191" spans="1:11">
      <c r="A5191">
        <v>37</v>
      </c>
      <c r="B5191" s="64">
        <v>40501</v>
      </c>
      <c r="C5191" s="2">
        <v>518124.16</v>
      </c>
      <c r="D5191">
        <v>0</v>
      </c>
      <c r="E5191" s="65">
        <v>56.73</v>
      </c>
      <c r="F5191" s="8">
        <v>2.771</v>
      </c>
      <c r="G5191" s="66">
        <v>210.65429</v>
      </c>
      <c r="H5191" s="8">
        <v>8.476</v>
      </c>
      <c r="J5191" s="26"/>
      <c r="K5191"/>
    </row>
    <row r="5192" spans="1:11">
      <c r="A5192">
        <v>37</v>
      </c>
      <c r="B5192" s="64">
        <v>40508</v>
      </c>
      <c r="C5192" s="2">
        <v>518220.72</v>
      </c>
      <c r="D5192">
        <v>1</v>
      </c>
      <c r="E5192" s="65">
        <v>67.73</v>
      </c>
      <c r="F5192" s="8">
        <v>2.735</v>
      </c>
      <c r="G5192" s="66">
        <v>210.5152765</v>
      </c>
      <c r="H5192" s="8">
        <v>8.476</v>
      </c>
      <c r="J5192" s="26"/>
      <c r="K5192"/>
    </row>
    <row r="5193" spans="1:11">
      <c r="A5193">
        <v>37</v>
      </c>
      <c r="B5193" s="64">
        <v>40515</v>
      </c>
      <c r="C5193" s="2">
        <v>508213.14</v>
      </c>
      <c r="D5193">
        <v>0</v>
      </c>
      <c r="E5193" s="65">
        <v>54.44</v>
      </c>
      <c r="F5193" s="8">
        <v>2.708</v>
      </c>
      <c r="G5193" s="66">
        <v>210.376263</v>
      </c>
      <c r="H5193" s="8">
        <v>8.476</v>
      </c>
      <c r="J5193" s="26"/>
      <c r="K5193"/>
    </row>
    <row r="5194" spans="1:11">
      <c r="A5194">
        <v>37</v>
      </c>
      <c r="B5194" s="64">
        <v>40522</v>
      </c>
      <c r="C5194" s="2">
        <v>511207.52</v>
      </c>
      <c r="D5194">
        <v>0</v>
      </c>
      <c r="E5194" s="65">
        <v>51.83</v>
      </c>
      <c r="F5194" s="8">
        <v>2.843</v>
      </c>
      <c r="G5194" s="66">
        <v>210.2372494</v>
      </c>
      <c r="H5194" s="8">
        <v>8.476</v>
      </c>
      <c r="J5194" s="26"/>
      <c r="K5194"/>
    </row>
    <row r="5195" spans="1:11">
      <c r="A5195">
        <v>37</v>
      </c>
      <c r="B5195" s="64">
        <v>40529</v>
      </c>
      <c r="C5195" s="2">
        <v>534285.21</v>
      </c>
      <c r="D5195">
        <v>0</v>
      </c>
      <c r="E5195" s="65">
        <v>56.73</v>
      </c>
      <c r="F5195" s="8">
        <v>2.869</v>
      </c>
      <c r="G5195" s="66">
        <v>210.1787224</v>
      </c>
      <c r="H5195" s="8">
        <v>8.476</v>
      </c>
      <c r="J5195" s="26"/>
      <c r="K5195"/>
    </row>
    <row r="5196" spans="1:11">
      <c r="A5196">
        <v>37</v>
      </c>
      <c r="B5196" s="64">
        <v>40536</v>
      </c>
      <c r="C5196" s="2">
        <v>576809.92</v>
      </c>
      <c r="D5196">
        <v>0</v>
      </c>
      <c r="E5196" s="65">
        <v>59.1</v>
      </c>
      <c r="F5196" s="8">
        <v>2.886</v>
      </c>
      <c r="G5196" s="66">
        <v>210.1805602</v>
      </c>
      <c r="H5196" s="8">
        <v>8.476</v>
      </c>
      <c r="J5196" s="26"/>
      <c r="K5196"/>
    </row>
    <row r="5197" spans="1:11">
      <c r="A5197">
        <v>37</v>
      </c>
      <c r="B5197" s="64">
        <v>40543</v>
      </c>
      <c r="C5197" s="2">
        <v>460331.7</v>
      </c>
      <c r="D5197">
        <v>1</v>
      </c>
      <c r="E5197" s="65">
        <v>52.88</v>
      </c>
      <c r="F5197" s="8">
        <v>2.943</v>
      </c>
      <c r="G5197" s="66">
        <v>210.182398</v>
      </c>
      <c r="H5197" s="8">
        <v>8.476</v>
      </c>
      <c r="J5197" s="26"/>
      <c r="K5197"/>
    </row>
    <row r="5198" spans="1:11">
      <c r="A5198">
        <v>37</v>
      </c>
      <c r="B5198" s="64">
        <v>40550</v>
      </c>
      <c r="C5198" s="2">
        <v>542464.02</v>
      </c>
      <c r="D5198">
        <v>0</v>
      </c>
      <c r="E5198" s="65">
        <v>54.11</v>
      </c>
      <c r="F5198" s="8">
        <v>2.976</v>
      </c>
      <c r="G5198" s="66">
        <v>210.1842358</v>
      </c>
      <c r="H5198" s="8">
        <v>8.395</v>
      </c>
      <c r="J5198" s="26"/>
      <c r="K5198"/>
    </row>
    <row r="5199" spans="1:11">
      <c r="A5199">
        <v>37</v>
      </c>
      <c r="B5199" s="64">
        <v>40557</v>
      </c>
      <c r="C5199" s="2">
        <v>525616.9</v>
      </c>
      <c r="D5199">
        <v>0</v>
      </c>
      <c r="E5199" s="65">
        <v>42.87</v>
      </c>
      <c r="F5199" s="8">
        <v>2.983</v>
      </c>
      <c r="G5199" s="66">
        <v>210.2379731</v>
      </c>
      <c r="H5199" s="8">
        <v>8.395</v>
      </c>
      <c r="J5199" s="26"/>
      <c r="K5199"/>
    </row>
    <row r="5200" spans="1:11">
      <c r="A5200">
        <v>37</v>
      </c>
      <c r="B5200" s="64">
        <v>40564</v>
      </c>
      <c r="C5200" s="2">
        <v>526486.82</v>
      </c>
      <c r="D5200">
        <v>0</v>
      </c>
      <c r="E5200" s="65">
        <v>51.18</v>
      </c>
      <c r="F5200" s="8">
        <v>3.016</v>
      </c>
      <c r="G5200" s="66">
        <v>210.6031072</v>
      </c>
      <c r="H5200" s="8">
        <v>8.395</v>
      </c>
      <c r="J5200" s="26"/>
      <c r="K5200"/>
    </row>
    <row r="5201" spans="1:11">
      <c r="A5201">
        <v>37</v>
      </c>
      <c r="B5201" s="64">
        <v>40571</v>
      </c>
      <c r="C5201" s="2">
        <v>513672.36</v>
      </c>
      <c r="D5201">
        <v>0</v>
      </c>
      <c r="E5201" s="65">
        <v>48.74</v>
      </c>
      <c r="F5201" s="8">
        <v>3.01</v>
      </c>
      <c r="G5201" s="66">
        <v>210.9682412</v>
      </c>
      <c r="H5201" s="8">
        <v>8.395</v>
      </c>
      <c r="J5201" s="26"/>
      <c r="K5201"/>
    </row>
    <row r="5202" spans="1:11">
      <c r="A5202">
        <v>37</v>
      </c>
      <c r="B5202" s="64">
        <v>40578</v>
      </c>
      <c r="C5202" s="2">
        <v>583835.18</v>
      </c>
      <c r="D5202">
        <v>0</v>
      </c>
      <c r="E5202" s="65">
        <v>46.68</v>
      </c>
      <c r="F5202" s="8">
        <v>2.989</v>
      </c>
      <c r="G5202" s="66">
        <v>211.3333753</v>
      </c>
      <c r="H5202" s="8">
        <v>8.395</v>
      </c>
      <c r="J5202" s="26"/>
      <c r="K5202"/>
    </row>
    <row r="5203" spans="1:11">
      <c r="A5203">
        <v>37</v>
      </c>
      <c r="B5203" s="64">
        <v>40585</v>
      </c>
      <c r="C5203" s="2">
        <v>522514.32</v>
      </c>
      <c r="D5203">
        <v>1</v>
      </c>
      <c r="E5203" s="65">
        <v>41.16</v>
      </c>
      <c r="F5203" s="8">
        <v>3.022</v>
      </c>
      <c r="G5203" s="66">
        <v>211.6985093</v>
      </c>
      <c r="H5203" s="8">
        <v>8.395</v>
      </c>
      <c r="J5203" s="26"/>
      <c r="K5203"/>
    </row>
    <row r="5204" spans="1:11">
      <c r="A5204">
        <v>37</v>
      </c>
      <c r="B5204" s="64">
        <v>40592</v>
      </c>
      <c r="C5204" s="2">
        <v>536840.69</v>
      </c>
      <c r="D5204">
        <v>0</v>
      </c>
      <c r="E5204" s="65">
        <v>57.48</v>
      </c>
      <c r="F5204" s="8">
        <v>3.045</v>
      </c>
      <c r="G5204" s="66">
        <v>212.0063522</v>
      </c>
      <c r="H5204" s="8">
        <v>8.395</v>
      </c>
      <c r="J5204" s="26"/>
      <c r="K5204"/>
    </row>
    <row r="5205" spans="1:11">
      <c r="A5205">
        <v>37</v>
      </c>
      <c r="B5205" s="64">
        <v>40599</v>
      </c>
      <c r="C5205" s="2">
        <v>514758.19</v>
      </c>
      <c r="D5205">
        <v>0</v>
      </c>
      <c r="E5205" s="65">
        <v>67.73</v>
      </c>
      <c r="F5205" s="8">
        <v>3.065</v>
      </c>
      <c r="G5205" s="66">
        <v>212.2912786</v>
      </c>
      <c r="H5205" s="8">
        <v>8.395</v>
      </c>
      <c r="J5205" s="26"/>
      <c r="K5205"/>
    </row>
    <row r="5206" spans="1:11">
      <c r="A5206">
        <v>37</v>
      </c>
      <c r="B5206" s="64">
        <v>40606</v>
      </c>
      <c r="C5206" s="2">
        <v>527572.25</v>
      </c>
      <c r="D5206">
        <v>0</v>
      </c>
      <c r="E5206" s="65">
        <v>64.55</v>
      </c>
      <c r="F5206" s="8">
        <v>3.288</v>
      </c>
      <c r="G5206" s="66">
        <v>212.576205</v>
      </c>
      <c r="H5206" s="8">
        <v>8.395</v>
      </c>
      <c r="J5206" s="26"/>
      <c r="K5206"/>
    </row>
    <row r="5207" spans="1:11">
      <c r="A5207">
        <v>37</v>
      </c>
      <c r="B5207" s="64">
        <v>40613</v>
      </c>
      <c r="C5207" s="2">
        <v>505610.4</v>
      </c>
      <c r="D5207">
        <v>0</v>
      </c>
      <c r="E5207" s="65">
        <v>59.15</v>
      </c>
      <c r="F5207" s="8">
        <v>3.459</v>
      </c>
      <c r="G5207" s="66">
        <v>212.8611313</v>
      </c>
      <c r="H5207" s="8">
        <v>8.395</v>
      </c>
      <c r="J5207" s="26"/>
      <c r="K5207"/>
    </row>
    <row r="5208" spans="1:11">
      <c r="A5208">
        <v>37</v>
      </c>
      <c r="B5208" s="64">
        <v>40620</v>
      </c>
      <c r="C5208" s="2">
        <v>478503.06</v>
      </c>
      <c r="D5208">
        <v>0</v>
      </c>
      <c r="E5208" s="65">
        <v>64.9</v>
      </c>
      <c r="F5208" s="8">
        <v>3.488</v>
      </c>
      <c r="G5208" s="66">
        <v>213.1096787</v>
      </c>
      <c r="H5208" s="8">
        <v>8.395</v>
      </c>
      <c r="J5208" s="26"/>
      <c r="K5208"/>
    </row>
    <row r="5209" spans="1:11">
      <c r="A5209">
        <v>37</v>
      </c>
      <c r="B5209" s="64">
        <v>40627</v>
      </c>
      <c r="C5209" s="2">
        <v>522105.93</v>
      </c>
      <c r="D5209">
        <v>0</v>
      </c>
      <c r="E5209" s="65">
        <v>71.07</v>
      </c>
      <c r="F5209" s="8">
        <v>3.473</v>
      </c>
      <c r="G5209" s="66">
        <v>213.3436744</v>
      </c>
      <c r="H5209" s="8">
        <v>8.395</v>
      </c>
      <c r="J5209" s="26"/>
      <c r="K5209"/>
    </row>
    <row r="5210" spans="1:11">
      <c r="A5210">
        <v>37</v>
      </c>
      <c r="B5210" s="64">
        <v>40634</v>
      </c>
      <c r="C5210" s="2">
        <v>534578.78</v>
      </c>
      <c r="D5210">
        <v>0</v>
      </c>
      <c r="E5210" s="65">
        <v>67.31</v>
      </c>
      <c r="F5210" s="8">
        <v>3.524</v>
      </c>
      <c r="G5210" s="66">
        <v>213.5776701</v>
      </c>
      <c r="H5210" s="8">
        <v>8.3</v>
      </c>
      <c r="J5210" s="26"/>
      <c r="K5210"/>
    </row>
    <row r="5211" spans="1:11">
      <c r="A5211">
        <v>37</v>
      </c>
      <c r="B5211" s="64">
        <v>40641</v>
      </c>
      <c r="C5211" s="2">
        <v>543703.16</v>
      </c>
      <c r="D5211">
        <v>0</v>
      </c>
      <c r="E5211" s="65">
        <v>69.39</v>
      </c>
      <c r="F5211" s="8">
        <v>3.622</v>
      </c>
      <c r="G5211" s="66">
        <v>213.8116658</v>
      </c>
      <c r="H5211" s="8">
        <v>8.3</v>
      </c>
      <c r="J5211" s="26"/>
      <c r="K5211"/>
    </row>
    <row r="5212" spans="1:11">
      <c r="A5212">
        <v>37</v>
      </c>
      <c r="B5212" s="64">
        <v>40648</v>
      </c>
      <c r="C5212" s="2">
        <v>543775.87</v>
      </c>
      <c r="D5212">
        <v>0</v>
      </c>
      <c r="E5212" s="65">
        <v>73.25</v>
      </c>
      <c r="F5212" s="8">
        <v>3.743</v>
      </c>
      <c r="G5212" s="66">
        <v>214.026217</v>
      </c>
      <c r="H5212" s="8">
        <v>8.3</v>
      </c>
      <c r="J5212" s="26"/>
      <c r="K5212"/>
    </row>
    <row r="5213" spans="1:11">
      <c r="A5213">
        <v>37</v>
      </c>
      <c r="B5213" s="64">
        <v>40655</v>
      </c>
      <c r="C5213" s="2">
        <v>526434.37</v>
      </c>
      <c r="D5213">
        <v>0</v>
      </c>
      <c r="E5213" s="65">
        <v>74.57</v>
      </c>
      <c r="F5213" s="8">
        <v>3.807</v>
      </c>
      <c r="G5213" s="66">
        <v>214.1921572</v>
      </c>
      <c r="H5213" s="8">
        <v>8.3</v>
      </c>
      <c r="J5213" s="26"/>
      <c r="K5213"/>
    </row>
    <row r="5214" spans="1:11">
      <c r="A5214">
        <v>37</v>
      </c>
      <c r="B5214" s="64">
        <v>40662</v>
      </c>
      <c r="C5214" s="2">
        <v>502918.18</v>
      </c>
      <c r="D5214">
        <v>0</v>
      </c>
      <c r="E5214" s="65">
        <v>76.1</v>
      </c>
      <c r="F5214" s="8">
        <v>3.81</v>
      </c>
      <c r="G5214" s="66">
        <v>214.3580974</v>
      </c>
      <c r="H5214" s="8">
        <v>8.3</v>
      </c>
      <c r="J5214" s="26"/>
      <c r="K5214"/>
    </row>
    <row r="5215" spans="1:11">
      <c r="A5215">
        <v>37</v>
      </c>
      <c r="B5215" s="64">
        <v>40669</v>
      </c>
      <c r="C5215" s="2">
        <v>547513.3</v>
      </c>
      <c r="D5215">
        <v>0</v>
      </c>
      <c r="E5215" s="65">
        <v>69.56</v>
      </c>
      <c r="F5215" s="8">
        <v>3.906</v>
      </c>
      <c r="G5215" s="66">
        <v>214.5240376</v>
      </c>
      <c r="H5215" s="8">
        <v>8.3</v>
      </c>
      <c r="J5215" s="26"/>
      <c r="K5215"/>
    </row>
    <row r="5216" spans="1:11">
      <c r="A5216">
        <v>37</v>
      </c>
      <c r="B5216" s="64">
        <v>40676</v>
      </c>
      <c r="C5216" s="2">
        <v>511871.63</v>
      </c>
      <c r="D5216">
        <v>0</v>
      </c>
      <c r="E5216" s="65">
        <v>76.73</v>
      </c>
      <c r="F5216" s="8">
        <v>3.899</v>
      </c>
      <c r="G5216" s="66">
        <v>214.6899778</v>
      </c>
      <c r="H5216" s="8">
        <v>8.3</v>
      </c>
      <c r="J5216" s="26"/>
      <c r="K5216"/>
    </row>
    <row r="5217" spans="1:11">
      <c r="A5217">
        <v>37</v>
      </c>
      <c r="B5217" s="64">
        <v>40683</v>
      </c>
      <c r="C5217" s="2">
        <v>533564.42</v>
      </c>
      <c r="D5217">
        <v>0</v>
      </c>
      <c r="E5217" s="65">
        <v>73.02</v>
      </c>
      <c r="F5217" s="8">
        <v>3.907</v>
      </c>
      <c r="G5217" s="66">
        <v>214.465412</v>
      </c>
      <c r="H5217" s="8">
        <v>8.3</v>
      </c>
      <c r="J5217" s="26"/>
      <c r="K5217"/>
    </row>
    <row r="5218" spans="1:11">
      <c r="A5218">
        <v>37</v>
      </c>
      <c r="B5218" s="64">
        <v>40690</v>
      </c>
      <c r="C5218" s="2">
        <v>507086.75</v>
      </c>
      <c r="D5218">
        <v>0</v>
      </c>
      <c r="E5218" s="65">
        <v>81.28</v>
      </c>
      <c r="F5218" s="8">
        <v>3.786</v>
      </c>
      <c r="G5218" s="66">
        <v>214.2408462</v>
      </c>
      <c r="H5218" s="8">
        <v>8.3</v>
      </c>
      <c r="J5218" s="26"/>
      <c r="K5218"/>
    </row>
    <row r="5219" spans="1:11">
      <c r="A5219">
        <v>37</v>
      </c>
      <c r="B5219" s="64">
        <v>40697</v>
      </c>
      <c r="C5219" s="2">
        <v>500381.23</v>
      </c>
      <c r="D5219">
        <v>0</v>
      </c>
      <c r="E5219" s="65">
        <v>82.96</v>
      </c>
      <c r="F5219" s="8">
        <v>3.699</v>
      </c>
      <c r="G5219" s="66">
        <v>214.0162805</v>
      </c>
      <c r="H5219" s="8">
        <v>8.3</v>
      </c>
      <c r="J5219" s="26"/>
      <c r="K5219"/>
    </row>
    <row r="5220" spans="1:11">
      <c r="A5220">
        <v>37</v>
      </c>
      <c r="B5220" s="64">
        <v>40704</v>
      </c>
      <c r="C5220" s="2">
        <v>509647.25</v>
      </c>
      <c r="D5220">
        <v>0</v>
      </c>
      <c r="E5220" s="65">
        <v>82.41</v>
      </c>
      <c r="F5220" s="8">
        <v>3.648</v>
      </c>
      <c r="G5220" s="66">
        <v>213.7917147</v>
      </c>
      <c r="H5220" s="8">
        <v>8.3</v>
      </c>
      <c r="J5220" s="26"/>
      <c r="K5220"/>
    </row>
    <row r="5221" spans="1:11">
      <c r="A5221">
        <v>37</v>
      </c>
      <c r="B5221" s="64">
        <v>40711</v>
      </c>
      <c r="C5221" s="2">
        <v>525132.36</v>
      </c>
      <c r="D5221">
        <v>0</v>
      </c>
      <c r="E5221" s="65">
        <v>84.43</v>
      </c>
      <c r="F5221" s="8">
        <v>3.637</v>
      </c>
      <c r="G5221" s="66">
        <v>213.7481256</v>
      </c>
      <c r="H5221" s="8">
        <v>8.3</v>
      </c>
      <c r="J5221" s="26"/>
      <c r="K5221"/>
    </row>
    <row r="5222" spans="1:11">
      <c r="A5222">
        <v>37</v>
      </c>
      <c r="B5222" s="64">
        <v>40718</v>
      </c>
      <c r="C5222" s="2">
        <v>509276.22</v>
      </c>
      <c r="D5222">
        <v>0</v>
      </c>
      <c r="E5222" s="65">
        <v>83.95</v>
      </c>
      <c r="F5222" s="8">
        <v>3.594</v>
      </c>
      <c r="G5222" s="66">
        <v>213.8402689</v>
      </c>
      <c r="H5222" s="8">
        <v>8.3</v>
      </c>
      <c r="J5222" s="26"/>
      <c r="K5222"/>
    </row>
    <row r="5223" spans="1:11">
      <c r="A5223">
        <v>37</v>
      </c>
      <c r="B5223" s="64">
        <v>40725</v>
      </c>
      <c r="C5223" s="2">
        <v>517021.3</v>
      </c>
      <c r="D5223">
        <v>0</v>
      </c>
      <c r="E5223" s="65">
        <v>85.33</v>
      </c>
      <c r="F5223" s="8">
        <v>3.524</v>
      </c>
      <c r="G5223" s="66">
        <v>213.9324122</v>
      </c>
      <c r="H5223" s="8">
        <v>8.177</v>
      </c>
      <c r="J5223" s="26"/>
      <c r="K5223"/>
    </row>
    <row r="5224" spans="1:11">
      <c r="A5224">
        <v>37</v>
      </c>
      <c r="B5224" s="64">
        <v>40732</v>
      </c>
      <c r="C5224" s="2">
        <v>489059.93</v>
      </c>
      <c r="D5224">
        <v>0</v>
      </c>
      <c r="E5224" s="65">
        <v>84.71</v>
      </c>
      <c r="F5224" s="8">
        <v>3.48</v>
      </c>
      <c r="G5224" s="66">
        <v>214.0245556</v>
      </c>
      <c r="H5224" s="8">
        <v>8.177</v>
      </c>
      <c r="J5224" s="26"/>
      <c r="K5224"/>
    </row>
    <row r="5225" spans="1:11">
      <c r="A5225">
        <v>37</v>
      </c>
      <c r="B5225" s="64">
        <v>40739</v>
      </c>
      <c r="C5225" s="2">
        <v>498749.62</v>
      </c>
      <c r="D5225">
        <v>0</v>
      </c>
      <c r="E5225" s="65">
        <v>85.63</v>
      </c>
      <c r="F5225" s="8">
        <v>3.575</v>
      </c>
      <c r="G5225" s="66">
        <v>214.1083654</v>
      </c>
      <c r="H5225" s="8">
        <v>8.177</v>
      </c>
      <c r="J5225" s="26"/>
      <c r="K5225"/>
    </row>
    <row r="5226" spans="1:11">
      <c r="A5226">
        <v>37</v>
      </c>
      <c r="B5226" s="64">
        <v>40746</v>
      </c>
      <c r="C5226" s="2">
        <v>505543.53</v>
      </c>
      <c r="D5226">
        <v>0</v>
      </c>
      <c r="E5226" s="65">
        <v>83.31</v>
      </c>
      <c r="F5226" s="8">
        <v>3.651</v>
      </c>
      <c r="G5226" s="66">
        <v>214.1713416</v>
      </c>
      <c r="H5226" s="8">
        <v>8.177</v>
      </c>
      <c r="J5226" s="26"/>
      <c r="K5226"/>
    </row>
    <row r="5227" spans="1:11">
      <c r="A5227">
        <v>37</v>
      </c>
      <c r="B5227" s="64">
        <v>40753</v>
      </c>
      <c r="C5227" s="2">
        <v>504974.95</v>
      </c>
      <c r="D5227">
        <v>0</v>
      </c>
      <c r="E5227" s="65">
        <v>84.99</v>
      </c>
      <c r="F5227" s="8">
        <v>3.682</v>
      </c>
      <c r="G5227" s="66">
        <v>214.2343177</v>
      </c>
      <c r="H5227" s="8">
        <v>8.177</v>
      </c>
      <c r="J5227" s="26"/>
      <c r="K5227"/>
    </row>
    <row r="5228" spans="1:11">
      <c r="A5228">
        <v>37</v>
      </c>
      <c r="B5228" s="64">
        <v>40760</v>
      </c>
      <c r="C5228" s="2">
        <v>510787.46</v>
      </c>
      <c r="D5228">
        <v>0</v>
      </c>
      <c r="E5228" s="65">
        <v>86.71</v>
      </c>
      <c r="F5228" s="8">
        <v>3.684</v>
      </c>
      <c r="G5228" s="66">
        <v>214.2972939</v>
      </c>
      <c r="H5228" s="8">
        <v>8.177</v>
      </c>
      <c r="J5228" s="26"/>
      <c r="K5228"/>
    </row>
    <row r="5229" spans="1:11">
      <c r="A5229">
        <v>37</v>
      </c>
      <c r="B5229" s="64">
        <v>40767</v>
      </c>
      <c r="C5229" s="2">
        <v>502504.39</v>
      </c>
      <c r="D5229">
        <v>0</v>
      </c>
      <c r="E5229" s="65">
        <v>87.64</v>
      </c>
      <c r="F5229" s="8">
        <v>3.638</v>
      </c>
      <c r="G5229" s="66">
        <v>214.3602701</v>
      </c>
      <c r="H5229" s="8">
        <v>8.177</v>
      </c>
      <c r="J5229" s="26"/>
      <c r="K5229"/>
    </row>
    <row r="5230" spans="1:11">
      <c r="A5230">
        <v>37</v>
      </c>
      <c r="B5230" s="64">
        <v>40774</v>
      </c>
      <c r="C5230" s="2">
        <v>506897.98</v>
      </c>
      <c r="D5230">
        <v>0</v>
      </c>
      <c r="E5230" s="65">
        <v>87.24</v>
      </c>
      <c r="F5230" s="8">
        <v>3.554</v>
      </c>
      <c r="G5230" s="66">
        <v>214.4239935</v>
      </c>
      <c r="H5230" s="8">
        <v>8.177</v>
      </c>
      <c r="J5230" s="26"/>
      <c r="K5230"/>
    </row>
    <row r="5231" spans="1:11">
      <c r="A5231">
        <v>37</v>
      </c>
      <c r="B5231" s="64">
        <v>40781</v>
      </c>
      <c r="C5231" s="2">
        <v>527947.21</v>
      </c>
      <c r="D5231">
        <v>0</v>
      </c>
      <c r="E5231" s="65">
        <v>86.02</v>
      </c>
      <c r="F5231" s="8">
        <v>3.523</v>
      </c>
      <c r="G5231" s="66">
        <v>214.4878416</v>
      </c>
      <c r="H5231" s="8">
        <v>8.177</v>
      </c>
      <c r="J5231" s="26"/>
      <c r="K5231"/>
    </row>
    <row r="5232" spans="1:11">
      <c r="A5232">
        <v>37</v>
      </c>
      <c r="B5232" s="64">
        <v>40788</v>
      </c>
      <c r="C5232" s="2">
        <v>530367.83</v>
      </c>
      <c r="D5232">
        <v>0</v>
      </c>
      <c r="E5232" s="65">
        <v>87.5</v>
      </c>
      <c r="F5232" s="8">
        <v>3.533</v>
      </c>
      <c r="G5232" s="66">
        <v>214.5516896</v>
      </c>
      <c r="H5232" s="8">
        <v>8.177</v>
      </c>
      <c r="J5232" s="26"/>
      <c r="K5232"/>
    </row>
    <row r="5233" spans="1:11">
      <c r="A5233">
        <v>37</v>
      </c>
      <c r="B5233" s="64">
        <v>40795</v>
      </c>
      <c r="C5233" s="2">
        <v>506273.74</v>
      </c>
      <c r="D5233">
        <v>1</v>
      </c>
      <c r="E5233" s="65">
        <v>77.94</v>
      </c>
      <c r="F5233" s="8">
        <v>3.546</v>
      </c>
      <c r="G5233" s="66">
        <v>214.6155376</v>
      </c>
      <c r="H5233" s="8">
        <v>8.177</v>
      </c>
      <c r="J5233" s="26"/>
      <c r="K5233"/>
    </row>
    <row r="5234" spans="1:11">
      <c r="A5234">
        <v>37</v>
      </c>
      <c r="B5234" s="64">
        <v>40802</v>
      </c>
      <c r="C5234" s="2">
        <v>513341.94</v>
      </c>
      <c r="D5234">
        <v>0</v>
      </c>
      <c r="E5234" s="65">
        <v>82.06</v>
      </c>
      <c r="F5234" s="8">
        <v>3.526</v>
      </c>
      <c r="G5234" s="66">
        <v>214.7934111</v>
      </c>
      <c r="H5234" s="8">
        <v>8.177</v>
      </c>
      <c r="J5234" s="26"/>
      <c r="K5234"/>
    </row>
    <row r="5235" spans="1:11">
      <c r="A5235">
        <v>37</v>
      </c>
      <c r="B5235" s="64">
        <v>40809</v>
      </c>
      <c r="C5235" s="2">
        <v>516556.94</v>
      </c>
      <c r="D5235">
        <v>0</v>
      </c>
      <c r="E5235" s="65">
        <v>78.35</v>
      </c>
      <c r="F5235" s="8">
        <v>3.467</v>
      </c>
      <c r="G5235" s="66">
        <v>215.1233185</v>
      </c>
      <c r="H5235" s="8">
        <v>8.177</v>
      </c>
      <c r="J5235" s="26"/>
      <c r="K5235"/>
    </row>
    <row r="5236" spans="1:11">
      <c r="A5236">
        <v>37</v>
      </c>
      <c r="B5236" s="64">
        <v>40816</v>
      </c>
      <c r="C5236" s="2">
        <v>516402.1</v>
      </c>
      <c r="D5236">
        <v>0</v>
      </c>
      <c r="E5236" s="65">
        <v>81.52</v>
      </c>
      <c r="F5236" s="8">
        <v>3.355</v>
      </c>
      <c r="G5236" s="66">
        <v>215.4532259</v>
      </c>
      <c r="H5236" s="8">
        <v>8.177</v>
      </c>
      <c r="J5236" s="26"/>
      <c r="K5236"/>
    </row>
    <row r="5237" spans="1:11">
      <c r="A5237">
        <v>37</v>
      </c>
      <c r="B5237" s="64">
        <v>40823</v>
      </c>
      <c r="C5237" s="2">
        <v>522816.85</v>
      </c>
      <c r="D5237">
        <v>0</v>
      </c>
      <c r="E5237" s="65">
        <v>71.2</v>
      </c>
      <c r="F5237" s="8">
        <v>3.285</v>
      </c>
      <c r="G5237" s="66">
        <v>215.7831333</v>
      </c>
      <c r="H5237" s="8">
        <v>7.716</v>
      </c>
      <c r="J5237" s="26"/>
      <c r="K5237"/>
    </row>
    <row r="5238" spans="1:11">
      <c r="A5238">
        <v>37</v>
      </c>
      <c r="B5238" s="64">
        <v>40830</v>
      </c>
      <c r="C5238" s="2">
        <v>513636.01</v>
      </c>
      <c r="D5238">
        <v>0</v>
      </c>
      <c r="E5238" s="65">
        <v>74.16</v>
      </c>
      <c r="F5238" s="8">
        <v>3.274</v>
      </c>
      <c r="G5238" s="66">
        <v>216.0885258</v>
      </c>
      <c r="H5238" s="8">
        <v>7.716</v>
      </c>
      <c r="J5238" s="26"/>
      <c r="K5238"/>
    </row>
    <row r="5239" spans="1:11">
      <c r="A5239">
        <v>37</v>
      </c>
      <c r="B5239" s="64">
        <v>40837</v>
      </c>
      <c r="C5239" s="2">
        <v>522784.33</v>
      </c>
      <c r="D5239">
        <v>0</v>
      </c>
      <c r="E5239" s="65">
        <v>67.89</v>
      </c>
      <c r="F5239" s="8">
        <v>3.353</v>
      </c>
      <c r="G5239" s="66">
        <v>216.2468287</v>
      </c>
      <c r="H5239" s="8">
        <v>7.716</v>
      </c>
      <c r="J5239" s="26"/>
      <c r="K5239"/>
    </row>
    <row r="5240" spans="1:11">
      <c r="A5240">
        <v>37</v>
      </c>
      <c r="B5240" s="64">
        <v>40844</v>
      </c>
      <c r="C5240" s="2">
        <v>517355.44</v>
      </c>
      <c r="D5240">
        <v>0</v>
      </c>
      <c r="E5240" s="65">
        <v>71.31</v>
      </c>
      <c r="F5240" s="8">
        <v>3.372</v>
      </c>
      <c r="G5240" s="66">
        <v>216.4051315</v>
      </c>
      <c r="H5240" s="8">
        <v>7.716</v>
      </c>
      <c r="J5240" s="26"/>
      <c r="K5240"/>
    </row>
    <row r="5241" spans="1:11">
      <c r="A5241">
        <v>37</v>
      </c>
      <c r="B5241" s="64">
        <v>40851</v>
      </c>
      <c r="C5241" s="2">
        <v>555925.6</v>
      </c>
      <c r="D5241">
        <v>0</v>
      </c>
      <c r="E5241" s="65">
        <v>58.97</v>
      </c>
      <c r="F5241" s="8">
        <v>3.332</v>
      </c>
      <c r="G5241" s="66">
        <v>216.5634344</v>
      </c>
      <c r="H5241" s="8">
        <v>7.716</v>
      </c>
      <c r="J5241" s="26"/>
      <c r="K5241"/>
    </row>
    <row r="5242" spans="1:11">
      <c r="A5242">
        <v>37</v>
      </c>
      <c r="B5242" s="64">
        <v>40858</v>
      </c>
      <c r="C5242" s="2">
        <v>501268.78</v>
      </c>
      <c r="D5242">
        <v>0</v>
      </c>
      <c r="E5242" s="65">
        <v>63.5</v>
      </c>
      <c r="F5242" s="8">
        <v>3.297</v>
      </c>
      <c r="G5242" s="66">
        <v>216.7217373</v>
      </c>
      <c r="H5242" s="8">
        <v>7.716</v>
      </c>
      <c r="J5242" s="26"/>
      <c r="K5242"/>
    </row>
    <row r="5243" spans="1:11">
      <c r="A5243">
        <v>37</v>
      </c>
      <c r="B5243" s="64">
        <v>40865</v>
      </c>
      <c r="C5243" s="2">
        <v>527495.09</v>
      </c>
      <c r="D5243">
        <v>0</v>
      </c>
      <c r="E5243" s="65">
        <v>66.28</v>
      </c>
      <c r="F5243" s="8">
        <v>3.308</v>
      </c>
      <c r="G5243" s="66">
        <v>216.9395861</v>
      </c>
      <c r="H5243" s="8">
        <v>7.716</v>
      </c>
      <c r="J5243" s="26"/>
      <c r="K5243"/>
    </row>
    <row r="5244" spans="1:11">
      <c r="A5244">
        <v>37</v>
      </c>
      <c r="B5244" s="64">
        <v>40872</v>
      </c>
      <c r="C5244" s="2">
        <v>522554.04</v>
      </c>
      <c r="D5244">
        <v>1</v>
      </c>
      <c r="E5244" s="65">
        <v>66.41</v>
      </c>
      <c r="F5244" s="8">
        <v>3.236</v>
      </c>
      <c r="G5244" s="66">
        <v>217.1812533</v>
      </c>
      <c r="H5244" s="8">
        <v>7.716</v>
      </c>
      <c r="J5244" s="26"/>
      <c r="K5244"/>
    </row>
    <row r="5245" spans="1:11">
      <c r="A5245">
        <v>37</v>
      </c>
      <c r="B5245" s="64">
        <v>40879</v>
      </c>
      <c r="C5245" s="2">
        <v>527117.81</v>
      </c>
      <c r="D5245">
        <v>0</v>
      </c>
      <c r="E5245" s="65">
        <v>53.57</v>
      </c>
      <c r="F5245" s="8">
        <v>3.172</v>
      </c>
      <c r="G5245" s="66">
        <v>217.4229206</v>
      </c>
      <c r="H5245" s="8">
        <v>7.716</v>
      </c>
      <c r="J5245" s="26"/>
      <c r="K5245"/>
    </row>
    <row r="5246" spans="1:11">
      <c r="A5246">
        <v>37</v>
      </c>
      <c r="B5246" s="64">
        <v>40886</v>
      </c>
      <c r="C5246" s="2">
        <v>537224.52</v>
      </c>
      <c r="D5246">
        <v>0</v>
      </c>
      <c r="E5246" s="65">
        <v>50.64</v>
      </c>
      <c r="F5246" s="8">
        <v>3.158</v>
      </c>
      <c r="G5246" s="66">
        <v>217.6645878</v>
      </c>
      <c r="H5246" s="8">
        <v>7.716</v>
      </c>
      <c r="J5246" s="26"/>
      <c r="K5246"/>
    </row>
    <row r="5247" spans="1:11">
      <c r="A5247">
        <v>37</v>
      </c>
      <c r="B5247" s="64">
        <v>40893</v>
      </c>
      <c r="C5247" s="2">
        <v>533905.67</v>
      </c>
      <c r="D5247">
        <v>0</v>
      </c>
      <c r="E5247" s="65">
        <v>58.31</v>
      </c>
      <c r="F5247" s="8">
        <v>3.159</v>
      </c>
      <c r="G5247" s="66">
        <v>217.8781339</v>
      </c>
      <c r="H5247" s="8">
        <v>7.716</v>
      </c>
      <c r="J5247" s="26"/>
      <c r="K5247"/>
    </row>
    <row r="5248" spans="1:11">
      <c r="A5248">
        <v>37</v>
      </c>
      <c r="B5248" s="64">
        <v>40900</v>
      </c>
      <c r="C5248" s="2">
        <v>605791.46</v>
      </c>
      <c r="D5248">
        <v>0</v>
      </c>
      <c r="E5248" s="65">
        <v>55.41</v>
      </c>
      <c r="F5248" s="8">
        <v>3.112</v>
      </c>
      <c r="G5248" s="66">
        <v>218.0541851</v>
      </c>
      <c r="H5248" s="8">
        <v>7.716</v>
      </c>
      <c r="J5248" s="26"/>
      <c r="K5248"/>
    </row>
    <row r="5249" spans="1:11">
      <c r="A5249">
        <v>37</v>
      </c>
      <c r="B5249" s="64">
        <v>40907</v>
      </c>
      <c r="C5249" s="2">
        <v>451327.61</v>
      </c>
      <c r="D5249">
        <v>1</v>
      </c>
      <c r="E5249" s="65">
        <v>48.26</v>
      </c>
      <c r="F5249" s="8">
        <v>3.129</v>
      </c>
      <c r="G5249" s="66">
        <v>218.2302364</v>
      </c>
      <c r="H5249" s="8">
        <v>7.716</v>
      </c>
      <c r="J5249" s="26"/>
      <c r="K5249"/>
    </row>
    <row r="5250" spans="1:11">
      <c r="A5250">
        <v>37</v>
      </c>
      <c r="B5250" s="64">
        <v>40914</v>
      </c>
      <c r="C5250" s="2">
        <v>558343.57</v>
      </c>
      <c r="D5250">
        <v>0</v>
      </c>
      <c r="E5250" s="65">
        <v>57.18</v>
      </c>
      <c r="F5250" s="8">
        <v>3.157</v>
      </c>
      <c r="G5250" s="66">
        <v>218.4062876</v>
      </c>
      <c r="H5250" s="8">
        <v>7.244</v>
      </c>
      <c r="J5250" s="26"/>
      <c r="K5250"/>
    </row>
    <row r="5251" spans="1:11">
      <c r="A5251">
        <v>37</v>
      </c>
      <c r="B5251" s="64">
        <v>40921</v>
      </c>
      <c r="C5251" s="2">
        <v>546221.4</v>
      </c>
      <c r="D5251">
        <v>0</v>
      </c>
      <c r="E5251" s="65">
        <v>56.28</v>
      </c>
      <c r="F5251" s="8">
        <v>3.261</v>
      </c>
      <c r="G5251" s="66">
        <v>218.5823389</v>
      </c>
      <c r="H5251" s="8">
        <v>7.244</v>
      </c>
      <c r="J5251" s="26"/>
      <c r="K5251"/>
    </row>
    <row r="5252" spans="1:11">
      <c r="A5252">
        <v>37</v>
      </c>
      <c r="B5252" s="64">
        <v>40928</v>
      </c>
      <c r="C5252" s="2">
        <v>543894.07</v>
      </c>
      <c r="D5252">
        <v>0</v>
      </c>
      <c r="E5252" s="65">
        <v>58.9</v>
      </c>
      <c r="F5252" s="8">
        <v>3.268</v>
      </c>
      <c r="G5252" s="66">
        <v>218.6755292</v>
      </c>
      <c r="H5252" s="8">
        <v>7.244</v>
      </c>
      <c r="J5252" s="26"/>
      <c r="K5252"/>
    </row>
    <row r="5253" spans="1:11">
      <c r="A5253">
        <v>37</v>
      </c>
      <c r="B5253" s="64">
        <v>40935</v>
      </c>
      <c r="C5253" s="2">
        <v>514116.58</v>
      </c>
      <c r="D5253">
        <v>0</v>
      </c>
      <c r="E5253" s="65">
        <v>62.73</v>
      </c>
      <c r="F5253" s="8">
        <v>3.29</v>
      </c>
      <c r="G5253" s="66">
        <v>218.7687195</v>
      </c>
      <c r="H5253" s="8">
        <v>7.244</v>
      </c>
      <c r="J5253" s="26"/>
      <c r="K5253"/>
    </row>
    <row r="5254" spans="1:11">
      <c r="A5254">
        <v>37</v>
      </c>
      <c r="B5254" s="64">
        <v>40942</v>
      </c>
      <c r="C5254" s="2">
        <v>555424.24</v>
      </c>
      <c r="D5254">
        <v>0</v>
      </c>
      <c r="E5254" s="65">
        <v>61.33</v>
      </c>
      <c r="F5254" s="8">
        <v>3.36</v>
      </c>
      <c r="G5254" s="66">
        <v>218.8619099</v>
      </c>
      <c r="H5254" s="8">
        <v>7.244</v>
      </c>
      <c r="J5254" s="26"/>
      <c r="K5254"/>
    </row>
    <row r="5255" spans="1:11">
      <c r="A5255">
        <v>37</v>
      </c>
      <c r="B5255" s="64">
        <v>40949</v>
      </c>
      <c r="C5255" s="2">
        <v>527041.46</v>
      </c>
      <c r="D5255">
        <v>1</v>
      </c>
      <c r="E5255" s="65">
        <v>54.49</v>
      </c>
      <c r="F5255" s="8">
        <v>3.409</v>
      </c>
      <c r="G5255" s="66">
        <v>218.9551002</v>
      </c>
      <c r="H5255" s="8">
        <v>7.244</v>
      </c>
      <c r="J5255" s="26"/>
      <c r="K5255"/>
    </row>
    <row r="5256" spans="1:11">
      <c r="A5256">
        <v>37</v>
      </c>
      <c r="B5256" s="64">
        <v>40956</v>
      </c>
      <c r="C5256" s="2">
        <v>541071.29</v>
      </c>
      <c r="D5256">
        <v>0</v>
      </c>
      <c r="E5256" s="65">
        <v>54.38</v>
      </c>
      <c r="F5256" s="8">
        <v>3.51</v>
      </c>
      <c r="G5256" s="66">
        <v>219.1148297</v>
      </c>
      <c r="H5256" s="8">
        <v>7.244</v>
      </c>
      <c r="J5256" s="26"/>
      <c r="K5256"/>
    </row>
    <row r="5257" spans="1:11">
      <c r="A5257">
        <v>37</v>
      </c>
      <c r="B5257" s="64">
        <v>40963</v>
      </c>
      <c r="C5257" s="2">
        <v>518696.89</v>
      </c>
      <c r="D5257">
        <v>0</v>
      </c>
      <c r="E5257" s="65">
        <v>62.21</v>
      </c>
      <c r="F5257" s="8">
        <v>3.555</v>
      </c>
      <c r="G5257" s="66">
        <v>219.3244636</v>
      </c>
      <c r="H5257" s="8">
        <v>7.244</v>
      </c>
      <c r="J5257" s="26"/>
      <c r="K5257"/>
    </row>
    <row r="5258" spans="1:11">
      <c r="A5258">
        <v>37</v>
      </c>
      <c r="B5258" s="64">
        <v>40970</v>
      </c>
      <c r="C5258" s="2">
        <v>525559.17</v>
      </c>
      <c r="D5258">
        <v>0</v>
      </c>
      <c r="E5258" s="65">
        <v>64.54</v>
      </c>
      <c r="F5258" s="8">
        <v>3.63</v>
      </c>
      <c r="G5258" s="66">
        <v>219.5340975</v>
      </c>
      <c r="H5258" s="8">
        <v>7.244</v>
      </c>
      <c r="J5258" s="26"/>
      <c r="K5258"/>
    </row>
    <row r="5259" spans="1:11">
      <c r="A5259">
        <v>37</v>
      </c>
      <c r="B5259" s="64">
        <v>40977</v>
      </c>
      <c r="C5259" s="2">
        <v>535937.25</v>
      </c>
      <c r="D5259">
        <v>0</v>
      </c>
      <c r="E5259" s="65">
        <v>63.19</v>
      </c>
      <c r="F5259" s="8">
        <v>3.669</v>
      </c>
      <c r="G5259" s="66">
        <v>219.7437314</v>
      </c>
      <c r="H5259" s="8">
        <v>7.244</v>
      </c>
      <c r="J5259" s="26"/>
      <c r="K5259"/>
    </row>
    <row r="5260" spans="1:11">
      <c r="A5260">
        <v>37</v>
      </c>
      <c r="B5260" s="64">
        <v>40984</v>
      </c>
      <c r="C5260" s="2">
        <v>484588.34</v>
      </c>
      <c r="D5260">
        <v>0</v>
      </c>
      <c r="E5260" s="65">
        <v>67.48</v>
      </c>
      <c r="F5260" s="8">
        <v>3.734</v>
      </c>
      <c r="G5260" s="66">
        <v>219.8956335</v>
      </c>
      <c r="H5260" s="8">
        <v>7.244</v>
      </c>
      <c r="J5260" s="26"/>
      <c r="K5260"/>
    </row>
    <row r="5261" spans="1:11">
      <c r="A5261">
        <v>37</v>
      </c>
      <c r="B5261" s="64">
        <v>40991</v>
      </c>
      <c r="C5261" s="2">
        <v>520887.23</v>
      </c>
      <c r="D5261">
        <v>0</v>
      </c>
      <c r="E5261" s="65">
        <v>69.18</v>
      </c>
      <c r="F5261" s="8">
        <v>3.787</v>
      </c>
      <c r="G5261" s="66">
        <v>219.9705599</v>
      </c>
      <c r="H5261" s="8">
        <v>7.244</v>
      </c>
      <c r="J5261" s="26"/>
      <c r="K5261"/>
    </row>
    <row r="5262" spans="1:11">
      <c r="A5262">
        <v>37</v>
      </c>
      <c r="B5262" s="64">
        <v>40998</v>
      </c>
      <c r="C5262" s="2">
        <v>533734.94</v>
      </c>
      <c r="D5262">
        <v>0</v>
      </c>
      <c r="E5262" s="65">
        <v>70.48</v>
      </c>
      <c r="F5262" s="8">
        <v>3.845</v>
      </c>
      <c r="G5262" s="66">
        <v>220.0454862</v>
      </c>
      <c r="H5262" s="8">
        <v>7.244</v>
      </c>
      <c r="J5262" s="26"/>
      <c r="K5262"/>
    </row>
    <row r="5263" spans="1:11">
      <c r="A5263">
        <v>37</v>
      </c>
      <c r="B5263" s="64">
        <v>41005</v>
      </c>
      <c r="C5263" s="2">
        <v>564848.78</v>
      </c>
      <c r="D5263">
        <v>0</v>
      </c>
      <c r="E5263" s="65">
        <v>73.95</v>
      </c>
      <c r="F5263" s="8">
        <v>3.891</v>
      </c>
      <c r="G5263" s="66">
        <v>220.1204125</v>
      </c>
      <c r="H5263" s="8">
        <v>6.989</v>
      </c>
      <c r="J5263" s="26"/>
      <c r="K5263"/>
    </row>
    <row r="5264" spans="1:11">
      <c r="A5264">
        <v>37</v>
      </c>
      <c r="B5264" s="64">
        <v>41012</v>
      </c>
      <c r="C5264" s="2">
        <v>506973.17</v>
      </c>
      <c r="D5264">
        <v>0</v>
      </c>
      <c r="E5264" s="65">
        <v>72.54</v>
      </c>
      <c r="F5264" s="8">
        <v>3.891</v>
      </c>
      <c r="G5264" s="66">
        <v>220.1953389</v>
      </c>
      <c r="H5264" s="8">
        <v>6.989</v>
      </c>
      <c r="J5264" s="26"/>
      <c r="K5264"/>
    </row>
    <row r="5265" spans="1:11">
      <c r="A5265">
        <v>37</v>
      </c>
      <c r="B5265" s="64">
        <v>41019</v>
      </c>
      <c r="C5265" s="2">
        <v>523483.19</v>
      </c>
      <c r="D5265">
        <v>0</v>
      </c>
      <c r="E5265" s="65">
        <v>70.87</v>
      </c>
      <c r="F5265" s="8">
        <v>3.877</v>
      </c>
      <c r="G5265" s="66">
        <v>220.2483937</v>
      </c>
      <c r="H5265" s="8">
        <v>6.989</v>
      </c>
      <c r="J5265" s="26"/>
      <c r="K5265"/>
    </row>
    <row r="5266" spans="1:11">
      <c r="A5266">
        <v>37</v>
      </c>
      <c r="B5266" s="64">
        <v>41026</v>
      </c>
      <c r="C5266" s="2">
        <v>528807.45</v>
      </c>
      <c r="D5266">
        <v>0</v>
      </c>
      <c r="E5266" s="65">
        <v>70.06</v>
      </c>
      <c r="F5266" s="8">
        <v>3.814</v>
      </c>
      <c r="G5266" s="66">
        <v>220.3014485</v>
      </c>
      <c r="H5266" s="8">
        <v>6.989</v>
      </c>
      <c r="J5266" s="26"/>
      <c r="K5266"/>
    </row>
    <row r="5267" spans="1:11">
      <c r="A5267">
        <v>37</v>
      </c>
      <c r="B5267" s="64">
        <v>41033</v>
      </c>
      <c r="C5267" s="2">
        <v>535311.64</v>
      </c>
      <c r="D5267">
        <v>0</v>
      </c>
      <c r="E5267" s="65">
        <v>77.17</v>
      </c>
      <c r="F5267" s="8">
        <v>3.749</v>
      </c>
      <c r="G5267" s="66">
        <v>220.3545033</v>
      </c>
      <c r="H5267" s="8">
        <v>6.989</v>
      </c>
      <c r="J5267" s="26"/>
      <c r="K5267"/>
    </row>
    <row r="5268" spans="1:11">
      <c r="A5268">
        <v>37</v>
      </c>
      <c r="B5268" s="64">
        <v>41040</v>
      </c>
      <c r="C5268" s="2">
        <v>527983.04</v>
      </c>
      <c r="D5268">
        <v>0</v>
      </c>
      <c r="E5268" s="65">
        <v>76.55</v>
      </c>
      <c r="F5268" s="8">
        <v>3.688</v>
      </c>
      <c r="G5268" s="66">
        <v>220.4075581</v>
      </c>
      <c r="H5268" s="8">
        <v>6.989</v>
      </c>
      <c r="J5268" s="26"/>
      <c r="K5268"/>
    </row>
    <row r="5269" spans="1:11">
      <c r="A5269">
        <v>37</v>
      </c>
      <c r="B5269" s="64">
        <v>41047</v>
      </c>
      <c r="C5269" s="2">
        <v>534847.96</v>
      </c>
      <c r="D5269">
        <v>0</v>
      </c>
      <c r="E5269" s="65">
        <v>73.7</v>
      </c>
      <c r="F5269" s="8">
        <v>3.63</v>
      </c>
      <c r="G5269" s="66">
        <v>220.4252149</v>
      </c>
      <c r="H5269" s="8">
        <v>6.989</v>
      </c>
      <c r="J5269" s="26"/>
      <c r="K5269"/>
    </row>
    <row r="5270" spans="1:11">
      <c r="A5270">
        <v>37</v>
      </c>
      <c r="B5270" s="64">
        <v>41054</v>
      </c>
      <c r="C5270" s="2">
        <v>540625.79</v>
      </c>
      <c r="D5270">
        <v>0</v>
      </c>
      <c r="E5270" s="65">
        <v>78.94</v>
      </c>
      <c r="F5270" s="8">
        <v>3.561</v>
      </c>
      <c r="G5270" s="66">
        <v>220.4287124</v>
      </c>
      <c r="H5270" s="8">
        <v>6.989</v>
      </c>
      <c r="J5270" s="26"/>
      <c r="K5270"/>
    </row>
    <row r="5271" spans="1:11">
      <c r="A5271">
        <v>37</v>
      </c>
      <c r="B5271" s="64">
        <v>41061</v>
      </c>
      <c r="C5271" s="2">
        <v>531811.85</v>
      </c>
      <c r="D5271">
        <v>0</v>
      </c>
      <c r="E5271" s="65">
        <v>80.74</v>
      </c>
      <c r="F5271" s="8">
        <v>3.501</v>
      </c>
      <c r="G5271" s="66">
        <v>220.4322099</v>
      </c>
      <c r="H5271" s="8">
        <v>6.989</v>
      </c>
      <c r="J5271" s="26"/>
      <c r="K5271"/>
    </row>
    <row r="5272" spans="1:11">
      <c r="A5272">
        <v>37</v>
      </c>
      <c r="B5272" s="64">
        <v>41068</v>
      </c>
      <c r="C5272" s="2">
        <v>528940.78</v>
      </c>
      <c r="D5272">
        <v>0</v>
      </c>
      <c r="E5272" s="65">
        <v>81.5</v>
      </c>
      <c r="F5272" s="8">
        <v>3.452</v>
      </c>
      <c r="G5272" s="66">
        <v>220.4357073</v>
      </c>
      <c r="H5272" s="8">
        <v>6.989</v>
      </c>
      <c r="J5272" s="26"/>
      <c r="K5272"/>
    </row>
    <row r="5273" spans="1:11">
      <c r="A5273">
        <v>37</v>
      </c>
      <c r="B5273" s="64">
        <v>41075</v>
      </c>
      <c r="C5273" s="2">
        <v>508573.16</v>
      </c>
      <c r="D5273">
        <v>0</v>
      </c>
      <c r="E5273" s="65">
        <v>82.15</v>
      </c>
      <c r="F5273" s="8">
        <v>3.393</v>
      </c>
      <c r="G5273" s="66">
        <v>220.4494148</v>
      </c>
      <c r="H5273" s="8">
        <v>6.989</v>
      </c>
      <c r="J5273" s="26"/>
      <c r="K5273"/>
    </row>
    <row r="5274" spans="1:11">
      <c r="A5274">
        <v>37</v>
      </c>
      <c r="B5274" s="64">
        <v>41082</v>
      </c>
      <c r="C5274" s="2">
        <v>484032.75</v>
      </c>
      <c r="D5274">
        <v>0</v>
      </c>
      <c r="E5274" s="65">
        <v>80.4</v>
      </c>
      <c r="F5274" s="8">
        <v>3.346</v>
      </c>
      <c r="G5274" s="66">
        <v>220.4886472</v>
      </c>
      <c r="H5274" s="8">
        <v>6.989</v>
      </c>
      <c r="J5274" s="26"/>
      <c r="K5274"/>
    </row>
    <row r="5275" spans="1:11">
      <c r="A5275">
        <v>37</v>
      </c>
      <c r="B5275" s="64">
        <v>41089</v>
      </c>
      <c r="C5275" s="2">
        <v>508309.81</v>
      </c>
      <c r="D5275">
        <v>0</v>
      </c>
      <c r="E5275" s="65">
        <v>86.68</v>
      </c>
      <c r="F5275" s="8">
        <v>3.286</v>
      </c>
      <c r="G5275" s="66">
        <v>220.5278796</v>
      </c>
      <c r="H5275" s="8">
        <v>6.989</v>
      </c>
      <c r="J5275" s="26"/>
      <c r="K5275"/>
    </row>
    <row r="5276" spans="1:11">
      <c r="A5276">
        <v>37</v>
      </c>
      <c r="B5276" s="64">
        <v>41096</v>
      </c>
      <c r="C5276" s="2">
        <v>519498.32</v>
      </c>
      <c r="D5276">
        <v>0</v>
      </c>
      <c r="E5276" s="65">
        <v>81.52</v>
      </c>
      <c r="F5276" s="8">
        <v>3.227</v>
      </c>
      <c r="G5276" s="66">
        <v>220.567112</v>
      </c>
      <c r="H5276" s="8">
        <v>6.623</v>
      </c>
      <c r="J5276" s="26"/>
      <c r="K5276"/>
    </row>
    <row r="5277" spans="1:11">
      <c r="A5277">
        <v>37</v>
      </c>
      <c r="B5277" s="64">
        <v>41103</v>
      </c>
      <c r="C5277" s="2">
        <v>506005.47</v>
      </c>
      <c r="D5277">
        <v>0</v>
      </c>
      <c r="E5277" s="65">
        <v>78.15</v>
      </c>
      <c r="F5277" s="8">
        <v>3.256</v>
      </c>
      <c r="G5277" s="66">
        <v>220.6063444</v>
      </c>
      <c r="H5277" s="8">
        <v>6.623</v>
      </c>
      <c r="J5277" s="26"/>
      <c r="K5277"/>
    </row>
    <row r="5278" spans="1:11">
      <c r="A5278">
        <v>37</v>
      </c>
      <c r="B5278" s="64">
        <v>41110</v>
      </c>
      <c r="C5278" s="2">
        <v>503744.56</v>
      </c>
      <c r="D5278">
        <v>0</v>
      </c>
      <c r="E5278" s="65">
        <v>81.76</v>
      </c>
      <c r="F5278" s="8">
        <v>3.311</v>
      </c>
      <c r="G5278" s="66">
        <v>220.6148749</v>
      </c>
      <c r="H5278" s="8">
        <v>6.623</v>
      </c>
      <c r="J5278" s="26"/>
      <c r="K5278"/>
    </row>
    <row r="5279" spans="1:11">
      <c r="A5279">
        <v>37</v>
      </c>
      <c r="B5279" s="64">
        <v>41117</v>
      </c>
      <c r="C5279" s="2">
        <v>514489.17</v>
      </c>
      <c r="D5279">
        <v>0</v>
      </c>
      <c r="E5279" s="65">
        <v>84</v>
      </c>
      <c r="F5279" s="8">
        <v>3.407</v>
      </c>
      <c r="G5279" s="66">
        <v>220.6234054</v>
      </c>
      <c r="H5279" s="8">
        <v>6.623</v>
      </c>
      <c r="J5279" s="26"/>
      <c r="K5279"/>
    </row>
    <row r="5280" spans="1:11">
      <c r="A5280">
        <v>37</v>
      </c>
      <c r="B5280" s="64">
        <v>41124</v>
      </c>
      <c r="C5280" s="2">
        <v>521959.28</v>
      </c>
      <c r="D5280">
        <v>0</v>
      </c>
      <c r="E5280" s="65">
        <v>85.56</v>
      </c>
      <c r="F5280" s="8">
        <v>3.417</v>
      </c>
      <c r="G5280" s="66">
        <v>220.6319358</v>
      </c>
      <c r="H5280" s="8">
        <v>6.623</v>
      </c>
      <c r="J5280" s="26"/>
      <c r="K5280"/>
    </row>
    <row r="5281" spans="1:11">
      <c r="A5281">
        <v>37</v>
      </c>
      <c r="B5281" s="64">
        <v>41131</v>
      </c>
      <c r="C5281" s="2">
        <v>500964.59</v>
      </c>
      <c r="D5281">
        <v>0</v>
      </c>
      <c r="E5281" s="65">
        <v>84.41</v>
      </c>
      <c r="F5281" s="8">
        <v>3.494</v>
      </c>
      <c r="G5281" s="66">
        <v>220.6404663</v>
      </c>
      <c r="H5281" s="8">
        <v>6.623</v>
      </c>
      <c r="J5281" s="26"/>
      <c r="K5281"/>
    </row>
    <row r="5282" spans="1:11">
      <c r="A5282">
        <v>37</v>
      </c>
      <c r="B5282" s="64">
        <v>41138</v>
      </c>
      <c r="C5282" s="2">
        <v>509633.71</v>
      </c>
      <c r="D5282">
        <v>0</v>
      </c>
      <c r="E5282" s="65">
        <v>85.89</v>
      </c>
      <c r="F5282" s="8">
        <v>3.571</v>
      </c>
      <c r="G5282" s="66">
        <v>220.7199609</v>
      </c>
      <c r="H5282" s="8">
        <v>6.623</v>
      </c>
      <c r="J5282" s="26"/>
      <c r="K5282"/>
    </row>
    <row r="5283" spans="1:11">
      <c r="A5283">
        <v>37</v>
      </c>
      <c r="B5283" s="64">
        <v>41145</v>
      </c>
      <c r="C5283" s="2">
        <v>522665.04</v>
      </c>
      <c r="D5283">
        <v>0</v>
      </c>
      <c r="E5283" s="65">
        <v>81.26</v>
      </c>
      <c r="F5283" s="8">
        <v>3.62</v>
      </c>
      <c r="G5283" s="66">
        <v>220.8526787</v>
      </c>
      <c r="H5283" s="8">
        <v>6.623</v>
      </c>
      <c r="J5283" s="26"/>
      <c r="K5283"/>
    </row>
    <row r="5284" spans="1:11">
      <c r="A5284">
        <v>37</v>
      </c>
      <c r="B5284" s="64">
        <v>41152</v>
      </c>
      <c r="C5284" s="2">
        <v>538344.1</v>
      </c>
      <c r="D5284">
        <v>0</v>
      </c>
      <c r="E5284" s="65">
        <v>84.79</v>
      </c>
      <c r="F5284" s="8">
        <v>3.638</v>
      </c>
      <c r="G5284" s="66">
        <v>220.9853964</v>
      </c>
      <c r="H5284" s="8">
        <v>6.623</v>
      </c>
      <c r="J5284" s="26"/>
      <c r="K5284"/>
    </row>
    <row r="5285" spans="1:11">
      <c r="A5285">
        <v>37</v>
      </c>
      <c r="B5285" s="64">
        <v>41159</v>
      </c>
      <c r="C5285" s="2">
        <v>526838.14</v>
      </c>
      <c r="D5285">
        <v>1</v>
      </c>
      <c r="E5285" s="65">
        <v>84.19</v>
      </c>
      <c r="F5285" s="8">
        <v>3.73</v>
      </c>
      <c r="G5285" s="66">
        <v>221.1181142</v>
      </c>
      <c r="H5285" s="8">
        <v>6.623</v>
      </c>
      <c r="J5285" s="26"/>
      <c r="K5285"/>
    </row>
    <row r="5286" spans="1:11">
      <c r="A5286">
        <v>37</v>
      </c>
      <c r="B5286" s="64">
        <v>41166</v>
      </c>
      <c r="C5286" s="2">
        <v>514651.74</v>
      </c>
      <c r="D5286">
        <v>0</v>
      </c>
      <c r="E5286" s="65">
        <v>78.16</v>
      </c>
      <c r="F5286" s="8">
        <v>3.717</v>
      </c>
      <c r="G5286" s="66">
        <v>221.2601207</v>
      </c>
      <c r="H5286" s="8">
        <v>6.623</v>
      </c>
      <c r="J5286" s="26"/>
      <c r="K5286"/>
    </row>
    <row r="5287" spans="1:11">
      <c r="A5287">
        <v>37</v>
      </c>
      <c r="B5287" s="64">
        <v>41173</v>
      </c>
      <c r="C5287" s="2">
        <v>521320.98</v>
      </c>
      <c r="D5287">
        <v>0</v>
      </c>
      <c r="E5287" s="65">
        <v>75.98</v>
      </c>
      <c r="F5287" s="8">
        <v>3.721</v>
      </c>
      <c r="G5287" s="66">
        <v>221.4578604</v>
      </c>
      <c r="H5287" s="8">
        <v>6.623</v>
      </c>
      <c r="J5287" s="26"/>
      <c r="K5287"/>
    </row>
    <row r="5288" spans="1:11">
      <c r="A5288">
        <v>37</v>
      </c>
      <c r="B5288" s="64">
        <v>41180</v>
      </c>
      <c r="C5288" s="2">
        <v>527953.14</v>
      </c>
      <c r="D5288">
        <v>0</v>
      </c>
      <c r="E5288" s="65">
        <v>79.49</v>
      </c>
      <c r="F5288" s="8">
        <v>3.666</v>
      </c>
      <c r="G5288" s="66">
        <v>221.6556</v>
      </c>
      <c r="H5288" s="8">
        <v>6.623</v>
      </c>
      <c r="J5288" s="26"/>
      <c r="K5288"/>
    </row>
    <row r="5289" spans="1:11">
      <c r="A5289">
        <v>37</v>
      </c>
      <c r="B5289" s="64">
        <v>41187</v>
      </c>
      <c r="C5289" s="2">
        <v>546122.37</v>
      </c>
      <c r="D5289">
        <v>0</v>
      </c>
      <c r="E5289" s="65">
        <v>73.57</v>
      </c>
      <c r="F5289" s="8">
        <v>3.617</v>
      </c>
      <c r="G5289" s="66">
        <v>221.8533396</v>
      </c>
      <c r="H5289" s="8">
        <v>6.228</v>
      </c>
      <c r="J5289" s="26"/>
      <c r="K5289"/>
    </row>
    <row r="5290" spans="1:11">
      <c r="A5290">
        <v>37</v>
      </c>
      <c r="B5290" s="64">
        <v>41194</v>
      </c>
      <c r="C5290" s="2">
        <v>521810.75</v>
      </c>
      <c r="D5290">
        <v>0</v>
      </c>
      <c r="E5290" s="65">
        <v>71.28</v>
      </c>
      <c r="F5290" s="8">
        <v>3.601</v>
      </c>
      <c r="G5290" s="66">
        <v>222.0510793</v>
      </c>
      <c r="H5290" s="8">
        <v>6.228</v>
      </c>
      <c r="J5290" s="26"/>
      <c r="K5290"/>
    </row>
    <row r="5291" spans="1:11">
      <c r="A5291">
        <v>37</v>
      </c>
      <c r="B5291" s="64">
        <v>41201</v>
      </c>
      <c r="C5291" s="2">
        <v>551969.1</v>
      </c>
      <c r="D5291">
        <v>0</v>
      </c>
      <c r="E5291" s="65">
        <v>74.06</v>
      </c>
      <c r="F5291" s="8">
        <v>3.594</v>
      </c>
      <c r="G5291" s="66">
        <v>222.0951719</v>
      </c>
      <c r="H5291" s="8">
        <v>6.228</v>
      </c>
      <c r="J5291" s="26"/>
      <c r="K5291"/>
    </row>
    <row r="5292" spans="1:11">
      <c r="A5292">
        <v>37</v>
      </c>
      <c r="B5292" s="64">
        <v>41208</v>
      </c>
      <c r="C5292" s="2">
        <v>534738.43</v>
      </c>
      <c r="D5292">
        <v>0</v>
      </c>
      <c r="E5292" s="65">
        <v>74.39</v>
      </c>
      <c r="F5292" s="8">
        <v>3.506</v>
      </c>
      <c r="G5292" s="66">
        <v>222.1136566</v>
      </c>
      <c r="H5292" s="8">
        <v>6.228</v>
      </c>
      <c r="J5292" s="26"/>
      <c r="K5292"/>
    </row>
    <row r="5293" spans="1:11">
      <c r="A5293">
        <v>38</v>
      </c>
      <c r="B5293" s="64">
        <v>40214</v>
      </c>
      <c r="C5293" s="2">
        <v>358496.14</v>
      </c>
      <c r="D5293">
        <v>0</v>
      </c>
      <c r="E5293" s="65">
        <v>49.47</v>
      </c>
      <c r="F5293" s="8">
        <v>2.962</v>
      </c>
      <c r="G5293" s="66">
        <v>126.4420645</v>
      </c>
      <c r="H5293" s="8">
        <v>13.975</v>
      </c>
      <c r="J5293" s="26"/>
      <c r="K5293"/>
    </row>
    <row r="5294" spans="1:11">
      <c r="A5294">
        <v>38</v>
      </c>
      <c r="B5294" s="64">
        <v>40221</v>
      </c>
      <c r="C5294" s="2">
        <v>342214.9</v>
      </c>
      <c r="D5294">
        <v>1</v>
      </c>
      <c r="E5294" s="65">
        <v>47.87</v>
      </c>
      <c r="F5294" s="8">
        <v>2.946</v>
      </c>
      <c r="G5294" s="66">
        <v>126.4962581</v>
      </c>
      <c r="H5294" s="8">
        <v>13.975</v>
      </c>
      <c r="J5294" s="26"/>
      <c r="K5294"/>
    </row>
    <row r="5295" spans="1:11">
      <c r="A5295">
        <v>38</v>
      </c>
      <c r="B5295" s="64">
        <v>40228</v>
      </c>
      <c r="C5295" s="2">
        <v>327237.92</v>
      </c>
      <c r="D5295">
        <v>0</v>
      </c>
      <c r="E5295" s="65">
        <v>54.83</v>
      </c>
      <c r="F5295" s="8">
        <v>2.915</v>
      </c>
      <c r="G5295" s="66">
        <v>126.5262857</v>
      </c>
      <c r="H5295" s="8">
        <v>13.975</v>
      </c>
      <c r="J5295" s="26"/>
      <c r="K5295"/>
    </row>
    <row r="5296" spans="1:11">
      <c r="A5296">
        <v>38</v>
      </c>
      <c r="B5296" s="64">
        <v>40235</v>
      </c>
      <c r="C5296" s="2">
        <v>334222.73</v>
      </c>
      <c r="D5296">
        <v>0</v>
      </c>
      <c r="E5296" s="65">
        <v>50.23</v>
      </c>
      <c r="F5296" s="8">
        <v>2.825</v>
      </c>
      <c r="G5296" s="66">
        <v>126.5522857</v>
      </c>
      <c r="H5296" s="8">
        <v>13.975</v>
      </c>
      <c r="J5296" s="26"/>
      <c r="K5296"/>
    </row>
    <row r="5297" spans="1:11">
      <c r="A5297">
        <v>38</v>
      </c>
      <c r="B5297" s="64">
        <v>40242</v>
      </c>
      <c r="C5297" s="2">
        <v>372239.89</v>
      </c>
      <c r="D5297">
        <v>0</v>
      </c>
      <c r="E5297" s="65">
        <v>53.77</v>
      </c>
      <c r="F5297" s="8">
        <v>2.987</v>
      </c>
      <c r="G5297" s="66">
        <v>126.5782857</v>
      </c>
      <c r="H5297" s="8">
        <v>13.975</v>
      </c>
      <c r="J5297" s="26"/>
      <c r="K5297"/>
    </row>
    <row r="5298" spans="1:11">
      <c r="A5298">
        <v>38</v>
      </c>
      <c r="B5298" s="64">
        <v>40249</v>
      </c>
      <c r="C5298" s="2">
        <v>342023.92</v>
      </c>
      <c r="D5298">
        <v>0</v>
      </c>
      <c r="E5298" s="65">
        <v>50.11</v>
      </c>
      <c r="F5298" s="8">
        <v>2.925</v>
      </c>
      <c r="G5298" s="66">
        <v>126.6042857</v>
      </c>
      <c r="H5298" s="8">
        <v>13.975</v>
      </c>
      <c r="J5298" s="26"/>
      <c r="K5298"/>
    </row>
    <row r="5299" spans="1:11">
      <c r="A5299">
        <v>38</v>
      </c>
      <c r="B5299" s="64">
        <v>40256</v>
      </c>
      <c r="C5299" s="2">
        <v>333025.47</v>
      </c>
      <c r="D5299">
        <v>0</v>
      </c>
      <c r="E5299" s="65">
        <v>59.57</v>
      </c>
      <c r="F5299" s="8">
        <v>3.054</v>
      </c>
      <c r="G5299" s="66">
        <v>126.6066452</v>
      </c>
      <c r="H5299" s="8">
        <v>13.975</v>
      </c>
      <c r="J5299" s="26"/>
      <c r="K5299"/>
    </row>
    <row r="5300" spans="1:11">
      <c r="A5300">
        <v>38</v>
      </c>
      <c r="B5300" s="64">
        <v>40263</v>
      </c>
      <c r="C5300" s="2">
        <v>335858.11</v>
      </c>
      <c r="D5300">
        <v>0</v>
      </c>
      <c r="E5300" s="65">
        <v>60.06</v>
      </c>
      <c r="F5300" s="8">
        <v>3.083</v>
      </c>
      <c r="G5300" s="66">
        <v>126.6050645</v>
      </c>
      <c r="H5300" s="8">
        <v>13.975</v>
      </c>
      <c r="J5300" s="26"/>
      <c r="K5300"/>
    </row>
    <row r="5301" spans="1:11">
      <c r="A5301">
        <v>38</v>
      </c>
      <c r="B5301" s="64">
        <v>40270</v>
      </c>
      <c r="C5301" s="2">
        <v>368929.55</v>
      </c>
      <c r="D5301">
        <v>0</v>
      </c>
      <c r="E5301" s="65">
        <v>59.84</v>
      </c>
      <c r="F5301" s="8">
        <v>3.086</v>
      </c>
      <c r="G5301" s="66">
        <v>126.6034839</v>
      </c>
      <c r="H5301" s="8">
        <v>14.099</v>
      </c>
      <c r="J5301" s="26"/>
      <c r="K5301"/>
    </row>
    <row r="5302" spans="1:11">
      <c r="A5302">
        <v>38</v>
      </c>
      <c r="B5302" s="64">
        <v>40277</v>
      </c>
      <c r="C5302" s="2">
        <v>341630.46</v>
      </c>
      <c r="D5302">
        <v>0</v>
      </c>
      <c r="E5302" s="65">
        <v>59.25</v>
      </c>
      <c r="F5302" s="8">
        <v>3.09</v>
      </c>
      <c r="G5302" s="66">
        <v>126.6019032</v>
      </c>
      <c r="H5302" s="8">
        <v>14.099</v>
      </c>
      <c r="J5302" s="26"/>
      <c r="K5302"/>
    </row>
    <row r="5303" spans="1:11">
      <c r="A5303">
        <v>38</v>
      </c>
      <c r="B5303" s="64">
        <v>40284</v>
      </c>
      <c r="C5303" s="2">
        <v>337723.49</v>
      </c>
      <c r="D5303">
        <v>0</v>
      </c>
      <c r="E5303" s="65">
        <v>64.95</v>
      </c>
      <c r="F5303" s="8">
        <v>3.109</v>
      </c>
      <c r="G5303" s="66">
        <v>126.5621</v>
      </c>
      <c r="H5303" s="8">
        <v>14.099</v>
      </c>
      <c r="J5303" s="26"/>
      <c r="K5303"/>
    </row>
    <row r="5304" spans="1:11">
      <c r="A5304">
        <v>38</v>
      </c>
      <c r="B5304" s="64">
        <v>40291</v>
      </c>
      <c r="C5304" s="2">
        <v>335121.82</v>
      </c>
      <c r="D5304">
        <v>0</v>
      </c>
      <c r="E5304" s="65">
        <v>64.55</v>
      </c>
      <c r="F5304" s="8">
        <v>3.05</v>
      </c>
      <c r="G5304" s="66">
        <v>126.4713333</v>
      </c>
      <c r="H5304" s="8">
        <v>14.099</v>
      </c>
      <c r="J5304" s="26"/>
      <c r="K5304"/>
    </row>
    <row r="5305" spans="1:11">
      <c r="A5305">
        <v>38</v>
      </c>
      <c r="B5305" s="64">
        <v>40298</v>
      </c>
      <c r="C5305" s="2">
        <v>337979.65</v>
      </c>
      <c r="D5305">
        <v>0</v>
      </c>
      <c r="E5305" s="65">
        <v>67.38</v>
      </c>
      <c r="F5305" s="8">
        <v>3.105</v>
      </c>
      <c r="G5305" s="66">
        <v>126.3805667</v>
      </c>
      <c r="H5305" s="8">
        <v>14.099</v>
      </c>
      <c r="J5305" s="26"/>
      <c r="K5305"/>
    </row>
    <row r="5306" spans="1:11">
      <c r="A5306">
        <v>38</v>
      </c>
      <c r="B5306" s="64">
        <v>40305</v>
      </c>
      <c r="C5306" s="2">
        <v>383657.44</v>
      </c>
      <c r="D5306">
        <v>0</v>
      </c>
      <c r="E5306" s="65">
        <v>70.15</v>
      </c>
      <c r="F5306" s="8">
        <v>3.127</v>
      </c>
      <c r="G5306" s="66">
        <v>126.2898</v>
      </c>
      <c r="H5306" s="8">
        <v>14.099</v>
      </c>
      <c r="J5306" s="26"/>
      <c r="K5306"/>
    </row>
    <row r="5307" spans="1:11">
      <c r="A5307">
        <v>38</v>
      </c>
      <c r="B5307" s="64">
        <v>40312</v>
      </c>
      <c r="C5307" s="2">
        <v>346174.3</v>
      </c>
      <c r="D5307">
        <v>0</v>
      </c>
      <c r="E5307" s="65">
        <v>68.44</v>
      </c>
      <c r="F5307" s="8">
        <v>3.145</v>
      </c>
      <c r="G5307" s="66">
        <v>126.2085484</v>
      </c>
      <c r="H5307" s="8">
        <v>14.099</v>
      </c>
      <c r="J5307" s="26"/>
      <c r="K5307"/>
    </row>
    <row r="5308" spans="1:11">
      <c r="A5308">
        <v>38</v>
      </c>
      <c r="B5308" s="64">
        <v>40319</v>
      </c>
      <c r="C5308" s="2">
        <v>340497.08</v>
      </c>
      <c r="D5308">
        <v>0</v>
      </c>
      <c r="E5308" s="65">
        <v>76.2</v>
      </c>
      <c r="F5308" s="8">
        <v>3.12</v>
      </c>
      <c r="G5308" s="66">
        <v>126.1843871</v>
      </c>
      <c r="H5308" s="8">
        <v>14.099</v>
      </c>
      <c r="J5308" s="26"/>
      <c r="K5308"/>
    </row>
    <row r="5309" spans="1:11">
      <c r="A5309">
        <v>38</v>
      </c>
      <c r="B5309" s="64">
        <v>40326</v>
      </c>
      <c r="C5309" s="2">
        <v>326469.43</v>
      </c>
      <c r="D5309">
        <v>0</v>
      </c>
      <c r="E5309" s="65">
        <v>67.84</v>
      </c>
      <c r="F5309" s="8">
        <v>3.058</v>
      </c>
      <c r="G5309" s="66">
        <v>126.1602258</v>
      </c>
      <c r="H5309" s="8">
        <v>14.099</v>
      </c>
      <c r="J5309" s="26"/>
      <c r="K5309"/>
    </row>
    <row r="5310" spans="1:11">
      <c r="A5310">
        <v>38</v>
      </c>
      <c r="B5310" s="64">
        <v>40333</v>
      </c>
      <c r="C5310" s="2">
        <v>376184.88</v>
      </c>
      <c r="D5310">
        <v>0</v>
      </c>
      <c r="E5310" s="65">
        <v>81.39</v>
      </c>
      <c r="F5310" s="8">
        <v>2.941</v>
      </c>
      <c r="G5310" s="66">
        <v>126.1360645</v>
      </c>
      <c r="H5310" s="8">
        <v>14.099</v>
      </c>
      <c r="J5310" s="26"/>
      <c r="K5310"/>
    </row>
    <row r="5311" spans="1:11">
      <c r="A5311">
        <v>38</v>
      </c>
      <c r="B5311" s="64">
        <v>40340</v>
      </c>
      <c r="C5311" s="2">
        <v>354828.65</v>
      </c>
      <c r="D5311">
        <v>0</v>
      </c>
      <c r="E5311" s="65">
        <v>90.84</v>
      </c>
      <c r="F5311" s="8">
        <v>2.949</v>
      </c>
      <c r="G5311" s="66">
        <v>126.1119032</v>
      </c>
      <c r="H5311" s="8">
        <v>14.099</v>
      </c>
      <c r="J5311" s="26"/>
      <c r="K5311"/>
    </row>
    <row r="5312" spans="1:11">
      <c r="A5312">
        <v>38</v>
      </c>
      <c r="B5312" s="64">
        <v>40347</v>
      </c>
      <c r="C5312" s="2">
        <v>335691.85</v>
      </c>
      <c r="D5312">
        <v>0</v>
      </c>
      <c r="E5312" s="65">
        <v>81.06</v>
      </c>
      <c r="F5312" s="8">
        <v>3.043</v>
      </c>
      <c r="G5312" s="66">
        <v>126.114</v>
      </c>
      <c r="H5312" s="8">
        <v>14.099</v>
      </c>
      <c r="J5312" s="26"/>
      <c r="K5312"/>
    </row>
    <row r="5313" spans="1:11">
      <c r="A5313">
        <v>38</v>
      </c>
      <c r="B5313" s="64">
        <v>40354</v>
      </c>
      <c r="C5313" s="2">
        <v>322046.76</v>
      </c>
      <c r="D5313">
        <v>0</v>
      </c>
      <c r="E5313" s="65">
        <v>87.27</v>
      </c>
      <c r="F5313" s="8">
        <v>3.084</v>
      </c>
      <c r="G5313" s="66">
        <v>126.1266</v>
      </c>
      <c r="H5313" s="8">
        <v>14.099</v>
      </c>
      <c r="J5313" s="26"/>
      <c r="K5313"/>
    </row>
    <row r="5314" spans="1:11">
      <c r="A5314">
        <v>38</v>
      </c>
      <c r="B5314" s="64">
        <v>40361</v>
      </c>
      <c r="C5314" s="2">
        <v>361181.48</v>
      </c>
      <c r="D5314">
        <v>0</v>
      </c>
      <c r="E5314" s="65">
        <v>91.98</v>
      </c>
      <c r="F5314" s="8">
        <v>3.105</v>
      </c>
      <c r="G5314" s="66">
        <v>126.1392</v>
      </c>
      <c r="H5314" s="8">
        <v>14.18</v>
      </c>
      <c r="J5314" s="26"/>
      <c r="K5314"/>
    </row>
    <row r="5315" spans="1:11">
      <c r="A5315">
        <v>38</v>
      </c>
      <c r="B5315" s="64">
        <v>40368</v>
      </c>
      <c r="C5315" s="2">
        <v>343850.34</v>
      </c>
      <c r="D5315">
        <v>0</v>
      </c>
      <c r="E5315" s="65">
        <v>90.37</v>
      </c>
      <c r="F5315" s="8">
        <v>3.1</v>
      </c>
      <c r="G5315" s="66">
        <v>126.1518</v>
      </c>
      <c r="H5315" s="8">
        <v>14.18</v>
      </c>
      <c r="J5315" s="26"/>
      <c r="K5315"/>
    </row>
    <row r="5316" spans="1:11">
      <c r="A5316">
        <v>38</v>
      </c>
      <c r="B5316" s="64">
        <v>40375</v>
      </c>
      <c r="C5316" s="2">
        <v>338277.71</v>
      </c>
      <c r="D5316">
        <v>0</v>
      </c>
      <c r="E5316" s="65">
        <v>97.18</v>
      </c>
      <c r="F5316" s="8">
        <v>3.094</v>
      </c>
      <c r="G5316" s="66">
        <v>126.1498065</v>
      </c>
      <c r="H5316" s="8">
        <v>14.18</v>
      </c>
      <c r="J5316" s="26"/>
      <c r="K5316"/>
    </row>
    <row r="5317" spans="1:11">
      <c r="A5317">
        <v>38</v>
      </c>
      <c r="B5317" s="64">
        <v>40382</v>
      </c>
      <c r="C5317" s="2">
        <v>328336.85</v>
      </c>
      <c r="D5317">
        <v>0</v>
      </c>
      <c r="E5317" s="65">
        <v>99.22</v>
      </c>
      <c r="F5317" s="8">
        <v>3.112</v>
      </c>
      <c r="G5317" s="66">
        <v>126.1283548</v>
      </c>
      <c r="H5317" s="8">
        <v>14.18</v>
      </c>
      <c r="J5317" s="26"/>
      <c r="K5317"/>
    </row>
    <row r="5318" spans="1:11">
      <c r="A5318">
        <v>38</v>
      </c>
      <c r="B5318" s="64">
        <v>40389</v>
      </c>
      <c r="C5318" s="2">
        <v>336378.38</v>
      </c>
      <c r="D5318">
        <v>0</v>
      </c>
      <c r="E5318" s="65">
        <v>96.31</v>
      </c>
      <c r="F5318" s="8">
        <v>3.017</v>
      </c>
      <c r="G5318" s="66">
        <v>126.1069032</v>
      </c>
      <c r="H5318" s="8">
        <v>14.18</v>
      </c>
      <c r="J5318" s="26"/>
      <c r="K5318"/>
    </row>
    <row r="5319" spans="1:11">
      <c r="A5319">
        <v>38</v>
      </c>
      <c r="B5319" s="64">
        <v>40396</v>
      </c>
      <c r="C5319" s="2">
        <v>378574.44</v>
      </c>
      <c r="D5319">
        <v>0</v>
      </c>
      <c r="E5319" s="65">
        <v>92.95</v>
      </c>
      <c r="F5319" s="8">
        <v>3.123</v>
      </c>
      <c r="G5319" s="66">
        <v>126.0854516</v>
      </c>
      <c r="H5319" s="8">
        <v>14.18</v>
      </c>
      <c r="J5319" s="26"/>
      <c r="K5319"/>
    </row>
    <row r="5320" spans="1:11">
      <c r="A5320">
        <v>38</v>
      </c>
      <c r="B5320" s="64">
        <v>40403</v>
      </c>
      <c r="C5320" s="2">
        <v>341400.72</v>
      </c>
      <c r="D5320">
        <v>0</v>
      </c>
      <c r="E5320" s="65">
        <v>87.01</v>
      </c>
      <c r="F5320" s="8">
        <v>3.159</v>
      </c>
      <c r="G5320" s="66">
        <v>126.064</v>
      </c>
      <c r="H5320" s="8">
        <v>14.18</v>
      </c>
      <c r="J5320" s="26"/>
      <c r="K5320"/>
    </row>
    <row r="5321" spans="1:11">
      <c r="A5321">
        <v>38</v>
      </c>
      <c r="B5321" s="64">
        <v>40410</v>
      </c>
      <c r="C5321" s="2">
        <v>329139.73</v>
      </c>
      <c r="D5321">
        <v>0</v>
      </c>
      <c r="E5321" s="65">
        <v>92.81</v>
      </c>
      <c r="F5321" s="8">
        <v>3.041</v>
      </c>
      <c r="G5321" s="66">
        <v>126.0766452</v>
      </c>
      <c r="H5321" s="8">
        <v>14.18</v>
      </c>
      <c r="J5321" s="26"/>
      <c r="K5321"/>
    </row>
    <row r="5322" spans="1:11">
      <c r="A5322">
        <v>38</v>
      </c>
      <c r="B5322" s="64">
        <v>40417</v>
      </c>
      <c r="C5322" s="2">
        <v>322868.56</v>
      </c>
      <c r="D5322">
        <v>0</v>
      </c>
      <c r="E5322" s="65">
        <v>93.19</v>
      </c>
      <c r="F5322" s="8">
        <v>3.129</v>
      </c>
      <c r="G5322" s="66">
        <v>126.0892903</v>
      </c>
      <c r="H5322" s="8">
        <v>14.18</v>
      </c>
      <c r="J5322" s="26"/>
      <c r="K5322"/>
    </row>
    <row r="5323" spans="1:11">
      <c r="A5323">
        <v>38</v>
      </c>
      <c r="B5323" s="64">
        <v>40424</v>
      </c>
      <c r="C5323" s="2">
        <v>377096.55</v>
      </c>
      <c r="D5323">
        <v>0</v>
      </c>
      <c r="E5323" s="65">
        <v>83.12</v>
      </c>
      <c r="F5323" s="8">
        <v>3.087</v>
      </c>
      <c r="G5323" s="66">
        <v>126.1019355</v>
      </c>
      <c r="H5323" s="8">
        <v>14.18</v>
      </c>
      <c r="J5323" s="26"/>
      <c r="K5323"/>
    </row>
    <row r="5324" spans="1:11">
      <c r="A5324">
        <v>38</v>
      </c>
      <c r="B5324" s="64">
        <v>40431</v>
      </c>
      <c r="C5324" s="2">
        <v>336227.69</v>
      </c>
      <c r="D5324">
        <v>1</v>
      </c>
      <c r="E5324" s="65">
        <v>83.63</v>
      </c>
      <c r="F5324" s="8">
        <v>3.044</v>
      </c>
      <c r="G5324" s="66">
        <v>126.1145806</v>
      </c>
      <c r="H5324" s="8">
        <v>14.18</v>
      </c>
      <c r="J5324" s="26"/>
      <c r="K5324"/>
    </row>
    <row r="5325" spans="1:11">
      <c r="A5325">
        <v>38</v>
      </c>
      <c r="B5325" s="64">
        <v>40438</v>
      </c>
      <c r="C5325" s="2">
        <v>336253.19</v>
      </c>
      <c r="D5325">
        <v>0</v>
      </c>
      <c r="E5325" s="65">
        <v>82.45</v>
      </c>
      <c r="F5325" s="8">
        <v>3.028</v>
      </c>
      <c r="G5325" s="66">
        <v>126.1454667</v>
      </c>
      <c r="H5325" s="8">
        <v>14.18</v>
      </c>
      <c r="J5325" s="26"/>
      <c r="K5325"/>
    </row>
    <row r="5326" spans="1:11">
      <c r="A5326">
        <v>38</v>
      </c>
      <c r="B5326" s="64">
        <v>40445</v>
      </c>
      <c r="C5326" s="2">
        <v>330604.9</v>
      </c>
      <c r="D5326">
        <v>0</v>
      </c>
      <c r="E5326" s="65">
        <v>81.77</v>
      </c>
      <c r="F5326" s="8">
        <v>2.939</v>
      </c>
      <c r="G5326" s="66">
        <v>126.1900333</v>
      </c>
      <c r="H5326" s="8">
        <v>14.18</v>
      </c>
      <c r="J5326" s="26"/>
      <c r="K5326"/>
    </row>
    <row r="5327" spans="1:11">
      <c r="A5327">
        <v>38</v>
      </c>
      <c r="B5327" s="64">
        <v>40452</v>
      </c>
      <c r="C5327" s="2">
        <v>360256.58</v>
      </c>
      <c r="D5327">
        <v>0</v>
      </c>
      <c r="E5327" s="65">
        <v>85.2</v>
      </c>
      <c r="F5327" s="8">
        <v>3.001</v>
      </c>
      <c r="G5327" s="66">
        <v>126.2346</v>
      </c>
      <c r="H5327" s="8">
        <v>14.313</v>
      </c>
      <c r="J5327" s="26"/>
      <c r="K5327"/>
    </row>
    <row r="5328" spans="1:11">
      <c r="A5328">
        <v>38</v>
      </c>
      <c r="B5328" s="64">
        <v>40459</v>
      </c>
      <c r="C5328" s="2">
        <v>351271.36</v>
      </c>
      <c r="D5328">
        <v>0</v>
      </c>
      <c r="E5328" s="65">
        <v>71.82</v>
      </c>
      <c r="F5328" s="8">
        <v>3.013</v>
      </c>
      <c r="G5328" s="66">
        <v>126.2791667</v>
      </c>
      <c r="H5328" s="8">
        <v>14.313</v>
      </c>
      <c r="J5328" s="26"/>
      <c r="K5328"/>
    </row>
    <row r="5329" spans="1:11">
      <c r="A5329">
        <v>38</v>
      </c>
      <c r="B5329" s="64">
        <v>40466</v>
      </c>
      <c r="C5329" s="2">
        <v>337743.26</v>
      </c>
      <c r="D5329">
        <v>0</v>
      </c>
      <c r="E5329" s="65">
        <v>75</v>
      </c>
      <c r="F5329" s="8">
        <v>2.976</v>
      </c>
      <c r="G5329" s="66">
        <v>126.3266774</v>
      </c>
      <c r="H5329" s="8">
        <v>14.313</v>
      </c>
      <c r="J5329" s="26"/>
      <c r="K5329"/>
    </row>
    <row r="5330" spans="1:11">
      <c r="A5330">
        <v>38</v>
      </c>
      <c r="B5330" s="64">
        <v>40473</v>
      </c>
      <c r="C5330" s="2">
        <v>339042.18</v>
      </c>
      <c r="D5330">
        <v>0</v>
      </c>
      <c r="E5330" s="65">
        <v>68.85</v>
      </c>
      <c r="F5330" s="8">
        <v>3.014</v>
      </c>
      <c r="G5330" s="66">
        <v>126.3815484</v>
      </c>
      <c r="H5330" s="8">
        <v>14.313</v>
      </c>
      <c r="J5330" s="26"/>
      <c r="K5330"/>
    </row>
    <row r="5331" spans="1:11">
      <c r="A5331">
        <v>38</v>
      </c>
      <c r="B5331" s="64">
        <v>40480</v>
      </c>
      <c r="C5331" s="2">
        <v>341219.63</v>
      </c>
      <c r="D5331">
        <v>0</v>
      </c>
      <c r="E5331" s="65">
        <v>61.09</v>
      </c>
      <c r="F5331" s="8">
        <v>3.016</v>
      </c>
      <c r="G5331" s="66">
        <v>126.4364194</v>
      </c>
      <c r="H5331" s="8">
        <v>14.313</v>
      </c>
      <c r="J5331" s="26"/>
      <c r="K5331"/>
    </row>
    <row r="5332" spans="1:11">
      <c r="A5332">
        <v>38</v>
      </c>
      <c r="B5332" s="64">
        <v>40487</v>
      </c>
      <c r="C5332" s="2">
        <v>380870.09</v>
      </c>
      <c r="D5332">
        <v>0</v>
      </c>
      <c r="E5332" s="65">
        <v>65.49</v>
      </c>
      <c r="F5332" s="8">
        <v>3.129</v>
      </c>
      <c r="G5332" s="66">
        <v>126.4912903</v>
      </c>
      <c r="H5332" s="8">
        <v>14.313</v>
      </c>
      <c r="J5332" s="26"/>
      <c r="K5332"/>
    </row>
    <row r="5333" spans="1:11">
      <c r="A5333">
        <v>38</v>
      </c>
      <c r="B5333" s="64">
        <v>40494</v>
      </c>
      <c r="C5333" s="2">
        <v>340147.2</v>
      </c>
      <c r="D5333">
        <v>0</v>
      </c>
      <c r="E5333" s="65">
        <v>57.79</v>
      </c>
      <c r="F5333" s="8">
        <v>3.13</v>
      </c>
      <c r="G5333" s="66">
        <v>126.5461613</v>
      </c>
      <c r="H5333" s="8">
        <v>14.313</v>
      </c>
      <c r="J5333" s="26"/>
      <c r="K5333"/>
    </row>
    <row r="5334" spans="1:11">
      <c r="A5334">
        <v>38</v>
      </c>
      <c r="B5334" s="64">
        <v>40501</v>
      </c>
      <c r="C5334" s="2">
        <v>348593.99</v>
      </c>
      <c r="D5334">
        <v>0</v>
      </c>
      <c r="E5334" s="65">
        <v>58.18</v>
      </c>
      <c r="F5334" s="8">
        <v>3.161</v>
      </c>
      <c r="G5334" s="66">
        <v>126.6072</v>
      </c>
      <c r="H5334" s="8">
        <v>14.313</v>
      </c>
      <c r="J5334" s="26"/>
      <c r="K5334"/>
    </row>
    <row r="5335" spans="1:11">
      <c r="A5335">
        <v>38</v>
      </c>
      <c r="B5335" s="64">
        <v>40508</v>
      </c>
      <c r="C5335" s="2">
        <v>360857.98</v>
      </c>
      <c r="D5335">
        <v>1</v>
      </c>
      <c r="E5335" s="65">
        <v>47.66</v>
      </c>
      <c r="F5335" s="8">
        <v>3.162</v>
      </c>
      <c r="G5335" s="66">
        <v>126.6692667</v>
      </c>
      <c r="H5335" s="8">
        <v>14.313</v>
      </c>
      <c r="J5335" s="26"/>
      <c r="K5335"/>
    </row>
    <row r="5336" spans="1:11">
      <c r="A5336">
        <v>38</v>
      </c>
      <c r="B5336" s="64">
        <v>40515</v>
      </c>
      <c r="C5336" s="2">
        <v>351925.36</v>
      </c>
      <c r="D5336">
        <v>0</v>
      </c>
      <c r="E5336" s="65">
        <v>43.33</v>
      </c>
      <c r="F5336" s="8">
        <v>3.041</v>
      </c>
      <c r="G5336" s="66">
        <v>126.7313333</v>
      </c>
      <c r="H5336" s="8">
        <v>14.313</v>
      </c>
      <c r="J5336" s="26"/>
      <c r="K5336"/>
    </row>
    <row r="5337" spans="1:11">
      <c r="A5337">
        <v>38</v>
      </c>
      <c r="B5337" s="64">
        <v>40522</v>
      </c>
      <c r="C5337" s="2">
        <v>355965.23</v>
      </c>
      <c r="D5337">
        <v>0</v>
      </c>
      <c r="E5337" s="65">
        <v>50.01</v>
      </c>
      <c r="F5337" s="8">
        <v>3.203</v>
      </c>
      <c r="G5337" s="66">
        <v>126.7934</v>
      </c>
      <c r="H5337" s="8">
        <v>14.313</v>
      </c>
      <c r="J5337" s="26"/>
      <c r="K5337"/>
    </row>
    <row r="5338" spans="1:11">
      <c r="A5338">
        <v>38</v>
      </c>
      <c r="B5338" s="64">
        <v>40529</v>
      </c>
      <c r="C5338" s="2">
        <v>334441.15</v>
      </c>
      <c r="D5338">
        <v>0</v>
      </c>
      <c r="E5338" s="65">
        <v>52.77</v>
      </c>
      <c r="F5338" s="8">
        <v>3.236</v>
      </c>
      <c r="G5338" s="66">
        <v>126.8794839</v>
      </c>
      <c r="H5338" s="8">
        <v>14.313</v>
      </c>
      <c r="J5338" s="26"/>
      <c r="K5338"/>
    </row>
    <row r="5339" spans="1:11">
      <c r="A5339">
        <v>38</v>
      </c>
      <c r="B5339" s="64">
        <v>40536</v>
      </c>
      <c r="C5339" s="2">
        <v>369106.72</v>
      </c>
      <c r="D5339">
        <v>0</v>
      </c>
      <c r="E5339" s="65">
        <v>52.02</v>
      </c>
      <c r="F5339" s="8">
        <v>3.236</v>
      </c>
      <c r="G5339" s="66">
        <v>126.9835806</v>
      </c>
      <c r="H5339" s="8">
        <v>14.313</v>
      </c>
      <c r="J5339" s="26"/>
      <c r="K5339"/>
    </row>
    <row r="5340" spans="1:11">
      <c r="A5340">
        <v>38</v>
      </c>
      <c r="B5340" s="64">
        <v>40543</v>
      </c>
      <c r="C5340" s="2">
        <v>303908.81</v>
      </c>
      <c r="D5340">
        <v>1</v>
      </c>
      <c r="E5340" s="65">
        <v>45.64</v>
      </c>
      <c r="F5340" s="8">
        <v>3.148</v>
      </c>
      <c r="G5340" s="66">
        <v>127.0876774</v>
      </c>
      <c r="H5340" s="8">
        <v>14.313</v>
      </c>
      <c r="J5340" s="26"/>
      <c r="K5340"/>
    </row>
    <row r="5341" spans="1:11">
      <c r="A5341">
        <v>38</v>
      </c>
      <c r="B5341" s="64">
        <v>40550</v>
      </c>
      <c r="C5341" s="2">
        <v>386344.54</v>
      </c>
      <c r="D5341">
        <v>0</v>
      </c>
      <c r="E5341" s="65">
        <v>37.64</v>
      </c>
      <c r="F5341" s="8">
        <v>3.287</v>
      </c>
      <c r="G5341" s="66">
        <v>127.1917742</v>
      </c>
      <c r="H5341" s="8">
        <v>14.021</v>
      </c>
      <c r="J5341" s="26"/>
      <c r="K5341"/>
    </row>
    <row r="5342" spans="1:11">
      <c r="A5342">
        <v>38</v>
      </c>
      <c r="B5342" s="64">
        <v>40557</v>
      </c>
      <c r="C5342" s="2">
        <v>356138.79</v>
      </c>
      <c r="D5342">
        <v>0</v>
      </c>
      <c r="E5342" s="65">
        <v>43.15</v>
      </c>
      <c r="F5342" s="8">
        <v>3.312</v>
      </c>
      <c r="G5342" s="66">
        <v>127.3009355</v>
      </c>
      <c r="H5342" s="8">
        <v>14.021</v>
      </c>
      <c r="J5342" s="26"/>
      <c r="K5342"/>
    </row>
    <row r="5343" spans="1:11">
      <c r="A5343">
        <v>38</v>
      </c>
      <c r="B5343" s="64">
        <v>40564</v>
      </c>
      <c r="C5343" s="2">
        <v>341098.08</v>
      </c>
      <c r="D5343">
        <v>0</v>
      </c>
      <c r="E5343" s="65">
        <v>53.53</v>
      </c>
      <c r="F5343" s="8">
        <v>3.223</v>
      </c>
      <c r="G5343" s="66">
        <v>127.4404839</v>
      </c>
      <c r="H5343" s="8">
        <v>14.021</v>
      </c>
      <c r="J5343" s="26"/>
      <c r="K5343"/>
    </row>
    <row r="5344" spans="1:11">
      <c r="A5344">
        <v>38</v>
      </c>
      <c r="B5344" s="64">
        <v>40571</v>
      </c>
      <c r="C5344" s="2">
        <v>357557.16</v>
      </c>
      <c r="D5344">
        <v>0</v>
      </c>
      <c r="E5344" s="65">
        <v>50.74</v>
      </c>
      <c r="F5344" s="8">
        <v>3.342</v>
      </c>
      <c r="G5344" s="66">
        <v>127.5800323</v>
      </c>
      <c r="H5344" s="8">
        <v>14.021</v>
      </c>
      <c r="J5344" s="26"/>
      <c r="K5344"/>
    </row>
    <row r="5345" spans="1:11">
      <c r="A5345">
        <v>38</v>
      </c>
      <c r="B5345" s="64">
        <v>40578</v>
      </c>
      <c r="C5345" s="2">
        <v>402341.76</v>
      </c>
      <c r="D5345">
        <v>0</v>
      </c>
      <c r="E5345" s="65">
        <v>45.14</v>
      </c>
      <c r="F5345" s="8">
        <v>3.348</v>
      </c>
      <c r="G5345" s="66">
        <v>127.7195806</v>
      </c>
      <c r="H5345" s="8">
        <v>14.021</v>
      </c>
      <c r="J5345" s="26"/>
      <c r="K5345"/>
    </row>
    <row r="5346" spans="1:11">
      <c r="A5346">
        <v>38</v>
      </c>
      <c r="B5346" s="64">
        <v>40585</v>
      </c>
      <c r="C5346" s="2">
        <v>377672.46</v>
      </c>
      <c r="D5346">
        <v>1</v>
      </c>
      <c r="E5346" s="65">
        <v>51.3</v>
      </c>
      <c r="F5346" s="8">
        <v>3.381</v>
      </c>
      <c r="G5346" s="66">
        <v>127.859129</v>
      </c>
      <c r="H5346" s="8">
        <v>14.021</v>
      </c>
      <c r="J5346" s="26"/>
      <c r="K5346"/>
    </row>
    <row r="5347" spans="1:11">
      <c r="A5347">
        <v>38</v>
      </c>
      <c r="B5347" s="64">
        <v>40592</v>
      </c>
      <c r="C5347" s="2">
        <v>364606.7</v>
      </c>
      <c r="D5347">
        <v>0</v>
      </c>
      <c r="E5347" s="65">
        <v>53.35</v>
      </c>
      <c r="F5347" s="8">
        <v>3.43</v>
      </c>
      <c r="G5347" s="66">
        <v>127.99525</v>
      </c>
      <c r="H5347" s="8">
        <v>14.021</v>
      </c>
      <c r="J5347" s="26"/>
      <c r="K5347"/>
    </row>
    <row r="5348" spans="1:11">
      <c r="A5348">
        <v>38</v>
      </c>
      <c r="B5348" s="64">
        <v>40599</v>
      </c>
      <c r="C5348" s="2">
        <v>354232.34</v>
      </c>
      <c r="D5348">
        <v>0</v>
      </c>
      <c r="E5348" s="65">
        <v>48.45</v>
      </c>
      <c r="F5348" s="8">
        <v>3.53</v>
      </c>
      <c r="G5348" s="66">
        <v>128.13</v>
      </c>
      <c r="H5348" s="8">
        <v>14.021</v>
      </c>
      <c r="J5348" s="26"/>
      <c r="K5348"/>
    </row>
    <row r="5349" spans="1:11">
      <c r="A5349">
        <v>38</v>
      </c>
      <c r="B5349" s="64">
        <v>40606</v>
      </c>
      <c r="C5349" s="2">
        <v>405429.43</v>
      </c>
      <c r="D5349">
        <v>0</v>
      </c>
      <c r="E5349" s="65">
        <v>51.72</v>
      </c>
      <c r="F5349" s="8">
        <v>3.674</v>
      </c>
      <c r="G5349" s="66">
        <v>128.26475</v>
      </c>
      <c r="H5349" s="8">
        <v>14.021</v>
      </c>
      <c r="J5349" s="26"/>
      <c r="K5349"/>
    </row>
    <row r="5350" spans="1:11">
      <c r="A5350">
        <v>38</v>
      </c>
      <c r="B5350" s="64">
        <v>40613</v>
      </c>
      <c r="C5350" s="2">
        <v>357897.18</v>
      </c>
      <c r="D5350">
        <v>0</v>
      </c>
      <c r="E5350" s="65">
        <v>57.75</v>
      </c>
      <c r="F5350" s="8">
        <v>3.818</v>
      </c>
      <c r="G5350" s="66">
        <v>128.3995</v>
      </c>
      <c r="H5350" s="8">
        <v>14.021</v>
      </c>
      <c r="J5350" s="26"/>
      <c r="K5350"/>
    </row>
    <row r="5351" spans="1:11">
      <c r="A5351">
        <v>38</v>
      </c>
      <c r="B5351" s="64">
        <v>40620</v>
      </c>
      <c r="C5351" s="2">
        <v>349459.95</v>
      </c>
      <c r="D5351">
        <v>0</v>
      </c>
      <c r="E5351" s="65">
        <v>64.21</v>
      </c>
      <c r="F5351" s="8">
        <v>3.692</v>
      </c>
      <c r="G5351" s="66">
        <v>128.5121935</v>
      </c>
      <c r="H5351" s="8">
        <v>14.021</v>
      </c>
      <c r="J5351" s="26"/>
      <c r="K5351"/>
    </row>
    <row r="5352" spans="1:11">
      <c r="A5352">
        <v>38</v>
      </c>
      <c r="B5352" s="64">
        <v>40627</v>
      </c>
      <c r="C5352" s="2">
        <v>351541.62</v>
      </c>
      <c r="D5352">
        <v>0</v>
      </c>
      <c r="E5352" s="65">
        <v>54.4</v>
      </c>
      <c r="F5352" s="8">
        <v>3.909</v>
      </c>
      <c r="G5352" s="66">
        <v>128.6160645</v>
      </c>
      <c r="H5352" s="8">
        <v>14.021</v>
      </c>
      <c r="J5352" s="26"/>
      <c r="K5352"/>
    </row>
    <row r="5353" spans="1:11">
      <c r="A5353">
        <v>38</v>
      </c>
      <c r="B5353" s="64">
        <v>40634</v>
      </c>
      <c r="C5353" s="2">
        <v>382098.13</v>
      </c>
      <c r="D5353">
        <v>0</v>
      </c>
      <c r="E5353" s="65">
        <v>63.63</v>
      </c>
      <c r="F5353" s="8">
        <v>3.772</v>
      </c>
      <c r="G5353" s="66">
        <v>128.7199355</v>
      </c>
      <c r="H5353" s="8">
        <v>13.736</v>
      </c>
      <c r="J5353" s="26"/>
      <c r="K5353"/>
    </row>
    <row r="5354" spans="1:11">
      <c r="A5354">
        <v>38</v>
      </c>
      <c r="B5354" s="64">
        <v>40641</v>
      </c>
      <c r="C5354" s="2">
        <v>392152.3</v>
      </c>
      <c r="D5354">
        <v>0</v>
      </c>
      <c r="E5354" s="65">
        <v>64.47</v>
      </c>
      <c r="F5354" s="8">
        <v>4.003</v>
      </c>
      <c r="G5354" s="66">
        <v>128.8238065</v>
      </c>
      <c r="H5354" s="8">
        <v>13.736</v>
      </c>
      <c r="J5354" s="26"/>
      <c r="K5354"/>
    </row>
    <row r="5355" spans="1:11">
      <c r="A5355">
        <v>38</v>
      </c>
      <c r="B5355" s="64">
        <v>40648</v>
      </c>
      <c r="C5355" s="2">
        <v>362758.94</v>
      </c>
      <c r="D5355">
        <v>0</v>
      </c>
      <c r="E5355" s="65">
        <v>57.63</v>
      </c>
      <c r="F5355" s="8">
        <v>3.868</v>
      </c>
      <c r="G5355" s="66">
        <v>128.9107333</v>
      </c>
      <c r="H5355" s="8">
        <v>13.736</v>
      </c>
      <c r="J5355" s="26"/>
      <c r="K5355"/>
    </row>
    <row r="5356" spans="1:11">
      <c r="A5356">
        <v>38</v>
      </c>
      <c r="B5356" s="64">
        <v>40655</v>
      </c>
      <c r="C5356" s="2">
        <v>362952.34</v>
      </c>
      <c r="D5356">
        <v>0</v>
      </c>
      <c r="E5356" s="65">
        <v>72.12</v>
      </c>
      <c r="F5356" s="8">
        <v>4.134</v>
      </c>
      <c r="G5356" s="66">
        <v>128.9553</v>
      </c>
      <c r="H5356" s="8">
        <v>13.736</v>
      </c>
      <c r="J5356" s="26"/>
      <c r="K5356"/>
    </row>
    <row r="5357" spans="1:11">
      <c r="A5357">
        <v>38</v>
      </c>
      <c r="B5357" s="64">
        <v>40662</v>
      </c>
      <c r="C5357" s="2">
        <v>344225.99</v>
      </c>
      <c r="D5357">
        <v>0</v>
      </c>
      <c r="E5357" s="65">
        <v>68.27</v>
      </c>
      <c r="F5357" s="8">
        <v>4.151</v>
      </c>
      <c r="G5357" s="66">
        <v>128.9998667</v>
      </c>
      <c r="H5357" s="8">
        <v>13.736</v>
      </c>
      <c r="J5357" s="26"/>
      <c r="K5357"/>
    </row>
    <row r="5358" spans="1:11">
      <c r="A5358">
        <v>38</v>
      </c>
      <c r="B5358" s="64">
        <v>40669</v>
      </c>
      <c r="C5358" s="2">
        <v>422186.65</v>
      </c>
      <c r="D5358">
        <v>0</v>
      </c>
      <c r="E5358" s="65">
        <v>68.4</v>
      </c>
      <c r="F5358" s="8">
        <v>4.193</v>
      </c>
      <c r="G5358" s="66">
        <v>129.0444333</v>
      </c>
      <c r="H5358" s="8">
        <v>13.736</v>
      </c>
      <c r="J5358" s="26"/>
      <c r="K5358"/>
    </row>
    <row r="5359" spans="1:11">
      <c r="A5359">
        <v>38</v>
      </c>
      <c r="B5359" s="64">
        <v>40676</v>
      </c>
      <c r="C5359" s="2">
        <v>366977.79</v>
      </c>
      <c r="D5359">
        <v>0</v>
      </c>
      <c r="E5359" s="65">
        <v>70.93</v>
      </c>
      <c r="F5359" s="8">
        <v>4.202</v>
      </c>
      <c r="G5359" s="66">
        <v>129.089</v>
      </c>
      <c r="H5359" s="8">
        <v>13.736</v>
      </c>
      <c r="J5359" s="26"/>
      <c r="K5359"/>
    </row>
    <row r="5360" spans="1:11">
      <c r="A5360">
        <v>38</v>
      </c>
      <c r="B5360" s="64">
        <v>40683</v>
      </c>
      <c r="C5360" s="2">
        <v>365730.76</v>
      </c>
      <c r="D5360">
        <v>0</v>
      </c>
      <c r="E5360" s="65">
        <v>66.59</v>
      </c>
      <c r="F5360" s="8">
        <v>4.169</v>
      </c>
      <c r="G5360" s="66">
        <v>129.0756774</v>
      </c>
      <c r="H5360" s="8">
        <v>13.736</v>
      </c>
      <c r="J5360" s="26"/>
      <c r="K5360"/>
    </row>
    <row r="5361" spans="1:11">
      <c r="A5361">
        <v>38</v>
      </c>
      <c r="B5361" s="64">
        <v>40690</v>
      </c>
      <c r="C5361" s="2">
        <v>356886.1</v>
      </c>
      <c r="D5361">
        <v>0</v>
      </c>
      <c r="E5361" s="65">
        <v>76.67</v>
      </c>
      <c r="F5361" s="8">
        <v>4.087</v>
      </c>
      <c r="G5361" s="66">
        <v>129.0623548</v>
      </c>
      <c r="H5361" s="8">
        <v>13.736</v>
      </c>
      <c r="J5361" s="26"/>
      <c r="K5361"/>
    </row>
    <row r="5362" spans="1:11">
      <c r="A5362">
        <v>38</v>
      </c>
      <c r="B5362" s="64">
        <v>40697</v>
      </c>
      <c r="C5362" s="2">
        <v>396826.06</v>
      </c>
      <c r="D5362">
        <v>0</v>
      </c>
      <c r="E5362" s="65">
        <v>71.81</v>
      </c>
      <c r="F5362" s="8">
        <v>4.031</v>
      </c>
      <c r="G5362" s="66">
        <v>129.0490323</v>
      </c>
      <c r="H5362" s="8">
        <v>13.736</v>
      </c>
      <c r="J5362" s="26"/>
      <c r="K5362"/>
    </row>
    <row r="5363" spans="1:11">
      <c r="A5363">
        <v>38</v>
      </c>
      <c r="B5363" s="64">
        <v>40704</v>
      </c>
      <c r="C5363" s="2">
        <v>381763.02</v>
      </c>
      <c r="D5363">
        <v>0</v>
      </c>
      <c r="E5363" s="65">
        <v>78.72</v>
      </c>
      <c r="F5363" s="8">
        <v>3.981</v>
      </c>
      <c r="G5363" s="66">
        <v>129.0357097</v>
      </c>
      <c r="H5363" s="8">
        <v>13.736</v>
      </c>
      <c r="J5363" s="26"/>
      <c r="K5363"/>
    </row>
    <row r="5364" spans="1:11">
      <c r="A5364">
        <v>38</v>
      </c>
      <c r="B5364" s="64">
        <v>40711</v>
      </c>
      <c r="C5364" s="2">
        <v>356797</v>
      </c>
      <c r="D5364">
        <v>0</v>
      </c>
      <c r="E5364" s="65">
        <v>86.84</v>
      </c>
      <c r="F5364" s="8">
        <v>3.935</v>
      </c>
      <c r="G5364" s="66">
        <v>129.0432</v>
      </c>
      <c r="H5364" s="8">
        <v>13.736</v>
      </c>
      <c r="J5364" s="26"/>
      <c r="K5364"/>
    </row>
    <row r="5365" spans="1:11">
      <c r="A5365">
        <v>38</v>
      </c>
      <c r="B5365" s="64">
        <v>40718</v>
      </c>
      <c r="C5365" s="2">
        <v>354078.95</v>
      </c>
      <c r="D5365">
        <v>0</v>
      </c>
      <c r="E5365" s="65">
        <v>88.95</v>
      </c>
      <c r="F5365" s="8">
        <v>3.898</v>
      </c>
      <c r="G5365" s="66">
        <v>129.0663</v>
      </c>
      <c r="H5365" s="8">
        <v>13.736</v>
      </c>
      <c r="J5365" s="26"/>
      <c r="K5365"/>
    </row>
    <row r="5366" spans="1:11">
      <c r="A5366">
        <v>38</v>
      </c>
      <c r="B5366" s="64">
        <v>40725</v>
      </c>
      <c r="C5366" s="2">
        <v>387334.04</v>
      </c>
      <c r="D5366">
        <v>0</v>
      </c>
      <c r="E5366" s="65">
        <v>89.85</v>
      </c>
      <c r="F5366" s="8">
        <v>3.842</v>
      </c>
      <c r="G5366" s="66">
        <v>129.0894</v>
      </c>
      <c r="H5366" s="8">
        <v>13.503</v>
      </c>
      <c r="J5366" s="26"/>
      <c r="K5366"/>
    </row>
    <row r="5367" spans="1:11">
      <c r="A5367">
        <v>38</v>
      </c>
      <c r="B5367" s="64">
        <v>40732</v>
      </c>
      <c r="C5367" s="2">
        <v>399699.17</v>
      </c>
      <c r="D5367">
        <v>0</v>
      </c>
      <c r="E5367" s="65">
        <v>89.9</v>
      </c>
      <c r="F5367" s="8">
        <v>3.705</v>
      </c>
      <c r="G5367" s="66">
        <v>129.1125</v>
      </c>
      <c r="H5367" s="8">
        <v>13.503</v>
      </c>
      <c r="J5367" s="26"/>
      <c r="K5367"/>
    </row>
    <row r="5368" spans="1:11">
      <c r="A5368">
        <v>38</v>
      </c>
      <c r="B5368" s="64">
        <v>40739</v>
      </c>
      <c r="C5368" s="2">
        <v>367181.71</v>
      </c>
      <c r="D5368">
        <v>0</v>
      </c>
      <c r="E5368" s="65">
        <v>88.1</v>
      </c>
      <c r="F5368" s="8">
        <v>3.692</v>
      </c>
      <c r="G5368" s="66">
        <v>129.1338387</v>
      </c>
      <c r="H5368" s="8">
        <v>13.503</v>
      </c>
      <c r="J5368" s="26"/>
      <c r="K5368"/>
    </row>
    <row r="5369" spans="1:11">
      <c r="A5369">
        <v>38</v>
      </c>
      <c r="B5369" s="64">
        <v>40746</v>
      </c>
      <c r="C5369" s="2">
        <v>365562.67</v>
      </c>
      <c r="D5369">
        <v>0</v>
      </c>
      <c r="E5369" s="65">
        <v>91.17</v>
      </c>
      <c r="F5369" s="8">
        <v>3.794</v>
      </c>
      <c r="G5369" s="66">
        <v>129.1507742</v>
      </c>
      <c r="H5369" s="8">
        <v>13.503</v>
      </c>
      <c r="J5369" s="26"/>
      <c r="K5369"/>
    </row>
    <row r="5370" spans="1:11">
      <c r="A5370">
        <v>38</v>
      </c>
      <c r="B5370" s="64">
        <v>40753</v>
      </c>
      <c r="C5370" s="2">
        <v>355131.33</v>
      </c>
      <c r="D5370">
        <v>0</v>
      </c>
      <c r="E5370" s="65">
        <v>93.29</v>
      </c>
      <c r="F5370" s="8">
        <v>3.805</v>
      </c>
      <c r="G5370" s="66">
        <v>129.1677097</v>
      </c>
      <c r="H5370" s="8">
        <v>13.503</v>
      </c>
      <c r="J5370" s="26"/>
      <c r="K5370"/>
    </row>
    <row r="5371" spans="1:11">
      <c r="A5371">
        <v>38</v>
      </c>
      <c r="B5371" s="64">
        <v>40760</v>
      </c>
      <c r="C5371" s="2">
        <v>437631.44</v>
      </c>
      <c r="D5371">
        <v>0</v>
      </c>
      <c r="E5371" s="65">
        <v>90.61</v>
      </c>
      <c r="F5371" s="8">
        <v>3.803</v>
      </c>
      <c r="G5371" s="66">
        <v>129.1846452</v>
      </c>
      <c r="H5371" s="8">
        <v>13.503</v>
      </c>
      <c r="J5371" s="26"/>
      <c r="K5371"/>
    </row>
    <row r="5372" spans="1:11">
      <c r="A5372">
        <v>38</v>
      </c>
      <c r="B5372" s="64">
        <v>40767</v>
      </c>
      <c r="C5372" s="2">
        <v>387844.05</v>
      </c>
      <c r="D5372">
        <v>0</v>
      </c>
      <c r="E5372" s="65">
        <v>91.04</v>
      </c>
      <c r="F5372" s="8">
        <v>3.701</v>
      </c>
      <c r="G5372" s="66">
        <v>129.2015806</v>
      </c>
      <c r="H5372" s="8">
        <v>13.503</v>
      </c>
      <c r="J5372" s="26"/>
      <c r="K5372"/>
    </row>
    <row r="5373" spans="1:11">
      <c r="A5373">
        <v>38</v>
      </c>
      <c r="B5373" s="64">
        <v>40774</v>
      </c>
      <c r="C5373" s="2">
        <v>362224.7</v>
      </c>
      <c r="D5373">
        <v>0</v>
      </c>
      <c r="E5373" s="65">
        <v>91.74</v>
      </c>
      <c r="F5373" s="8">
        <v>3.743</v>
      </c>
      <c r="G5373" s="66">
        <v>129.2405806</v>
      </c>
      <c r="H5373" s="8">
        <v>13.503</v>
      </c>
      <c r="J5373" s="26"/>
      <c r="K5373"/>
    </row>
    <row r="5374" spans="1:11">
      <c r="A5374">
        <v>38</v>
      </c>
      <c r="B5374" s="64">
        <v>40781</v>
      </c>
      <c r="C5374" s="2">
        <v>365672.55</v>
      </c>
      <c r="D5374">
        <v>0</v>
      </c>
      <c r="E5374" s="65">
        <v>94.61</v>
      </c>
      <c r="F5374" s="8">
        <v>3.74</v>
      </c>
      <c r="G5374" s="66">
        <v>129.2832581</v>
      </c>
      <c r="H5374" s="8">
        <v>13.503</v>
      </c>
      <c r="J5374" s="26"/>
      <c r="K5374"/>
    </row>
    <row r="5375" spans="1:11">
      <c r="A5375">
        <v>38</v>
      </c>
      <c r="B5375" s="64">
        <v>40788</v>
      </c>
      <c r="C5375" s="2">
        <v>416953.51</v>
      </c>
      <c r="D5375">
        <v>0</v>
      </c>
      <c r="E5375" s="65">
        <v>93.66</v>
      </c>
      <c r="F5375" s="8">
        <v>3.798</v>
      </c>
      <c r="G5375" s="66">
        <v>129.3259355</v>
      </c>
      <c r="H5375" s="8">
        <v>13.503</v>
      </c>
      <c r="J5375" s="26"/>
      <c r="K5375"/>
    </row>
    <row r="5376" spans="1:11">
      <c r="A5376">
        <v>38</v>
      </c>
      <c r="B5376" s="64">
        <v>40795</v>
      </c>
      <c r="C5376" s="2">
        <v>397771.68</v>
      </c>
      <c r="D5376">
        <v>1</v>
      </c>
      <c r="E5376" s="65">
        <v>88</v>
      </c>
      <c r="F5376" s="8">
        <v>3.913</v>
      </c>
      <c r="G5376" s="66">
        <v>129.3686129</v>
      </c>
      <c r="H5376" s="8">
        <v>13.503</v>
      </c>
      <c r="J5376" s="26"/>
      <c r="K5376"/>
    </row>
    <row r="5377" spans="1:11">
      <c r="A5377">
        <v>38</v>
      </c>
      <c r="B5377" s="64">
        <v>40802</v>
      </c>
      <c r="C5377" s="2">
        <v>408188.88</v>
      </c>
      <c r="D5377">
        <v>0</v>
      </c>
      <c r="E5377" s="65">
        <v>76.36</v>
      </c>
      <c r="F5377" s="8">
        <v>3.918</v>
      </c>
      <c r="G5377" s="66">
        <v>129.4306</v>
      </c>
      <c r="H5377" s="8">
        <v>13.503</v>
      </c>
      <c r="J5377" s="26"/>
      <c r="K5377"/>
    </row>
    <row r="5378" spans="1:11">
      <c r="A5378">
        <v>38</v>
      </c>
      <c r="B5378" s="64">
        <v>40809</v>
      </c>
      <c r="C5378" s="2">
        <v>394665.28</v>
      </c>
      <c r="D5378">
        <v>0</v>
      </c>
      <c r="E5378" s="65">
        <v>82.95</v>
      </c>
      <c r="F5378" s="8">
        <v>3.789</v>
      </c>
      <c r="G5378" s="66">
        <v>129.5183333</v>
      </c>
      <c r="H5378" s="8">
        <v>13.503</v>
      </c>
      <c r="J5378" s="26"/>
      <c r="K5378"/>
    </row>
    <row r="5379" spans="1:11">
      <c r="A5379">
        <v>38</v>
      </c>
      <c r="B5379" s="64">
        <v>40816</v>
      </c>
      <c r="C5379" s="2">
        <v>366819.84</v>
      </c>
      <c r="D5379">
        <v>0</v>
      </c>
      <c r="E5379" s="65">
        <v>83.26</v>
      </c>
      <c r="F5379" s="8">
        <v>3.877</v>
      </c>
      <c r="G5379" s="66">
        <v>129.6060667</v>
      </c>
      <c r="H5379" s="8">
        <v>13.503</v>
      </c>
      <c r="J5379" s="26"/>
      <c r="K5379"/>
    </row>
    <row r="5380" spans="1:11">
      <c r="A5380">
        <v>38</v>
      </c>
      <c r="B5380" s="64">
        <v>40823</v>
      </c>
      <c r="C5380" s="2">
        <v>449516.29</v>
      </c>
      <c r="D5380">
        <v>0</v>
      </c>
      <c r="E5380" s="65">
        <v>70.44</v>
      </c>
      <c r="F5380" s="8">
        <v>3.827</v>
      </c>
      <c r="G5380" s="66">
        <v>129.6938</v>
      </c>
      <c r="H5380" s="8">
        <v>12.89</v>
      </c>
      <c r="J5380" s="26"/>
      <c r="K5380"/>
    </row>
    <row r="5381" spans="1:11">
      <c r="A5381">
        <v>38</v>
      </c>
      <c r="B5381" s="64">
        <v>40830</v>
      </c>
      <c r="C5381" s="2">
        <v>400430.78</v>
      </c>
      <c r="D5381">
        <v>0</v>
      </c>
      <c r="E5381" s="65">
        <v>67.31</v>
      </c>
      <c r="F5381" s="8">
        <v>3.805</v>
      </c>
      <c r="G5381" s="66">
        <v>129.7706452</v>
      </c>
      <c r="H5381" s="8">
        <v>12.89</v>
      </c>
      <c r="J5381" s="26"/>
      <c r="K5381"/>
    </row>
    <row r="5382" spans="1:11">
      <c r="A5382">
        <v>38</v>
      </c>
      <c r="B5382" s="64">
        <v>40837</v>
      </c>
      <c r="C5382" s="2">
        <v>402709.17</v>
      </c>
      <c r="D5382">
        <v>0</v>
      </c>
      <c r="E5382" s="65">
        <v>73.05</v>
      </c>
      <c r="F5382" s="8">
        <v>3.842</v>
      </c>
      <c r="G5382" s="66">
        <v>129.7821613</v>
      </c>
      <c r="H5382" s="8">
        <v>12.89</v>
      </c>
      <c r="J5382" s="26"/>
      <c r="K5382"/>
    </row>
    <row r="5383" spans="1:11">
      <c r="A5383">
        <v>38</v>
      </c>
      <c r="B5383" s="64">
        <v>40844</v>
      </c>
      <c r="C5383" s="2">
        <v>378539.17</v>
      </c>
      <c r="D5383">
        <v>0</v>
      </c>
      <c r="E5383" s="65">
        <v>67.41</v>
      </c>
      <c r="F5383" s="8">
        <v>3.727</v>
      </c>
      <c r="G5383" s="66">
        <v>129.7936774</v>
      </c>
      <c r="H5383" s="8">
        <v>12.89</v>
      </c>
      <c r="J5383" s="26"/>
      <c r="K5383"/>
    </row>
    <row r="5384" spans="1:11">
      <c r="A5384">
        <v>38</v>
      </c>
      <c r="B5384" s="64">
        <v>40851</v>
      </c>
      <c r="C5384" s="2">
        <v>436970.1</v>
      </c>
      <c r="D5384">
        <v>0</v>
      </c>
      <c r="E5384" s="65">
        <v>59.77</v>
      </c>
      <c r="F5384" s="8">
        <v>3.828</v>
      </c>
      <c r="G5384" s="66">
        <v>129.8051935</v>
      </c>
      <c r="H5384" s="8">
        <v>12.89</v>
      </c>
      <c r="J5384" s="26"/>
      <c r="K5384"/>
    </row>
    <row r="5385" spans="1:11">
      <c r="A5385">
        <v>38</v>
      </c>
      <c r="B5385" s="64">
        <v>40858</v>
      </c>
      <c r="C5385" s="2">
        <v>411116.95</v>
      </c>
      <c r="D5385">
        <v>0</v>
      </c>
      <c r="E5385" s="65">
        <v>48.76</v>
      </c>
      <c r="F5385" s="8">
        <v>3.824</v>
      </c>
      <c r="G5385" s="66">
        <v>129.8167097</v>
      </c>
      <c r="H5385" s="8">
        <v>12.89</v>
      </c>
      <c r="J5385" s="26"/>
      <c r="K5385"/>
    </row>
    <row r="5386" spans="1:11">
      <c r="A5386">
        <v>38</v>
      </c>
      <c r="B5386" s="64">
        <v>40865</v>
      </c>
      <c r="C5386" s="2">
        <v>392003.13</v>
      </c>
      <c r="D5386">
        <v>0</v>
      </c>
      <c r="E5386" s="65">
        <v>54.2</v>
      </c>
      <c r="F5386" s="8">
        <v>3.813</v>
      </c>
      <c r="G5386" s="66">
        <v>129.8268333</v>
      </c>
      <c r="H5386" s="8">
        <v>12.89</v>
      </c>
      <c r="J5386" s="26"/>
      <c r="K5386"/>
    </row>
    <row r="5387" spans="1:11">
      <c r="A5387">
        <v>38</v>
      </c>
      <c r="B5387" s="64">
        <v>40872</v>
      </c>
      <c r="C5387" s="2">
        <v>393715.71</v>
      </c>
      <c r="D5387">
        <v>1</v>
      </c>
      <c r="E5387" s="65">
        <v>53.25</v>
      </c>
      <c r="F5387" s="8">
        <v>3.622</v>
      </c>
      <c r="G5387" s="66">
        <v>129.8364</v>
      </c>
      <c r="H5387" s="8">
        <v>12.89</v>
      </c>
      <c r="J5387" s="26"/>
      <c r="K5387"/>
    </row>
    <row r="5388" spans="1:11">
      <c r="A5388">
        <v>38</v>
      </c>
      <c r="B5388" s="64">
        <v>40879</v>
      </c>
      <c r="C5388" s="2">
        <v>411252.02</v>
      </c>
      <c r="D5388">
        <v>0</v>
      </c>
      <c r="E5388" s="65">
        <v>52.5</v>
      </c>
      <c r="F5388" s="8">
        <v>3.701</v>
      </c>
      <c r="G5388" s="66">
        <v>129.8459667</v>
      </c>
      <c r="H5388" s="8">
        <v>12.89</v>
      </c>
      <c r="J5388" s="26"/>
      <c r="K5388"/>
    </row>
    <row r="5389" spans="1:11">
      <c r="A5389">
        <v>38</v>
      </c>
      <c r="B5389" s="64">
        <v>40886</v>
      </c>
      <c r="C5389" s="2">
        <v>435401.64</v>
      </c>
      <c r="D5389">
        <v>0</v>
      </c>
      <c r="E5389" s="65">
        <v>42.17</v>
      </c>
      <c r="F5389" s="8">
        <v>3.644</v>
      </c>
      <c r="G5389" s="66">
        <v>129.8555333</v>
      </c>
      <c r="H5389" s="8">
        <v>12.89</v>
      </c>
      <c r="J5389" s="26"/>
      <c r="K5389"/>
    </row>
    <row r="5390" spans="1:11">
      <c r="A5390">
        <v>38</v>
      </c>
      <c r="B5390" s="64">
        <v>40893</v>
      </c>
      <c r="C5390" s="2">
        <v>404283.84</v>
      </c>
      <c r="D5390">
        <v>0</v>
      </c>
      <c r="E5390" s="65">
        <v>43.29</v>
      </c>
      <c r="F5390" s="8">
        <v>3.6</v>
      </c>
      <c r="G5390" s="66">
        <v>129.8980645</v>
      </c>
      <c r="H5390" s="8">
        <v>12.89</v>
      </c>
      <c r="J5390" s="26"/>
      <c r="K5390"/>
    </row>
    <row r="5391" spans="1:11">
      <c r="A5391">
        <v>38</v>
      </c>
      <c r="B5391" s="64">
        <v>40900</v>
      </c>
      <c r="C5391" s="2">
        <v>419717.41</v>
      </c>
      <c r="D5391">
        <v>0</v>
      </c>
      <c r="E5391" s="65">
        <v>45.4</v>
      </c>
      <c r="F5391" s="8">
        <v>3.541</v>
      </c>
      <c r="G5391" s="66">
        <v>129.9845484</v>
      </c>
      <c r="H5391" s="8">
        <v>12.89</v>
      </c>
      <c r="J5391" s="26"/>
      <c r="K5391"/>
    </row>
    <row r="5392" spans="1:11">
      <c r="A5392">
        <v>38</v>
      </c>
      <c r="B5392" s="64">
        <v>40907</v>
      </c>
      <c r="C5392" s="2">
        <v>342667.35</v>
      </c>
      <c r="D5392">
        <v>1</v>
      </c>
      <c r="E5392" s="65">
        <v>44.64</v>
      </c>
      <c r="F5392" s="8">
        <v>3.428</v>
      </c>
      <c r="G5392" s="66">
        <v>130.0710323</v>
      </c>
      <c r="H5392" s="8">
        <v>12.89</v>
      </c>
      <c r="J5392" s="26"/>
      <c r="K5392"/>
    </row>
    <row r="5393" spans="1:11">
      <c r="A5393">
        <v>38</v>
      </c>
      <c r="B5393" s="64">
        <v>40914</v>
      </c>
      <c r="C5393" s="2">
        <v>478483.2</v>
      </c>
      <c r="D5393">
        <v>0</v>
      </c>
      <c r="E5393" s="65">
        <v>50.43</v>
      </c>
      <c r="F5393" s="8">
        <v>3.599</v>
      </c>
      <c r="G5393" s="66">
        <v>130.1575161</v>
      </c>
      <c r="H5393" s="8">
        <v>12.187</v>
      </c>
      <c r="J5393" s="26"/>
      <c r="K5393"/>
    </row>
    <row r="5394" spans="1:11">
      <c r="A5394">
        <v>38</v>
      </c>
      <c r="B5394" s="64">
        <v>40921</v>
      </c>
      <c r="C5394" s="2">
        <v>423260.82</v>
      </c>
      <c r="D5394">
        <v>0</v>
      </c>
      <c r="E5394" s="65">
        <v>48.07</v>
      </c>
      <c r="F5394" s="8">
        <v>3.657</v>
      </c>
      <c r="G5394" s="66">
        <v>130.244</v>
      </c>
      <c r="H5394" s="8">
        <v>12.187</v>
      </c>
      <c r="J5394" s="26"/>
      <c r="K5394"/>
    </row>
    <row r="5395" spans="1:11">
      <c r="A5395">
        <v>38</v>
      </c>
      <c r="B5395" s="64">
        <v>40928</v>
      </c>
      <c r="C5395" s="2">
        <v>405215.91</v>
      </c>
      <c r="D5395">
        <v>0</v>
      </c>
      <c r="E5395" s="65">
        <v>46.2</v>
      </c>
      <c r="F5395" s="8">
        <v>3.66</v>
      </c>
      <c r="G5395" s="66">
        <v>130.2792258</v>
      </c>
      <c r="H5395" s="8">
        <v>12.187</v>
      </c>
      <c r="J5395" s="26"/>
      <c r="K5395"/>
    </row>
    <row r="5396" spans="1:11">
      <c r="A5396">
        <v>38</v>
      </c>
      <c r="B5396" s="64">
        <v>40935</v>
      </c>
      <c r="C5396" s="2">
        <v>412882.31</v>
      </c>
      <c r="D5396">
        <v>0</v>
      </c>
      <c r="E5396" s="65">
        <v>50.43</v>
      </c>
      <c r="F5396" s="8">
        <v>3.675</v>
      </c>
      <c r="G5396" s="66">
        <v>130.3144516</v>
      </c>
      <c r="H5396" s="8">
        <v>12.187</v>
      </c>
      <c r="J5396" s="26"/>
      <c r="K5396"/>
    </row>
    <row r="5397" spans="1:11">
      <c r="A5397">
        <v>38</v>
      </c>
      <c r="B5397" s="64">
        <v>40942</v>
      </c>
      <c r="C5397" s="2">
        <v>457711.68</v>
      </c>
      <c r="D5397">
        <v>0</v>
      </c>
      <c r="E5397" s="65">
        <v>50.58</v>
      </c>
      <c r="F5397" s="8">
        <v>3.702</v>
      </c>
      <c r="G5397" s="66">
        <v>130.3496774</v>
      </c>
      <c r="H5397" s="8">
        <v>12.187</v>
      </c>
      <c r="J5397" s="26"/>
      <c r="K5397"/>
    </row>
    <row r="5398" spans="1:11">
      <c r="A5398">
        <v>38</v>
      </c>
      <c r="B5398" s="64">
        <v>40949</v>
      </c>
      <c r="C5398" s="2">
        <v>469787.38</v>
      </c>
      <c r="D5398">
        <v>1</v>
      </c>
      <c r="E5398" s="65">
        <v>52.27</v>
      </c>
      <c r="F5398" s="8">
        <v>3.722</v>
      </c>
      <c r="G5398" s="66">
        <v>130.3849032</v>
      </c>
      <c r="H5398" s="8">
        <v>12.187</v>
      </c>
      <c r="J5398" s="26"/>
      <c r="K5398"/>
    </row>
    <row r="5399" spans="1:11">
      <c r="A5399">
        <v>38</v>
      </c>
      <c r="B5399" s="64">
        <v>40956</v>
      </c>
      <c r="C5399" s="2">
        <v>415513.97</v>
      </c>
      <c r="D5399">
        <v>0</v>
      </c>
      <c r="E5399" s="65">
        <v>51.8</v>
      </c>
      <c r="F5399" s="8">
        <v>3.781</v>
      </c>
      <c r="G5399" s="66">
        <v>130.4546207</v>
      </c>
      <c r="H5399" s="8">
        <v>12.187</v>
      </c>
      <c r="J5399" s="26"/>
      <c r="K5399"/>
    </row>
    <row r="5400" spans="1:11">
      <c r="A5400">
        <v>38</v>
      </c>
      <c r="B5400" s="64">
        <v>40963</v>
      </c>
      <c r="C5400" s="2">
        <v>409411.61</v>
      </c>
      <c r="D5400">
        <v>0</v>
      </c>
      <c r="E5400" s="65">
        <v>53.13</v>
      </c>
      <c r="F5400" s="8">
        <v>3.95</v>
      </c>
      <c r="G5400" s="66">
        <v>130.5502069</v>
      </c>
      <c r="H5400" s="8">
        <v>12.187</v>
      </c>
      <c r="J5400" s="26"/>
      <c r="K5400"/>
    </row>
    <row r="5401" spans="1:11">
      <c r="A5401">
        <v>38</v>
      </c>
      <c r="B5401" s="64">
        <v>40970</v>
      </c>
      <c r="C5401" s="2">
        <v>471115.38</v>
      </c>
      <c r="D5401">
        <v>0</v>
      </c>
      <c r="E5401" s="65">
        <v>52.27</v>
      </c>
      <c r="F5401" s="8">
        <v>4.178</v>
      </c>
      <c r="G5401" s="66">
        <v>130.6457931</v>
      </c>
      <c r="H5401" s="8">
        <v>12.187</v>
      </c>
      <c r="J5401" s="26"/>
      <c r="K5401"/>
    </row>
    <row r="5402" spans="1:11">
      <c r="A5402">
        <v>38</v>
      </c>
      <c r="B5402" s="64">
        <v>40977</v>
      </c>
      <c r="C5402" s="2">
        <v>452792.53</v>
      </c>
      <c r="D5402">
        <v>0</v>
      </c>
      <c r="E5402" s="65">
        <v>54.54</v>
      </c>
      <c r="F5402" s="8">
        <v>4.25</v>
      </c>
      <c r="G5402" s="66">
        <v>130.7413793</v>
      </c>
      <c r="H5402" s="8">
        <v>12.187</v>
      </c>
      <c r="J5402" s="26"/>
      <c r="K5402"/>
    </row>
    <row r="5403" spans="1:11">
      <c r="A5403">
        <v>38</v>
      </c>
      <c r="B5403" s="64">
        <v>40984</v>
      </c>
      <c r="C5403" s="2">
        <v>428465.11</v>
      </c>
      <c r="D5403">
        <v>0</v>
      </c>
      <c r="E5403" s="65">
        <v>64.44</v>
      </c>
      <c r="F5403" s="8">
        <v>4.273</v>
      </c>
      <c r="G5403" s="66">
        <v>130.8261935</v>
      </c>
      <c r="H5403" s="8">
        <v>12.187</v>
      </c>
      <c r="J5403" s="26"/>
      <c r="K5403"/>
    </row>
    <row r="5404" spans="1:11">
      <c r="A5404">
        <v>38</v>
      </c>
      <c r="B5404" s="64">
        <v>40991</v>
      </c>
      <c r="C5404" s="2">
        <v>412456.48</v>
      </c>
      <c r="D5404">
        <v>0</v>
      </c>
      <c r="E5404" s="65">
        <v>56.26</v>
      </c>
      <c r="F5404" s="8">
        <v>4.038</v>
      </c>
      <c r="G5404" s="66">
        <v>130.8966452</v>
      </c>
      <c r="H5404" s="8">
        <v>12.187</v>
      </c>
      <c r="J5404" s="26"/>
      <c r="K5404"/>
    </row>
    <row r="5405" spans="1:11">
      <c r="A5405">
        <v>38</v>
      </c>
      <c r="B5405" s="64">
        <v>40998</v>
      </c>
      <c r="C5405" s="2">
        <v>408679.36</v>
      </c>
      <c r="D5405">
        <v>0</v>
      </c>
      <c r="E5405" s="65">
        <v>64.36</v>
      </c>
      <c r="F5405" s="8">
        <v>4.294</v>
      </c>
      <c r="G5405" s="66">
        <v>130.9670968</v>
      </c>
      <c r="H5405" s="8">
        <v>12.187</v>
      </c>
      <c r="J5405" s="26"/>
      <c r="K5405"/>
    </row>
    <row r="5406" spans="1:11">
      <c r="A5406">
        <v>38</v>
      </c>
      <c r="B5406" s="64">
        <v>41005</v>
      </c>
      <c r="C5406" s="2">
        <v>499267.66</v>
      </c>
      <c r="D5406">
        <v>0</v>
      </c>
      <c r="E5406" s="65">
        <v>64.05</v>
      </c>
      <c r="F5406" s="8">
        <v>4.121</v>
      </c>
      <c r="G5406" s="66">
        <v>131.0375484</v>
      </c>
      <c r="H5406" s="8">
        <v>11.627</v>
      </c>
      <c r="J5406" s="26"/>
      <c r="K5406"/>
    </row>
    <row r="5407" spans="1:11">
      <c r="A5407">
        <v>38</v>
      </c>
      <c r="B5407" s="64">
        <v>41012</v>
      </c>
      <c r="C5407" s="2">
        <v>435790.74</v>
      </c>
      <c r="D5407">
        <v>0</v>
      </c>
      <c r="E5407" s="65">
        <v>64.28</v>
      </c>
      <c r="F5407" s="8">
        <v>4.254</v>
      </c>
      <c r="G5407" s="66">
        <v>131.108</v>
      </c>
      <c r="H5407" s="8">
        <v>11.627</v>
      </c>
      <c r="J5407" s="26"/>
      <c r="K5407"/>
    </row>
    <row r="5408" spans="1:11">
      <c r="A5408">
        <v>38</v>
      </c>
      <c r="B5408" s="64">
        <v>41019</v>
      </c>
      <c r="C5408" s="2">
        <v>401615.8</v>
      </c>
      <c r="D5408">
        <v>0</v>
      </c>
      <c r="E5408" s="65">
        <v>66.73</v>
      </c>
      <c r="F5408" s="8">
        <v>4.222</v>
      </c>
      <c r="G5408" s="66">
        <v>131.1173333</v>
      </c>
      <c r="H5408" s="8">
        <v>11.627</v>
      </c>
      <c r="J5408" s="26"/>
      <c r="K5408"/>
    </row>
    <row r="5409" spans="1:11">
      <c r="A5409">
        <v>38</v>
      </c>
      <c r="B5409" s="64">
        <v>41026</v>
      </c>
      <c r="C5409" s="2">
        <v>419964.77</v>
      </c>
      <c r="D5409">
        <v>0</v>
      </c>
      <c r="E5409" s="65">
        <v>77.99</v>
      </c>
      <c r="F5409" s="8">
        <v>4.193</v>
      </c>
      <c r="G5409" s="66">
        <v>131.1266667</v>
      </c>
      <c r="H5409" s="8">
        <v>11.627</v>
      </c>
      <c r="J5409" s="26"/>
      <c r="K5409"/>
    </row>
    <row r="5410" spans="1:11">
      <c r="A5410">
        <v>38</v>
      </c>
      <c r="B5410" s="64">
        <v>41033</v>
      </c>
      <c r="C5410" s="2">
        <v>491755.69</v>
      </c>
      <c r="D5410">
        <v>0</v>
      </c>
      <c r="E5410" s="65">
        <v>76.03</v>
      </c>
      <c r="F5410" s="8">
        <v>4.171</v>
      </c>
      <c r="G5410" s="66">
        <v>131.136</v>
      </c>
      <c r="H5410" s="8">
        <v>11.627</v>
      </c>
      <c r="J5410" s="26"/>
      <c r="K5410"/>
    </row>
    <row r="5411" spans="1:11">
      <c r="A5411">
        <v>38</v>
      </c>
      <c r="B5411" s="64">
        <v>41040</v>
      </c>
      <c r="C5411" s="2">
        <v>429914.6</v>
      </c>
      <c r="D5411">
        <v>0</v>
      </c>
      <c r="E5411" s="65">
        <v>77.27</v>
      </c>
      <c r="F5411" s="8">
        <v>4.186</v>
      </c>
      <c r="G5411" s="66">
        <v>131.1453333</v>
      </c>
      <c r="H5411" s="8">
        <v>11.627</v>
      </c>
      <c r="J5411" s="26"/>
      <c r="K5411"/>
    </row>
    <row r="5412" spans="1:11">
      <c r="A5412">
        <v>38</v>
      </c>
      <c r="B5412" s="64">
        <v>41047</v>
      </c>
      <c r="C5412" s="2">
        <v>412314.71</v>
      </c>
      <c r="D5412">
        <v>0</v>
      </c>
      <c r="E5412" s="65">
        <v>84.51</v>
      </c>
      <c r="F5412" s="8">
        <v>4.11</v>
      </c>
      <c r="G5412" s="66">
        <v>131.0983226</v>
      </c>
      <c r="H5412" s="8">
        <v>11.627</v>
      </c>
      <c r="J5412" s="26"/>
      <c r="K5412"/>
    </row>
    <row r="5413" spans="1:11">
      <c r="A5413">
        <v>38</v>
      </c>
      <c r="B5413" s="64">
        <v>41054</v>
      </c>
      <c r="C5413" s="2">
        <v>422810.12</v>
      </c>
      <c r="D5413">
        <v>0</v>
      </c>
      <c r="E5413" s="65">
        <v>83.84</v>
      </c>
      <c r="F5413" s="8">
        <v>4.293</v>
      </c>
      <c r="G5413" s="66">
        <v>131.0287742</v>
      </c>
      <c r="H5413" s="8">
        <v>11.627</v>
      </c>
      <c r="J5413" s="26"/>
      <c r="K5413"/>
    </row>
    <row r="5414" spans="1:11">
      <c r="A5414">
        <v>38</v>
      </c>
      <c r="B5414" s="64">
        <v>41061</v>
      </c>
      <c r="C5414" s="2">
        <v>435579.7</v>
      </c>
      <c r="D5414">
        <v>0</v>
      </c>
      <c r="E5414" s="65">
        <v>78.11</v>
      </c>
      <c r="F5414" s="8">
        <v>4.277</v>
      </c>
      <c r="G5414" s="66">
        <v>130.9592258</v>
      </c>
      <c r="H5414" s="8">
        <v>11.627</v>
      </c>
      <c r="J5414" s="26"/>
      <c r="K5414"/>
    </row>
    <row r="5415" spans="1:11">
      <c r="A5415">
        <v>38</v>
      </c>
      <c r="B5415" s="64">
        <v>41068</v>
      </c>
      <c r="C5415" s="2">
        <v>448110.25</v>
      </c>
      <c r="D5415">
        <v>0</v>
      </c>
      <c r="E5415" s="65">
        <v>84.83</v>
      </c>
      <c r="F5415" s="8">
        <v>4.103</v>
      </c>
      <c r="G5415" s="66">
        <v>130.8896774</v>
      </c>
      <c r="H5415" s="8">
        <v>11.627</v>
      </c>
      <c r="J5415" s="26"/>
      <c r="K5415"/>
    </row>
    <row r="5416" spans="1:11">
      <c r="A5416">
        <v>38</v>
      </c>
      <c r="B5416" s="64">
        <v>41075</v>
      </c>
      <c r="C5416" s="2">
        <v>430222.07</v>
      </c>
      <c r="D5416">
        <v>0</v>
      </c>
      <c r="E5416" s="65">
        <v>85.94</v>
      </c>
      <c r="F5416" s="8">
        <v>4.144</v>
      </c>
      <c r="G5416" s="66">
        <v>130.8295333</v>
      </c>
      <c r="H5416" s="8">
        <v>11.627</v>
      </c>
      <c r="J5416" s="26"/>
      <c r="K5416"/>
    </row>
    <row r="5417" spans="1:11">
      <c r="A5417">
        <v>38</v>
      </c>
      <c r="B5417" s="64">
        <v>41082</v>
      </c>
      <c r="C5417" s="2">
        <v>405938.35</v>
      </c>
      <c r="D5417">
        <v>0</v>
      </c>
      <c r="E5417" s="65">
        <v>91.61</v>
      </c>
      <c r="F5417" s="8">
        <v>4.014</v>
      </c>
      <c r="G5417" s="66">
        <v>130.7929</v>
      </c>
      <c r="H5417" s="8">
        <v>11.627</v>
      </c>
      <c r="J5417" s="26"/>
      <c r="K5417"/>
    </row>
    <row r="5418" spans="1:11">
      <c r="A5418">
        <v>38</v>
      </c>
      <c r="B5418" s="64">
        <v>41089</v>
      </c>
      <c r="C5418" s="2">
        <v>404634.36</v>
      </c>
      <c r="D5418">
        <v>0</v>
      </c>
      <c r="E5418" s="65">
        <v>90.47</v>
      </c>
      <c r="F5418" s="8">
        <v>3.875</v>
      </c>
      <c r="G5418" s="66">
        <v>130.7562667</v>
      </c>
      <c r="H5418" s="8">
        <v>11.627</v>
      </c>
      <c r="J5418" s="26"/>
      <c r="K5418"/>
    </row>
    <row r="5419" spans="1:11">
      <c r="A5419">
        <v>38</v>
      </c>
      <c r="B5419" s="64">
        <v>41096</v>
      </c>
      <c r="C5419" s="2">
        <v>471086.22</v>
      </c>
      <c r="D5419">
        <v>0</v>
      </c>
      <c r="E5419" s="65">
        <v>89.13</v>
      </c>
      <c r="F5419" s="8">
        <v>3.765</v>
      </c>
      <c r="G5419" s="66">
        <v>130.7196333</v>
      </c>
      <c r="H5419" s="8">
        <v>10.926</v>
      </c>
      <c r="J5419" s="26"/>
      <c r="K5419"/>
    </row>
    <row r="5420" spans="1:11">
      <c r="A5420">
        <v>38</v>
      </c>
      <c r="B5420" s="64">
        <v>41103</v>
      </c>
      <c r="C5420" s="2">
        <v>416036.75</v>
      </c>
      <c r="D5420">
        <v>0</v>
      </c>
      <c r="E5420" s="65">
        <v>95.61</v>
      </c>
      <c r="F5420" s="8">
        <v>3.723</v>
      </c>
      <c r="G5420" s="66">
        <v>130.683</v>
      </c>
      <c r="H5420" s="8">
        <v>10.926</v>
      </c>
      <c r="J5420" s="26"/>
      <c r="K5420"/>
    </row>
    <row r="5421" spans="1:11">
      <c r="A5421">
        <v>38</v>
      </c>
      <c r="B5421" s="64">
        <v>41110</v>
      </c>
      <c r="C5421" s="2">
        <v>441683.74</v>
      </c>
      <c r="D5421">
        <v>0</v>
      </c>
      <c r="E5421" s="65">
        <v>85.53</v>
      </c>
      <c r="F5421" s="8">
        <v>3.726</v>
      </c>
      <c r="G5421" s="66">
        <v>130.7012903</v>
      </c>
      <c r="H5421" s="8">
        <v>10.926</v>
      </c>
      <c r="J5421" s="26"/>
      <c r="K5421"/>
    </row>
    <row r="5422" spans="1:11">
      <c r="A5422">
        <v>38</v>
      </c>
      <c r="B5422" s="64">
        <v>41117</v>
      </c>
      <c r="C5422" s="2">
        <v>407186.47</v>
      </c>
      <c r="D5422">
        <v>0</v>
      </c>
      <c r="E5422" s="65">
        <v>93.47</v>
      </c>
      <c r="F5422" s="8">
        <v>3.769</v>
      </c>
      <c r="G5422" s="66">
        <v>130.7195806</v>
      </c>
      <c r="H5422" s="8">
        <v>10.926</v>
      </c>
      <c r="J5422" s="26"/>
      <c r="K5422"/>
    </row>
    <row r="5423" spans="1:11">
      <c r="A5423">
        <v>38</v>
      </c>
      <c r="B5423" s="64">
        <v>41124</v>
      </c>
      <c r="C5423" s="2">
        <v>469311.17</v>
      </c>
      <c r="D5423">
        <v>0</v>
      </c>
      <c r="E5423" s="65">
        <v>88.16</v>
      </c>
      <c r="F5423" s="8">
        <v>3.76</v>
      </c>
      <c r="G5423" s="66">
        <v>130.737871</v>
      </c>
      <c r="H5423" s="8">
        <v>10.926</v>
      </c>
      <c r="J5423" s="26"/>
      <c r="K5423"/>
    </row>
    <row r="5424" spans="1:11">
      <c r="A5424">
        <v>38</v>
      </c>
      <c r="B5424" s="64">
        <v>41131</v>
      </c>
      <c r="C5424" s="2">
        <v>436690.13</v>
      </c>
      <c r="D5424">
        <v>0</v>
      </c>
      <c r="E5424" s="65">
        <v>95.91</v>
      </c>
      <c r="F5424" s="8">
        <v>3.811</v>
      </c>
      <c r="G5424" s="66">
        <v>130.7561613</v>
      </c>
      <c r="H5424" s="8">
        <v>10.926</v>
      </c>
      <c r="J5424" s="26"/>
      <c r="K5424"/>
    </row>
    <row r="5425" spans="1:11">
      <c r="A5425">
        <v>38</v>
      </c>
      <c r="B5425" s="64">
        <v>41138</v>
      </c>
      <c r="C5425" s="2">
        <v>411866.46</v>
      </c>
      <c r="D5425">
        <v>0</v>
      </c>
      <c r="E5425" s="65">
        <v>94.87</v>
      </c>
      <c r="F5425" s="8">
        <v>4.002</v>
      </c>
      <c r="G5425" s="66">
        <v>130.7909677</v>
      </c>
      <c r="H5425" s="8">
        <v>10.926</v>
      </c>
      <c r="J5425" s="26"/>
      <c r="K5425"/>
    </row>
    <row r="5426" spans="1:11">
      <c r="A5426">
        <v>38</v>
      </c>
      <c r="B5426" s="64">
        <v>41145</v>
      </c>
      <c r="C5426" s="2">
        <v>397428.22</v>
      </c>
      <c r="D5426">
        <v>0</v>
      </c>
      <c r="E5426" s="65">
        <v>85.32</v>
      </c>
      <c r="F5426" s="8">
        <v>4.055</v>
      </c>
      <c r="G5426" s="66">
        <v>130.8381613</v>
      </c>
      <c r="H5426" s="8">
        <v>10.926</v>
      </c>
      <c r="J5426" s="26"/>
      <c r="K5426"/>
    </row>
    <row r="5427" spans="1:11">
      <c r="A5427">
        <v>38</v>
      </c>
      <c r="B5427" s="64">
        <v>41152</v>
      </c>
      <c r="C5427" s="2">
        <v>424904.95</v>
      </c>
      <c r="D5427">
        <v>0</v>
      </c>
      <c r="E5427" s="65">
        <v>89.78</v>
      </c>
      <c r="F5427" s="8">
        <v>4.093</v>
      </c>
      <c r="G5427" s="66">
        <v>130.8853548</v>
      </c>
      <c r="H5427" s="8">
        <v>10.926</v>
      </c>
      <c r="J5427" s="26"/>
      <c r="K5427"/>
    </row>
    <row r="5428" spans="1:11">
      <c r="A5428">
        <v>38</v>
      </c>
      <c r="B5428" s="64">
        <v>41159</v>
      </c>
      <c r="C5428" s="2">
        <v>490274.82</v>
      </c>
      <c r="D5428">
        <v>1</v>
      </c>
      <c r="E5428" s="65">
        <v>88.52</v>
      </c>
      <c r="F5428" s="8">
        <v>4.124</v>
      </c>
      <c r="G5428" s="66">
        <v>130.9325484</v>
      </c>
      <c r="H5428" s="8">
        <v>10.926</v>
      </c>
      <c r="J5428" s="26"/>
      <c r="K5428"/>
    </row>
    <row r="5429" spans="1:11">
      <c r="A5429">
        <v>38</v>
      </c>
      <c r="B5429" s="64">
        <v>41166</v>
      </c>
      <c r="C5429" s="2">
        <v>430944.39</v>
      </c>
      <c r="D5429">
        <v>0</v>
      </c>
      <c r="E5429" s="65">
        <v>83.64</v>
      </c>
      <c r="F5429" s="8">
        <v>4.133</v>
      </c>
      <c r="G5429" s="66">
        <v>130.9776667</v>
      </c>
      <c r="H5429" s="8">
        <v>10.926</v>
      </c>
      <c r="J5429" s="26"/>
      <c r="K5429"/>
    </row>
    <row r="5430" spans="1:11">
      <c r="A5430">
        <v>38</v>
      </c>
      <c r="B5430" s="64">
        <v>41173</v>
      </c>
      <c r="C5430" s="2">
        <v>409600.98</v>
      </c>
      <c r="D5430">
        <v>0</v>
      </c>
      <c r="E5430" s="65">
        <v>82.97</v>
      </c>
      <c r="F5430" s="8">
        <v>4.125</v>
      </c>
      <c r="G5430" s="66">
        <v>131.0103333</v>
      </c>
      <c r="H5430" s="8">
        <v>10.926</v>
      </c>
      <c r="J5430" s="26"/>
      <c r="K5430"/>
    </row>
    <row r="5431" spans="1:11">
      <c r="A5431">
        <v>38</v>
      </c>
      <c r="B5431" s="64">
        <v>41180</v>
      </c>
      <c r="C5431" s="2">
        <v>398468.08</v>
      </c>
      <c r="D5431">
        <v>0</v>
      </c>
      <c r="E5431" s="65">
        <v>81.22</v>
      </c>
      <c r="F5431" s="8">
        <v>3.966</v>
      </c>
      <c r="G5431" s="66">
        <v>131.043</v>
      </c>
      <c r="H5431" s="8">
        <v>10.926</v>
      </c>
      <c r="J5431" s="26"/>
      <c r="K5431"/>
    </row>
    <row r="5432" spans="1:11">
      <c r="A5432">
        <v>38</v>
      </c>
      <c r="B5432" s="64">
        <v>41187</v>
      </c>
      <c r="C5432" s="2">
        <v>458479.01</v>
      </c>
      <c r="D5432">
        <v>0</v>
      </c>
      <c r="E5432" s="65">
        <v>81.61</v>
      </c>
      <c r="F5432" s="8">
        <v>3.966</v>
      </c>
      <c r="G5432" s="66">
        <v>131.0756667</v>
      </c>
      <c r="H5432" s="8">
        <v>10.199</v>
      </c>
      <c r="J5432" s="26"/>
      <c r="K5432"/>
    </row>
    <row r="5433" spans="1:11">
      <c r="A5433">
        <v>38</v>
      </c>
      <c r="B5433" s="64">
        <v>41194</v>
      </c>
      <c r="C5433" s="2">
        <v>437320.66</v>
      </c>
      <c r="D5433">
        <v>0</v>
      </c>
      <c r="E5433" s="65">
        <v>71.74</v>
      </c>
      <c r="F5433" s="8">
        <v>4.468</v>
      </c>
      <c r="G5433" s="66">
        <v>131.1083333</v>
      </c>
      <c r="H5433" s="8">
        <v>10.199</v>
      </c>
      <c r="J5433" s="26"/>
      <c r="K5433"/>
    </row>
    <row r="5434" spans="1:11">
      <c r="A5434">
        <v>38</v>
      </c>
      <c r="B5434" s="64">
        <v>41201</v>
      </c>
      <c r="C5434" s="2">
        <v>428806.46</v>
      </c>
      <c r="D5434">
        <v>0</v>
      </c>
      <c r="E5434" s="65">
        <v>68.66</v>
      </c>
      <c r="F5434" s="8">
        <v>4.449</v>
      </c>
      <c r="G5434" s="66">
        <v>131.1499677</v>
      </c>
      <c r="H5434" s="8">
        <v>10.199</v>
      </c>
      <c r="J5434" s="26"/>
      <c r="K5434"/>
    </row>
    <row r="5435" spans="1:11">
      <c r="A5435">
        <v>38</v>
      </c>
      <c r="B5435" s="64">
        <v>41208</v>
      </c>
      <c r="C5435" s="2">
        <v>417290.38</v>
      </c>
      <c r="D5435">
        <v>0</v>
      </c>
      <c r="E5435" s="65">
        <v>65.95</v>
      </c>
      <c r="F5435" s="8">
        <v>4.301</v>
      </c>
      <c r="G5435" s="66">
        <v>131.1930968</v>
      </c>
      <c r="H5435" s="8">
        <v>10.199</v>
      </c>
      <c r="J5435" s="26"/>
      <c r="K5435"/>
    </row>
    <row r="5436" spans="1:11">
      <c r="A5436">
        <v>39</v>
      </c>
      <c r="B5436" s="64">
        <v>40214</v>
      </c>
      <c r="C5436" s="2">
        <v>1230596.8</v>
      </c>
      <c r="D5436">
        <v>0</v>
      </c>
      <c r="E5436" s="65">
        <v>44.3</v>
      </c>
      <c r="F5436" s="8">
        <v>2.572</v>
      </c>
      <c r="G5436" s="66">
        <v>209.8529663</v>
      </c>
      <c r="H5436" s="8">
        <v>8.554</v>
      </c>
      <c r="J5436" s="26"/>
      <c r="K5436"/>
    </row>
    <row r="5437" spans="1:11">
      <c r="A5437">
        <v>39</v>
      </c>
      <c r="B5437" s="64">
        <v>40221</v>
      </c>
      <c r="C5437" s="2">
        <v>1266229.07</v>
      </c>
      <c r="D5437">
        <v>1</v>
      </c>
      <c r="E5437" s="65">
        <v>44.58</v>
      </c>
      <c r="F5437" s="8">
        <v>2.548</v>
      </c>
      <c r="G5437" s="66">
        <v>209.9970208</v>
      </c>
      <c r="H5437" s="8">
        <v>8.554</v>
      </c>
      <c r="J5437" s="26"/>
      <c r="K5437"/>
    </row>
    <row r="5438" spans="1:11">
      <c r="A5438">
        <v>39</v>
      </c>
      <c r="B5438" s="64">
        <v>40228</v>
      </c>
      <c r="C5438" s="2">
        <v>1230591.97</v>
      </c>
      <c r="D5438">
        <v>0</v>
      </c>
      <c r="E5438" s="65">
        <v>43.96</v>
      </c>
      <c r="F5438" s="8">
        <v>2.514</v>
      </c>
      <c r="G5438" s="66">
        <v>210.0451024</v>
      </c>
      <c r="H5438" s="8">
        <v>8.554</v>
      </c>
      <c r="J5438" s="26"/>
      <c r="K5438"/>
    </row>
    <row r="5439" spans="1:11">
      <c r="A5439">
        <v>39</v>
      </c>
      <c r="B5439" s="64">
        <v>40235</v>
      </c>
      <c r="C5439" s="2">
        <v>1168582.02</v>
      </c>
      <c r="D5439">
        <v>0</v>
      </c>
      <c r="E5439" s="65">
        <v>49.79</v>
      </c>
      <c r="F5439" s="8">
        <v>2.561</v>
      </c>
      <c r="G5439" s="66">
        <v>210.0771885</v>
      </c>
      <c r="H5439" s="8">
        <v>8.554</v>
      </c>
      <c r="J5439" s="26"/>
      <c r="K5439"/>
    </row>
    <row r="5440" spans="1:11">
      <c r="A5440">
        <v>39</v>
      </c>
      <c r="B5440" s="64">
        <v>40242</v>
      </c>
      <c r="C5440" s="2">
        <v>1266254.21</v>
      </c>
      <c r="D5440">
        <v>0</v>
      </c>
      <c r="E5440" s="65">
        <v>50.93</v>
      </c>
      <c r="F5440" s="8">
        <v>2.625</v>
      </c>
      <c r="G5440" s="66">
        <v>210.1092746</v>
      </c>
      <c r="H5440" s="8">
        <v>8.554</v>
      </c>
      <c r="J5440" s="26"/>
      <c r="K5440"/>
    </row>
    <row r="5441" spans="1:11">
      <c r="A5441">
        <v>39</v>
      </c>
      <c r="B5441" s="64">
        <v>40249</v>
      </c>
      <c r="C5441" s="2">
        <v>1244391.83</v>
      </c>
      <c r="D5441">
        <v>0</v>
      </c>
      <c r="E5441" s="65">
        <v>61.88</v>
      </c>
      <c r="F5441" s="8">
        <v>2.667</v>
      </c>
      <c r="G5441" s="66">
        <v>210.1413607</v>
      </c>
      <c r="H5441" s="8">
        <v>8.554</v>
      </c>
      <c r="J5441" s="26"/>
      <c r="K5441"/>
    </row>
    <row r="5442" spans="1:11">
      <c r="A5442">
        <v>39</v>
      </c>
      <c r="B5442" s="64">
        <v>40256</v>
      </c>
      <c r="C5442" s="2">
        <v>1301590.13</v>
      </c>
      <c r="D5442">
        <v>0</v>
      </c>
      <c r="E5442" s="65">
        <v>58.62</v>
      </c>
      <c r="F5442" s="8">
        <v>2.72</v>
      </c>
      <c r="G5442" s="66">
        <v>209.9803208</v>
      </c>
      <c r="H5442" s="8">
        <v>8.554</v>
      </c>
      <c r="J5442" s="26"/>
      <c r="K5442"/>
    </row>
    <row r="5443" spans="1:11">
      <c r="A5443">
        <v>39</v>
      </c>
      <c r="B5443" s="64">
        <v>40263</v>
      </c>
      <c r="C5443" s="2">
        <v>1235094.66</v>
      </c>
      <c r="D5443">
        <v>0</v>
      </c>
      <c r="E5443" s="65">
        <v>54.83</v>
      </c>
      <c r="F5443" s="8">
        <v>2.732</v>
      </c>
      <c r="G5443" s="66">
        <v>209.7870932</v>
      </c>
      <c r="H5443" s="8">
        <v>8.554</v>
      </c>
      <c r="J5443" s="26"/>
      <c r="K5443"/>
    </row>
    <row r="5444" spans="1:11">
      <c r="A5444">
        <v>39</v>
      </c>
      <c r="B5444" s="64">
        <v>40270</v>
      </c>
      <c r="C5444" s="2">
        <v>1463942.62</v>
      </c>
      <c r="D5444">
        <v>0</v>
      </c>
      <c r="E5444" s="65">
        <v>63.31</v>
      </c>
      <c r="F5444" s="8">
        <v>2.719</v>
      </c>
      <c r="G5444" s="66">
        <v>209.5938656</v>
      </c>
      <c r="H5444" s="8">
        <v>8.464</v>
      </c>
      <c r="J5444" s="26"/>
      <c r="K5444"/>
    </row>
    <row r="5445" spans="1:11">
      <c r="A5445">
        <v>39</v>
      </c>
      <c r="B5445" s="64">
        <v>40277</v>
      </c>
      <c r="C5445" s="2">
        <v>1327035.27</v>
      </c>
      <c r="D5445">
        <v>0</v>
      </c>
      <c r="E5445" s="65">
        <v>68.15</v>
      </c>
      <c r="F5445" s="8">
        <v>2.77</v>
      </c>
      <c r="G5445" s="66">
        <v>209.400638</v>
      </c>
      <c r="H5445" s="8">
        <v>8.464</v>
      </c>
      <c r="J5445" s="26"/>
      <c r="K5445"/>
    </row>
    <row r="5446" spans="1:11">
      <c r="A5446">
        <v>39</v>
      </c>
      <c r="B5446" s="64">
        <v>40284</v>
      </c>
      <c r="C5446" s="2">
        <v>1242874.98</v>
      </c>
      <c r="D5446">
        <v>0</v>
      </c>
      <c r="E5446" s="65">
        <v>66.33</v>
      </c>
      <c r="F5446" s="8">
        <v>2.808</v>
      </c>
      <c r="G5446" s="66">
        <v>209.2691428</v>
      </c>
      <c r="H5446" s="8">
        <v>8.464</v>
      </c>
      <c r="J5446" s="26"/>
      <c r="K5446"/>
    </row>
    <row r="5447" spans="1:11">
      <c r="A5447">
        <v>39</v>
      </c>
      <c r="B5447" s="64">
        <v>40291</v>
      </c>
      <c r="C5447" s="2">
        <v>1280231.85</v>
      </c>
      <c r="D5447">
        <v>0</v>
      </c>
      <c r="E5447" s="65">
        <v>67.64</v>
      </c>
      <c r="F5447" s="8">
        <v>2.795</v>
      </c>
      <c r="G5447" s="66">
        <v>209.2199574</v>
      </c>
      <c r="H5447" s="8">
        <v>8.464</v>
      </c>
      <c r="J5447" s="26"/>
      <c r="K5447"/>
    </row>
    <row r="5448" spans="1:11">
      <c r="A5448">
        <v>39</v>
      </c>
      <c r="B5448" s="64">
        <v>40298</v>
      </c>
      <c r="C5448" s="2">
        <v>1263836.59</v>
      </c>
      <c r="D5448">
        <v>0</v>
      </c>
      <c r="E5448" s="65">
        <v>70.03</v>
      </c>
      <c r="F5448" s="8">
        <v>2.78</v>
      </c>
      <c r="G5448" s="66">
        <v>209.170772</v>
      </c>
      <c r="H5448" s="8">
        <v>8.464</v>
      </c>
      <c r="J5448" s="26"/>
      <c r="K5448"/>
    </row>
    <row r="5449" spans="1:11">
      <c r="A5449">
        <v>39</v>
      </c>
      <c r="B5449" s="64">
        <v>40305</v>
      </c>
      <c r="C5449" s="2">
        <v>1355704.21</v>
      </c>
      <c r="D5449">
        <v>0</v>
      </c>
      <c r="E5449" s="65">
        <v>74.86</v>
      </c>
      <c r="F5449" s="8">
        <v>2.835</v>
      </c>
      <c r="G5449" s="66">
        <v>209.1215867</v>
      </c>
      <c r="H5449" s="8">
        <v>8.464</v>
      </c>
      <c r="J5449" s="26"/>
      <c r="K5449"/>
    </row>
    <row r="5450" spans="1:11">
      <c r="A5450">
        <v>39</v>
      </c>
      <c r="B5450" s="64">
        <v>40312</v>
      </c>
      <c r="C5450" s="2">
        <v>1226997.7</v>
      </c>
      <c r="D5450">
        <v>0</v>
      </c>
      <c r="E5450" s="65">
        <v>77.49</v>
      </c>
      <c r="F5450" s="8">
        <v>2.854</v>
      </c>
      <c r="G5450" s="66">
        <v>209.118536</v>
      </c>
      <c r="H5450" s="8">
        <v>8.464</v>
      </c>
      <c r="J5450" s="26"/>
      <c r="K5450"/>
    </row>
    <row r="5451" spans="1:11">
      <c r="A5451">
        <v>39</v>
      </c>
      <c r="B5451" s="64">
        <v>40319</v>
      </c>
      <c r="C5451" s="2">
        <v>1350673.98</v>
      </c>
      <c r="D5451">
        <v>0</v>
      </c>
      <c r="E5451" s="65">
        <v>76.67</v>
      </c>
      <c r="F5451" s="8">
        <v>2.826</v>
      </c>
      <c r="G5451" s="66">
        <v>209.3922937</v>
      </c>
      <c r="H5451" s="8">
        <v>8.464</v>
      </c>
      <c r="J5451" s="26"/>
      <c r="K5451"/>
    </row>
    <row r="5452" spans="1:11">
      <c r="A5452">
        <v>39</v>
      </c>
      <c r="B5452" s="64">
        <v>40326</v>
      </c>
      <c r="C5452" s="2">
        <v>1365541.59</v>
      </c>
      <c r="D5452">
        <v>0</v>
      </c>
      <c r="E5452" s="65">
        <v>80.22</v>
      </c>
      <c r="F5452" s="8">
        <v>2.759</v>
      </c>
      <c r="G5452" s="66">
        <v>209.6660514</v>
      </c>
      <c r="H5452" s="8">
        <v>8.464</v>
      </c>
      <c r="J5452" s="26"/>
      <c r="K5452"/>
    </row>
    <row r="5453" spans="1:11">
      <c r="A5453">
        <v>39</v>
      </c>
      <c r="B5453" s="64">
        <v>40333</v>
      </c>
      <c r="C5453" s="2">
        <v>1512207.95</v>
      </c>
      <c r="D5453">
        <v>0</v>
      </c>
      <c r="E5453" s="65">
        <v>79.83</v>
      </c>
      <c r="F5453" s="8">
        <v>2.705</v>
      </c>
      <c r="G5453" s="66">
        <v>209.9398091</v>
      </c>
      <c r="H5453" s="8">
        <v>8.464</v>
      </c>
      <c r="J5453" s="26"/>
      <c r="K5453"/>
    </row>
    <row r="5454" spans="1:11">
      <c r="A5454">
        <v>39</v>
      </c>
      <c r="B5454" s="64">
        <v>40340</v>
      </c>
      <c r="C5454" s="2">
        <v>1371405.33</v>
      </c>
      <c r="D5454">
        <v>0</v>
      </c>
      <c r="E5454" s="65">
        <v>81.78</v>
      </c>
      <c r="F5454" s="8">
        <v>2.668</v>
      </c>
      <c r="G5454" s="66">
        <v>210.2135668</v>
      </c>
      <c r="H5454" s="8">
        <v>8.464</v>
      </c>
      <c r="J5454" s="26"/>
      <c r="K5454"/>
    </row>
    <row r="5455" spans="1:11">
      <c r="A5455">
        <v>39</v>
      </c>
      <c r="B5455" s="64">
        <v>40347</v>
      </c>
      <c r="C5455" s="2">
        <v>1368312.45</v>
      </c>
      <c r="D5455">
        <v>0</v>
      </c>
      <c r="E5455" s="65">
        <v>83.96</v>
      </c>
      <c r="F5455" s="8">
        <v>2.637</v>
      </c>
      <c r="G5455" s="66">
        <v>210.2108417</v>
      </c>
      <c r="H5455" s="8">
        <v>8.464</v>
      </c>
      <c r="J5455" s="26"/>
      <c r="K5455"/>
    </row>
    <row r="5456" spans="1:11">
      <c r="A5456">
        <v>39</v>
      </c>
      <c r="B5456" s="64">
        <v>40354</v>
      </c>
      <c r="C5456" s="2">
        <v>1280414.8</v>
      </c>
      <c r="D5456">
        <v>0</v>
      </c>
      <c r="E5456" s="65">
        <v>83.24</v>
      </c>
      <c r="F5456" s="8">
        <v>2.653</v>
      </c>
      <c r="G5456" s="66">
        <v>210.0975233</v>
      </c>
      <c r="H5456" s="8">
        <v>8.464</v>
      </c>
      <c r="J5456" s="26"/>
      <c r="K5456"/>
    </row>
    <row r="5457" spans="1:11">
      <c r="A5457">
        <v>39</v>
      </c>
      <c r="B5457" s="64">
        <v>40361</v>
      </c>
      <c r="C5457" s="2">
        <v>1352547.7</v>
      </c>
      <c r="D5457">
        <v>0</v>
      </c>
      <c r="E5457" s="65">
        <v>81.35</v>
      </c>
      <c r="F5457" s="8">
        <v>2.669</v>
      </c>
      <c r="G5457" s="66">
        <v>209.984205</v>
      </c>
      <c r="H5457" s="8">
        <v>8.36</v>
      </c>
      <c r="J5457" s="26"/>
      <c r="K5457"/>
    </row>
    <row r="5458" spans="1:11">
      <c r="A5458">
        <v>39</v>
      </c>
      <c r="B5458" s="64">
        <v>40368</v>
      </c>
      <c r="C5458" s="2">
        <v>1330473.47</v>
      </c>
      <c r="D5458">
        <v>0</v>
      </c>
      <c r="E5458" s="65">
        <v>81.1</v>
      </c>
      <c r="F5458" s="8">
        <v>2.642</v>
      </c>
      <c r="G5458" s="66">
        <v>209.8708867</v>
      </c>
      <c r="H5458" s="8">
        <v>8.36</v>
      </c>
      <c r="J5458" s="26"/>
      <c r="K5458"/>
    </row>
    <row r="5459" spans="1:11">
      <c r="A5459">
        <v>39</v>
      </c>
      <c r="B5459" s="64">
        <v>40375</v>
      </c>
      <c r="C5459" s="2">
        <v>1339811.68</v>
      </c>
      <c r="D5459">
        <v>0</v>
      </c>
      <c r="E5459" s="65">
        <v>83.86</v>
      </c>
      <c r="F5459" s="8">
        <v>2.623</v>
      </c>
      <c r="G5459" s="66">
        <v>209.8630532</v>
      </c>
      <c r="H5459" s="8">
        <v>8.36</v>
      </c>
      <c r="J5459" s="26"/>
      <c r="K5459"/>
    </row>
    <row r="5460" spans="1:11">
      <c r="A5460">
        <v>39</v>
      </c>
      <c r="B5460" s="64">
        <v>40382</v>
      </c>
      <c r="C5460" s="2">
        <v>1314651.83</v>
      </c>
      <c r="D5460">
        <v>0</v>
      </c>
      <c r="E5460" s="65">
        <v>82.2</v>
      </c>
      <c r="F5460" s="8">
        <v>2.608</v>
      </c>
      <c r="G5460" s="66">
        <v>209.9958663</v>
      </c>
      <c r="H5460" s="8">
        <v>8.36</v>
      </c>
      <c r="J5460" s="26"/>
      <c r="K5460"/>
    </row>
    <row r="5461" spans="1:11">
      <c r="A5461">
        <v>39</v>
      </c>
      <c r="B5461" s="64">
        <v>40389</v>
      </c>
      <c r="C5461" s="2">
        <v>1308222.24</v>
      </c>
      <c r="D5461">
        <v>0</v>
      </c>
      <c r="E5461" s="65">
        <v>80.99</v>
      </c>
      <c r="F5461" s="8">
        <v>2.64</v>
      </c>
      <c r="G5461" s="66">
        <v>210.1286794</v>
      </c>
      <c r="H5461" s="8">
        <v>8.36</v>
      </c>
      <c r="J5461" s="26"/>
      <c r="K5461"/>
    </row>
    <row r="5462" spans="1:11">
      <c r="A5462">
        <v>39</v>
      </c>
      <c r="B5462" s="64">
        <v>40396</v>
      </c>
      <c r="C5462" s="2">
        <v>1409989.67</v>
      </c>
      <c r="D5462">
        <v>0</v>
      </c>
      <c r="E5462" s="65">
        <v>84.92</v>
      </c>
      <c r="F5462" s="8">
        <v>2.627</v>
      </c>
      <c r="G5462" s="66">
        <v>210.2614925</v>
      </c>
      <c r="H5462" s="8">
        <v>8.36</v>
      </c>
      <c r="J5462" s="26"/>
      <c r="K5462"/>
    </row>
    <row r="5463" spans="1:11">
      <c r="A5463">
        <v>39</v>
      </c>
      <c r="B5463" s="64">
        <v>40403</v>
      </c>
      <c r="C5463" s="2">
        <v>1371465.66</v>
      </c>
      <c r="D5463">
        <v>0</v>
      </c>
      <c r="E5463" s="65">
        <v>85.66</v>
      </c>
      <c r="F5463" s="8">
        <v>2.692</v>
      </c>
      <c r="G5463" s="66">
        <v>210.3943056</v>
      </c>
      <c r="H5463" s="8">
        <v>8.36</v>
      </c>
      <c r="J5463" s="26"/>
      <c r="K5463"/>
    </row>
    <row r="5464" spans="1:11">
      <c r="A5464">
        <v>39</v>
      </c>
      <c r="B5464" s="64">
        <v>40410</v>
      </c>
      <c r="C5464" s="2">
        <v>1471816.52</v>
      </c>
      <c r="D5464">
        <v>0</v>
      </c>
      <c r="E5464" s="65">
        <v>85.73</v>
      </c>
      <c r="F5464" s="8">
        <v>2.664</v>
      </c>
      <c r="G5464" s="66">
        <v>210.3617581</v>
      </c>
      <c r="H5464" s="8">
        <v>8.36</v>
      </c>
      <c r="J5464" s="26"/>
      <c r="K5464"/>
    </row>
    <row r="5465" spans="1:11">
      <c r="A5465">
        <v>39</v>
      </c>
      <c r="B5465" s="64">
        <v>40417</v>
      </c>
      <c r="C5465" s="2">
        <v>1417515.93</v>
      </c>
      <c r="D5465">
        <v>0</v>
      </c>
      <c r="E5465" s="65">
        <v>84.31</v>
      </c>
      <c r="F5465" s="8">
        <v>2.619</v>
      </c>
      <c r="G5465" s="66">
        <v>210.3292106</v>
      </c>
      <c r="H5465" s="8">
        <v>8.36</v>
      </c>
      <c r="J5465" s="26"/>
      <c r="K5465"/>
    </row>
    <row r="5466" spans="1:11">
      <c r="A5466">
        <v>39</v>
      </c>
      <c r="B5466" s="64">
        <v>40424</v>
      </c>
      <c r="C5466" s="2">
        <v>1345167.61</v>
      </c>
      <c r="D5466">
        <v>0</v>
      </c>
      <c r="E5466" s="65">
        <v>82.13</v>
      </c>
      <c r="F5466" s="8">
        <v>2.577</v>
      </c>
      <c r="G5466" s="66">
        <v>210.2966631</v>
      </c>
      <c r="H5466" s="8">
        <v>8.36</v>
      </c>
      <c r="J5466" s="26"/>
      <c r="K5466"/>
    </row>
    <row r="5467" spans="1:11">
      <c r="A5467">
        <v>39</v>
      </c>
      <c r="B5467" s="64">
        <v>40431</v>
      </c>
      <c r="C5467" s="2">
        <v>1279666.47</v>
      </c>
      <c r="D5467">
        <v>1</v>
      </c>
      <c r="E5467" s="65">
        <v>79.94</v>
      </c>
      <c r="F5467" s="8">
        <v>2.565</v>
      </c>
      <c r="G5467" s="66">
        <v>210.2641156</v>
      </c>
      <c r="H5467" s="8">
        <v>8.36</v>
      </c>
      <c r="J5467" s="26"/>
      <c r="K5467"/>
    </row>
    <row r="5468" spans="1:11">
      <c r="A5468">
        <v>39</v>
      </c>
      <c r="B5468" s="64">
        <v>40438</v>
      </c>
      <c r="C5468" s="2">
        <v>1252915.43</v>
      </c>
      <c r="D5468">
        <v>0</v>
      </c>
      <c r="E5468" s="65">
        <v>81.83</v>
      </c>
      <c r="F5468" s="8">
        <v>2.582</v>
      </c>
      <c r="G5468" s="66">
        <v>210.2924504</v>
      </c>
      <c r="H5468" s="8">
        <v>8.36</v>
      </c>
      <c r="J5468" s="26"/>
      <c r="K5468"/>
    </row>
    <row r="5469" spans="1:11">
      <c r="A5469">
        <v>39</v>
      </c>
      <c r="B5469" s="64">
        <v>40445</v>
      </c>
      <c r="C5469" s="2">
        <v>1199449.54</v>
      </c>
      <c r="D5469">
        <v>0</v>
      </c>
      <c r="E5469" s="65">
        <v>78.5</v>
      </c>
      <c r="F5469" s="8">
        <v>2.624</v>
      </c>
      <c r="G5469" s="66">
        <v>210.3664469</v>
      </c>
      <c r="H5469" s="8">
        <v>8.36</v>
      </c>
      <c r="J5469" s="26"/>
      <c r="K5469"/>
    </row>
    <row r="5470" spans="1:11">
      <c r="A5470">
        <v>39</v>
      </c>
      <c r="B5470" s="64">
        <v>40452</v>
      </c>
      <c r="C5470" s="2">
        <v>1219583.91</v>
      </c>
      <c r="D5470">
        <v>0</v>
      </c>
      <c r="E5470" s="65">
        <v>72.74</v>
      </c>
      <c r="F5470" s="8">
        <v>2.603</v>
      </c>
      <c r="G5470" s="66">
        <v>210.4404433</v>
      </c>
      <c r="H5470" s="8">
        <v>8.476</v>
      </c>
      <c r="J5470" s="26"/>
      <c r="K5470"/>
    </row>
    <row r="5471" spans="1:11">
      <c r="A5471">
        <v>39</v>
      </c>
      <c r="B5471" s="64">
        <v>40459</v>
      </c>
      <c r="C5471" s="2">
        <v>1286598.59</v>
      </c>
      <c r="D5471">
        <v>0</v>
      </c>
      <c r="E5471" s="65">
        <v>64.8</v>
      </c>
      <c r="F5471" s="8">
        <v>2.633</v>
      </c>
      <c r="G5471" s="66">
        <v>210.5144398</v>
      </c>
      <c r="H5471" s="8">
        <v>8.476</v>
      </c>
      <c r="J5471" s="26"/>
      <c r="K5471"/>
    </row>
    <row r="5472" spans="1:11">
      <c r="A5472">
        <v>39</v>
      </c>
      <c r="B5472" s="64">
        <v>40466</v>
      </c>
      <c r="C5472" s="2">
        <v>1238742</v>
      </c>
      <c r="D5472">
        <v>0</v>
      </c>
      <c r="E5472" s="65">
        <v>69.96</v>
      </c>
      <c r="F5472" s="8">
        <v>2.72</v>
      </c>
      <c r="G5472" s="66">
        <v>210.5805944</v>
      </c>
      <c r="H5472" s="8">
        <v>8.476</v>
      </c>
      <c r="J5472" s="26"/>
      <c r="K5472"/>
    </row>
    <row r="5473" spans="1:11">
      <c r="A5473">
        <v>39</v>
      </c>
      <c r="B5473" s="64">
        <v>40473</v>
      </c>
      <c r="C5473" s="2">
        <v>1261109.01</v>
      </c>
      <c r="D5473">
        <v>0</v>
      </c>
      <c r="E5473" s="65">
        <v>71.73</v>
      </c>
      <c r="F5473" s="8">
        <v>2.725</v>
      </c>
      <c r="G5473" s="66">
        <v>210.6271444</v>
      </c>
      <c r="H5473" s="8">
        <v>8.476</v>
      </c>
      <c r="J5473" s="26"/>
      <c r="K5473"/>
    </row>
    <row r="5474" spans="1:11">
      <c r="A5474">
        <v>39</v>
      </c>
      <c r="B5474" s="64">
        <v>40480</v>
      </c>
      <c r="C5474" s="2">
        <v>1294769.08</v>
      </c>
      <c r="D5474">
        <v>0</v>
      </c>
      <c r="E5474" s="65">
        <v>75.14</v>
      </c>
      <c r="F5474" s="8">
        <v>2.716</v>
      </c>
      <c r="G5474" s="66">
        <v>210.6736944</v>
      </c>
      <c r="H5474" s="8">
        <v>8.476</v>
      </c>
      <c r="J5474" s="26"/>
      <c r="K5474"/>
    </row>
    <row r="5475" spans="1:11">
      <c r="A5475">
        <v>39</v>
      </c>
      <c r="B5475" s="64">
        <v>40487</v>
      </c>
      <c r="C5475" s="2">
        <v>1293707.19</v>
      </c>
      <c r="D5475">
        <v>0</v>
      </c>
      <c r="E5475" s="65">
        <v>61.62</v>
      </c>
      <c r="F5475" s="8">
        <v>2.689</v>
      </c>
      <c r="G5475" s="66">
        <v>210.7202444</v>
      </c>
      <c r="H5475" s="8">
        <v>8.476</v>
      </c>
      <c r="J5475" s="26"/>
      <c r="K5475"/>
    </row>
    <row r="5476" spans="1:11">
      <c r="A5476">
        <v>39</v>
      </c>
      <c r="B5476" s="64">
        <v>40494</v>
      </c>
      <c r="C5476" s="2">
        <v>1291398.71</v>
      </c>
      <c r="D5476">
        <v>0</v>
      </c>
      <c r="E5476" s="65">
        <v>62.21</v>
      </c>
      <c r="F5476" s="8">
        <v>2.728</v>
      </c>
      <c r="G5476" s="66">
        <v>210.7667944</v>
      </c>
      <c r="H5476" s="8">
        <v>8.476</v>
      </c>
      <c r="J5476" s="26"/>
      <c r="K5476"/>
    </row>
    <row r="5477" spans="1:11">
      <c r="A5477">
        <v>39</v>
      </c>
      <c r="B5477" s="64">
        <v>40501</v>
      </c>
      <c r="C5477" s="2">
        <v>1370659.54</v>
      </c>
      <c r="D5477">
        <v>0</v>
      </c>
      <c r="E5477" s="65">
        <v>55.5</v>
      </c>
      <c r="F5477" s="8">
        <v>2.771</v>
      </c>
      <c r="G5477" s="66">
        <v>210.65429</v>
      </c>
      <c r="H5477" s="8">
        <v>8.476</v>
      </c>
      <c r="J5477" s="26"/>
      <c r="K5477"/>
    </row>
    <row r="5478" spans="1:11">
      <c r="A5478">
        <v>39</v>
      </c>
      <c r="B5478" s="64">
        <v>40508</v>
      </c>
      <c r="C5478" s="2">
        <v>2149355.2</v>
      </c>
      <c r="D5478">
        <v>1</v>
      </c>
      <c r="E5478" s="65">
        <v>67.75</v>
      </c>
      <c r="F5478" s="8">
        <v>2.735</v>
      </c>
      <c r="G5478" s="66">
        <v>210.5152765</v>
      </c>
      <c r="H5478" s="8">
        <v>8.476</v>
      </c>
      <c r="J5478" s="26"/>
      <c r="K5478"/>
    </row>
    <row r="5479" spans="1:11">
      <c r="A5479">
        <v>39</v>
      </c>
      <c r="B5479" s="64">
        <v>40515</v>
      </c>
      <c r="C5479" s="2">
        <v>1431910.98</v>
      </c>
      <c r="D5479">
        <v>0</v>
      </c>
      <c r="E5479" s="65">
        <v>53.55</v>
      </c>
      <c r="F5479" s="8">
        <v>2.708</v>
      </c>
      <c r="G5479" s="66">
        <v>210.376263</v>
      </c>
      <c r="H5479" s="8">
        <v>8.476</v>
      </c>
      <c r="J5479" s="26"/>
      <c r="K5479"/>
    </row>
    <row r="5480" spans="1:11">
      <c r="A5480">
        <v>39</v>
      </c>
      <c r="B5480" s="64">
        <v>40522</v>
      </c>
      <c r="C5480" s="2">
        <v>1630564.48</v>
      </c>
      <c r="D5480">
        <v>0</v>
      </c>
      <c r="E5480" s="65">
        <v>50.81</v>
      </c>
      <c r="F5480" s="8">
        <v>2.843</v>
      </c>
      <c r="G5480" s="66">
        <v>210.2372494</v>
      </c>
      <c r="H5480" s="8">
        <v>8.476</v>
      </c>
      <c r="J5480" s="26"/>
      <c r="K5480"/>
    </row>
    <row r="5481" spans="1:11">
      <c r="A5481">
        <v>39</v>
      </c>
      <c r="B5481" s="64">
        <v>40529</v>
      </c>
      <c r="C5481" s="2">
        <v>1842172.46</v>
      </c>
      <c r="D5481">
        <v>0</v>
      </c>
      <c r="E5481" s="65">
        <v>55.31</v>
      </c>
      <c r="F5481" s="8">
        <v>2.869</v>
      </c>
      <c r="G5481" s="66">
        <v>210.1787224</v>
      </c>
      <c r="H5481" s="8">
        <v>8.476</v>
      </c>
      <c r="J5481" s="26"/>
      <c r="K5481"/>
    </row>
    <row r="5482" spans="1:11">
      <c r="A5482">
        <v>39</v>
      </c>
      <c r="B5482" s="64">
        <v>40536</v>
      </c>
      <c r="C5482" s="2">
        <v>2495489.25</v>
      </c>
      <c r="D5482">
        <v>0</v>
      </c>
      <c r="E5482" s="65">
        <v>58.86</v>
      </c>
      <c r="F5482" s="8">
        <v>2.886</v>
      </c>
      <c r="G5482" s="66">
        <v>210.1805602</v>
      </c>
      <c r="H5482" s="8">
        <v>8.476</v>
      </c>
      <c r="J5482" s="26"/>
      <c r="K5482"/>
    </row>
    <row r="5483" spans="1:11">
      <c r="A5483">
        <v>39</v>
      </c>
      <c r="B5483" s="64">
        <v>40543</v>
      </c>
      <c r="C5483" s="2">
        <v>1230012.16</v>
      </c>
      <c r="D5483">
        <v>1</v>
      </c>
      <c r="E5483" s="65">
        <v>52.45</v>
      </c>
      <c r="F5483" s="8">
        <v>2.943</v>
      </c>
      <c r="G5483" s="66">
        <v>210.182398</v>
      </c>
      <c r="H5483" s="8">
        <v>8.476</v>
      </c>
      <c r="J5483" s="26"/>
      <c r="K5483"/>
    </row>
    <row r="5484" spans="1:11">
      <c r="A5484">
        <v>39</v>
      </c>
      <c r="B5484" s="64">
        <v>40550</v>
      </c>
      <c r="C5484" s="2">
        <v>1224475.12</v>
      </c>
      <c r="D5484">
        <v>0</v>
      </c>
      <c r="E5484" s="65">
        <v>52.74</v>
      </c>
      <c r="F5484" s="8">
        <v>2.976</v>
      </c>
      <c r="G5484" s="66">
        <v>210.1842358</v>
      </c>
      <c r="H5484" s="8">
        <v>8.395</v>
      </c>
      <c r="J5484" s="26"/>
      <c r="K5484"/>
    </row>
    <row r="5485" spans="1:11">
      <c r="A5485">
        <v>39</v>
      </c>
      <c r="B5485" s="64">
        <v>40557</v>
      </c>
      <c r="C5485" s="2">
        <v>1193199.39</v>
      </c>
      <c r="D5485">
        <v>0</v>
      </c>
      <c r="E5485" s="65">
        <v>41.74</v>
      </c>
      <c r="F5485" s="8">
        <v>2.983</v>
      </c>
      <c r="G5485" s="66">
        <v>210.2379731</v>
      </c>
      <c r="H5485" s="8">
        <v>8.395</v>
      </c>
      <c r="J5485" s="26"/>
      <c r="K5485"/>
    </row>
    <row r="5486" spans="1:11">
      <c r="A5486">
        <v>39</v>
      </c>
      <c r="B5486" s="64">
        <v>40564</v>
      </c>
      <c r="C5486" s="2">
        <v>1243370.74</v>
      </c>
      <c r="D5486">
        <v>0</v>
      </c>
      <c r="E5486" s="65">
        <v>50.25</v>
      </c>
      <c r="F5486" s="8">
        <v>3.016</v>
      </c>
      <c r="G5486" s="66">
        <v>210.6031072</v>
      </c>
      <c r="H5486" s="8">
        <v>8.395</v>
      </c>
      <c r="J5486" s="26"/>
      <c r="K5486"/>
    </row>
    <row r="5487" spans="1:11">
      <c r="A5487">
        <v>39</v>
      </c>
      <c r="B5487" s="64">
        <v>40571</v>
      </c>
      <c r="C5487" s="2">
        <v>1158698.44</v>
      </c>
      <c r="D5487">
        <v>0</v>
      </c>
      <c r="E5487" s="65">
        <v>47.94</v>
      </c>
      <c r="F5487" s="8">
        <v>3.01</v>
      </c>
      <c r="G5487" s="66">
        <v>210.9682412</v>
      </c>
      <c r="H5487" s="8">
        <v>8.395</v>
      </c>
      <c r="J5487" s="26"/>
      <c r="K5487"/>
    </row>
    <row r="5488" spans="1:11">
      <c r="A5488">
        <v>39</v>
      </c>
      <c r="B5488" s="64">
        <v>40578</v>
      </c>
      <c r="C5488" s="2">
        <v>1343773.94</v>
      </c>
      <c r="D5488">
        <v>0</v>
      </c>
      <c r="E5488" s="65">
        <v>45.96</v>
      </c>
      <c r="F5488" s="8">
        <v>2.989</v>
      </c>
      <c r="G5488" s="66">
        <v>211.3333753</v>
      </c>
      <c r="H5488" s="8">
        <v>8.395</v>
      </c>
      <c r="J5488" s="26"/>
      <c r="K5488"/>
    </row>
    <row r="5489" spans="1:11">
      <c r="A5489">
        <v>39</v>
      </c>
      <c r="B5489" s="64">
        <v>40585</v>
      </c>
      <c r="C5489" s="2">
        <v>1227893.89</v>
      </c>
      <c r="D5489">
        <v>1</v>
      </c>
      <c r="E5489" s="65">
        <v>40.34</v>
      </c>
      <c r="F5489" s="8">
        <v>3.022</v>
      </c>
      <c r="G5489" s="66">
        <v>211.6985093</v>
      </c>
      <c r="H5489" s="8">
        <v>8.395</v>
      </c>
      <c r="J5489" s="26"/>
      <c r="K5489"/>
    </row>
    <row r="5490" spans="1:11">
      <c r="A5490">
        <v>39</v>
      </c>
      <c r="B5490" s="64">
        <v>40592</v>
      </c>
      <c r="C5490" s="2">
        <v>1335233.74</v>
      </c>
      <c r="D5490">
        <v>0</v>
      </c>
      <c r="E5490" s="65">
        <v>58.2</v>
      </c>
      <c r="F5490" s="8">
        <v>3.045</v>
      </c>
      <c r="G5490" s="66">
        <v>212.0063522</v>
      </c>
      <c r="H5490" s="8">
        <v>8.395</v>
      </c>
      <c r="J5490" s="26"/>
      <c r="K5490"/>
    </row>
    <row r="5491" spans="1:11">
      <c r="A5491">
        <v>39</v>
      </c>
      <c r="B5491" s="64">
        <v>40599</v>
      </c>
      <c r="C5491" s="2">
        <v>1240921.19</v>
      </c>
      <c r="D5491">
        <v>0</v>
      </c>
      <c r="E5491" s="65">
        <v>67.77</v>
      </c>
      <c r="F5491" s="8">
        <v>3.065</v>
      </c>
      <c r="G5491" s="66">
        <v>212.2912786</v>
      </c>
      <c r="H5491" s="8">
        <v>8.395</v>
      </c>
      <c r="J5491" s="26"/>
      <c r="K5491"/>
    </row>
    <row r="5492" spans="1:11">
      <c r="A5492">
        <v>39</v>
      </c>
      <c r="B5492" s="64">
        <v>40606</v>
      </c>
      <c r="C5492" s="2">
        <v>1316385.43</v>
      </c>
      <c r="D5492">
        <v>0</v>
      </c>
      <c r="E5492" s="65">
        <v>63.56</v>
      </c>
      <c r="F5492" s="8">
        <v>3.288</v>
      </c>
      <c r="G5492" s="66">
        <v>212.576205</v>
      </c>
      <c r="H5492" s="8">
        <v>8.395</v>
      </c>
      <c r="J5492" s="26"/>
      <c r="K5492"/>
    </row>
    <row r="5493" spans="1:11">
      <c r="A5493">
        <v>39</v>
      </c>
      <c r="B5493" s="64">
        <v>40613</v>
      </c>
      <c r="C5493" s="2">
        <v>1283716.81</v>
      </c>
      <c r="D5493">
        <v>0</v>
      </c>
      <c r="E5493" s="65">
        <v>58.35</v>
      </c>
      <c r="F5493" s="8">
        <v>3.459</v>
      </c>
      <c r="G5493" s="66">
        <v>212.8611313</v>
      </c>
      <c r="H5493" s="8">
        <v>8.395</v>
      </c>
      <c r="J5493" s="26"/>
      <c r="K5493"/>
    </row>
    <row r="5494" spans="1:11">
      <c r="A5494">
        <v>39</v>
      </c>
      <c r="B5494" s="64">
        <v>40620</v>
      </c>
      <c r="C5494" s="2">
        <v>1348410.05</v>
      </c>
      <c r="D5494">
        <v>0</v>
      </c>
      <c r="E5494" s="65">
        <v>65.28</v>
      </c>
      <c r="F5494" s="8">
        <v>3.488</v>
      </c>
      <c r="G5494" s="66">
        <v>213.1096787</v>
      </c>
      <c r="H5494" s="8">
        <v>8.395</v>
      </c>
      <c r="J5494" s="26"/>
      <c r="K5494"/>
    </row>
    <row r="5495" spans="1:11">
      <c r="A5495">
        <v>39</v>
      </c>
      <c r="B5495" s="64">
        <v>40627</v>
      </c>
      <c r="C5495" s="2">
        <v>1284334.79</v>
      </c>
      <c r="D5495">
        <v>0</v>
      </c>
      <c r="E5495" s="65">
        <v>71.17</v>
      </c>
      <c r="F5495" s="8">
        <v>3.473</v>
      </c>
      <c r="G5495" s="66">
        <v>213.3436744</v>
      </c>
      <c r="H5495" s="8">
        <v>8.395</v>
      </c>
      <c r="J5495" s="26"/>
      <c r="K5495"/>
    </row>
    <row r="5496" spans="1:11">
      <c r="A5496">
        <v>39</v>
      </c>
      <c r="B5496" s="64">
        <v>40634</v>
      </c>
      <c r="C5496" s="2">
        <v>1316849.36</v>
      </c>
      <c r="D5496">
        <v>0</v>
      </c>
      <c r="E5496" s="65">
        <v>66.57</v>
      </c>
      <c r="F5496" s="8">
        <v>3.524</v>
      </c>
      <c r="G5496" s="66">
        <v>213.5776701</v>
      </c>
      <c r="H5496" s="8">
        <v>8.3</v>
      </c>
      <c r="J5496" s="26"/>
      <c r="K5496"/>
    </row>
    <row r="5497" spans="1:11">
      <c r="A5497">
        <v>39</v>
      </c>
      <c r="B5497" s="64">
        <v>40641</v>
      </c>
      <c r="C5497" s="2">
        <v>1350646.16</v>
      </c>
      <c r="D5497">
        <v>0</v>
      </c>
      <c r="E5497" s="65">
        <v>69.45</v>
      </c>
      <c r="F5497" s="8">
        <v>3.622</v>
      </c>
      <c r="G5497" s="66">
        <v>213.8116658</v>
      </c>
      <c r="H5497" s="8">
        <v>8.3</v>
      </c>
      <c r="J5497" s="26"/>
      <c r="K5497"/>
    </row>
    <row r="5498" spans="1:11">
      <c r="A5498">
        <v>39</v>
      </c>
      <c r="B5498" s="64">
        <v>40648</v>
      </c>
      <c r="C5498" s="2">
        <v>1348031.55</v>
      </c>
      <c r="D5498">
        <v>0</v>
      </c>
      <c r="E5498" s="65">
        <v>73.19</v>
      </c>
      <c r="F5498" s="8">
        <v>3.743</v>
      </c>
      <c r="G5498" s="66">
        <v>214.026217</v>
      </c>
      <c r="H5498" s="8">
        <v>8.3</v>
      </c>
      <c r="J5498" s="26"/>
      <c r="K5498"/>
    </row>
    <row r="5499" spans="1:11">
      <c r="A5499">
        <v>39</v>
      </c>
      <c r="B5499" s="64">
        <v>40655</v>
      </c>
      <c r="C5499" s="2">
        <v>1563140.85</v>
      </c>
      <c r="D5499">
        <v>0</v>
      </c>
      <c r="E5499" s="65">
        <v>74.98</v>
      </c>
      <c r="F5499" s="8">
        <v>3.807</v>
      </c>
      <c r="G5499" s="66">
        <v>214.1921572</v>
      </c>
      <c r="H5499" s="8">
        <v>8.3</v>
      </c>
      <c r="J5499" s="26"/>
      <c r="K5499"/>
    </row>
    <row r="5500" spans="1:11">
      <c r="A5500">
        <v>39</v>
      </c>
      <c r="B5500" s="64">
        <v>40662</v>
      </c>
      <c r="C5500" s="2">
        <v>1379651.87</v>
      </c>
      <c r="D5500">
        <v>0</v>
      </c>
      <c r="E5500" s="65">
        <v>76.47</v>
      </c>
      <c r="F5500" s="8">
        <v>3.81</v>
      </c>
      <c r="G5500" s="66">
        <v>214.3580974</v>
      </c>
      <c r="H5500" s="8">
        <v>8.3</v>
      </c>
      <c r="J5500" s="26"/>
      <c r="K5500"/>
    </row>
    <row r="5501" spans="1:11">
      <c r="A5501">
        <v>39</v>
      </c>
      <c r="B5501" s="64">
        <v>40669</v>
      </c>
      <c r="C5501" s="2">
        <v>1370920.87</v>
      </c>
      <c r="D5501">
        <v>0</v>
      </c>
      <c r="E5501" s="65">
        <v>68.75</v>
      </c>
      <c r="F5501" s="8">
        <v>3.906</v>
      </c>
      <c r="G5501" s="66">
        <v>214.5240376</v>
      </c>
      <c r="H5501" s="8">
        <v>8.3</v>
      </c>
      <c r="J5501" s="26"/>
      <c r="K5501"/>
    </row>
    <row r="5502" spans="1:11">
      <c r="A5502">
        <v>39</v>
      </c>
      <c r="B5502" s="64">
        <v>40676</v>
      </c>
      <c r="C5502" s="2">
        <v>1325022.77</v>
      </c>
      <c r="D5502">
        <v>0</v>
      </c>
      <c r="E5502" s="65">
        <v>77.39</v>
      </c>
      <c r="F5502" s="8">
        <v>3.899</v>
      </c>
      <c r="G5502" s="66">
        <v>214.6899778</v>
      </c>
      <c r="H5502" s="8">
        <v>8.3</v>
      </c>
      <c r="J5502" s="26"/>
      <c r="K5502"/>
    </row>
    <row r="5503" spans="1:11">
      <c r="A5503">
        <v>39</v>
      </c>
      <c r="B5503" s="64">
        <v>40683</v>
      </c>
      <c r="C5503" s="2">
        <v>1373907.21</v>
      </c>
      <c r="D5503">
        <v>0</v>
      </c>
      <c r="E5503" s="65">
        <v>73.31</v>
      </c>
      <c r="F5503" s="8">
        <v>3.907</v>
      </c>
      <c r="G5503" s="66">
        <v>214.465412</v>
      </c>
      <c r="H5503" s="8">
        <v>8.3</v>
      </c>
      <c r="J5503" s="26"/>
      <c r="K5503"/>
    </row>
    <row r="5504" spans="1:11">
      <c r="A5504">
        <v>39</v>
      </c>
      <c r="B5504" s="64">
        <v>40690</v>
      </c>
      <c r="C5504" s="2">
        <v>1406124.14</v>
      </c>
      <c r="D5504">
        <v>0</v>
      </c>
      <c r="E5504" s="65">
        <v>82.1</v>
      </c>
      <c r="F5504" s="8">
        <v>3.786</v>
      </c>
      <c r="G5504" s="66">
        <v>214.2408462</v>
      </c>
      <c r="H5504" s="8">
        <v>8.3</v>
      </c>
      <c r="J5504" s="26"/>
      <c r="K5504"/>
    </row>
    <row r="5505" spans="1:11">
      <c r="A5505">
        <v>39</v>
      </c>
      <c r="B5505" s="64">
        <v>40697</v>
      </c>
      <c r="C5505" s="2">
        <v>1541745.59</v>
      </c>
      <c r="D5505">
        <v>0</v>
      </c>
      <c r="E5505" s="65">
        <v>83.59</v>
      </c>
      <c r="F5505" s="8">
        <v>3.699</v>
      </c>
      <c r="G5505" s="66">
        <v>214.0162805</v>
      </c>
      <c r="H5505" s="8">
        <v>8.3</v>
      </c>
      <c r="J5505" s="26"/>
      <c r="K5505"/>
    </row>
    <row r="5506" spans="1:11">
      <c r="A5506">
        <v>39</v>
      </c>
      <c r="B5506" s="64">
        <v>40704</v>
      </c>
      <c r="C5506" s="2">
        <v>1442092.08</v>
      </c>
      <c r="D5506">
        <v>0</v>
      </c>
      <c r="E5506" s="65">
        <v>82.75</v>
      </c>
      <c r="F5506" s="8">
        <v>3.648</v>
      </c>
      <c r="G5506" s="66">
        <v>213.7917147</v>
      </c>
      <c r="H5506" s="8">
        <v>8.3</v>
      </c>
      <c r="J5506" s="26"/>
      <c r="K5506"/>
    </row>
    <row r="5507" spans="1:11">
      <c r="A5507">
        <v>39</v>
      </c>
      <c r="B5507" s="64">
        <v>40711</v>
      </c>
      <c r="C5507" s="2">
        <v>1451392.67</v>
      </c>
      <c r="D5507">
        <v>0</v>
      </c>
      <c r="E5507" s="65">
        <v>85.21</v>
      </c>
      <c r="F5507" s="8">
        <v>3.637</v>
      </c>
      <c r="G5507" s="66">
        <v>213.7481256</v>
      </c>
      <c r="H5507" s="8">
        <v>8.3</v>
      </c>
      <c r="J5507" s="26"/>
      <c r="K5507"/>
    </row>
    <row r="5508" spans="1:11">
      <c r="A5508">
        <v>39</v>
      </c>
      <c r="B5508" s="64">
        <v>40718</v>
      </c>
      <c r="C5508" s="2">
        <v>1363167.95</v>
      </c>
      <c r="D5508">
        <v>0</v>
      </c>
      <c r="E5508" s="65">
        <v>84.06</v>
      </c>
      <c r="F5508" s="8">
        <v>3.594</v>
      </c>
      <c r="G5508" s="66">
        <v>213.8402689</v>
      </c>
      <c r="H5508" s="8">
        <v>8.3</v>
      </c>
      <c r="J5508" s="26"/>
      <c r="K5508"/>
    </row>
    <row r="5509" spans="1:11">
      <c r="A5509">
        <v>39</v>
      </c>
      <c r="B5509" s="64">
        <v>40725</v>
      </c>
      <c r="C5509" s="2">
        <v>1429829.36</v>
      </c>
      <c r="D5509">
        <v>0</v>
      </c>
      <c r="E5509" s="65">
        <v>84.93</v>
      </c>
      <c r="F5509" s="8">
        <v>3.524</v>
      </c>
      <c r="G5509" s="66">
        <v>213.9324122</v>
      </c>
      <c r="H5509" s="8">
        <v>8.177</v>
      </c>
      <c r="J5509" s="26"/>
      <c r="K5509"/>
    </row>
    <row r="5510" spans="1:11">
      <c r="A5510">
        <v>39</v>
      </c>
      <c r="B5510" s="64">
        <v>40732</v>
      </c>
      <c r="C5510" s="2">
        <v>1414564.53</v>
      </c>
      <c r="D5510">
        <v>0</v>
      </c>
      <c r="E5510" s="65">
        <v>84.33</v>
      </c>
      <c r="F5510" s="8">
        <v>3.48</v>
      </c>
      <c r="G5510" s="66">
        <v>214.0245556</v>
      </c>
      <c r="H5510" s="8">
        <v>8.177</v>
      </c>
      <c r="J5510" s="26"/>
      <c r="K5510"/>
    </row>
    <row r="5511" spans="1:11">
      <c r="A5511">
        <v>39</v>
      </c>
      <c r="B5511" s="64">
        <v>40739</v>
      </c>
      <c r="C5511" s="2">
        <v>1380257.12</v>
      </c>
      <c r="D5511">
        <v>0</v>
      </c>
      <c r="E5511" s="65">
        <v>85.96</v>
      </c>
      <c r="F5511" s="8">
        <v>3.575</v>
      </c>
      <c r="G5511" s="66">
        <v>214.1083654</v>
      </c>
      <c r="H5511" s="8">
        <v>8.177</v>
      </c>
      <c r="J5511" s="26"/>
      <c r="K5511"/>
    </row>
    <row r="5512" spans="1:11">
      <c r="A5512">
        <v>39</v>
      </c>
      <c r="B5512" s="64">
        <v>40746</v>
      </c>
      <c r="C5512" s="2">
        <v>1416005.59</v>
      </c>
      <c r="D5512">
        <v>0</v>
      </c>
      <c r="E5512" s="65">
        <v>84.6</v>
      </c>
      <c r="F5512" s="8">
        <v>3.651</v>
      </c>
      <c r="G5512" s="66">
        <v>214.1713416</v>
      </c>
      <c r="H5512" s="8">
        <v>8.177</v>
      </c>
      <c r="J5512" s="26"/>
      <c r="K5512"/>
    </row>
    <row r="5513" spans="1:11">
      <c r="A5513">
        <v>39</v>
      </c>
      <c r="B5513" s="64">
        <v>40753</v>
      </c>
      <c r="C5513" s="2">
        <v>1426418.53</v>
      </c>
      <c r="D5513">
        <v>0</v>
      </c>
      <c r="E5513" s="65">
        <v>86.24</v>
      </c>
      <c r="F5513" s="8">
        <v>3.682</v>
      </c>
      <c r="G5513" s="66">
        <v>214.2343177</v>
      </c>
      <c r="H5513" s="8">
        <v>8.177</v>
      </c>
      <c r="J5513" s="26"/>
      <c r="K5513"/>
    </row>
    <row r="5514" spans="1:11">
      <c r="A5514">
        <v>39</v>
      </c>
      <c r="B5514" s="64">
        <v>40760</v>
      </c>
      <c r="C5514" s="2">
        <v>1518790.89</v>
      </c>
      <c r="D5514">
        <v>0</v>
      </c>
      <c r="E5514" s="65">
        <v>87.73</v>
      </c>
      <c r="F5514" s="8">
        <v>3.684</v>
      </c>
      <c r="G5514" s="66">
        <v>214.2972939</v>
      </c>
      <c r="H5514" s="8">
        <v>8.177</v>
      </c>
      <c r="J5514" s="26"/>
      <c r="K5514"/>
    </row>
    <row r="5515" spans="1:11">
      <c r="A5515">
        <v>39</v>
      </c>
      <c r="B5515" s="64">
        <v>40767</v>
      </c>
      <c r="C5515" s="2">
        <v>1514055.97</v>
      </c>
      <c r="D5515">
        <v>0</v>
      </c>
      <c r="E5515" s="65">
        <v>88.27</v>
      </c>
      <c r="F5515" s="8">
        <v>3.638</v>
      </c>
      <c r="G5515" s="66">
        <v>214.3602701</v>
      </c>
      <c r="H5515" s="8">
        <v>8.177</v>
      </c>
      <c r="J5515" s="26"/>
      <c r="K5515"/>
    </row>
    <row r="5516" spans="1:11">
      <c r="A5516">
        <v>39</v>
      </c>
      <c r="B5516" s="64">
        <v>40774</v>
      </c>
      <c r="C5516" s="2">
        <v>1629066.9</v>
      </c>
      <c r="D5516">
        <v>0</v>
      </c>
      <c r="E5516" s="65">
        <v>87.93</v>
      </c>
      <c r="F5516" s="8">
        <v>3.554</v>
      </c>
      <c r="G5516" s="66">
        <v>214.4239935</v>
      </c>
      <c r="H5516" s="8">
        <v>8.177</v>
      </c>
      <c r="J5516" s="26"/>
      <c r="K5516"/>
    </row>
    <row r="5517" spans="1:11">
      <c r="A5517">
        <v>39</v>
      </c>
      <c r="B5517" s="64">
        <v>40781</v>
      </c>
      <c r="C5517" s="2">
        <v>1573898.63</v>
      </c>
      <c r="D5517">
        <v>0</v>
      </c>
      <c r="E5517" s="65">
        <v>86.49</v>
      </c>
      <c r="F5517" s="8">
        <v>3.523</v>
      </c>
      <c r="G5517" s="66">
        <v>214.4878416</v>
      </c>
      <c r="H5517" s="8">
        <v>8.177</v>
      </c>
      <c r="J5517" s="26"/>
      <c r="K5517"/>
    </row>
    <row r="5518" spans="1:11">
      <c r="A5518">
        <v>39</v>
      </c>
      <c r="B5518" s="64">
        <v>40788</v>
      </c>
      <c r="C5518" s="2">
        <v>1465089.85</v>
      </c>
      <c r="D5518">
        <v>0</v>
      </c>
      <c r="E5518" s="65">
        <v>88.65</v>
      </c>
      <c r="F5518" s="8">
        <v>3.533</v>
      </c>
      <c r="G5518" s="66">
        <v>214.5516896</v>
      </c>
      <c r="H5518" s="8">
        <v>8.177</v>
      </c>
      <c r="J5518" s="26"/>
      <c r="K5518"/>
    </row>
    <row r="5519" spans="1:11">
      <c r="A5519">
        <v>39</v>
      </c>
      <c r="B5519" s="64">
        <v>40795</v>
      </c>
      <c r="C5519" s="2">
        <v>1429345.86</v>
      </c>
      <c r="D5519">
        <v>1</v>
      </c>
      <c r="E5519" s="65">
        <v>79.15</v>
      </c>
      <c r="F5519" s="8">
        <v>3.546</v>
      </c>
      <c r="G5519" s="66">
        <v>214.6155376</v>
      </c>
      <c r="H5519" s="8">
        <v>8.177</v>
      </c>
      <c r="J5519" s="26"/>
      <c r="K5519"/>
    </row>
    <row r="5520" spans="1:11">
      <c r="A5520">
        <v>39</v>
      </c>
      <c r="B5520" s="64">
        <v>40802</v>
      </c>
      <c r="C5520" s="2">
        <v>1372500.63</v>
      </c>
      <c r="D5520">
        <v>0</v>
      </c>
      <c r="E5520" s="65">
        <v>83.11</v>
      </c>
      <c r="F5520" s="8">
        <v>3.526</v>
      </c>
      <c r="G5520" s="66">
        <v>214.7934111</v>
      </c>
      <c r="H5520" s="8">
        <v>8.177</v>
      </c>
      <c r="J5520" s="26"/>
      <c r="K5520"/>
    </row>
    <row r="5521" spans="1:11">
      <c r="A5521">
        <v>39</v>
      </c>
      <c r="B5521" s="64">
        <v>40809</v>
      </c>
      <c r="C5521" s="2">
        <v>1338657.95</v>
      </c>
      <c r="D5521">
        <v>0</v>
      </c>
      <c r="E5521" s="65">
        <v>78.75</v>
      </c>
      <c r="F5521" s="8">
        <v>3.467</v>
      </c>
      <c r="G5521" s="66">
        <v>215.1233185</v>
      </c>
      <c r="H5521" s="8">
        <v>8.177</v>
      </c>
      <c r="J5521" s="26"/>
      <c r="K5521"/>
    </row>
    <row r="5522" spans="1:11">
      <c r="A5522">
        <v>39</v>
      </c>
      <c r="B5522" s="64">
        <v>40816</v>
      </c>
      <c r="C5522" s="2">
        <v>1311775.83</v>
      </c>
      <c r="D5522">
        <v>0</v>
      </c>
      <c r="E5522" s="65">
        <v>81.51</v>
      </c>
      <c r="F5522" s="8">
        <v>3.355</v>
      </c>
      <c r="G5522" s="66">
        <v>215.4532259</v>
      </c>
      <c r="H5522" s="8">
        <v>8.177</v>
      </c>
      <c r="J5522" s="26"/>
      <c r="K5522"/>
    </row>
    <row r="5523" spans="1:11">
      <c r="A5523">
        <v>39</v>
      </c>
      <c r="B5523" s="64">
        <v>40823</v>
      </c>
      <c r="C5523" s="2">
        <v>1443884.39</v>
      </c>
      <c r="D5523">
        <v>0</v>
      </c>
      <c r="E5523" s="65">
        <v>71.68</v>
      </c>
      <c r="F5523" s="8">
        <v>3.285</v>
      </c>
      <c r="G5523" s="66">
        <v>215.7831333</v>
      </c>
      <c r="H5523" s="8">
        <v>7.716</v>
      </c>
      <c r="J5523" s="26"/>
      <c r="K5523"/>
    </row>
    <row r="5524" spans="1:11">
      <c r="A5524">
        <v>39</v>
      </c>
      <c r="B5524" s="64">
        <v>40830</v>
      </c>
      <c r="C5524" s="2">
        <v>1384721.84</v>
      </c>
      <c r="D5524">
        <v>0</v>
      </c>
      <c r="E5524" s="65">
        <v>73.79</v>
      </c>
      <c r="F5524" s="8">
        <v>3.274</v>
      </c>
      <c r="G5524" s="66">
        <v>216.0885258</v>
      </c>
      <c r="H5524" s="8">
        <v>7.716</v>
      </c>
      <c r="J5524" s="26"/>
      <c r="K5524"/>
    </row>
    <row r="5525" spans="1:11">
      <c r="A5525">
        <v>39</v>
      </c>
      <c r="B5525" s="64">
        <v>40837</v>
      </c>
      <c r="C5525" s="2">
        <v>1465283.29</v>
      </c>
      <c r="D5525">
        <v>0</v>
      </c>
      <c r="E5525" s="65">
        <v>67.65</v>
      </c>
      <c r="F5525" s="8">
        <v>3.353</v>
      </c>
      <c r="G5525" s="66">
        <v>216.2468287</v>
      </c>
      <c r="H5525" s="8">
        <v>7.716</v>
      </c>
      <c r="J5525" s="26"/>
      <c r="K5525"/>
    </row>
    <row r="5526" spans="1:11">
      <c r="A5526">
        <v>39</v>
      </c>
      <c r="B5526" s="64">
        <v>40844</v>
      </c>
      <c r="C5526" s="2">
        <v>1472663.1</v>
      </c>
      <c r="D5526">
        <v>0</v>
      </c>
      <c r="E5526" s="65">
        <v>71.05</v>
      </c>
      <c r="F5526" s="8">
        <v>3.372</v>
      </c>
      <c r="G5526" s="66">
        <v>216.4051315</v>
      </c>
      <c r="H5526" s="8">
        <v>7.716</v>
      </c>
      <c r="J5526" s="26"/>
      <c r="K5526"/>
    </row>
    <row r="5527" spans="1:11">
      <c r="A5527">
        <v>39</v>
      </c>
      <c r="B5527" s="64">
        <v>40851</v>
      </c>
      <c r="C5527" s="2">
        <v>1553629.59</v>
      </c>
      <c r="D5527">
        <v>0</v>
      </c>
      <c r="E5527" s="65">
        <v>58.04</v>
      </c>
      <c r="F5527" s="8">
        <v>3.332</v>
      </c>
      <c r="G5527" s="66">
        <v>216.5634344</v>
      </c>
      <c r="H5527" s="8">
        <v>7.716</v>
      </c>
      <c r="J5527" s="26"/>
      <c r="K5527"/>
    </row>
    <row r="5528" spans="1:11">
      <c r="A5528">
        <v>39</v>
      </c>
      <c r="B5528" s="64">
        <v>40858</v>
      </c>
      <c r="C5528" s="2">
        <v>1456957.38</v>
      </c>
      <c r="D5528">
        <v>0</v>
      </c>
      <c r="E5528" s="65">
        <v>63.11</v>
      </c>
      <c r="F5528" s="8">
        <v>3.297</v>
      </c>
      <c r="G5528" s="66">
        <v>216.7217373</v>
      </c>
      <c r="H5528" s="8">
        <v>7.716</v>
      </c>
      <c r="J5528" s="26"/>
      <c r="K5528"/>
    </row>
    <row r="5529" spans="1:11">
      <c r="A5529">
        <v>39</v>
      </c>
      <c r="B5529" s="64">
        <v>40865</v>
      </c>
      <c r="C5529" s="2">
        <v>1510397.27</v>
      </c>
      <c r="D5529">
        <v>0</v>
      </c>
      <c r="E5529" s="65">
        <v>66.09</v>
      </c>
      <c r="F5529" s="8">
        <v>3.308</v>
      </c>
      <c r="G5529" s="66">
        <v>216.9395861</v>
      </c>
      <c r="H5529" s="8">
        <v>7.716</v>
      </c>
      <c r="J5529" s="26"/>
      <c r="K5529"/>
    </row>
    <row r="5530" spans="1:11">
      <c r="A5530">
        <v>39</v>
      </c>
      <c r="B5530" s="64">
        <v>40872</v>
      </c>
      <c r="C5530" s="2">
        <v>2338832.4</v>
      </c>
      <c r="D5530">
        <v>1</v>
      </c>
      <c r="E5530" s="65">
        <v>66.36</v>
      </c>
      <c r="F5530" s="8">
        <v>3.236</v>
      </c>
      <c r="G5530" s="66">
        <v>217.1812533</v>
      </c>
      <c r="H5530" s="8">
        <v>7.716</v>
      </c>
      <c r="J5530" s="26"/>
      <c r="K5530"/>
    </row>
    <row r="5531" spans="1:11">
      <c r="A5531">
        <v>39</v>
      </c>
      <c r="B5531" s="64">
        <v>40879</v>
      </c>
      <c r="C5531" s="2">
        <v>1632894.58</v>
      </c>
      <c r="D5531">
        <v>0</v>
      </c>
      <c r="E5531" s="65">
        <v>53.14</v>
      </c>
      <c r="F5531" s="8">
        <v>3.172</v>
      </c>
      <c r="G5531" s="66">
        <v>217.4229206</v>
      </c>
      <c r="H5531" s="8">
        <v>7.716</v>
      </c>
      <c r="J5531" s="26"/>
      <c r="K5531"/>
    </row>
    <row r="5532" spans="1:11">
      <c r="A5532">
        <v>39</v>
      </c>
      <c r="B5532" s="64">
        <v>40886</v>
      </c>
      <c r="C5532" s="2">
        <v>1781528.77</v>
      </c>
      <c r="D5532">
        <v>0</v>
      </c>
      <c r="E5532" s="65">
        <v>49.36</v>
      </c>
      <c r="F5532" s="8">
        <v>3.158</v>
      </c>
      <c r="G5532" s="66">
        <v>217.6645878</v>
      </c>
      <c r="H5532" s="8">
        <v>7.716</v>
      </c>
      <c r="J5532" s="26"/>
      <c r="K5532"/>
    </row>
    <row r="5533" spans="1:11">
      <c r="A5533">
        <v>39</v>
      </c>
      <c r="B5533" s="64">
        <v>40893</v>
      </c>
      <c r="C5533" s="2">
        <v>1991824.05</v>
      </c>
      <c r="D5533">
        <v>0</v>
      </c>
      <c r="E5533" s="65">
        <v>58.58</v>
      </c>
      <c r="F5533" s="8">
        <v>3.159</v>
      </c>
      <c r="G5533" s="66">
        <v>217.8781339</v>
      </c>
      <c r="H5533" s="8">
        <v>7.716</v>
      </c>
      <c r="J5533" s="26"/>
      <c r="K5533"/>
    </row>
    <row r="5534" spans="1:11">
      <c r="A5534">
        <v>39</v>
      </c>
      <c r="B5534" s="64">
        <v>40900</v>
      </c>
      <c r="C5534" s="2">
        <v>2554482.84</v>
      </c>
      <c r="D5534">
        <v>0</v>
      </c>
      <c r="E5534" s="65">
        <v>54.62</v>
      </c>
      <c r="F5534" s="8">
        <v>3.112</v>
      </c>
      <c r="G5534" s="66">
        <v>218.0541851</v>
      </c>
      <c r="H5534" s="8">
        <v>7.716</v>
      </c>
      <c r="J5534" s="26"/>
      <c r="K5534"/>
    </row>
    <row r="5535" spans="1:11">
      <c r="A5535">
        <v>39</v>
      </c>
      <c r="B5535" s="64">
        <v>40907</v>
      </c>
      <c r="C5535" s="2">
        <v>1537139.56</v>
      </c>
      <c r="D5535">
        <v>1</v>
      </c>
      <c r="E5535" s="65">
        <v>47.6</v>
      </c>
      <c r="F5535" s="8">
        <v>3.129</v>
      </c>
      <c r="G5535" s="66">
        <v>218.2302364</v>
      </c>
      <c r="H5535" s="8">
        <v>7.716</v>
      </c>
      <c r="J5535" s="26"/>
      <c r="K5535"/>
    </row>
    <row r="5536" spans="1:11">
      <c r="A5536">
        <v>39</v>
      </c>
      <c r="B5536" s="64">
        <v>40914</v>
      </c>
      <c r="C5536" s="2">
        <v>1478537.93</v>
      </c>
      <c r="D5536">
        <v>0</v>
      </c>
      <c r="E5536" s="65">
        <v>55.83</v>
      </c>
      <c r="F5536" s="8">
        <v>3.157</v>
      </c>
      <c r="G5536" s="66">
        <v>218.4062876</v>
      </c>
      <c r="H5536" s="8">
        <v>7.244</v>
      </c>
      <c r="J5536" s="26"/>
      <c r="K5536"/>
    </row>
    <row r="5537" spans="1:11">
      <c r="A5537">
        <v>39</v>
      </c>
      <c r="B5537" s="64">
        <v>40921</v>
      </c>
      <c r="C5537" s="2">
        <v>1369125.37</v>
      </c>
      <c r="D5537">
        <v>0</v>
      </c>
      <c r="E5537" s="65">
        <v>54.66</v>
      </c>
      <c r="F5537" s="8">
        <v>3.261</v>
      </c>
      <c r="G5537" s="66">
        <v>218.5823389</v>
      </c>
      <c r="H5537" s="8">
        <v>7.244</v>
      </c>
      <c r="J5537" s="26"/>
      <c r="K5537"/>
    </row>
    <row r="5538" spans="1:11">
      <c r="A5538">
        <v>39</v>
      </c>
      <c r="B5538" s="64">
        <v>40928</v>
      </c>
      <c r="C5538" s="2">
        <v>1394841.03</v>
      </c>
      <c r="D5538">
        <v>0</v>
      </c>
      <c r="E5538" s="65">
        <v>58.04</v>
      </c>
      <c r="F5538" s="8">
        <v>3.268</v>
      </c>
      <c r="G5538" s="66">
        <v>218.6755292</v>
      </c>
      <c r="H5538" s="8">
        <v>7.244</v>
      </c>
      <c r="J5538" s="26"/>
      <c r="K5538"/>
    </row>
    <row r="5539" spans="1:11">
      <c r="A5539">
        <v>39</v>
      </c>
      <c r="B5539" s="64">
        <v>40935</v>
      </c>
      <c r="C5539" s="2">
        <v>1320301.61</v>
      </c>
      <c r="D5539">
        <v>0</v>
      </c>
      <c r="E5539" s="65">
        <v>60.65</v>
      </c>
      <c r="F5539" s="8">
        <v>3.29</v>
      </c>
      <c r="G5539" s="66">
        <v>218.7687195</v>
      </c>
      <c r="H5539" s="8">
        <v>7.244</v>
      </c>
      <c r="J5539" s="26"/>
      <c r="K5539"/>
    </row>
    <row r="5540" spans="1:11">
      <c r="A5540">
        <v>39</v>
      </c>
      <c r="B5540" s="64">
        <v>40942</v>
      </c>
      <c r="C5540" s="2">
        <v>1396150.15</v>
      </c>
      <c r="D5540">
        <v>0</v>
      </c>
      <c r="E5540" s="65">
        <v>60.69</v>
      </c>
      <c r="F5540" s="8">
        <v>3.36</v>
      </c>
      <c r="G5540" s="66">
        <v>218.8619099</v>
      </c>
      <c r="H5540" s="8">
        <v>7.244</v>
      </c>
      <c r="J5540" s="26"/>
      <c r="K5540"/>
    </row>
    <row r="5541" spans="1:11">
      <c r="A5541">
        <v>39</v>
      </c>
      <c r="B5541" s="64">
        <v>40949</v>
      </c>
      <c r="C5541" s="2">
        <v>1442988.44</v>
      </c>
      <c r="D5541">
        <v>1</v>
      </c>
      <c r="E5541" s="65">
        <v>52.89</v>
      </c>
      <c r="F5541" s="8">
        <v>3.409</v>
      </c>
      <c r="G5541" s="66">
        <v>218.9551002</v>
      </c>
      <c r="H5541" s="8">
        <v>7.244</v>
      </c>
      <c r="J5541" s="26"/>
      <c r="K5541"/>
    </row>
    <row r="5542" spans="1:11">
      <c r="A5542">
        <v>39</v>
      </c>
      <c r="B5542" s="64">
        <v>40956</v>
      </c>
      <c r="C5542" s="2">
        <v>1511041.69</v>
      </c>
      <c r="D5542">
        <v>0</v>
      </c>
      <c r="E5542" s="65">
        <v>52.75</v>
      </c>
      <c r="F5542" s="8">
        <v>3.51</v>
      </c>
      <c r="G5542" s="66">
        <v>219.1148297</v>
      </c>
      <c r="H5542" s="8">
        <v>7.244</v>
      </c>
      <c r="J5542" s="26"/>
      <c r="K5542"/>
    </row>
    <row r="5543" spans="1:11">
      <c r="A5543">
        <v>39</v>
      </c>
      <c r="B5543" s="64">
        <v>40963</v>
      </c>
      <c r="C5543" s="2">
        <v>1412065.04</v>
      </c>
      <c r="D5543">
        <v>0</v>
      </c>
      <c r="E5543" s="65">
        <v>61.1</v>
      </c>
      <c r="F5543" s="8">
        <v>3.555</v>
      </c>
      <c r="G5543" s="66">
        <v>219.3244636</v>
      </c>
      <c r="H5543" s="8">
        <v>7.244</v>
      </c>
      <c r="J5543" s="26"/>
      <c r="K5543"/>
    </row>
    <row r="5544" spans="1:11">
      <c r="A5544">
        <v>39</v>
      </c>
      <c r="B5544" s="64">
        <v>40970</v>
      </c>
      <c r="C5544" s="2">
        <v>1453047.02</v>
      </c>
      <c r="D5544">
        <v>0</v>
      </c>
      <c r="E5544" s="65">
        <v>64.05</v>
      </c>
      <c r="F5544" s="8">
        <v>3.63</v>
      </c>
      <c r="G5544" s="66">
        <v>219.5340975</v>
      </c>
      <c r="H5544" s="8">
        <v>7.244</v>
      </c>
      <c r="J5544" s="26"/>
      <c r="K5544"/>
    </row>
    <row r="5545" spans="1:11">
      <c r="A5545">
        <v>39</v>
      </c>
      <c r="B5545" s="64">
        <v>40977</v>
      </c>
      <c r="C5545" s="2">
        <v>1470764.35</v>
      </c>
      <c r="D5545">
        <v>0</v>
      </c>
      <c r="E5545" s="65">
        <v>61.64</v>
      </c>
      <c r="F5545" s="8">
        <v>3.669</v>
      </c>
      <c r="G5545" s="66">
        <v>219.7437314</v>
      </c>
      <c r="H5545" s="8">
        <v>7.244</v>
      </c>
      <c r="J5545" s="26"/>
      <c r="K5545"/>
    </row>
    <row r="5546" spans="1:11">
      <c r="A5546">
        <v>39</v>
      </c>
      <c r="B5546" s="64">
        <v>40984</v>
      </c>
      <c r="C5546" s="2">
        <v>1522421.07</v>
      </c>
      <c r="D5546">
        <v>0</v>
      </c>
      <c r="E5546" s="65">
        <v>65.81</v>
      </c>
      <c r="F5546" s="8">
        <v>3.734</v>
      </c>
      <c r="G5546" s="66">
        <v>219.8956335</v>
      </c>
      <c r="H5546" s="8">
        <v>7.244</v>
      </c>
      <c r="J5546" s="26"/>
      <c r="K5546"/>
    </row>
    <row r="5547" spans="1:11">
      <c r="A5547">
        <v>39</v>
      </c>
      <c r="B5547" s="64">
        <v>40991</v>
      </c>
      <c r="C5547" s="2">
        <v>1469593.37</v>
      </c>
      <c r="D5547">
        <v>0</v>
      </c>
      <c r="E5547" s="65">
        <v>67.91</v>
      </c>
      <c r="F5547" s="8">
        <v>3.787</v>
      </c>
      <c r="G5547" s="66">
        <v>219.9705599</v>
      </c>
      <c r="H5547" s="8">
        <v>7.244</v>
      </c>
      <c r="J5547" s="26"/>
      <c r="K5547"/>
    </row>
    <row r="5548" spans="1:11">
      <c r="A5548">
        <v>39</v>
      </c>
      <c r="B5548" s="64">
        <v>40998</v>
      </c>
      <c r="C5548" s="2">
        <v>1499727.02</v>
      </c>
      <c r="D5548">
        <v>0</v>
      </c>
      <c r="E5548" s="65">
        <v>69.11</v>
      </c>
      <c r="F5548" s="8">
        <v>3.845</v>
      </c>
      <c r="G5548" s="66">
        <v>220.0454862</v>
      </c>
      <c r="H5548" s="8">
        <v>7.244</v>
      </c>
      <c r="J5548" s="26"/>
      <c r="K5548"/>
    </row>
    <row r="5549" spans="1:11">
      <c r="A5549">
        <v>39</v>
      </c>
      <c r="B5549" s="64">
        <v>41005</v>
      </c>
      <c r="C5549" s="2">
        <v>1764847.94</v>
      </c>
      <c r="D5549">
        <v>0</v>
      </c>
      <c r="E5549" s="65">
        <v>73.49</v>
      </c>
      <c r="F5549" s="8">
        <v>3.891</v>
      </c>
      <c r="G5549" s="66">
        <v>220.1204125</v>
      </c>
      <c r="H5549" s="8">
        <v>6.989</v>
      </c>
      <c r="J5549" s="26"/>
      <c r="K5549"/>
    </row>
    <row r="5550" spans="1:11">
      <c r="A5550">
        <v>39</v>
      </c>
      <c r="B5550" s="64">
        <v>41012</v>
      </c>
      <c r="C5550" s="2">
        <v>1580732.73</v>
      </c>
      <c r="D5550">
        <v>0</v>
      </c>
      <c r="E5550" s="65">
        <v>71.59</v>
      </c>
      <c r="F5550" s="8">
        <v>3.891</v>
      </c>
      <c r="G5550" s="66">
        <v>220.1953389</v>
      </c>
      <c r="H5550" s="8">
        <v>6.989</v>
      </c>
      <c r="J5550" s="26"/>
      <c r="K5550"/>
    </row>
    <row r="5551" spans="1:11">
      <c r="A5551">
        <v>39</v>
      </c>
      <c r="B5551" s="64">
        <v>41019</v>
      </c>
      <c r="C5551" s="2">
        <v>1433391.04</v>
      </c>
      <c r="D5551">
        <v>0</v>
      </c>
      <c r="E5551" s="65">
        <v>70.04</v>
      </c>
      <c r="F5551" s="8">
        <v>3.877</v>
      </c>
      <c r="G5551" s="66">
        <v>220.2483937</v>
      </c>
      <c r="H5551" s="8">
        <v>6.989</v>
      </c>
      <c r="J5551" s="26"/>
      <c r="K5551"/>
    </row>
    <row r="5552" spans="1:11">
      <c r="A5552">
        <v>39</v>
      </c>
      <c r="B5552" s="64">
        <v>41026</v>
      </c>
      <c r="C5552" s="2">
        <v>1456997.2</v>
      </c>
      <c r="D5552">
        <v>0</v>
      </c>
      <c r="E5552" s="65">
        <v>69.11</v>
      </c>
      <c r="F5552" s="8">
        <v>3.814</v>
      </c>
      <c r="G5552" s="66">
        <v>220.3014485</v>
      </c>
      <c r="H5552" s="8">
        <v>6.989</v>
      </c>
      <c r="J5552" s="26"/>
      <c r="K5552"/>
    </row>
    <row r="5553" spans="1:11">
      <c r="A5553">
        <v>39</v>
      </c>
      <c r="B5553" s="64">
        <v>41033</v>
      </c>
      <c r="C5553" s="2">
        <v>1512227.34</v>
      </c>
      <c r="D5553">
        <v>0</v>
      </c>
      <c r="E5553" s="65">
        <v>77.15</v>
      </c>
      <c r="F5553" s="8">
        <v>3.749</v>
      </c>
      <c r="G5553" s="66">
        <v>220.3545033</v>
      </c>
      <c r="H5553" s="8">
        <v>6.989</v>
      </c>
      <c r="J5553" s="26"/>
      <c r="K5553"/>
    </row>
    <row r="5554" spans="1:11">
      <c r="A5554">
        <v>39</v>
      </c>
      <c r="B5554" s="64">
        <v>41040</v>
      </c>
      <c r="C5554" s="2">
        <v>1470792.41</v>
      </c>
      <c r="D5554">
        <v>0</v>
      </c>
      <c r="E5554" s="65">
        <v>75.52</v>
      </c>
      <c r="F5554" s="8">
        <v>3.688</v>
      </c>
      <c r="G5554" s="66">
        <v>220.4075581</v>
      </c>
      <c r="H5554" s="8">
        <v>6.989</v>
      </c>
      <c r="J5554" s="26"/>
      <c r="K5554"/>
    </row>
    <row r="5555" spans="1:11">
      <c r="A5555">
        <v>39</v>
      </c>
      <c r="B5555" s="64">
        <v>41047</v>
      </c>
      <c r="C5555" s="2">
        <v>1522978.54</v>
      </c>
      <c r="D5555">
        <v>0</v>
      </c>
      <c r="E5555" s="65">
        <v>72.36</v>
      </c>
      <c r="F5555" s="8">
        <v>3.63</v>
      </c>
      <c r="G5555" s="66">
        <v>220.4252149</v>
      </c>
      <c r="H5555" s="8">
        <v>6.989</v>
      </c>
      <c r="J5555" s="26"/>
      <c r="K5555"/>
    </row>
    <row r="5556" spans="1:11">
      <c r="A5556">
        <v>39</v>
      </c>
      <c r="B5556" s="64">
        <v>41054</v>
      </c>
      <c r="C5556" s="2">
        <v>1596036.66</v>
      </c>
      <c r="D5556">
        <v>0</v>
      </c>
      <c r="E5556" s="65">
        <v>78.31</v>
      </c>
      <c r="F5556" s="8">
        <v>3.561</v>
      </c>
      <c r="G5556" s="66">
        <v>220.4287124</v>
      </c>
      <c r="H5556" s="8">
        <v>6.989</v>
      </c>
      <c r="J5556" s="26"/>
      <c r="K5556"/>
    </row>
    <row r="5557" spans="1:11">
      <c r="A5557">
        <v>39</v>
      </c>
      <c r="B5557" s="64">
        <v>41061</v>
      </c>
      <c r="C5557" s="2">
        <v>1640476.77</v>
      </c>
      <c r="D5557">
        <v>0</v>
      </c>
      <c r="E5557" s="65">
        <v>80.33</v>
      </c>
      <c r="F5557" s="8">
        <v>3.501</v>
      </c>
      <c r="G5557" s="66">
        <v>220.4322099</v>
      </c>
      <c r="H5557" s="8">
        <v>6.989</v>
      </c>
      <c r="J5557" s="26"/>
      <c r="K5557"/>
    </row>
    <row r="5558" spans="1:11">
      <c r="A5558">
        <v>39</v>
      </c>
      <c r="B5558" s="64">
        <v>41068</v>
      </c>
      <c r="C5558" s="2">
        <v>1623442.24</v>
      </c>
      <c r="D5558">
        <v>0</v>
      </c>
      <c r="E5558" s="65">
        <v>81.12</v>
      </c>
      <c r="F5558" s="8">
        <v>3.452</v>
      </c>
      <c r="G5558" s="66">
        <v>220.4357073</v>
      </c>
      <c r="H5558" s="8">
        <v>6.989</v>
      </c>
      <c r="J5558" s="26"/>
      <c r="K5558"/>
    </row>
    <row r="5559" spans="1:11">
      <c r="A5559">
        <v>39</v>
      </c>
      <c r="B5559" s="64">
        <v>41075</v>
      </c>
      <c r="C5559" s="2">
        <v>1587499.82</v>
      </c>
      <c r="D5559">
        <v>0</v>
      </c>
      <c r="E5559" s="65">
        <v>81.33</v>
      </c>
      <c r="F5559" s="8">
        <v>3.393</v>
      </c>
      <c r="G5559" s="66">
        <v>220.4494148</v>
      </c>
      <c r="H5559" s="8">
        <v>6.989</v>
      </c>
      <c r="J5559" s="26"/>
      <c r="K5559"/>
    </row>
    <row r="5560" spans="1:11">
      <c r="A5560">
        <v>39</v>
      </c>
      <c r="B5560" s="64">
        <v>41082</v>
      </c>
      <c r="C5560" s="2">
        <v>1532316.79</v>
      </c>
      <c r="D5560">
        <v>0</v>
      </c>
      <c r="E5560" s="65">
        <v>79.84</v>
      </c>
      <c r="F5560" s="8">
        <v>3.346</v>
      </c>
      <c r="G5560" s="66">
        <v>220.4886472</v>
      </c>
      <c r="H5560" s="8">
        <v>6.989</v>
      </c>
      <c r="J5560" s="26"/>
      <c r="K5560"/>
    </row>
    <row r="5561" spans="1:11">
      <c r="A5561">
        <v>39</v>
      </c>
      <c r="B5561" s="64">
        <v>41089</v>
      </c>
      <c r="C5561" s="2">
        <v>1492388.98</v>
      </c>
      <c r="D5561">
        <v>0</v>
      </c>
      <c r="E5561" s="65">
        <v>85.72</v>
      </c>
      <c r="F5561" s="8">
        <v>3.286</v>
      </c>
      <c r="G5561" s="66">
        <v>220.5278796</v>
      </c>
      <c r="H5561" s="8">
        <v>6.989</v>
      </c>
      <c r="J5561" s="26"/>
      <c r="K5561"/>
    </row>
    <row r="5562" spans="1:11">
      <c r="A5562">
        <v>39</v>
      </c>
      <c r="B5562" s="64">
        <v>41096</v>
      </c>
      <c r="C5562" s="2">
        <v>1659221.99</v>
      </c>
      <c r="D5562">
        <v>0</v>
      </c>
      <c r="E5562" s="65">
        <v>81.05</v>
      </c>
      <c r="F5562" s="8">
        <v>3.227</v>
      </c>
      <c r="G5562" s="66">
        <v>220.567112</v>
      </c>
      <c r="H5562" s="8">
        <v>6.623</v>
      </c>
      <c r="J5562" s="26"/>
      <c r="K5562"/>
    </row>
    <row r="5563" spans="1:11">
      <c r="A5563">
        <v>39</v>
      </c>
      <c r="B5563" s="64">
        <v>41103</v>
      </c>
      <c r="C5563" s="2">
        <v>1471261.76</v>
      </c>
      <c r="D5563">
        <v>0</v>
      </c>
      <c r="E5563" s="65">
        <v>78.16</v>
      </c>
      <c r="F5563" s="8">
        <v>3.256</v>
      </c>
      <c r="G5563" s="66">
        <v>220.6063444</v>
      </c>
      <c r="H5563" s="8">
        <v>6.623</v>
      </c>
      <c r="J5563" s="26"/>
      <c r="K5563"/>
    </row>
    <row r="5564" spans="1:11">
      <c r="A5564">
        <v>39</v>
      </c>
      <c r="B5564" s="64">
        <v>41110</v>
      </c>
      <c r="C5564" s="2">
        <v>1582168.27</v>
      </c>
      <c r="D5564">
        <v>0</v>
      </c>
      <c r="E5564" s="65">
        <v>80.32</v>
      </c>
      <c r="F5564" s="8">
        <v>3.311</v>
      </c>
      <c r="G5564" s="66">
        <v>220.6148749</v>
      </c>
      <c r="H5564" s="8">
        <v>6.623</v>
      </c>
      <c r="J5564" s="26"/>
      <c r="K5564"/>
    </row>
    <row r="5565" spans="1:11">
      <c r="A5565">
        <v>39</v>
      </c>
      <c r="B5565" s="64">
        <v>41117</v>
      </c>
      <c r="C5565" s="2">
        <v>1487797.54</v>
      </c>
      <c r="D5565">
        <v>0</v>
      </c>
      <c r="E5565" s="65">
        <v>82.89</v>
      </c>
      <c r="F5565" s="8">
        <v>3.407</v>
      </c>
      <c r="G5565" s="66">
        <v>220.6234054</v>
      </c>
      <c r="H5565" s="8">
        <v>6.623</v>
      </c>
      <c r="J5565" s="26"/>
      <c r="K5565"/>
    </row>
    <row r="5566" spans="1:11">
      <c r="A5566">
        <v>39</v>
      </c>
      <c r="B5566" s="64">
        <v>41124</v>
      </c>
      <c r="C5566" s="2">
        <v>1608277.74</v>
      </c>
      <c r="D5566">
        <v>0</v>
      </c>
      <c r="E5566" s="65">
        <v>84.05</v>
      </c>
      <c r="F5566" s="8">
        <v>3.417</v>
      </c>
      <c r="G5566" s="66">
        <v>220.6319358</v>
      </c>
      <c r="H5566" s="8">
        <v>6.623</v>
      </c>
      <c r="J5566" s="26"/>
      <c r="K5566"/>
    </row>
    <row r="5567" spans="1:11">
      <c r="A5567">
        <v>39</v>
      </c>
      <c r="B5567" s="64">
        <v>41131</v>
      </c>
      <c r="C5567" s="2">
        <v>1641867.92</v>
      </c>
      <c r="D5567">
        <v>0</v>
      </c>
      <c r="E5567" s="65">
        <v>83.47</v>
      </c>
      <c r="F5567" s="8">
        <v>3.494</v>
      </c>
      <c r="G5567" s="66">
        <v>220.6404663</v>
      </c>
      <c r="H5567" s="8">
        <v>6.623</v>
      </c>
      <c r="J5567" s="26"/>
      <c r="K5567"/>
    </row>
    <row r="5568" spans="1:11">
      <c r="A5568">
        <v>39</v>
      </c>
      <c r="B5568" s="64">
        <v>41138</v>
      </c>
      <c r="C5568" s="2">
        <v>1720221.91</v>
      </c>
      <c r="D5568">
        <v>0</v>
      </c>
      <c r="E5568" s="65">
        <v>84.72</v>
      </c>
      <c r="F5568" s="8">
        <v>3.571</v>
      </c>
      <c r="G5568" s="66">
        <v>220.7199609</v>
      </c>
      <c r="H5568" s="8">
        <v>6.623</v>
      </c>
      <c r="J5568" s="26"/>
      <c r="K5568"/>
    </row>
    <row r="5569" spans="1:11">
      <c r="A5569">
        <v>39</v>
      </c>
      <c r="B5569" s="64">
        <v>41145</v>
      </c>
      <c r="C5569" s="2">
        <v>1724669.75</v>
      </c>
      <c r="D5569">
        <v>0</v>
      </c>
      <c r="E5569" s="65">
        <v>80.49</v>
      </c>
      <c r="F5569" s="8">
        <v>3.62</v>
      </c>
      <c r="G5569" s="66">
        <v>220.8526787</v>
      </c>
      <c r="H5569" s="8">
        <v>6.623</v>
      </c>
      <c r="J5569" s="26"/>
      <c r="K5569"/>
    </row>
    <row r="5570" spans="1:11">
      <c r="A5570">
        <v>39</v>
      </c>
      <c r="B5570" s="64">
        <v>41152</v>
      </c>
      <c r="C5570" s="2">
        <v>1710923.94</v>
      </c>
      <c r="D5570">
        <v>0</v>
      </c>
      <c r="E5570" s="65">
        <v>83.72</v>
      </c>
      <c r="F5570" s="8">
        <v>3.638</v>
      </c>
      <c r="G5570" s="66">
        <v>220.9853964</v>
      </c>
      <c r="H5570" s="8">
        <v>6.623</v>
      </c>
      <c r="J5570" s="26"/>
      <c r="K5570"/>
    </row>
    <row r="5571" spans="1:11">
      <c r="A5571">
        <v>39</v>
      </c>
      <c r="B5571" s="64">
        <v>41159</v>
      </c>
      <c r="C5571" s="2">
        <v>1609811.75</v>
      </c>
      <c r="D5571">
        <v>1</v>
      </c>
      <c r="E5571" s="65">
        <v>83.71</v>
      </c>
      <c r="F5571" s="8">
        <v>3.73</v>
      </c>
      <c r="G5571" s="66">
        <v>221.1181142</v>
      </c>
      <c r="H5571" s="8">
        <v>6.623</v>
      </c>
      <c r="J5571" s="26"/>
      <c r="K5571"/>
    </row>
    <row r="5572" spans="1:11">
      <c r="A5572">
        <v>39</v>
      </c>
      <c r="B5572" s="64">
        <v>41166</v>
      </c>
      <c r="C5572" s="2">
        <v>1447614.08</v>
      </c>
      <c r="D5572">
        <v>0</v>
      </c>
      <c r="E5572" s="65">
        <v>76.71</v>
      </c>
      <c r="F5572" s="8">
        <v>3.717</v>
      </c>
      <c r="G5572" s="66">
        <v>221.2601207</v>
      </c>
      <c r="H5572" s="8">
        <v>6.623</v>
      </c>
      <c r="J5572" s="26"/>
      <c r="K5572"/>
    </row>
    <row r="5573" spans="1:11">
      <c r="A5573">
        <v>39</v>
      </c>
      <c r="B5573" s="64">
        <v>41173</v>
      </c>
      <c r="C5573" s="2">
        <v>1555672.51</v>
      </c>
      <c r="D5573">
        <v>0</v>
      </c>
      <c r="E5573" s="65">
        <v>73.58</v>
      </c>
      <c r="F5573" s="8">
        <v>3.721</v>
      </c>
      <c r="G5573" s="66">
        <v>221.4578604</v>
      </c>
      <c r="H5573" s="8">
        <v>6.623</v>
      </c>
      <c r="J5573" s="26"/>
      <c r="K5573"/>
    </row>
    <row r="5574" spans="1:11">
      <c r="A5574">
        <v>39</v>
      </c>
      <c r="B5574" s="64">
        <v>41180</v>
      </c>
      <c r="C5574" s="2">
        <v>1495607.07</v>
      </c>
      <c r="D5574">
        <v>0</v>
      </c>
      <c r="E5574" s="65">
        <v>78.04</v>
      </c>
      <c r="F5574" s="8">
        <v>3.666</v>
      </c>
      <c r="G5574" s="66">
        <v>221.6556</v>
      </c>
      <c r="H5574" s="8">
        <v>6.623</v>
      </c>
      <c r="J5574" s="26"/>
      <c r="K5574"/>
    </row>
    <row r="5575" spans="1:11">
      <c r="A5575">
        <v>39</v>
      </c>
      <c r="B5575" s="64">
        <v>41187</v>
      </c>
      <c r="C5575" s="2">
        <v>1574408.67</v>
      </c>
      <c r="D5575">
        <v>0</v>
      </c>
      <c r="E5575" s="65">
        <v>72.05</v>
      </c>
      <c r="F5575" s="8">
        <v>3.617</v>
      </c>
      <c r="G5575" s="66">
        <v>221.8533396</v>
      </c>
      <c r="H5575" s="8">
        <v>6.228</v>
      </c>
      <c r="J5575" s="26"/>
      <c r="K5575"/>
    </row>
    <row r="5576" spans="1:11">
      <c r="A5576">
        <v>39</v>
      </c>
      <c r="B5576" s="64">
        <v>41194</v>
      </c>
      <c r="C5576" s="2">
        <v>1494417.07</v>
      </c>
      <c r="D5576">
        <v>0</v>
      </c>
      <c r="E5576" s="65">
        <v>69.88</v>
      </c>
      <c r="F5576" s="8">
        <v>3.601</v>
      </c>
      <c r="G5576" s="66">
        <v>222.0510793</v>
      </c>
      <c r="H5576" s="8">
        <v>6.228</v>
      </c>
      <c r="J5576" s="26"/>
      <c r="K5576"/>
    </row>
    <row r="5577" spans="1:11">
      <c r="A5577">
        <v>39</v>
      </c>
      <c r="B5577" s="64">
        <v>41201</v>
      </c>
      <c r="C5577" s="2">
        <v>1577486.33</v>
      </c>
      <c r="D5577">
        <v>0</v>
      </c>
      <c r="E5577" s="65">
        <v>71.45</v>
      </c>
      <c r="F5577" s="8">
        <v>3.594</v>
      </c>
      <c r="G5577" s="66">
        <v>222.0951719</v>
      </c>
      <c r="H5577" s="8">
        <v>6.228</v>
      </c>
      <c r="J5577" s="26"/>
      <c r="K5577"/>
    </row>
    <row r="5578" spans="1:11">
      <c r="A5578">
        <v>39</v>
      </c>
      <c r="B5578" s="64">
        <v>41208</v>
      </c>
      <c r="C5578" s="2">
        <v>1569502</v>
      </c>
      <c r="D5578">
        <v>0</v>
      </c>
      <c r="E5578" s="65">
        <v>72.9</v>
      </c>
      <c r="F5578" s="8">
        <v>3.506</v>
      </c>
      <c r="G5578" s="66">
        <v>222.1136566</v>
      </c>
      <c r="H5578" s="8">
        <v>6.228</v>
      </c>
      <c r="J5578" s="26"/>
      <c r="K5578"/>
    </row>
    <row r="5579" spans="1:11">
      <c r="A5579">
        <v>40</v>
      </c>
      <c r="B5579" s="64">
        <v>40214</v>
      </c>
      <c r="C5579" s="2">
        <v>1001943.8</v>
      </c>
      <c r="D5579">
        <v>0</v>
      </c>
      <c r="E5579" s="65">
        <v>14.48</v>
      </c>
      <c r="F5579" s="8">
        <v>2.788</v>
      </c>
      <c r="G5579" s="66">
        <v>131.5279032</v>
      </c>
      <c r="H5579" s="8">
        <v>5.892</v>
      </c>
      <c r="J5579" s="26"/>
      <c r="K5579"/>
    </row>
    <row r="5580" spans="1:11">
      <c r="A5580">
        <v>40</v>
      </c>
      <c r="B5580" s="64">
        <v>40221</v>
      </c>
      <c r="C5580" s="2">
        <v>955338.29</v>
      </c>
      <c r="D5580">
        <v>1</v>
      </c>
      <c r="E5580" s="65">
        <v>20.84</v>
      </c>
      <c r="F5580" s="8">
        <v>2.771</v>
      </c>
      <c r="G5580" s="66">
        <v>131.5866129</v>
      </c>
      <c r="H5580" s="8">
        <v>5.892</v>
      </c>
      <c r="J5580" s="26"/>
      <c r="K5580"/>
    </row>
    <row r="5581" spans="1:11">
      <c r="A5581">
        <v>40</v>
      </c>
      <c r="B5581" s="64">
        <v>40228</v>
      </c>
      <c r="C5581" s="2">
        <v>916289.2</v>
      </c>
      <c r="D5581">
        <v>0</v>
      </c>
      <c r="E5581" s="65">
        <v>27.84</v>
      </c>
      <c r="F5581" s="8">
        <v>2.747</v>
      </c>
      <c r="G5581" s="66">
        <v>131.637</v>
      </c>
      <c r="H5581" s="8">
        <v>5.892</v>
      </c>
      <c r="J5581" s="26"/>
      <c r="K5581"/>
    </row>
    <row r="5582" spans="1:11">
      <c r="A5582">
        <v>40</v>
      </c>
      <c r="B5582" s="64">
        <v>40235</v>
      </c>
      <c r="C5582" s="2">
        <v>863917.41</v>
      </c>
      <c r="D5582">
        <v>0</v>
      </c>
      <c r="E5582" s="65">
        <v>33.32</v>
      </c>
      <c r="F5582" s="8">
        <v>2.753</v>
      </c>
      <c r="G5582" s="66">
        <v>131.686</v>
      </c>
      <c r="H5582" s="8">
        <v>5.892</v>
      </c>
      <c r="J5582" s="26"/>
      <c r="K5582"/>
    </row>
    <row r="5583" spans="1:11">
      <c r="A5583">
        <v>40</v>
      </c>
      <c r="B5583" s="64">
        <v>40242</v>
      </c>
      <c r="C5583" s="2">
        <v>990152.28</v>
      </c>
      <c r="D5583">
        <v>0</v>
      </c>
      <c r="E5583" s="65">
        <v>34.78</v>
      </c>
      <c r="F5583" s="8">
        <v>2.766</v>
      </c>
      <c r="G5583" s="66">
        <v>131.735</v>
      </c>
      <c r="H5583" s="8">
        <v>5.892</v>
      </c>
      <c r="J5583" s="26"/>
      <c r="K5583"/>
    </row>
    <row r="5584" spans="1:11">
      <c r="A5584">
        <v>40</v>
      </c>
      <c r="B5584" s="64">
        <v>40249</v>
      </c>
      <c r="C5584" s="2">
        <v>899352.4</v>
      </c>
      <c r="D5584">
        <v>0</v>
      </c>
      <c r="E5584" s="65">
        <v>35.1</v>
      </c>
      <c r="F5584" s="8">
        <v>2.805</v>
      </c>
      <c r="G5584" s="66">
        <v>131.784</v>
      </c>
      <c r="H5584" s="8">
        <v>5.892</v>
      </c>
      <c r="J5584" s="26"/>
      <c r="K5584"/>
    </row>
    <row r="5585" spans="1:11">
      <c r="A5585">
        <v>40</v>
      </c>
      <c r="B5585" s="64">
        <v>40256</v>
      </c>
      <c r="C5585" s="2">
        <v>894865.3</v>
      </c>
      <c r="D5585">
        <v>0</v>
      </c>
      <c r="E5585" s="65">
        <v>40.54</v>
      </c>
      <c r="F5585" s="8">
        <v>2.834</v>
      </c>
      <c r="G5585" s="66">
        <v>131.8242903</v>
      </c>
      <c r="H5585" s="8">
        <v>5.892</v>
      </c>
      <c r="J5585" s="26"/>
      <c r="K5585"/>
    </row>
    <row r="5586" spans="1:11">
      <c r="A5586">
        <v>40</v>
      </c>
      <c r="B5586" s="64">
        <v>40263</v>
      </c>
      <c r="C5586" s="2">
        <v>873354.58</v>
      </c>
      <c r="D5586">
        <v>0</v>
      </c>
      <c r="E5586" s="65">
        <v>39.51</v>
      </c>
      <c r="F5586" s="8">
        <v>2.831</v>
      </c>
      <c r="G5586" s="66">
        <v>131.863129</v>
      </c>
      <c r="H5586" s="8">
        <v>5.892</v>
      </c>
      <c r="J5586" s="26"/>
      <c r="K5586"/>
    </row>
    <row r="5587" spans="1:11">
      <c r="A5587">
        <v>40</v>
      </c>
      <c r="B5587" s="64">
        <v>40270</v>
      </c>
      <c r="C5587" s="2">
        <v>1041202.13</v>
      </c>
      <c r="D5587">
        <v>0</v>
      </c>
      <c r="E5587" s="65">
        <v>41.39</v>
      </c>
      <c r="F5587" s="8">
        <v>2.826</v>
      </c>
      <c r="G5587" s="66">
        <v>131.9019677</v>
      </c>
      <c r="H5587" s="8">
        <v>5.435</v>
      </c>
      <c r="J5587" s="26"/>
      <c r="K5587"/>
    </row>
    <row r="5588" spans="1:11">
      <c r="A5588">
        <v>40</v>
      </c>
      <c r="B5588" s="64">
        <v>40277</v>
      </c>
      <c r="C5588" s="2">
        <v>919839.19</v>
      </c>
      <c r="D5588">
        <v>0</v>
      </c>
      <c r="E5588" s="65">
        <v>54.31</v>
      </c>
      <c r="F5588" s="8">
        <v>2.849</v>
      </c>
      <c r="G5588" s="66">
        <v>131.9408065</v>
      </c>
      <c r="H5588" s="8">
        <v>5.435</v>
      </c>
      <c r="J5588" s="26"/>
      <c r="K5588"/>
    </row>
    <row r="5589" spans="1:11">
      <c r="A5589">
        <v>40</v>
      </c>
      <c r="B5589" s="64">
        <v>40284</v>
      </c>
      <c r="C5589" s="2">
        <v>882636.96</v>
      </c>
      <c r="D5589">
        <v>0</v>
      </c>
      <c r="E5589" s="65">
        <v>43.3</v>
      </c>
      <c r="F5589" s="8">
        <v>2.885</v>
      </c>
      <c r="G5589" s="66">
        <v>131.9809</v>
      </c>
      <c r="H5589" s="8">
        <v>5.435</v>
      </c>
      <c r="J5589" s="26"/>
      <c r="K5589"/>
    </row>
    <row r="5590" spans="1:11">
      <c r="A5590">
        <v>40</v>
      </c>
      <c r="B5590" s="64">
        <v>40291</v>
      </c>
      <c r="C5590" s="2">
        <v>844958.49</v>
      </c>
      <c r="D5590">
        <v>0</v>
      </c>
      <c r="E5590" s="65">
        <v>45.85</v>
      </c>
      <c r="F5590" s="8">
        <v>2.895</v>
      </c>
      <c r="G5590" s="66">
        <v>132.0226667</v>
      </c>
      <c r="H5590" s="8">
        <v>5.435</v>
      </c>
      <c r="J5590" s="26"/>
      <c r="K5590"/>
    </row>
    <row r="5591" spans="1:11">
      <c r="A5591">
        <v>40</v>
      </c>
      <c r="B5591" s="64">
        <v>40298</v>
      </c>
      <c r="C5591" s="2">
        <v>816838.31</v>
      </c>
      <c r="D5591">
        <v>0</v>
      </c>
      <c r="E5591" s="65">
        <v>46.5</v>
      </c>
      <c r="F5591" s="8">
        <v>2.935</v>
      </c>
      <c r="G5591" s="66">
        <v>132.0644333</v>
      </c>
      <c r="H5591" s="8">
        <v>5.435</v>
      </c>
      <c r="J5591" s="26"/>
      <c r="K5591"/>
    </row>
    <row r="5592" spans="1:11">
      <c r="A5592">
        <v>40</v>
      </c>
      <c r="B5592" s="64">
        <v>40305</v>
      </c>
      <c r="C5592" s="2">
        <v>1009797.06</v>
      </c>
      <c r="D5592">
        <v>0</v>
      </c>
      <c r="E5592" s="65">
        <v>60.05</v>
      </c>
      <c r="F5592" s="8">
        <v>2.981</v>
      </c>
      <c r="G5592" s="66">
        <v>132.1062</v>
      </c>
      <c r="H5592" s="8">
        <v>5.435</v>
      </c>
      <c r="J5592" s="26"/>
      <c r="K5592"/>
    </row>
    <row r="5593" spans="1:11">
      <c r="A5593">
        <v>40</v>
      </c>
      <c r="B5593" s="64">
        <v>40312</v>
      </c>
      <c r="C5593" s="2">
        <v>907262.47</v>
      </c>
      <c r="D5593">
        <v>0</v>
      </c>
      <c r="E5593" s="65">
        <v>45.5</v>
      </c>
      <c r="F5593" s="8">
        <v>2.983</v>
      </c>
      <c r="G5593" s="66">
        <v>132.152129</v>
      </c>
      <c r="H5593" s="8">
        <v>5.435</v>
      </c>
      <c r="J5593" s="26"/>
      <c r="K5593"/>
    </row>
    <row r="5594" spans="1:11">
      <c r="A5594">
        <v>40</v>
      </c>
      <c r="B5594" s="64">
        <v>40319</v>
      </c>
      <c r="C5594" s="2">
        <v>885613.91</v>
      </c>
      <c r="D5594">
        <v>0</v>
      </c>
      <c r="E5594" s="65">
        <v>56.75</v>
      </c>
      <c r="F5594" s="8">
        <v>2.961</v>
      </c>
      <c r="G5594" s="66">
        <v>132.2230323</v>
      </c>
      <c r="H5594" s="8">
        <v>5.435</v>
      </c>
      <c r="J5594" s="26"/>
      <c r="K5594"/>
    </row>
    <row r="5595" spans="1:11">
      <c r="A5595">
        <v>40</v>
      </c>
      <c r="B5595" s="64">
        <v>40326</v>
      </c>
      <c r="C5595" s="2">
        <v>1008483.07</v>
      </c>
      <c r="D5595">
        <v>0</v>
      </c>
      <c r="E5595" s="65">
        <v>67.88</v>
      </c>
      <c r="F5595" s="8">
        <v>2.906</v>
      </c>
      <c r="G5595" s="66">
        <v>132.2939355</v>
      </c>
      <c r="H5595" s="8">
        <v>5.435</v>
      </c>
      <c r="J5595" s="26"/>
      <c r="K5595"/>
    </row>
    <row r="5596" spans="1:11">
      <c r="A5596">
        <v>40</v>
      </c>
      <c r="B5596" s="64">
        <v>40333</v>
      </c>
      <c r="C5596" s="2">
        <v>1052429.03</v>
      </c>
      <c r="D5596">
        <v>0</v>
      </c>
      <c r="E5596" s="65">
        <v>65.7</v>
      </c>
      <c r="F5596" s="8">
        <v>2.857</v>
      </c>
      <c r="G5596" s="66">
        <v>132.3648387</v>
      </c>
      <c r="H5596" s="8">
        <v>5.435</v>
      </c>
      <c r="J5596" s="26"/>
      <c r="K5596"/>
    </row>
    <row r="5597" spans="1:11">
      <c r="A5597">
        <v>40</v>
      </c>
      <c r="B5597" s="64">
        <v>40340</v>
      </c>
      <c r="C5597" s="2">
        <v>1007574.67</v>
      </c>
      <c r="D5597">
        <v>0</v>
      </c>
      <c r="E5597" s="65">
        <v>59.42</v>
      </c>
      <c r="F5597" s="8">
        <v>2.83</v>
      </c>
      <c r="G5597" s="66">
        <v>132.4357419</v>
      </c>
      <c r="H5597" s="8">
        <v>5.435</v>
      </c>
      <c r="J5597" s="26"/>
      <c r="K5597"/>
    </row>
    <row r="5598" spans="1:11">
      <c r="A5598">
        <v>40</v>
      </c>
      <c r="B5598" s="64">
        <v>40347</v>
      </c>
      <c r="C5598" s="2">
        <v>973105.3</v>
      </c>
      <c r="D5598">
        <v>0</v>
      </c>
      <c r="E5598" s="65">
        <v>60.97</v>
      </c>
      <c r="F5598" s="8">
        <v>2.805</v>
      </c>
      <c r="G5598" s="66">
        <v>132.4733333</v>
      </c>
      <c r="H5598" s="8">
        <v>5.435</v>
      </c>
      <c r="J5598" s="26"/>
      <c r="K5598"/>
    </row>
    <row r="5599" spans="1:11">
      <c r="A5599">
        <v>40</v>
      </c>
      <c r="B5599" s="64">
        <v>40354</v>
      </c>
      <c r="C5599" s="2">
        <v>940405.03</v>
      </c>
      <c r="D5599">
        <v>0</v>
      </c>
      <c r="E5599" s="65">
        <v>69.72</v>
      </c>
      <c r="F5599" s="8">
        <v>2.81</v>
      </c>
      <c r="G5599" s="66">
        <v>132.4976</v>
      </c>
      <c r="H5599" s="8">
        <v>5.435</v>
      </c>
      <c r="J5599" s="26"/>
      <c r="K5599"/>
    </row>
    <row r="5600" spans="1:11">
      <c r="A5600">
        <v>40</v>
      </c>
      <c r="B5600" s="64">
        <v>40361</v>
      </c>
      <c r="C5600" s="2">
        <v>1087578.78</v>
      </c>
      <c r="D5600">
        <v>0</v>
      </c>
      <c r="E5600" s="65">
        <v>65.47</v>
      </c>
      <c r="F5600" s="8">
        <v>2.815</v>
      </c>
      <c r="G5600" s="66">
        <v>132.5218667</v>
      </c>
      <c r="H5600" s="8">
        <v>5.326</v>
      </c>
      <c r="J5600" s="26"/>
      <c r="K5600"/>
    </row>
    <row r="5601" spans="1:11">
      <c r="A5601">
        <v>40</v>
      </c>
      <c r="B5601" s="64">
        <v>40368</v>
      </c>
      <c r="C5601" s="2">
        <v>1058250.91</v>
      </c>
      <c r="D5601">
        <v>0</v>
      </c>
      <c r="E5601" s="65">
        <v>76.67</v>
      </c>
      <c r="F5601" s="8">
        <v>2.806</v>
      </c>
      <c r="G5601" s="66">
        <v>132.5461333</v>
      </c>
      <c r="H5601" s="8">
        <v>5.326</v>
      </c>
      <c r="J5601" s="26"/>
      <c r="K5601"/>
    </row>
    <row r="5602" spans="1:11">
      <c r="A5602">
        <v>40</v>
      </c>
      <c r="B5602" s="64">
        <v>40375</v>
      </c>
      <c r="C5602" s="2">
        <v>959229.09</v>
      </c>
      <c r="D5602">
        <v>0</v>
      </c>
      <c r="E5602" s="65">
        <v>74.25</v>
      </c>
      <c r="F5602" s="8">
        <v>2.796</v>
      </c>
      <c r="G5602" s="66">
        <v>132.5667742</v>
      </c>
      <c r="H5602" s="8">
        <v>5.326</v>
      </c>
      <c r="J5602" s="26"/>
      <c r="K5602"/>
    </row>
    <row r="5603" spans="1:11">
      <c r="A5603">
        <v>40</v>
      </c>
      <c r="B5603" s="64">
        <v>40382</v>
      </c>
      <c r="C5603" s="2">
        <v>922341.82</v>
      </c>
      <c r="D5603">
        <v>0</v>
      </c>
      <c r="E5603" s="65">
        <v>71.79</v>
      </c>
      <c r="F5603" s="8">
        <v>2.784</v>
      </c>
      <c r="G5603" s="66">
        <v>132.5825806</v>
      </c>
      <c r="H5603" s="8">
        <v>5.326</v>
      </c>
      <c r="J5603" s="26"/>
      <c r="K5603"/>
    </row>
    <row r="5604" spans="1:11">
      <c r="A5604">
        <v>40</v>
      </c>
      <c r="B5604" s="64">
        <v>40389</v>
      </c>
      <c r="C5604" s="2">
        <v>953393.02</v>
      </c>
      <c r="D5604">
        <v>0</v>
      </c>
      <c r="E5604" s="65">
        <v>71.35</v>
      </c>
      <c r="F5604" s="8">
        <v>2.792</v>
      </c>
      <c r="G5604" s="66">
        <v>132.5983871</v>
      </c>
      <c r="H5604" s="8">
        <v>5.326</v>
      </c>
      <c r="J5604" s="26"/>
      <c r="K5604"/>
    </row>
    <row r="5605" spans="1:11">
      <c r="A5605">
        <v>40</v>
      </c>
      <c r="B5605" s="64">
        <v>40396</v>
      </c>
      <c r="C5605" s="2">
        <v>1057295.87</v>
      </c>
      <c r="D5605">
        <v>0</v>
      </c>
      <c r="E5605" s="65">
        <v>69.16</v>
      </c>
      <c r="F5605" s="8">
        <v>2.792</v>
      </c>
      <c r="G5605" s="66">
        <v>132.6141935</v>
      </c>
      <c r="H5605" s="8">
        <v>5.326</v>
      </c>
      <c r="J5605" s="26"/>
      <c r="K5605"/>
    </row>
    <row r="5606" spans="1:11">
      <c r="A5606">
        <v>40</v>
      </c>
      <c r="B5606" s="64">
        <v>40403</v>
      </c>
      <c r="C5606" s="2">
        <v>924011.76</v>
      </c>
      <c r="D5606">
        <v>0</v>
      </c>
      <c r="E5606" s="65">
        <v>67.47</v>
      </c>
      <c r="F5606" s="8">
        <v>2.81</v>
      </c>
      <c r="G5606" s="66">
        <v>132.63</v>
      </c>
      <c r="H5606" s="8">
        <v>5.326</v>
      </c>
      <c r="J5606" s="26"/>
      <c r="K5606"/>
    </row>
    <row r="5607" spans="1:11">
      <c r="A5607">
        <v>40</v>
      </c>
      <c r="B5607" s="64">
        <v>40410</v>
      </c>
      <c r="C5607" s="2">
        <v>932397</v>
      </c>
      <c r="D5607">
        <v>0</v>
      </c>
      <c r="E5607" s="65">
        <v>67.05</v>
      </c>
      <c r="F5607" s="8">
        <v>2.796</v>
      </c>
      <c r="G5607" s="66">
        <v>132.6616129</v>
      </c>
      <c r="H5607" s="8">
        <v>5.326</v>
      </c>
      <c r="J5607" s="26"/>
      <c r="K5607"/>
    </row>
    <row r="5608" spans="1:11">
      <c r="A5608">
        <v>40</v>
      </c>
      <c r="B5608" s="64">
        <v>40417</v>
      </c>
      <c r="C5608" s="2">
        <v>922328.02</v>
      </c>
      <c r="D5608">
        <v>0</v>
      </c>
      <c r="E5608" s="65">
        <v>62.57</v>
      </c>
      <c r="F5608" s="8">
        <v>2.77</v>
      </c>
      <c r="G5608" s="66">
        <v>132.6932258</v>
      </c>
      <c r="H5608" s="8">
        <v>5.326</v>
      </c>
      <c r="J5608" s="26"/>
      <c r="K5608"/>
    </row>
    <row r="5609" spans="1:11">
      <c r="A5609">
        <v>40</v>
      </c>
      <c r="B5609" s="64">
        <v>40424</v>
      </c>
      <c r="C5609" s="2">
        <v>976453.34</v>
      </c>
      <c r="D5609">
        <v>0</v>
      </c>
      <c r="E5609" s="65">
        <v>70.66</v>
      </c>
      <c r="F5609" s="8">
        <v>2.735</v>
      </c>
      <c r="G5609" s="66">
        <v>132.7248387</v>
      </c>
      <c r="H5609" s="8">
        <v>5.326</v>
      </c>
      <c r="J5609" s="26"/>
      <c r="K5609"/>
    </row>
    <row r="5610" spans="1:11">
      <c r="A5610">
        <v>40</v>
      </c>
      <c r="B5610" s="64">
        <v>40431</v>
      </c>
      <c r="C5610" s="2">
        <v>967310.82</v>
      </c>
      <c r="D5610">
        <v>1</v>
      </c>
      <c r="E5610" s="65">
        <v>62.75</v>
      </c>
      <c r="F5610" s="8">
        <v>2.717</v>
      </c>
      <c r="G5610" s="66">
        <v>132.7564516</v>
      </c>
      <c r="H5610" s="8">
        <v>5.326</v>
      </c>
      <c r="J5610" s="26"/>
      <c r="K5610"/>
    </row>
    <row r="5611" spans="1:11">
      <c r="A5611">
        <v>40</v>
      </c>
      <c r="B5611" s="64">
        <v>40438</v>
      </c>
      <c r="C5611" s="2">
        <v>855046.95</v>
      </c>
      <c r="D5611">
        <v>0</v>
      </c>
      <c r="E5611" s="65">
        <v>55.34</v>
      </c>
      <c r="F5611" s="8">
        <v>2.716</v>
      </c>
      <c r="G5611" s="66">
        <v>132.7670667</v>
      </c>
      <c r="H5611" s="8">
        <v>5.326</v>
      </c>
      <c r="J5611" s="26"/>
      <c r="K5611"/>
    </row>
    <row r="5612" spans="1:11">
      <c r="A5612">
        <v>40</v>
      </c>
      <c r="B5612" s="64">
        <v>40445</v>
      </c>
      <c r="C5612" s="2">
        <v>844373.31</v>
      </c>
      <c r="D5612">
        <v>0</v>
      </c>
      <c r="E5612" s="65">
        <v>55.63</v>
      </c>
      <c r="F5612" s="8">
        <v>2.718</v>
      </c>
      <c r="G5612" s="66">
        <v>132.7619333</v>
      </c>
      <c r="H5612" s="8">
        <v>5.326</v>
      </c>
      <c r="J5612" s="26"/>
      <c r="K5612"/>
    </row>
    <row r="5613" spans="1:11">
      <c r="A5613">
        <v>40</v>
      </c>
      <c r="B5613" s="64">
        <v>40452</v>
      </c>
      <c r="C5613" s="2">
        <v>891152.33</v>
      </c>
      <c r="D5613">
        <v>0</v>
      </c>
      <c r="E5613" s="65">
        <v>62.01</v>
      </c>
      <c r="F5613" s="8">
        <v>2.717</v>
      </c>
      <c r="G5613" s="66">
        <v>132.7568</v>
      </c>
      <c r="H5613" s="8">
        <v>5.287</v>
      </c>
      <c r="J5613" s="26"/>
      <c r="K5613"/>
    </row>
    <row r="5614" spans="1:11">
      <c r="A5614">
        <v>40</v>
      </c>
      <c r="B5614" s="64">
        <v>40459</v>
      </c>
      <c r="C5614" s="2">
        <v>972405.38</v>
      </c>
      <c r="D5614">
        <v>0</v>
      </c>
      <c r="E5614" s="65">
        <v>52.02</v>
      </c>
      <c r="F5614" s="8">
        <v>2.776</v>
      </c>
      <c r="G5614" s="66">
        <v>132.7516667</v>
      </c>
      <c r="H5614" s="8">
        <v>5.287</v>
      </c>
      <c r="J5614" s="26"/>
      <c r="K5614"/>
    </row>
    <row r="5615" spans="1:11">
      <c r="A5615">
        <v>40</v>
      </c>
      <c r="B5615" s="64">
        <v>40466</v>
      </c>
      <c r="C5615" s="2">
        <v>917883.17</v>
      </c>
      <c r="D5615">
        <v>0</v>
      </c>
      <c r="E5615" s="65">
        <v>44.56</v>
      </c>
      <c r="F5615" s="8">
        <v>2.878</v>
      </c>
      <c r="G5615" s="66">
        <v>132.7633548</v>
      </c>
      <c r="H5615" s="8">
        <v>5.287</v>
      </c>
      <c r="J5615" s="26"/>
      <c r="K5615"/>
    </row>
    <row r="5616" spans="1:11">
      <c r="A5616">
        <v>40</v>
      </c>
      <c r="B5616" s="64">
        <v>40473</v>
      </c>
      <c r="C5616" s="2">
        <v>882180.91</v>
      </c>
      <c r="D5616">
        <v>0</v>
      </c>
      <c r="E5616" s="65">
        <v>41.25</v>
      </c>
      <c r="F5616" s="8">
        <v>2.919</v>
      </c>
      <c r="G5616" s="66">
        <v>132.8170968</v>
      </c>
      <c r="H5616" s="8">
        <v>5.287</v>
      </c>
      <c r="J5616" s="26"/>
      <c r="K5616"/>
    </row>
    <row r="5617" spans="1:11">
      <c r="A5617">
        <v>40</v>
      </c>
      <c r="B5617" s="64">
        <v>40480</v>
      </c>
      <c r="C5617" s="2">
        <v>875038.84</v>
      </c>
      <c r="D5617">
        <v>0</v>
      </c>
      <c r="E5617" s="65">
        <v>47.1</v>
      </c>
      <c r="F5617" s="8">
        <v>2.938</v>
      </c>
      <c r="G5617" s="66">
        <v>132.8708387</v>
      </c>
      <c r="H5617" s="8">
        <v>5.287</v>
      </c>
      <c r="J5617" s="26"/>
      <c r="K5617"/>
    </row>
    <row r="5618" spans="1:11">
      <c r="A5618">
        <v>40</v>
      </c>
      <c r="B5618" s="64">
        <v>40487</v>
      </c>
      <c r="C5618" s="2">
        <v>968270.66</v>
      </c>
      <c r="D5618">
        <v>0</v>
      </c>
      <c r="E5618" s="65">
        <v>36.45</v>
      </c>
      <c r="F5618" s="8">
        <v>2.938</v>
      </c>
      <c r="G5618" s="66">
        <v>132.9245806</v>
      </c>
      <c r="H5618" s="8">
        <v>5.287</v>
      </c>
      <c r="J5618" s="26"/>
      <c r="K5618"/>
    </row>
    <row r="5619" spans="1:11">
      <c r="A5619">
        <v>40</v>
      </c>
      <c r="B5619" s="64">
        <v>40494</v>
      </c>
      <c r="C5619" s="2">
        <v>935481.32</v>
      </c>
      <c r="D5619">
        <v>0</v>
      </c>
      <c r="E5619" s="65">
        <v>38.5</v>
      </c>
      <c r="F5619" s="8">
        <v>2.961</v>
      </c>
      <c r="G5619" s="66">
        <v>132.9783226</v>
      </c>
      <c r="H5619" s="8">
        <v>5.287</v>
      </c>
      <c r="J5619" s="26"/>
      <c r="K5619"/>
    </row>
    <row r="5620" spans="1:11">
      <c r="A5620">
        <v>40</v>
      </c>
      <c r="B5620" s="64">
        <v>40501</v>
      </c>
      <c r="C5620" s="2">
        <v>852452.93</v>
      </c>
      <c r="D5620">
        <v>0</v>
      </c>
      <c r="E5620" s="65">
        <v>40.52</v>
      </c>
      <c r="F5620" s="8">
        <v>3.03</v>
      </c>
      <c r="G5620" s="66">
        <v>132.9172</v>
      </c>
      <c r="H5620" s="8">
        <v>5.287</v>
      </c>
      <c r="J5620" s="26"/>
      <c r="K5620"/>
    </row>
    <row r="5621" spans="1:11">
      <c r="A5621">
        <v>40</v>
      </c>
      <c r="B5621" s="64">
        <v>40508</v>
      </c>
      <c r="C5621" s="2">
        <v>1166142.85</v>
      </c>
      <c r="D5621">
        <v>1</v>
      </c>
      <c r="E5621" s="65">
        <v>32.94</v>
      </c>
      <c r="F5621" s="8">
        <v>3.07</v>
      </c>
      <c r="G5621" s="66">
        <v>132.8369333</v>
      </c>
      <c r="H5621" s="8">
        <v>5.287</v>
      </c>
      <c r="J5621" s="26"/>
      <c r="K5621"/>
    </row>
    <row r="5622" spans="1:11">
      <c r="A5622">
        <v>40</v>
      </c>
      <c r="B5622" s="64">
        <v>40515</v>
      </c>
      <c r="C5622" s="2">
        <v>1000582.06</v>
      </c>
      <c r="D5622">
        <v>0</v>
      </c>
      <c r="E5622" s="65">
        <v>33.6</v>
      </c>
      <c r="F5622" s="8">
        <v>3.065</v>
      </c>
      <c r="G5622" s="66">
        <v>132.7566667</v>
      </c>
      <c r="H5622" s="8">
        <v>5.287</v>
      </c>
      <c r="J5622" s="26"/>
      <c r="K5622"/>
    </row>
    <row r="5623" spans="1:11">
      <c r="A5623">
        <v>40</v>
      </c>
      <c r="B5623" s="64">
        <v>40522</v>
      </c>
      <c r="C5623" s="2">
        <v>1111215.72</v>
      </c>
      <c r="D5623">
        <v>0</v>
      </c>
      <c r="E5623" s="65">
        <v>21.64</v>
      </c>
      <c r="F5623" s="8">
        <v>3.132</v>
      </c>
      <c r="G5623" s="66">
        <v>132.6764</v>
      </c>
      <c r="H5623" s="8">
        <v>5.287</v>
      </c>
      <c r="J5623" s="26"/>
      <c r="K5623"/>
    </row>
    <row r="5624" spans="1:11">
      <c r="A5624">
        <v>40</v>
      </c>
      <c r="B5624" s="64">
        <v>40529</v>
      </c>
      <c r="C5624" s="2">
        <v>1179036.3</v>
      </c>
      <c r="D5624">
        <v>0</v>
      </c>
      <c r="E5624" s="65">
        <v>23.01</v>
      </c>
      <c r="F5624" s="8">
        <v>3.139</v>
      </c>
      <c r="G5624" s="66">
        <v>132.6804516</v>
      </c>
      <c r="H5624" s="8">
        <v>5.287</v>
      </c>
      <c r="J5624" s="26"/>
      <c r="K5624"/>
    </row>
    <row r="5625" spans="1:11">
      <c r="A5625">
        <v>40</v>
      </c>
      <c r="B5625" s="64">
        <v>40536</v>
      </c>
      <c r="C5625" s="2">
        <v>1648829.18</v>
      </c>
      <c r="D5625">
        <v>0</v>
      </c>
      <c r="E5625" s="65">
        <v>24.18</v>
      </c>
      <c r="F5625" s="8">
        <v>3.15</v>
      </c>
      <c r="G5625" s="66">
        <v>132.7477419</v>
      </c>
      <c r="H5625" s="8">
        <v>5.287</v>
      </c>
      <c r="J5625" s="26"/>
      <c r="K5625"/>
    </row>
    <row r="5626" spans="1:11">
      <c r="A5626">
        <v>40</v>
      </c>
      <c r="B5626" s="64">
        <v>40543</v>
      </c>
      <c r="C5626" s="2">
        <v>811318.3</v>
      </c>
      <c r="D5626">
        <v>1</v>
      </c>
      <c r="E5626" s="65">
        <v>19.29</v>
      </c>
      <c r="F5626" s="8">
        <v>3.177</v>
      </c>
      <c r="G5626" s="66">
        <v>132.8150323</v>
      </c>
      <c r="H5626" s="8">
        <v>5.287</v>
      </c>
      <c r="J5626" s="26"/>
      <c r="K5626"/>
    </row>
    <row r="5627" spans="1:11">
      <c r="A5627">
        <v>40</v>
      </c>
      <c r="B5627" s="64">
        <v>40550</v>
      </c>
      <c r="C5627" s="2">
        <v>894280.19</v>
      </c>
      <c r="D5627">
        <v>0</v>
      </c>
      <c r="E5627" s="65">
        <v>24.05</v>
      </c>
      <c r="F5627" s="8">
        <v>3.193</v>
      </c>
      <c r="G5627" s="66">
        <v>132.8823226</v>
      </c>
      <c r="H5627" s="8">
        <v>5.114</v>
      </c>
      <c r="J5627" s="26"/>
      <c r="K5627"/>
    </row>
    <row r="5628" spans="1:11">
      <c r="A5628">
        <v>40</v>
      </c>
      <c r="B5628" s="64">
        <v>40557</v>
      </c>
      <c r="C5628" s="2">
        <v>771315.62</v>
      </c>
      <c r="D5628">
        <v>0</v>
      </c>
      <c r="E5628" s="65">
        <v>18.55</v>
      </c>
      <c r="F5628" s="8">
        <v>3.215</v>
      </c>
      <c r="G5628" s="66">
        <v>132.9510645</v>
      </c>
      <c r="H5628" s="8">
        <v>5.114</v>
      </c>
      <c r="J5628" s="26"/>
      <c r="K5628"/>
    </row>
    <row r="5629" spans="1:11">
      <c r="A5629">
        <v>40</v>
      </c>
      <c r="B5629" s="64">
        <v>40564</v>
      </c>
      <c r="C5629" s="2">
        <v>764014.75</v>
      </c>
      <c r="D5629">
        <v>0</v>
      </c>
      <c r="E5629" s="65">
        <v>14.64</v>
      </c>
      <c r="F5629" s="8">
        <v>3.232</v>
      </c>
      <c r="G5629" s="66">
        <v>133.0285161</v>
      </c>
      <c r="H5629" s="8">
        <v>5.114</v>
      </c>
      <c r="J5629" s="26"/>
      <c r="K5629"/>
    </row>
    <row r="5630" spans="1:11">
      <c r="A5630">
        <v>40</v>
      </c>
      <c r="B5630" s="64">
        <v>40571</v>
      </c>
      <c r="C5630" s="2">
        <v>775910.43</v>
      </c>
      <c r="D5630">
        <v>0</v>
      </c>
      <c r="E5630" s="65">
        <v>9.51</v>
      </c>
      <c r="F5630" s="8">
        <v>3.243</v>
      </c>
      <c r="G5630" s="66">
        <v>133.1059677</v>
      </c>
      <c r="H5630" s="8">
        <v>5.114</v>
      </c>
      <c r="J5630" s="26"/>
      <c r="K5630"/>
    </row>
    <row r="5631" spans="1:11">
      <c r="A5631">
        <v>40</v>
      </c>
      <c r="B5631" s="64">
        <v>40578</v>
      </c>
      <c r="C5631" s="2">
        <v>904261.65</v>
      </c>
      <c r="D5631">
        <v>0</v>
      </c>
      <c r="E5631" s="65">
        <v>13.29</v>
      </c>
      <c r="F5631" s="8">
        <v>3.24</v>
      </c>
      <c r="G5631" s="66">
        <v>133.1834194</v>
      </c>
      <c r="H5631" s="8">
        <v>5.114</v>
      </c>
      <c r="J5631" s="26"/>
      <c r="K5631"/>
    </row>
    <row r="5632" spans="1:11">
      <c r="A5632">
        <v>40</v>
      </c>
      <c r="B5632" s="64">
        <v>40585</v>
      </c>
      <c r="C5632" s="2">
        <v>931939.52</v>
      </c>
      <c r="D5632">
        <v>1</v>
      </c>
      <c r="E5632" s="65">
        <v>16.87</v>
      </c>
      <c r="F5632" s="8">
        <v>3.255</v>
      </c>
      <c r="G5632" s="66">
        <v>133.260871</v>
      </c>
      <c r="H5632" s="8">
        <v>5.114</v>
      </c>
      <c r="J5632" s="26"/>
      <c r="K5632"/>
    </row>
    <row r="5633" spans="1:11">
      <c r="A5633">
        <v>40</v>
      </c>
      <c r="B5633" s="64">
        <v>40592</v>
      </c>
      <c r="C5633" s="2">
        <v>968694.45</v>
      </c>
      <c r="D5633">
        <v>0</v>
      </c>
      <c r="E5633" s="65">
        <v>21.82</v>
      </c>
      <c r="F5633" s="8">
        <v>3.263</v>
      </c>
      <c r="G5633" s="66">
        <v>133.3701429</v>
      </c>
      <c r="H5633" s="8">
        <v>5.114</v>
      </c>
      <c r="J5633" s="26"/>
      <c r="K5633"/>
    </row>
    <row r="5634" spans="1:11">
      <c r="A5634">
        <v>40</v>
      </c>
      <c r="B5634" s="64">
        <v>40599</v>
      </c>
      <c r="C5634" s="2">
        <v>888869.27</v>
      </c>
      <c r="D5634">
        <v>0</v>
      </c>
      <c r="E5634" s="65">
        <v>16.5</v>
      </c>
      <c r="F5634" s="8">
        <v>3.281</v>
      </c>
      <c r="G5634" s="66">
        <v>133.4921429</v>
      </c>
      <c r="H5634" s="8">
        <v>5.114</v>
      </c>
      <c r="J5634" s="26"/>
      <c r="K5634"/>
    </row>
    <row r="5635" spans="1:11">
      <c r="A5635">
        <v>40</v>
      </c>
      <c r="B5635" s="64">
        <v>40606</v>
      </c>
      <c r="C5635" s="2">
        <v>977070.62</v>
      </c>
      <c r="D5635">
        <v>0</v>
      </c>
      <c r="E5635" s="65">
        <v>18.49</v>
      </c>
      <c r="F5635" s="8">
        <v>3.437</v>
      </c>
      <c r="G5635" s="66">
        <v>133.6141429</v>
      </c>
      <c r="H5635" s="8">
        <v>5.114</v>
      </c>
      <c r="J5635" s="26"/>
      <c r="K5635"/>
    </row>
    <row r="5636" spans="1:11">
      <c r="A5636">
        <v>40</v>
      </c>
      <c r="B5636" s="64">
        <v>40613</v>
      </c>
      <c r="C5636" s="2">
        <v>860255.58</v>
      </c>
      <c r="D5636">
        <v>0</v>
      </c>
      <c r="E5636" s="65">
        <v>30.53</v>
      </c>
      <c r="F5636" s="8">
        <v>3.6</v>
      </c>
      <c r="G5636" s="66">
        <v>133.7361429</v>
      </c>
      <c r="H5636" s="8">
        <v>5.114</v>
      </c>
      <c r="J5636" s="26"/>
      <c r="K5636"/>
    </row>
    <row r="5637" spans="1:11">
      <c r="A5637">
        <v>40</v>
      </c>
      <c r="B5637" s="64">
        <v>40620</v>
      </c>
      <c r="C5637" s="2">
        <v>871024.26</v>
      </c>
      <c r="D5637">
        <v>0</v>
      </c>
      <c r="E5637" s="65">
        <v>35.76</v>
      </c>
      <c r="F5637" s="8">
        <v>3.634</v>
      </c>
      <c r="G5637" s="66">
        <v>133.8492258</v>
      </c>
      <c r="H5637" s="8">
        <v>5.114</v>
      </c>
      <c r="J5637" s="26"/>
      <c r="K5637"/>
    </row>
    <row r="5638" spans="1:11">
      <c r="A5638">
        <v>40</v>
      </c>
      <c r="B5638" s="64">
        <v>40627</v>
      </c>
      <c r="C5638" s="2">
        <v>834621.39</v>
      </c>
      <c r="D5638">
        <v>0</v>
      </c>
      <c r="E5638" s="65">
        <v>28.89</v>
      </c>
      <c r="F5638" s="8">
        <v>3.624</v>
      </c>
      <c r="G5638" s="66">
        <v>133.9587419</v>
      </c>
      <c r="H5638" s="8">
        <v>5.114</v>
      </c>
      <c r="J5638" s="26"/>
      <c r="K5638"/>
    </row>
    <row r="5639" spans="1:11">
      <c r="A5639">
        <v>40</v>
      </c>
      <c r="B5639" s="64">
        <v>40634</v>
      </c>
      <c r="C5639" s="2">
        <v>841889.08</v>
      </c>
      <c r="D5639">
        <v>0</v>
      </c>
      <c r="E5639" s="65">
        <v>28.6</v>
      </c>
      <c r="F5639" s="8">
        <v>3.638</v>
      </c>
      <c r="G5639" s="66">
        <v>134.0682581</v>
      </c>
      <c r="H5639" s="8">
        <v>4.781</v>
      </c>
      <c r="J5639" s="26"/>
      <c r="K5639"/>
    </row>
    <row r="5640" spans="1:11">
      <c r="A5640">
        <v>40</v>
      </c>
      <c r="B5640" s="64">
        <v>40641</v>
      </c>
      <c r="C5640" s="2">
        <v>947753.32</v>
      </c>
      <c r="D5640">
        <v>0</v>
      </c>
      <c r="E5640" s="65">
        <v>34.77</v>
      </c>
      <c r="F5640" s="8">
        <v>3.72</v>
      </c>
      <c r="G5640" s="66">
        <v>134.1777742</v>
      </c>
      <c r="H5640" s="8">
        <v>4.781</v>
      </c>
      <c r="J5640" s="26"/>
      <c r="K5640"/>
    </row>
    <row r="5641" spans="1:11">
      <c r="A5641">
        <v>40</v>
      </c>
      <c r="B5641" s="64">
        <v>40648</v>
      </c>
      <c r="C5641" s="2">
        <v>874446.32</v>
      </c>
      <c r="D5641">
        <v>0</v>
      </c>
      <c r="E5641" s="65">
        <v>43.69</v>
      </c>
      <c r="F5641" s="8">
        <v>3.823</v>
      </c>
      <c r="G5641" s="66">
        <v>134.2784667</v>
      </c>
      <c r="H5641" s="8">
        <v>4.781</v>
      </c>
      <c r="J5641" s="26"/>
      <c r="K5641"/>
    </row>
    <row r="5642" spans="1:11">
      <c r="A5642">
        <v>40</v>
      </c>
      <c r="B5642" s="64">
        <v>40655</v>
      </c>
      <c r="C5642" s="2">
        <v>965056.4</v>
      </c>
      <c r="D5642">
        <v>0</v>
      </c>
      <c r="E5642" s="65">
        <v>39.32</v>
      </c>
      <c r="F5642" s="8">
        <v>3.919</v>
      </c>
      <c r="G5642" s="66">
        <v>134.3571</v>
      </c>
      <c r="H5642" s="8">
        <v>4.781</v>
      </c>
      <c r="J5642" s="26"/>
      <c r="K5642"/>
    </row>
    <row r="5643" spans="1:11">
      <c r="A5643">
        <v>40</v>
      </c>
      <c r="B5643" s="64">
        <v>40662</v>
      </c>
      <c r="C5643" s="2">
        <v>847246.5</v>
      </c>
      <c r="D5643">
        <v>0</v>
      </c>
      <c r="E5643" s="65">
        <v>52.68</v>
      </c>
      <c r="F5643" s="8">
        <v>3.988</v>
      </c>
      <c r="G5643" s="66">
        <v>134.4357333</v>
      </c>
      <c r="H5643" s="8">
        <v>4.781</v>
      </c>
      <c r="J5643" s="26"/>
      <c r="K5643"/>
    </row>
    <row r="5644" spans="1:11">
      <c r="A5644">
        <v>40</v>
      </c>
      <c r="B5644" s="64">
        <v>40669</v>
      </c>
      <c r="C5644" s="2">
        <v>1016752.55</v>
      </c>
      <c r="D5644">
        <v>0</v>
      </c>
      <c r="E5644" s="65">
        <v>50.81</v>
      </c>
      <c r="F5644" s="8">
        <v>4.078</v>
      </c>
      <c r="G5644" s="66">
        <v>134.5143667</v>
      </c>
      <c r="H5644" s="8">
        <v>4.781</v>
      </c>
      <c r="J5644" s="26"/>
      <c r="K5644"/>
    </row>
    <row r="5645" spans="1:11">
      <c r="A5645">
        <v>40</v>
      </c>
      <c r="B5645" s="64">
        <v>40676</v>
      </c>
      <c r="C5645" s="2">
        <v>903864.02</v>
      </c>
      <c r="D5645">
        <v>0</v>
      </c>
      <c r="E5645" s="65">
        <v>54.09</v>
      </c>
      <c r="F5645" s="8">
        <v>4.095</v>
      </c>
      <c r="G5645" s="66">
        <v>134.593</v>
      </c>
      <c r="H5645" s="8">
        <v>4.781</v>
      </c>
      <c r="J5645" s="26"/>
      <c r="K5645"/>
    </row>
    <row r="5646" spans="1:11">
      <c r="A5646">
        <v>40</v>
      </c>
      <c r="B5646" s="64">
        <v>40683</v>
      </c>
      <c r="C5646" s="2">
        <v>907110.83</v>
      </c>
      <c r="D5646">
        <v>0</v>
      </c>
      <c r="E5646" s="65">
        <v>56.38</v>
      </c>
      <c r="F5646" s="8">
        <v>4.101</v>
      </c>
      <c r="G5646" s="66">
        <v>134.6803871</v>
      </c>
      <c r="H5646" s="8">
        <v>4.781</v>
      </c>
      <c r="J5646" s="26"/>
      <c r="K5646"/>
    </row>
    <row r="5647" spans="1:11">
      <c r="A5647">
        <v>40</v>
      </c>
      <c r="B5647" s="64">
        <v>40690</v>
      </c>
      <c r="C5647" s="2">
        <v>972373.81</v>
      </c>
      <c r="D5647">
        <v>0</v>
      </c>
      <c r="E5647" s="65">
        <v>63.11</v>
      </c>
      <c r="F5647" s="8">
        <v>4.034</v>
      </c>
      <c r="G5647" s="66">
        <v>134.7677742</v>
      </c>
      <c r="H5647" s="8">
        <v>4.781</v>
      </c>
      <c r="J5647" s="26"/>
      <c r="K5647"/>
    </row>
    <row r="5648" spans="1:11">
      <c r="A5648">
        <v>40</v>
      </c>
      <c r="B5648" s="64">
        <v>40697</v>
      </c>
      <c r="C5648" s="2">
        <v>1075687.74</v>
      </c>
      <c r="D5648">
        <v>0</v>
      </c>
      <c r="E5648" s="65">
        <v>66.16</v>
      </c>
      <c r="F5648" s="8">
        <v>3.973</v>
      </c>
      <c r="G5648" s="66">
        <v>134.8551613</v>
      </c>
      <c r="H5648" s="8">
        <v>4.781</v>
      </c>
      <c r="J5648" s="26"/>
      <c r="K5648"/>
    </row>
    <row r="5649" spans="1:11">
      <c r="A5649">
        <v>40</v>
      </c>
      <c r="B5649" s="64">
        <v>40704</v>
      </c>
      <c r="C5649" s="2">
        <v>984336.04</v>
      </c>
      <c r="D5649">
        <v>0</v>
      </c>
      <c r="E5649" s="65">
        <v>64.19</v>
      </c>
      <c r="F5649" s="8">
        <v>3.924</v>
      </c>
      <c r="G5649" s="66">
        <v>134.9425484</v>
      </c>
      <c r="H5649" s="8">
        <v>4.781</v>
      </c>
      <c r="J5649" s="26"/>
      <c r="K5649"/>
    </row>
    <row r="5650" spans="1:11">
      <c r="A5650">
        <v>40</v>
      </c>
      <c r="B5650" s="64">
        <v>40711</v>
      </c>
      <c r="C5650" s="2">
        <v>971422.67</v>
      </c>
      <c r="D5650">
        <v>0</v>
      </c>
      <c r="E5650" s="65">
        <v>59.16</v>
      </c>
      <c r="F5650" s="8">
        <v>3.873</v>
      </c>
      <c r="G5650" s="66">
        <v>135.0837333</v>
      </c>
      <c r="H5650" s="8">
        <v>4.781</v>
      </c>
      <c r="J5650" s="26"/>
      <c r="K5650"/>
    </row>
    <row r="5651" spans="1:11">
      <c r="A5651">
        <v>40</v>
      </c>
      <c r="B5651" s="64">
        <v>40718</v>
      </c>
      <c r="C5651" s="2">
        <v>977103.64</v>
      </c>
      <c r="D5651">
        <v>0</v>
      </c>
      <c r="E5651" s="65">
        <v>62.59</v>
      </c>
      <c r="F5651" s="8">
        <v>3.851</v>
      </c>
      <c r="G5651" s="66">
        <v>135.2652667</v>
      </c>
      <c r="H5651" s="8">
        <v>4.781</v>
      </c>
      <c r="J5651" s="26"/>
      <c r="K5651"/>
    </row>
    <row r="5652" spans="1:11">
      <c r="A5652">
        <v>40</v>
      </c>
      <c r="B5652" s="64">
        <v>40725</v>
      </c>
      <c r="C5652" s="2">
        <v>1048866.3</v>
      </c>
      <c r="D5652">
        <v>0</v>
      </c>
      <c r="E5652" s="65">
        <v>65.25</v>
      </c>
      <c r="F5652" s="8">
        <v>3.815</v>
      </c>
      <c r="G5652" s="66">
        <v>135.4468</v>
      </c>
      <c r="H5652" s="8">
        <v>4.584</v>
      </c>
      <c r="J5652" s="26"/>
      <c r="K5652"/>
    </row>
    <row r="5653" spans="1:11">
      <c r="A5653">
        <v>40</v>
      </c>
      <c r="B5653" s="64">
        <v>40732</v>
      </c>
      <c r="C5653" s="2">
        <v>1107366.06</v>
      </c>
      <c r="D5653">
        <v>0</v>
      </c>
      <c r="E5653" s="65">
        <v>67.86</v>
      </c>
      <c r="F5653" s="8">
        <v>3.784</v>
      </c>
      <c r="G5653" s="66">
        <v>135.6283333</v>
      </c>
      <c r="H5653" s="8">
        <v>4.584</v>
      </c>
      <c r="J5653" s="26"/>
      <c r="K5653"/>
    </row>
    <row r="5654" spans="1:11">
      <c r="A5654">
        <v>40</v>
      </c>
      <c r="B5654" s="64">
        <v>40739</v>
      </c>
      <c r="C5654" s="2">
        <v>953252.14</v>
      </c>
      <c r="D5654">
        <v>0</v>
      </c>
      <c r="E5654" s="65">
        <v>68.9</v>
      </c>
      <c r="F5654" s="8">
        <v>3.827</v>
      </c>
      <c r="G5654" s="66">
        <v>135.7837419</v>
      </c>
      <c r="H5654" s="8">
        <v>4.584</v>
      </c>
      <c r="J5654" s="26"/>
      <c r="K5654"/>
    </row>
    <row r="5655" spans="1:11">
      <c r="A5655">
        <v>40</v>
      </c>
      <c r="B5655" s="64">
        <v>40746</v>
      </c>
      <c r="C5655" s="2">
        <v>980642.1</v>
      </c>
      <c r="D5655">
        <v>0</v>
      </c>
      <c r="E5655" s="65">
        <v>73.34</v>
      </c>
      <c r="F5655" s="8">
        <v>3.882</v>
      </c>
      <c r="G5655" s="66">
        <v>135.8738387</v>
      </c>
      <c r="H5655" s="8">
        <v>4.584</v>
      </c>
      <c r="J5655" s="26"/>
      <c r="K5655"/>
    </row>
    <row r="5656" spans="1:11">
      <c r="A5656">
        <v>40</v>
      </c>
      <c r="B5656" s="64">
        <v>40753</v>
      </c>
      <c r="C5656" s="2">
        <v>929096.9</v>
      </c>
      <c r="D5656">
        <v>0</v>
      </c>
      <c r="E5656" s="65">
        <v>67.45</v>
      </c>
      <c r="F5656" s="8">
        <v>3.898</v>
      </c>
      <c r="G5656" s="66">
        <v>135.9639355</v>
      </c>
      <c r="H5656" s="8">
        <v>4.584</v>
      </c>
      <c r="J5656" s="26"/>
      <c r="K5656"/>
    </row>
    <row r="5657" spans="1:11">
      <c r="A5657">
        <v>40</v>
      </c>
      <c r="B5657" s="64">
        <v>40760</v>
      </c>
      <c r="C5657" s="2">
        <v>1063818.2</v>
      </c>
      <c r="D5657">
        <v>0</v>
      </c>
      <c r="E5657" s="65">
        <v>68.1</v>
      </c>
      <c r="F5657" s="8">
        <v>3.903</v>
      </c>
      <c r="G5657" s="66">
        <v>136.0540323</v>
      </c>
      <c r="H5657" s="8">
        <v>4.584</v>
      </c>
      <c r="J5657" s="26"/>
      <c r="K5657"/>
    </row>
    <row r="5658" spans="1:11">
      <c r="A5658">
        <v>40</v>
      </c>
      <c r="B5658" s="64">
        <v>40767</v>
      </c>
      <c r="C5658" s="2">
        <v>955506.95</v>
      </c>
      <c r="D5658">
        <v>0</v>
      </c>
      <c r="E5658" s="65">
        <v>68.3</v>
      </c>
      <c r="F5658" s="8">
        <v>3.88</v>
      </c>
      <c r="G5658" s="66">
        <v>136.144129</v>
      </c>
      <c r="H5658" s="8">
        <v>4.584</v>
      </c>
      <c r="J5658" s="26"/>
      <c r="K5658"/>
    </row>
    <row r="5659" spans="1:11">
      <c r="A5659">
        <v>40</v>
      </c>
      <c r="B5659" s="64">
        <v>40774</v>
      </c>
      <c r="C5659" s="2">
        <v>943237.12</v>
      </c>
      <c r="D5659">
        <v>0</v>
      </c>
      <c r="E5659" s="65">
        <v>64.05</v>
      </c>
      <c r="F5659" s="8">
        <v>3.82</v>
      </c>
      <c r="G5659" s="66">
        <v>136.183129</v>
      </c>
      <c r="H5659" s="8">
        <v>4.584</v>
      </c>
      <c r="J5659" s="26"/>
      <c r="K5659"/>
    </row>
    <row r="5660" spans="1:11">
      <c r="A5660">
        <v>40</v>
      </c>
      <c r="B5660" s="64">
        <v>40781</v>
      </c>
      <c r="C5660" s="2">
        <v>969611.3</v>
      </c>
      <c r="D5660">
        <v>0</v>
      </c>
      <c r="E5660" s="65">
        <v>65.01</v>
      </c>
      <c r="F5660" s="8">
        <v>3.796</v>
      </c>
      <c r="G5660" s="66">
        <v>136.2136129</v>
      </c>
      <c r="H5660" s="8">
        <v>4.584</v>
      </c>
      <c r="J5660" s="26"/>
      <c r="K5660"/>
    </row>
    <row r="5661" spans="1:11">
      <c r="A5661">
        <v>40</v>
      </c>
      <c r="B5661" s="64">
        <v>40788</v>
      </c>
      <c r="C5661" s="2">
        <v>957298.26</v>
      </c>
      <c r="D5661">
        <v>0</v>
      </c>
      <c r="E5661" s="65">
        <v>63.79</v>
      </c>
      <c r="F5661" s="8">
        <v>3.784</v>
      </c>
      <c r="G5661" s="66">
        <v>136.2440968</v>
      </c>
      <c r="H5661" s="8">
        <v>4.584</v>
      </c>
      <c r="J5661" s="26"/>
      <c r="K5661"/>
    </row>
    <row r="5662" spans="1:11">
      <c r="A5662">
        <v>40</v>
      </c>
      <c r="B5662" s="64">
        <v>40795</v>
      </c>
      <c r="C5662" s="2">
        <v>1021391.99</v>
      </c>
      <c r="D5662">
        <v>1</v>
      </c>
      <c r="E5662" s="65">
        <v>64.83</v>
      </c>
      <c r="F5662" s="8">
        <v>3.809</v>
      </c>
      <c r="G5662" s="66">
        <v>136.2745806</v>
      </c>
      <c r="H5662" s="8">
        <v>4.584</v>
      </c>
      <c r="J5662" s="26"/>
      <c r="K5662"/>
    </row>
    <row r="5663" spans="1:11">
      <c r="A5663">
        <v>40</v>
      </c>
      <c r="B5663" s="64">
        <v>40802</v>
      </c>
      <c r="C5663" s="2">
        <v>890661.79</v>
      </c>
      <c r="D5663">
        <v>0</v>
      </c>
      <c r="E5663" s="65">
        <v>58.28</v>
      </c>
      <c r="F5663" s="8">
        <v>3.809</v>
      </c>
      <c r="G5663" s="66">
        <v>136.3145</v>
      </c>
      <c r="H5663" s="8">
        <v>4.584</v>
      </c>
      <c r="J5663" s="26"/>
      <c r="K5663"/>
    </row>
    <row r="5664" spans="1:11">
      <c r="A5664">
        <v>40</v>
      </c>
      <c r="B5664" s="64">
        <v>40809</v>
      </c>
      <c r="C5664" s="2">
        <v>876583.98</v>
      </c>
      <c r="D5664">
        <v>0</v>
      </c>
      <c r="E5664" s="65">
        <v>54.09</v>
      </c>
      <c r="F5664" s="8">
        <v>3.758</v>
      </c>
      <c r="G5664" s="66">
        <v>136.367</v>
      </c>
      <c r="H5664" s="8">
        <v>4.584</v>
      </c>
      <c r="J5664" s="26"/>
      <c r="K5664"/>
    </row>
    <row r="5665" spans="1:11">
      <c r="A5665">
        <v>40</v>
      </c>
      <c r="B5665" s="64">
        <v>40816</v>
      </c>
      <c r="C5665" s="2">
        <v>912857.1</v>
      </c>
      <c r="D5665">
        <v>0</v>
      </c>
      <c r="E5665" s="65">
        <v>63.45</v>
      </c>
      <c r="F5665" s="8">
        <v>3.684</v>
      </c>
      <c r="G5665" s="66">
        <v>136.4195</v>
      </c>
      <c r="H5665" s="8">
        <v>4.584</v>
      </c>
      <c r="J5665" s="26"/>
      <c r="K5665"/>
    </row>
    <row r="5666" spans="1:11">
      <c r="A5666">
        <v>40</v>
      </c>
      <c r="B5666" s="64">
        <v>40823</v>
      </c>
      <c r="C5666" s="2">
        <v>1070389.98</v>
      </c>
      <c r="D5666">
        <v>0</v>
      </c>
      <c r="E5666" s="65">
        <v>50.21</v>
      </c>
      <c r="F5666" s="8">
        <v>3.633</v>
      </c>
      <c r="G5666" s="66">
        <v>136.472</v>
      </c>
      <c r="H5666" s="8">
        <v>4.42</v>
      </c>
      <c r="J5666" s="26"/>
      <c r="K5666"/>
    </row>
    <row r="5667" spans="1:11">
      <c r="A5667">
        <v>40</v>
      </c>
      <c r="B5667" s="64">
        <v>40830</v>
      </c>
      <c r="C5667" s="2">
        <v>936751.68</v>
      </c>
      <c r="D5667">
        <v>0</v>
      </c>
      <c r="E5667" s="65">
        <v>53.9</v>
      </c>
      <c r="F5667" s="8">
        <v>3.583</v>
      </c>
      <c r="G5667" s="66">
        <v>136.5150968</v>
      </c>
      <c r="H5667" s="8">
        <v>4.42</v>
      </c>
      <c r="J5667" s="26"/>
      <c r="K5667"/>
    </row>
    <row r="5668" spans="1:11">
      <c r="A5668">
        <v>40</v>
      </c>
      <c r="B5668" s="64">
        <v>40837</v>
      </c>
      <c r="C5668" s="2">
        <v>942319.65</v>
      </c>
      <c r="D5668">
        <v>0</v>
      </c>
      <c r="E5668" s="65">
        <v>51.61</v>
      </c>
      <c r="F5668" s="8">
        <v>3.618</v>
      </c>
      <c r="G5668" s="66">
        <v>136.5017742</v>
      </c>
      <c r="H5668" s="8">
        <v>4.42</v>
      </c>
      <c r="J5668" s="26"/>
      <c r="K5668"/>
    </row>
    <row r="5669" spans="1:11">
      <c r="A5669">
        <v>40</v>
      </c>
      <c r="B5669" s="64">
        <v>40844</v>
      </c>
      <c r="C5669" s="2">
        <v>941675.95</v>
      </c>
      <c r="D5669">
        <v>0</v>
      </c>
      <c r="E5669" s="65">
        <v>42.09</v>
      </c>
      <c r="F5669" s="8">
        <v>3.604</v>
      </c>
      <c r="G5669" s="66">
        <v>136.4884516</v>
      </c>
      <c r="H5669" s="8">
        <v>4.42</v>
      </c>
      <c r="J5669" s="26"/>
      <c r="K5669"/>
    </row>
    <row r="5670" spans="1:11">
      <c r="A5670">
        <v>40</v>
      </c>
      <c r="B5670" s="64">
        <v>40851</v>
      </c>
      <c r="C5670" s="2">
        <v>1011321.18</v>
      </c>
      <c r="D5670">
        <v>0</v>
      </c>
      <c r="E5670" s="65">
        <v>35.4</v>
      </c>
      <c r="F5670" s="8">
        <v>3.586</v>
      </c>
      <c r="G5670" s="66">
        <v>136.475129</v>
      </c>
      <c r="H5670" s="8">
        <v>4.42</v>
      </c>
      <c r="J5670" s="26"/>
      <c r="K5670"/>
    </row>
    <row r="5671" spans="1:11">
      <c r="A5671">
        <v>40</v>
      </c>
      <c r="B5671" s="64">
        <v>40858</v>
      </c>
      <c r="C5671" s="2">
        <v>1037687.07</v>
      </c>
      <c r="D5671">
        <v>0</v>
      </c>
      <c r="E5671" s="65">
        <v>40.75</v>
      </c>
      <c r="F5671" s="8">
        <v>3.57</v>
      </c>
      <c r="G5671" s="66">
        <v>136.4618065</v>
      </c>
      <c r="H5671" s="8">
        <v>4.42</v>
      </c>
      <c r="J5671" s="26"/>
      <c r="K5671"/>
    </row>
    <row r="5672" spans="1:11">
      <c r="A5672">
        <v>40</v>
      </c>
      <c r="B5672" s="64">
        <v>40865</v>
      </c>
      <c r="C5672" s="2">
        <v>905399.99</v>
      </c>
      <c r="D5672">
        <v>0</v>
      </c>
      <c r="E5672" s="65">
        <v>41.85</v>
      </c>
      <c r="F5672" s="8">
        <v>3.571</v>
      </c>
      <c r="G5672" s="66">
        <v>136.4666667</v>
      </c>
      <c r="H5672" s="8">
        <v>4.42</v>
      </c>
      <c r="J5672" s="26"/>
      <c r="K5672"/>
    </row>
    <row r="5673" spans="1:11">
      <c r="A5673">
        <v>40</v>
      </c>
      <c r="B5673" s="64">
        <v>40872</v>
      </c>
      <c r="C5673" s="2">
        <v>1230011.95</v>
      </c>
      <c r="D5673">
        <v>1</v>
      </c>
      <c r="E5673" s="65">
        <v>32.76</v>
      </c>
      <c r="F5673" s="8">
        <v>3.536</v>
      </c>
      <c r="G5673" s="66">
        <v>136.4788</v>
      </c>
      <c r="H5673" s="8">
        <v>4.42</v>
      </c>
      <c r="J5673" s="26"/>
      <c r="K5673"/>
    </row>
    <row r="5674" spans="1:11">
      <c r="A5674">
        <v>40</v>
      </c>
      <c r="B5674" s="64">
        <v>40879</v>
      </c>
      <c r="C5674" s="2">
        <v>1059676.62</v>
      </c>
      <c r="D5674">
        <v>0</v>
      </c>
      <c r="E5674" s="65">
        <v>38.51</v>
      </c>
      <c r="F5674" s="8">
        <v>3.501</v>
      </c>
      <c r="G5674" s="66">
        <v>136.4909333</v>
      </c>
      <c r="H5674" s="8">
        <v>4.42</v>
      </c>
      <c r="J5674" s="26"/>
      <c r="K5674"/>
    </row>
    <row r="5675" spans="1:11">
      <c r="A5675">
        <v>40</v>
      </c>
      <c r="B5675" s="64">
        <v>40886</v>
      </c>
      <c r="C5675" s="2">
        <v>1158708.98</v>
      </c>
      <c r="D5675">
        <v>0</v>
      </c>
      <c r="E5675" s="65">
        <v>34.48</v>
      </c>
      <c r="F5675" s="8">
        <v>3.47</v>
      </c>
      <c r="G5675" s="66">
        <v>136.5030667</v>
      </c>
      <c r="H5675" s="8">
        <v>4.42</v>
      </c>
      <c r="J5675" s="26"/>
      <c r="K5675"/>
    </row>
    <row r="5676" spans="1:11">
      <c r="A5676">
        <v>40</v>
      </c>
      <c r="B5676" s="64">
        <v>40893</v>
      </c>
      <c r="C5676" s="2">
        <v>1198670.19</v>
      </c>
      <c r="D5676">
        <v>0</v>
      </c>
      <c r="E5676" s="65">
        <v>29.53</v>
      </c>
      <c r="F5676" s="8">
        <v>3.445</v>
      </c>
      <c r="G5676" s="66">
        <v>136.5335161</v>
      </c>
      <c r="H5676" s="8">
        <v>4.42</v>
      </c>
      <c r="J5676" s="26"/>
      <c r="K5676"/>
    </row>
    <row r="5677" spans="1:11">
      <c r="A5677">
        <v>40</v>
      </c>
      <c r="B5677" s="64">
        <v>40900</v>
      </c>
      <c r="C5677" s="2">
        <v>1601585.7</v>
      </c>
      <c r="D5677">
        <v>0</v>
      </c>
      <c r="E5677" s="65">
        <v>24.46</v>
      </c>
      <c r="F5677" s="8">
        <v>3.413</v>
      </c>
      <c r="G5677" s="66">
        <v>136.5883871</v>
      </c>
      <c r="H5677" s="8">
        <v>4.42</v>
      </c>
      <c r="J5677" s="26"/>
      <c r="K5677"/>
    </row>
    <row r="5678" spans="1:11">
      <c r="A5678">
        <v>40</v>
      </c>
      <c r="B5678" s="64">
        <v>40907</v>
      </c>
      <c r="C5678" s="2">
        <v>908853.15</v>
      </c>
      <c r="D5678">
        <v>1</v>
      </c>
      <c r="E5678" s="65">
        <v>18.75</v>
      </c>
      <c r="F5678" s="8">
        <v>3.402</v>
      </c>
      <c r="G5678" s="66">
        <v>136.6432581</v>
      </c>
      <c r="H5678" s="8">
        <v>4.42</v>
      </c>
      <c r="J5678" s="26"/>
      <c r="K5678"/>
    </row>
    <row r="5679" spans="1:11">
      <c r="A5679">
        <v>40</v>
      </c>
      <c r="B5679" s="64">
        <v>40914</v>
      </c>
      <c r="C5679" s="2">
        <v>954576.86</v>
      </c>
      <c r="D5679">
        <v>0</v>
      </c>
      <c r="E5679" s="65">
        <v>23.29</v>
      </c>
      <c r="F5679" s="8">
        <v>3.439</v>
      </c>
      <c r="G5679" s="66">
        <v>136.698129</v>
      </c>
      <c r="H5679" s="8">
        <v>4.261</v>
      </c>
      <c r="J5679" s="26"/>
      <c r="K5679"/>
    </row>
    <row r="5680" spans="1:11">
      <c r="A5680">
        <v>40</v>
      </c>
      <c r="B5680" s="64">
        <v>40921</v>
      </c>
      <c r="C5680" s="2">
        <v>780607.52</v>
      </c>
      <c r="D5680">
        <v>0</v>
      </c>
      <c r="E5680" s="65">
        <v>25.9</v>
      </c>
      <c r="F5680" s="8">
        <v>3.523</v>
      </c>
      <c r="G5680" s="66">
        <v>136.753</v>
      </c>
      <c r="H5680" s="8">
        <v>4.261</v>
      </c>
      <c r="J5680" s="26"/>
      <c r="K5680"/>
    </row>
    <row r="5681" spans="1:11">
      <c r="A5681">
        <v>40</v>
      </c>
      <c r="B5681" s="64">
        <v>40928</v>
      </c>
      <c r="C5681" s="2">
        <v>811365.42</v>
      </c>
      <c r="D5681">
        <v>0</v>
      </c>
      <c r="E5681" s="65">
        <v>14.02</v>
      </c>
      <c r="F5681" s="8">
        <v>3.542</v>
      </c>
      <c r="G5681" s="66">
        <v>136.8564194</v>
      </c>
      <c r="H5681" s="8">
        <v>4.261</v>
      </c>
      <c r="J5681" s="26"/>
      <c r="K5681"/>
    </row>
    <row r="5682" spans="1:11">
      <c r="A5682">
        <v>40</v>
      </c>
      <c r="B5682" s="64">
        <v>40935</v>
      </c>
      <c r="C5682" s="2">
        <v>770157.29</v>
      </c>
      <c r="D5682">
        <v>0</v>
      </c>
      <c r="E5682" s="65">
        <v>22.91</v>
      </c>
      <c r="F5682" s="8">
        <v>3.568</v>
      </c>
      <c r="G5682" s="66">
        <v>136.9598387</v>
      </c>
      <c r="H5682" s="8">
        <v>4.261</v>
      </c>
      <c r="J5682" s="26"/>
      <c r="K5682"/>
    </row>
    <row r="5683" spans="1:11">
      <c r="A5683">
        <v>40</v>
      </c>
      <c r="B5683" s="64">
        <v>40942</v>
      </c>
      <c r="C5683" s="2">
        <v>979552.34</v>
      </c>
      <c r="D5683">
        <v>0</v>
      </c>
      <c r="E5683" s="65">
        <v>27.86</v>
      </c>
      <c r="F5683" s="8">
        <v>3.633</v>
      </c>
      <c r="G5683" s="66">
        <v>137.0632581</v>
      </c>
      <c r="H5683" s="8">
        <v>4.261</v>
      </c>
      <c r="J5683" s="26"/>
      <c r="K5683"/>
    </row>
    <row r="5684" spans="1:11">
      <c r="A5684">
        <v>40</v>
      </c>
      <c r="B5684" s="64">
        <v>40949</v>
      </c>
      <c r="C5684" s="2">
        <v>999785.48</v>
      </c>
      <c r="D5684">
        <v>1</v>
      </c>
      <c r="E5684" s="65">
        <v>23.92</v>
      </c>
      <c r="F5684" s="8">
        <v>3.655</v>
      </c>
      <c r="G5684" s="66">
        <v>137.1666774</v>
      </c>
      <c r="H5684" s="8">
        <v>4.261</v>
      </c>
      <c r="J5684" s="26"/>
      <c r="K5684"/>
    </row>
    <row r="5685" spans="1:11">
      <c r="A5685">
        <v>40</v>
      </c>
      <c r="B5685" s="64">
        <v>40956</v>
      </c>
      <c r="C5685" s="2">
        <v>975500.87</v>
      </c>
      <c r="D5685">
        <v>0</v>
      </c>
      <c r="E5685" s="65">
        <v>25.56</v>
      </c>
      <c r="F5685" s="8">
        <v>3.703</v>
      </c>
      <c r="G5685" s="66">
        <v>137.2583103</v>
      </c>
      <c r="H5685" s="8">
        <v>4.261</v>
      </c>
      <c r="J5685" s="26"/>
      <c r="K5685"/>
    </row>
    <row r="5686" spans="1:11">
      <c r="A5686">
        <v>40</v>
      </c>
      <c r="B5686" s="64">
        <v>40963</v>
      </c>
      <c r="C5686" s="2">
        <v>919301.81</v>
      </c>
      <c r="D5686">
        <v>0</v>
      </c>
      <c r="E5686" s="65">
        <v>29.88</v>
      </c>
      <c r="F5686" s="8">
        <v>3.751</v>
      </c>
      <c r="G5686" s="66">
        <v>137.3411034</v>
      </c>
      <c r="H5686" s="8">
        <v>4.261</v>
      </c>
      <c r="J5686" s="26"/>
      <c r="K5686"/>
    </row>
    <row r="5687" spans="1:11">
      <c r="A5687">
        <v>40</v>
      </c>
      <c r="B5687" s="64">
        <v>40970</v>
      </c>
      <c r="C5687" s="2">
        <v>927732.02</v>
      </c>
      <c r="D5687">
        <v>0</v>
      </c>
      <c r="E5687" s="65">
        <v>23.79</v>
      </c>
      <c r="F5687" s="8">
        <v>3.827</v>
      </c>
      <c r="G5687" s="66">
        <v>137.4238966</v>
      </c>
      <c r="H5687" s="8">
        <v>4.261</v>
      </c>
      <c r="J5687" s="26"/>
      <c r="K5687"/>
    </row>
    <row r="5688" spans="1:11">
      <c r="A5688">
        <v>40</v>
      </c>
      <c r="B5688" s="64">
        <v>40977</v>
      </c>
      <c r="C5688" s="2">
        <v>954233.87</v>
      </c>
      <c r="D5688">
        <v>0</v>
      </c>
      <c r="E5688" s="65">
        <v>30.58</v>
      </c>
      <c r="F5688" s="8">
        <v>3.876</v>
      </c>
      <c r="G5688" s="66">
        <v>137.5066897</v>
      </c>
      <c r="H5688" s="8">
        <v>4.261</v>
      </c>
      <c r="J5688" s="26"/>
      <c r="K5688"/>
    </row>
    <row r="5689" spans="1:11">
      <c r="A5689">
        <v>40</v>
      </c>
      <c r="B5689" s="64">
        <v>40984</v>
      </c>
      <c r="C5689" s="2">
        <v>891154.18</v>
      </c>
      <c r="D5689">
        <v>0</v>
      </c>
      <c r="E5689" s="65">
        <v>37.13</v>
      </c>
      <c r="F5689" s="8">
        <v>3.867</v>
      </c>
      <c r="G5689" s="66">
        <v>137.5843871</v>
      </c>
      <c r="H5689" s="8">
        <v>4.261</v>
      </c>
      <c r="J5689" s="26"/>
      <c r="K5689"/>
    </row>
    <row r="5690" spans="1:11">
      <c r="A5690">
        <v>40</v>
      </c>
      <c r="B5690" s="64">
        <v>40991</v>
      </c>
      <c r="C5690" s="2">
        <v>844490.86</v>
      </c>
      <c r="D5690">
        <v>0</v>
      </c>
      <c r="E5690" s="65">
        <v>52.27</v>
      </c>
      <c r="F5690" s="8">
        <v>3.889</v>
      </c>
      <c r="G5690" s="66">
        <v>137.6552903</v>
      </c>
      <c r="H5690" s="8">
        <v>4.261</v>
      </c>
      <c r="J5690" s="26"/>
      <c r="K5690"/>
    </row>
    <row r="5691" spans="1:11">
      <c r="A5691">
        <v>40</v>
      </c>
      <c r="B5691" s="64">
        <v>40998</v>
      </c>
      <c r="C5691" s="2">
        <v>871945.64</v>
      </c>
      <c r="D5691">
        <v>0</v>
      </c>
      <c r="E5691" s="65">
        <v>36.25</v>
      </c>
      <c r="F5691" s="8">
        <v>3.921</v>
      </c>
      <c r="G5691" s="66">
        <v>137.7261935</v>
      </c>
      <c r="H5691" s="8">
        <v>4.261</v>
      </c>
      <c r="J5691" s="26"/>
      <c r="K5691"/>
    </row>
    <row r="5692" spans="1:11">
      <c r="A5692">
        <v>40</v>
      </c>
      <c r="B5692" s="64">
        <v>41005</v>
      </c>
      <c r="C5692" s="2">
        <v>1132064.23</v>
      </c>
      <c r="D5692">
        <v>0</v>
      </c>
      <c r="E5692" s="65">
        <v>36.54</v>
      </c>
      <c r="F5692" s="8">
        <v>3.957</v>
      </c>
      <c r="G5692" s="66">
        <v>137.7970968</v>
      </c>
      <c r="H5692" s="8">
        <v>4.125</v>
      </c>
      <c r="J5692" s="26"/>
      <c r="K5692"/>
    </row>
    <row r="5693" spans="1:11">
      <c r="A5693">
        <v>40</v>
      </c>
      <c r="B5693" s="64">
        <v>41012</v>
      </c>
      <c r="C5693" s="2">
        <v>857811.17</v>
      </c>
      <c r="D5693">
        <v>0</v>
      </c>
      <c r="E5693" s="65">
        <v>40.65</v>
      </c>
      <c r="F5693" s="8">
        <v>4.025</v>
      </c>
      <c r="G5693" s="66">
        <v>137.868</v>
      </c>
      <c r="H5693" s="8">
        <v>4.125</v>
      </c>
      <c r="J5693" s="26"/>
      <c r="K5693"/>
    </row>
    <row r="5694" spans="1:11">
      <c r="A5694">
        <v>40</v>
      </c>
      <c r="B5694" s="64">
        <v>41019</v>
      </c>
      <c r="C5694" s="2">
        <v>896979.93</v>
      </c>
      <c r="D5694">
        <v>0</v>
      </c>
      <c r="E5694" s="65">
        <v>55.3</v>
      </c>
      <c r="F5694" s="8">
        <v>4.046</v>
      </c>
      <c r="G5694" s="66">
        <v>137.9230667</v>
      </c>
      <c r="H5694" s="8">
        <v>4.125</v>
      </c>
      <c r="J5694" s="26"/>
      <c r="K5694"/>
    </row>
    <row r="5695" spans="1:11">
      <c r="A5695">
        <v>40</v>
      </c>
      <c r="B5695" s="64">
        <v>41026</v>
      </c>
      <c r="C5695" s="2">
        <v>875372.91</v>
      </c>
      <c r="D5695">
        <v>0</v>
      </c>
      <c r="E5695" s="65">
        <v>47.51</v>
      </c>
      <c r="F5695" s="8">
        <v>4.023</v>
      </c>
      <c r="G5695" s="66">
        <v>137.9781333</v>
      </c>
      <c r="H5695" s="8">
        <v>4.125</v>
      </c>
      <c r="J5695" s="26"/>
      <c r="K5695"/>
    </row>
    <row r="5696" spans="1:11">
      <c r="A5696">
        <v>40</v>
      </c>
      <c r="B5696" s="64">
        <v>41033</v>
      </c>
      <c r="C5696" s="2">
        <v>993311.59</v>
      </c>
      <c r="D5696">
        <v>0</v>
      </c>
      <c r="E5696" s="65">
        <v>44.47</v>
      </c>
      <c r="F5696" s="8">
        <v>3.991</v>
      </c>
      <c r="G5696" s="66">
        <v>138.0332</v>
      </c>
      <c r="H5696" s="8">
        <v>4.125</v>
      </c>
      <c r="J5696" s="26"/>
      <c r="K5696"/>
    </row>
    <row r="5697" spans="1:11">
      <c r="A5697">
        <v>40</v>
      </c>
      <c r="B5697" s="64">
        <v>41040</v>
      </c>
      <c r="C5697" s="2">
        <v>967729.35</v>
      </c>
      <c r="D5697">
        <v>0</v>
      </c>
      <c r="E5697" s="65">
        <v>52.06</v>
      </c>
      <c r="F5697" s="8">
        <v>3.947</v>
      </c>
      <c r="G5697" s="66">
        <v>138.0882667</v>
      </c>
      <c r="H5697" s="8">
        <v>4.125</v>
      </c>
      <c r="J5697" s="26"/>
      <c r="K5697"/>
    </row>
    <row r="5698" spans="1:11">
      <c r="A5698">
        <v>40</v>
      </c>
      <c r="B5698" s="64">
        <v>41047</v>
      </c>
      <c r="C5698" s="2">
        <v>896295.41</v>
      </c>
      <c r="D5698">
        <v>0</v>
      </c>
      <c r="E5698" s="65">
        <v>57.59</v>
      </c>
      <c r="F5698" s="8">
        <v>3.899</v>
      </c>
      <c r="G5698" s="66">
        <v>138.1065806</v>
      </c>
      <c r="H5698" s="8">
        <v>4.125</v>
      </c>
      <c r="J5698" s="26"/>
      <c r="K5698"/>
    </row>
    <row r="5699" spans="1:11">
      <c r="A5699">
        <v>40</v>
      </c>
      <c r="B5699" s="64">
        <v>41054</v>
      </c>
      <c r="C5699" s="2">
        <v>991054.49</v>
      </c>
      <c r="D5699">
        <v>0</v>
      </c>
      <c r="E5699" s="65">
        <v>65.25</v>
      </c>
      <c r="F5699" s="8">
        <v>3.85</v>
      </c>
      <c r="G5699" s="66">
        <v>138.1101935</v>
      </c>
      <c r="H5699" s="8">
        <v>4.125</v>
      </c>
      <c r="J5699" s="26"/>
      <c r="K5699"/>
    </row>
    <row r="5700" spans="1:11">
      <c r="A5700">
        <v>40</v>
      </c>
      <c r="B5700" s="64">
        <v>41061</v>
      </c>
      <c r="C5700" s="2">
        <v>1037464.27</v>
      </c>
      <c r="D5700">
        <v>0</v>
      </c>
      <c r="E5700" s="65">
        <v>64.75</v>
      </c>
      <c r="F5700" s="8">
        <v>3.798</v>
      </c>
      <c r="G5700" s="66">
        <v>138.1138065</v>
      </c>
      <c r="H5700" s="8">
        <v>4.125</v>
      </c>
      <c r="J5700" s="26"/>
      <c r="K5700"/>
    </row>
    <row r="5701" spans="1:11">
      <c r="A5701">
        <v>40</v>
      </c>
      <c r="B5701" s="64">
        <v>41068</v>
      </c>
      <c r="C5701" s="2">
        <v>1079386.88</v>
      </c>
      <c r="D5701">
        <v>0</v>
      </c>
      <c r="E5701" s="65">
        <v>55.78</v>
      </c>
      <c r="F5701" s="8">
        <v>3.746</v>
      </c>
      <c r="G5701" s="66">
        <v>138.1174194</v>
      </c>
      <c r="H5701" s="8">
        <v>4.125</v>
      </c>
      <c r="J5701" s="26"/>
      <c r="K5701"/>
    </row>
    <row r="5702" spans="1:11">
      <c r="A5702">
        <v>40</v>
      </c>
      <c r="B5702" s="64">
        <v>41075</v>
      </c>
      <c r="C5702" s="2">
        <v>977950.28</v>
      </c>
      <c r="D5702">
        <v>0</v>
      </c>
      <c r="E5702" s="65">
        <v>63.39</v>
      </c>
      <c r="F5702" s="8">
        <v>3.683</v>
      </c>
      <c r="G5702" s="66">
        <v>138.1295333</v>
      </c>
      <c r="H5702" s="8">
        <v>4.125</v>
      </c>
      <c r="J5702" s="26"/>
      <c r="K5702"/>
    </row>
    <row r="5703" spans="1:11">
      <c r="A5703">
        <v>40</v>
      </c>
      <c r="B5703" s="64">
        <v>41082</v>
      </c>
      <c r="C5703" s="2">
        <v>1033552.18</v>
      </c>
      <c r="D5703">
        <v>0</v>
      </c>
      <c r="E5703" s="65">
        <v>69.32</v>
      </c>
      <c r="F5703" s="8">
        <v>3.629</v>
      </c>
      <c r="G5703" s="66">
        <v>138.1629</v>
      </c>
      <c r="H5703" s="8">
        <v>4.125</v>
      </c>
      <c r="J5703" s="26"/>
      <c r="K5703"/>
    </row>
    <row r="5704" spans="1:11">
      <c r="A5704">
        <v>40</v>
      </c>
      <c r="B5704" s="64">
        <v>41089</v>
      </c>
      <c r="C5704" s="2">
        <v>988764.84</v>
      </c>
      <c r="D5704">
        <v>0</v>
      </c>
      <c r="E5704" s="65">
        <v>64.42</v>
      </c>
      <c r="F5704" s="8">
        <v>3.577</v>
      </c>
      <c r="G5704" s="66">
        <v>138.1962667</v>
      </c>
      <c r="H5704" s="8">
        <v>4.125</v>
      </c>
      <c r="J5704" s="26"/>
      <c r="K5704"/>
    </row>
    <row r="5705" spans="1:11">
      <c r="A5705">
        <v>40</v>
      </c>
      <c r="B5705" s="64">
        <v>41096</v>
      </c>
      <c r="C5705" s="2">
        <v>1182901.56</v>
      </c>
      <c r="D5705">
        <v>0</v>
      </c>
      <c r="E5705" s="65">
        <v>69.08</v>
      </c>
      <c r="F5705" s="8">
        <v>3.538</v>
      </c>
      <c r="G5705" s="66">
        <v>138.2296333</v>
      </c>
      <c r="H5705" s="8">
        <v>4.156</v>
      </c>
      <c r="J5705" s="26"/>
      <c r="K5705"/>
    </row>
    <row r="5706" spans="1:11">
      <c r="A5706">
        <v>40</v>
      </c>
      <c r="B5706" s="64">
        <v>41103</v>
      </c>
      <c r="C5706" s="2">
        <v>979848.71</v>
      </c>
      <c r="D5706">
        <v>0</v>
      </c>
      <c r="E5706" s="65">
        <v>67.48</v>
      </c>
      <c r="F5706" s="8">
        <v>3.561</v>
      </c>
      <c r="G5706" s="66">
        <v>138.263</v>
      </c>
      <c r="H5706" s="8">
        <v>4.156</v>
      </c>
      <c r="J5706" s="26"/>
      <c r="K5706"/>
    </row>
    <row r="5707" spans="1:11">
      <c r="A5707">
        <v>40</v>
      </c>
      <c r="B5707" s="64">
        <v>41110</v>
      </c>
      <c r="C5707" s="2">
        <v>968502.38</v>
      </c>
      <c r="D5707">
        <v>0</v>
      </c>
      <c r="E5707" s="65">
        <v>70.45</v>
      </c>
      <c r="F5707" s="8">
        <v>3.61</v>
      </c>
      <c r="G5707" s="66">
        <v>138.2331935</v>
      </c>
      <c r="H5707" s="8">
        <v>4.156</v>
      </c>
      <c r="J5707" s="26"/>
      <c r="K5707"/>
    </row>
    <row r="5708" spans="1:11">
      <c r="A5708">
        <v>40</v>
      </c>
      <c r="B5708" s="64">
        <v>41117</v>
      </c>
      <c r="C5708" s="2">
        <v>954396.85</v>
      </c>
      <c r="D5708">
        <v>0</v>
      </c>
      <c r="E5708" s="65">
        <v>67.88</v>
      </c>
      <c r="F5708" s="8">
        <v>3.701</v>
      </c>
      <c r="G5708" s="66">
        <v>138.2033871</v>
      </c>
      <c r="H5708" s="8">
        <v>4.156</v>
      </c>
      <c r="J5708" s="26"/>
      <c r="K5708"/>
    </row>
    <row r="5709" spans="1:11">
      <c r="A5709">
        <v>40</v>
      </c>
      <c r="B5709" s="64">
        <v>41124</v>
      </c>
      <c r="C5709" s="2">
        <v>1068346.76</v>
      </c>
      <c r="D5709">
        <v>0</v>
      </c>
      <c r="E5709" s="65">
        <v>70.15</v>
      </c>
      <c r="F5709" s="8">
        <v>3.698</v>
      </c>
      <c r="G5709" s="66">
        <v>138.1735806</v>
      </c>
      <c r="H5709" s="8">
        <v>4.156</v>
      </c>
      <c r="J5709" s="26"/>
      <c r="K5709"/>
    </row>
    <row r="5710" spans="1:11">
      <c r="A5710">
        <v>40</v>
      </c>
      <c r="B5710" s="64">
        <v>41131</v>
      </c>
      <c r="C5710" s="2">
        <v>1007906.43</v>
      </c>
      <c r="D5710">
        <v>0</v>
      </c>
      <c r="E5710" s="65">
        <v>70.09</v>
      </c>
      <c r="F5710" s="8">
        <v>3.772</v>
      </c>
      <c r="G5710" s="66">
        <v>138.1437742</v>
      </c>
      <c r="H5710" s="8">
        <v>4.156</v>
      </c>
      <c r="J5710" s="26"/>
      <c r="K5710"/>
    </row>
    <row r="5711" spans="1:11">
      <c r="A5711">
        <v>40</v>
      </c>
      <c r="B5711" s="64">
        <v>41138</v>
      </c>
      <c r="C5711" s="2">
        <v>969387.48</v>
      </c>
      <c r="D5711">
        <v>0</v>
      </c>
      <c r="E5711" s="65">
        <v>69.41</v>
      </c>
      <c r="F5711" s="8">
        <v>3.84</v>
      </c>
      <c r="G5711" s="66">
        <v>138.1857097</v>
      </c>
      <c r="H5711" s="8">
        <v>4.156</v>
      </c>
      <c r="J5711" s="26"/>
      <c r="K5711"/>
    </row>
    <row r="5712" spans="1:11">
      <c r="A5712">
        <v>40</v>
      </c>
      <c r="B5712" s="64">
        <v>41145</v>
      </c>
      <c r="C5712" s="2">
        <v>945318.47</v>
      </c>
      <c r="D5712">
        <v>0</v>
      </c>
      <c r="E5712" s="65">
        <v>63.91</v>
      </c>
      <c r="F5712" s="8">
        <v>3.874</v>
      </c>
      <c r="G5712" s="66">
        <v>138.2814516</v>
      </c>
      <c r="H5712" s="8">
        <v>4.156</v>
      </c>
      <c r="J5712" s="26"/>
      <c r="K5712"/>
    </row>
    <row r="5713" spans="1:11">
      <c r="A5713">
        <v>40</v>
      </c>
      <c r="B5713" s="64">
        <v>41152</v>
      </c>
      <c r="C5713" s="2">
        <v>987264.67</v>
      </c>
      <c r="D5713">
        <v>0</v>
      </c>
      <c r="E5713" s="65">
        <v>66.11</v>
      </c>
      <c r="F5713" s="8">
        <v>3.884</v>
      </c>
      <c r="G5713" s="66">
        <v>138.3771935</v>
      </c>
      <c r="H5713" s="8">
        <v>4.156</v>
      </c>
      <c r="J5713" s="26"/>
      <c r="K5713"/>
    </row>
    <row r="5714" spans="1:11">
      <c r="A5714">
        <v>40</v>
      </c>
      <c r="B5714" s="64">
        <v>41159</v>
      </c>
      <c r="C5714" s="2">
        <v>1088248.4</v>
      </c>
      <c r="D5714">
        <v>1</v>
      </c>
      <c r="E5714" s="65">
        <v>65.06</v>
      </c>
      <c r="F5714" s="8">
        <v>3.921</v>
      </c>
      <c r="G5714" s="66">
        <v>138.4729355</v>
      </c>
      <c r="H5714" s="8">
        <v>4.156</v>
      </c>
      <c r="J5714" s="26"/>
      <c r="K5714"/>
    </row>
    <row r="5715" spans="1:11">
      <c r="A5715">
        <v>40</v>
      </c>
      <c r="B5715" s="64">
        <v>41166</v>
      </c>
      <c r="C5715" s="2">
        <v>901709.82</v>
      </c>
      <c r="D5715">
        <v>0</v>
      </c>
      <c r="E5715" s="65">
        <v>59.38</v>
      </c>
      <c r="F5715" s="8">
        <v>3.988</v>
      </c>
      <c r="G5715" s="66">
        <v>138.5673</v>
      </c>
      <c r="H5715" s="8">
        <v>4.156</v>
      </c>
      <c r="J5715" s="26"/>
      <c r="K5715"/>
    </row>
    <row r="5716" spans="1:11">
      <c r="A5716">
        <v>40</v>
      </c>
      <c r="B5716" s="64">
        <v>41173</v>
      </c>
      <c r="C5716" s="2">
        <v>899768.4</v>
      </c>
      <c r="D5716">
        <v>0</v>
      </c>
      <c r="E5716" s="65">
        <v>54.12</v>
      </c>
      <c r="F5716" s="8">
        <v>4.056</v>
      </c>
      <c r="G5716" s="66">
        <v>138.6534</v>
      </c>
      <c r="H5716" s="8">
        <v>4.156</v>
      </c>
      <c r="J5716" s="26"/>
      <c r="K5716"/>
    </row>
    <row r="5717" spans="1:11">
      <c r="A5717">
        <v>40</v>
      </c>
      <c r="B5717" s="64">
        <v>41180</v>
      </c>
      <c r="C5717" s="2">
        <v>919595.44</v>
      </c>
      <c r="D5717">
        <v>0</v>
      </c>
      <c r="E5717" s="65">
        <v>50.98</v>
      </c>
      <c r="F5717" s="8">
        <v>4.018</v>
      </c>
      <c r="G5717" s="66">
        <v>138.7395</v>
      </c>
      <c r="H5717" s="8">
        <v>4.156</v>
      </c>
      <c r="J5717" s="26"/>
      <c r="K5717"/>
    </row>
    <row r="5718" spans="1:11">
      <c r="A5718">
        <v>40</v>
      </c>
      <c r="B5718" s="64">
        <v>41187</v>
      </c>
      <c r="C5718" s="2">
        <v>1069112</v>
      </c>
      <c r="D5718">
        <v>0</v>
      </c>
      <c r="E5718" s="65">
        <v>57.21</v>
      </c>
      <c r="F5718" s="8">
        <v>4.027</v>
      </c>
      <c r="G5718" s="66">
        <v>138.8256</v>
      </c>
      <c r="H5718" s="8">
        <v>4.145</v>
      </c>
      <c r="J5718" s="26"/>
      <c r="K5718"/>
    </row>
    <row r="5719" spans="1:11">
      <c r="A5719">
        <v>40</v>
      </c>
      <c r="B5719" s="64">
        <v>41194</v>
      </c>
      <c r="C5719" s="2">
        <v>982523.26</v>
      </c>
      <c r="D5719">
        <v>0</v>
      </c>
      <c r="E5719" s="65">
        <v>47.35</v>
      </c>
      <c r="F5719" s="8">
        <v>4.029</v>
      </c>
      <c r="G5719" s="66">
        <v>138.9117</v>
      </c>
      <c r="H5719" s="8">
        <v>4.145</v>
      </c>
      <c r="J5719" s="26"/>
      <c r="K5719"/>
    </row>
    <row r="5720" spans="1:11">
      <c r="A5720">
        <v>40</v>
      </c>
      <c r="B5720" s="64">
        <v>41201</v>
      </c>
      <c r="C5720" s="2">
        <v>918170.5</v>
      </c>
      <c r="D5720">
        <v>0</v>
      </c>
      <c r="E5720" s="65">
        <v>46.33</v>
      </c>
      <c r="F5720" s="8">
        <v>4</v>
      </c>
      <c r="G5720" s="66">
        <v>138.8336129</v>
      </c>
      <c r="H5720" s="8">
        <v>4.145</v>
      </c>
      <c r="J5720" s="26"/>
      <c r="K5720"/>
    </row>
    <row r="5721" spans="1:11">
      <c r="A5721">
        <v>40</v>
      </c>
      <c r="B5721" s="64">
        <v>41208</v>
      </c>
      <c r="C5721" s="2">
        <v>921264.52</v>
      </c>
      <c r="D5721">
        <v>0</v>
      </c>
      <c r="E5721" s="65">
        <v>49.65</v>
      </c>
      <c r="F5721" s="8">
        <v>3.917</v>
      </c>
      <c r="G5721" s="66">
        <v>138.7281613</v>
      </c>
      <c r="H5721" s="8">
        <v>4.145</v>
      </c>
      <c r="J5721" s="26"/>
      <c r="K5721"/>
    </row>
    <row r="5722" spans="1:11">
      <c r="A5722">
        <v>41</v>
      </c>
      <c r="B5722" s="64">
        <v>40214</v>
      </c>
      <c r="C5722" s="2">
        <v>1086533.18</v>
      </c>
      <c r="D5722">
        <v>0</v>
      </c>
      <c r="E5722" s="65">
        <v>30.27</v>
      </c>
      <c r="F5722" s="8">
        <v>2.58</v>
      </c>
      <c r="G5722" s="66">
        <v>189.3816974</v>
      </c>
      <c r="H5722" s="8">
        <v>7.541</v>
      </c>
      <c r="J5722" s="26"/>
      <c r="K5722"/>
    </row>
    <row r="5723" spans="1:11">
      <c r="A5723">
        <v>41</v>
      </c>
      <c r="B5723" s="64">
        <v>40221</v>
      </c>
      <c r="C5723" s="2">
        <v>1075656.34</v>
      </c>
      <c r="D5723">
        <v>1</v>
      </c>
      <c r="E5723" s="65">
        <v>23.04</v>
      </c>
      <c r="F5723" s="8">
        <v>2.572</v>
      </c>
      <c r="G5723" s="66">
        <v>189.4642725</v>
      </c>
      <c r="H5723" s="8">
        <v>7.541</v>
      </c>
      <c r="J5723" s="26"/>
      <c r="K5723"/>
    </row>
    <row r="5724" spans="1:11">
      <c r="A5724">
        <v>41</v>
      </c>
      <c r="B5724" s="64">
        <v>40228</v>
      </c>
      <c r="C5724" s="2">
        <v>1052034.74</v>
      </c>
      <c r="D5724">
        <v>0</v>
      </c>
      <c r="E5724" s="65">
        <v>24.13</v>
      </c>
      <c r="F5724" s="8">
        <v>2.55</v>
      </c>
      <c r="G5724" s="66">
        <v>189.5340998</v>
      </c>
      <c r="H5724" s="8">
        <v>7.541</v>
      </c>
      <c r="J5724" s="26"/>
      <c r="K5724"/>
    </row>
    <row r="5725" spans="1:11">
      <c r="A5725">
        <v>41</v>
      </c>
      <c r="B5725" s="64">
        <v>40235</v>
      </c>
      <c r="C5725" s="2">
        <v>991941.73</v>
      </c>
      <c r="D5725">
        <v>0</v>
      </c>
      <c r="E5725" s="65">
        <v>21.84</v>
      </c>
      <c r="F5725" s="8">
        <v>2.586</v>
      </c>
      <c r="G5725" s="66">
        <v>189.6018023</v>
      </c>
      <c r="H5725" s="8">
        <v>7.541</v>
      </c>
      <c r="J5725" s="26"/>
      <c r="K5725"/>
    </row>
    <row r="5726" spans="1:11">
      <c r="A5726">
        <v>41</v>
      </c>
      <c r="B5726" s="64">
        <v>40242</v>
      </c>
      <c r="C5726" s="2">
        <v>1063557.49</v>
      </c>
      <c r="D5726">
        <v>0</v>
      </c>
      <c r="E5726" s="65">
        <v>32.49</v>
      </c>
      <c r="F5726" s="8">
        <v>2.62</v>
      </c>
      <c r="G5726" s="66">
        <v>189.6695049</v>
      </c>
      <c r="H5726" s="8">
        <v>7.541</v>
      </c>
      <c r="J5726" s="26"/>
      <c r="K5726"/>
    </row>
    <row r="5727" spans="1:11">
      <c r="A5727">
        <v>41</v>
      </c>
      <c r="B5727" s="64">
        <v>40249</v>
      </c>
      <c r="C5727" s="2">
        <v>1023997.71</v>
      </c>
      <c r="D5727">
        <v>0</v>
      </c>
      <c r="E5727" s="65">
        <v>33.4</v>
      </c>
      <c r="F5727" s="8">
        <v>2.684</v>
      </c>
      <c r="G5727" s="66">
        <v>189.7372075</v>
      </c>
      <c r="H5727" s="8">
        <v>7.541</v>
      </c>
      <c r="J5727" s="26"/>
      <c r="K5727"/>
    </row>
    <row r="5728" spans="1:11">
      <c r="A5728">
        <v>41</v>
      </c>
      <c r="B5728" s="64">
        <v>40256</v>
      </c>
      <c r="C5728" s="2">
        <v>1006597.69</v>
      </c>
      <c r="D5728">
        <v>0</v>
      </c>
      <c r="E5728" s="65">
        <v>36.7</v>
      </c>
      <c r="F5728" s="8">
        <v>2.692</v>
      </c>
      <c r="G5728" s="66">
        <v>189.734262</v>
      </c>
      <c r="H5728" s="8">
        <v>7.541</v>
      </c>
      <c r="J5728" s="26"/>
      <c r="K5728"/>
    </row>
    <row r="5729" spans="1:11">
      <c r="A5729">
        <v>41</v>
      </c>
      <c r="B5729" s="64">
        <v>40263</v>
      </c>
      <c r="C5729" s="2">
        <v>1015196.46</v>
      </c>
      <c r="D5729">
        <v>0</v>
      </c>
      <c r="E5729" s="65">
        <v>32.3</v>
      </c>
      <c r="F5729" s="8">
        <v>2.717</v>
      </c>
      <c r="G5729" s="66">
        <v>189.7195417</v>
      </c>
      <c r="H5729" s="8">
        <v>7.541</v>
      </c>
      <c r="J5729" s="26"/>
      <c r="K5729"/>
    </row>
    <row r="5730" spans="1:11">
      <c r="A5730">
        <v>41</v>
      </c>
      <c r="B5730" s="64">
        <v>40270</v>
      </c>
      <c r="C5730" s="2">
        <v>1168826.39</v>
      </c>
      <c r="D5730">
        <v>0</v>
      </c>
      <c r="E5730" s="65">
        <v>41.31</v>
      </c>
      <c r="F5730" s="8">
        <v>2.725</v>
      </c>
      <c r="G5730" s="66">
        <v>189.7048215</v>
      </c>
      <c r="H5730" s="8">
        <v>7.363</v>
      </c>
      <c r="J5730" s="26"/>
      <c r="K5730"/>
    </row>
    <row r="5731" spans="1:11">
      <c r="A5731">
        <v>41</v>
      </c>
      <c r="B5731" s="64">
        <v>40277</v>
      </c>
      <c r="C5731" s="2">
        <v>1082158.21</v>
      </c>
      <c r="D5731">
        <v>0</v>
      </c>
      <c r="E5731" s="65">
        <v>37.3</v>
      </c>
      <c r="F5731" s="8">
        <v>2.75</v>
      </c>
      <c r="G5731" s="66">
        <v>189.6901012</v>
      </c>
      <c r="H5731" s="8">
        <v>7.363</v>
      </c>
      <c r="J5731" s="26"/>
      <c r="K5731"/>
    </row>
    <row r="5732" spans="1:11">
      <c r="A5732">
        <v>41</v>
      </c>
      <c r="B5732" s="64">
        <v>40284</v>
      </c>
      <c r="C5732" s="2">
        <v>1043388.79</v>
      </c>
      <c r="D5732">
        <v>0</v>
      </c>
      <c r="E5732" s="65">
        <v>46.79</v>
      </c>
      <c r="F5732" s="8">
        <v>2.765</v>
      </c>
      <c r="G5732" s="66">
        <v>189.6628845</v>
      </c>
      <c r="H5732" s="8">
        <v>7.363</v>
      </c>
      <c r="J5732" s="26"/>
      <c r="K5732"/>
    </row>
    <row r="5733" spans="1:11">
      <c r="A5733">
        <v>41</v>
      </c>
      <c r="B5733" s="64">
        <v>40291</v>
      </c>
      <c r="C5733" s="2">
        <v>1067340.74</v>
      </c>
      <c r="D5733">
        <v>0</v>
      </c>
      <c r="E5733" s="65">
        <v>45.29</v>
      </c>
      <c r="F5733" s="8">
        <v>2.776</v>
      </c>
      <c r="G5733" s="66">
        <v>189.6190057</v>
      </c>
      <c r="H5733" s="8">
        <v>7.363</v>
      </c>
      <c r="J5733" s="26"/>
      <c r="K5733"/>
    </row>
    <row r="5734" spans="1:11">
      <c r="A5734">
        <v>41</v>
      </c>
      <c r="B5734" s="64">
        <v>40298</v>
      </c>
      <c r="C5734" s="2">
        <v>1063960.11</v>
      </c>
      <c r="D5734">
        <v>0</v>
      </c>
      <c r="E5734" s="65">
        <v>40.2</v>
      </c>
      <c r="F5734" s="8">
        <v>2.766</v>
      </c>
      <c r="G5734" s="66">
        <v>189.575127</v>
      </c>
      <c r="H5734" s="8">
        <v>7.363</v>
      </c>
      <c r="J5734" s="26"/>
      <c r="K5734"/>
    </row>
    <row r="5735" spans="1:11">
      <c r="A5735">
        <v>41</v>
      </c>
      <c r="B5735" s="64">
        <v>40305</v>
      </c>
      <c r="C5735" s="2">
        <v>1175738.22</v>
      </c>
      <c r="D5735">
        <v>0</v>
      </c>
      <c r="E5735" s="65">
        <v>41.5</v>
      </c>
      <c r="F5735" s="8">
        <v>2.771</v>
      </c>
      <c r="G5735" s="66">
        <v>189.5312483</v>
      </c>
      <c r="H5735" s="8">
        <v>7.363</v>
      </c>
      <c r="J5735" s="26"/>
      <c r="K5735"/>
    </row>
    <row r="5736" spans="1:11">
      <c r="A5736">
        <v>41</v>
      </c>
      <c r="B5736" s="64">
        <v>40312</v>
      </c>
      <c r="C5736" s="2">
        <v>1116439.02</v>
      </c>
      <c r="D5736">
        <v>0</v>
      </c>
      <c r="E5736" s="65">
        <v>40.23</v>
      </c>
      <c r="F5736" s="8">
        <v>2.788</v>
      </c>
      <c r="G5736" s="66">
        <v>189.4904116</v>
      </c>
      <c r="H5736" s="8">
        <v>7.363</v>
      </c>
      <c r="J5736" s="26"/>
      <c r="K5736"/>
    </row>
    <row r="5737" spans="1:11">
      <c r="A5737">
        <v>41</v>
      </c>
      <c r="B5737" s="64">
        <v>40319</v>
      </c>
      <c r="C5737" s="2">
        <v>1163234.33</v>
      </c>
      <c r="D5737">
        <v>0</v>
      </c>
      <c r="E5737" s="65">
        <v>50.59</v>
      </c>
      <c r="F5737" s="8">
        <v>2.776</v>
      </c>
      <c r="G5737" s="66">
        <v>189.467827</v>
      </c>
      <c r="H5737" s="8">
        <v>7.363</v>
      </c>
      <c r="J5737" s="26"/>
      <c r="K5737"/>
    </row>
    <row r="5738" spans="1:11">
      <c r="A5738">
        <v>41</v>
      </c>
      <c r="B5738" s="64">
        <v>40326</v>
      </c>
      <c r="C5738" s="2">
        <v>1246654.24</v>
      </c>
      <c r="D5738">
        <v>0</v>
      </c>
      <c r="E5738" s="65">
        <v>56.97</v>
      </c>
      <c r="F5738" s="8">
        <v>2.737</v>
      </c>
      <c r="G5738" s="66">
        <v>189.4452425</v>
      </c>
      <c r="H5738" s="8">
        <v>7.363</v>
      </c>
      <c r="J5738" s="26"/>
      <c r="K5738"/>
    </row>
    <row r="5739" spans="1:11">
      <c r="A5739">
        <v>41</v>
      </c>
      <c r="B5739" s="64">
        <v>40333</v>
      </c>
      <c r="C5739" s="2">
        <v>1305068.1</v>
      </c>
      <c r="D5739">
        <v>0</v>
      </c>
      <c r="E5739" s="65">
        <v>60.13</v>
      </c>
      <c r="F5739" s="8">
        <v>2.7</v>
      </c>
      <c r="G5739" s="66">
        <v>189.422658</v>
      </c>
      <c r="H5739" s="8">
        <v>7.363</v>
      </c>
      <c r="J5739" s="26"/>
      <c r="K5739"/>
    </row>
    <row r="5740" spans="1:11">
      <c r="A5740">
        <v>41</v>
      </c>
      <c r="B5740" s="64">
        <v>40340</v>
      </c>
      <c r="C5740" s="2">
        <v>1217199.39</v>
      </c>
      <c r="D5740">
        <v>0</v>
      </c>
      <c r="E5740" s="65">
        <v>63.36</v>
      </c>
      <c r="F5740" s="8">
        <v>2.684</v>
      </c>
      <c r="G5740" s="66">
        <v>189.4000734</v>
      </c>
      <c r="H5740" s="8">
        <v>7.363</v>
      </c>
      <c r="J5740" s="26"/>
      <c r="K5740"/>
    </row>
    <row r="5741" spans="1:11">
      <c r="A5741">
        <v>41</v>
      </c>
      <c r="B5741" s="64">
        <v>40347</v>
      </c>
      <c r="C5741" s="2">
        <v>1202963.06</v>
      </c>
      <c r="D5741">
        <v>0</v>
      </c>
      <c r="E5741" s="65">
        <v>54.9</v>
      </c>
      <c r="F5741" s="8">
        <v>2.674</v>
      </c>
      <c r="G5741" s="66">
        <v>189.4185259</v>
      </c>
      <c r="H5741" s="8">
        <v>7.363</v>
      </c>
      <c r="J5741" s="26"/>
      <c r="K5741"/>
    </row>
    <row r="5742" spans="1:11">
      <c r="A5742">
        <v>41</v>
      </c>
      <c r="B5742" s="64">
        <v>40354</v>
      </c>
      <c r="C5742" s="2">
        <v>1174209.52</v>
      </c>
      <c r="D5742">
        <v>0</v>
      </c>
      <c r="E5742" s="65">
        <v>66</v>
      </c>
      <c r="F5742" s="8">
        <v>2.715</v>
      </c>
      <c r="G5742" s="66">
        <v>189.4533931</v>
      </c>
      <c r="H5742" s="8">
        <v>7.363</v>
      </c>
      <c r="J5742" s="26"/>
      <c r="K5742"/>
    </row>
    <row r="5743" spans="1:11">
      <c r="A5743">
        <v>41</v>
      </c>
      <c r="B5743" s="64">
        <v>40361</v>
      </c>
      <c r="C5743" s="2">
        <v>1273279.79</v>
      </c>
      <c r="D5743">
        <v>0</v>
      </c>
      <c r="E5743" s="65">
        <v>69.39</v>
      </c>
      <c r="F5743" s="8">
        <v>2.728</v>
      </c>
      <c r="G5743" s="66">
        <v>189.4882603</v>
      </c>
      <c r="H5743" s="8">
        <v>7.335</v>
      </c>
      <c r="J5743" s="26"/>
      <c r="K5743"/>
    </row>
    <row r="5744" spans="1:11">
      <c r="A5744">
        <v>41</v>
      </c>
      <c r="B5744" s="64">
        <v>40368</v>
      </c>
      <c r="C5744" s="2">
        <v>1176079.59</v>
      </c>
      <c r="D5744">
        <v>0</v>
      </c>
      <c r="E5744" s="65">
        <v>60.93</v>
      </c>
      <c r="F5744" s="8">
        <v>2.711</v>
      </c>
      <c r="G5744" s="66">
        <v>189.5231276</v>
      </c>
      <c r="H5744" s="8">
        <v>7.335</v>
      </c>
      <c r="J5744" s="26"/>
      <c r="K5744"/>
    </row>
    <row r="5745" spans="1:11">
      <c r="A5745">
        <v>41</v>
      </c>
      <c r="B5745" s="64">
        <v>40375</v>
      </c>
      <c r="C5745" s="2">
        <v>1179788.38</v>
      </c>
      <c r="D5745">
        <v>0</v>
      </c>
      <c r="E5745" s="65">
        <v>69.06</v>
      </c>
      <c r="F5745" s="8">
        <v>2.699</v>
      </c>
      <c r="G5745" s="66">
        <v>189.6125456</v>
      </c>
      <c r="H5745" s="8">
        <v>7.335</v>
      </c>
      <c r="J5745" s="26"/>
      <c r="K5745"/>
    </row>
    <row r="5746" spans="1:11">
      <c r="A5746">
        <v>41</v>
      </c>
      <c r="B5746" s="64">
        <v>40382</v>
      </c>
      <c r="C5746" s="2">
        <v>1192213.87</v>
      </c>
      <c r="D5746">
        <v>0</v>
      </c>
      <c r="E5746" s="65">
        <v>70.77</v>
      </c>
      <c r="F5746" s="8">
        <v>2.691</v>
      </c>
      <c r="G5746" s="66">
        <v>189.774698</v>
      </c>
      <c r="H5746" s="8">
        <v>7.335</v>
      </c>
      <c r="J5746" s="26"/>
      <c r="K5746"/>
    </row>
    <row r="5747" spans="1:11">
      <c r="A5747">
        <v>41</v>
      </c>
      <c r="B5747" s="64">
        <v>40389</v>
      </c>
      <c r="C5747" s="2">
        <v>1211136.63</v>
      </c>
      <c r="D5747">
        <v>0</v>
      </c>
      <c r="E5747" s="65">
        <v>70.07</v>
      </c>
      <c r="F5747" s="8">
        <v>2.69</v>
      </c>
      <c r="G5747" s="66">
        <v>189.9368504</v>
      </c>
      <c r="H5747" s="8">
        <v>7.335</v>
      </c>
      <c r="J5747" s="26"/>
      <c r="K5747"/>
    </row>
    <row r="5748" spans="1:11">
      <c r="A5748">
        <v>41</v>
      </c>
      <c r="B5748" s="64">
        <v>40396</v>
      </c>
      <c r="C5748" s="2">
        <v>1338132.72</v>
      </c>
      <c r="D5748">
        <v>0</v>
      </c>
      <c r="E5748" s="65">
        <v>69.21</v>
      </c>
      <c r="F5748" s="8">
        <v>2.69</v>
      </c>
      <c r="G5748" s="66">
        <v>190.0990028</v>
      </c>
      <c r="H5748" s="8">
        <v>7.335</v>
      </c>
      <c r="J5748" s="26"/>
      <c r="K5748"/>
    </row>
    <row r="5749" spans="1:11">
      <c r="A5749">
        <v>41</v>
      </c>
      <c r="B5749" s="64">
        <v>40403</v>
      </c>
      <c r="C5749" s="2">
        <v>1285976.53</v>
      </c>
      <c r="D5749">
        <v>0</v>
      </c>
      <c r="E5749" s="65">
        <v>70.24</v>
      </c>
      <c r="F5749" s="8">
        <v>2.723</v>
      </c>
      <c r="G5749" s="66">
        <v>190.2611552</v>
      </c>
      <c r="H5749" s="8">
        <v>7.335</v>
      </c>
      <c r="J5749" s="26"/>
      <c r="K5749"/>
    </row>
    <row r="5750" spans="1:11">
      <c r="A5750">
        <v>41</v>
      </c>
      <c r="B5750" s="64">
        <v>40410</v>
      </c>
      <c r="C5750" s="2">
        <v>1353838.39</v>
      </c>
      <c r="D5750">
        <v>0</v>
      </c>
      <c r="E5750" s="65">
        <v>66.19</v>
      </c>
      <c r="F5750" s="8">
        <v>2.732</v>
      </c>
      <c r="G5750" s="66">
        <v>190.2948237</v>
      </c>
      <c r="H5750" s="8">
        <v>7.335</v>
      </c>
      <c r="J5750" s="26"/>
      <c r="K5750"/>
    </row>
    <row r="5751" spans="1:11">
      <c r="A5751">
        <v>41</v>
      </c>
      <c r="B5751" s="64">
        <v>40417</v>
      </c>
      <c r="C5751" s="2">
        <v>1173131.63</v>
      </c>
      <c r="D5751">
        <v>0</v>
      </c>
      <c r="E5751" s="65">
        <v>70.59</v>
      </c>
      <c r="F5751" s="8">
        <v>2.731</v>
      </c>
      <c r="G5751" s="66">
        <v>190.3284922</v>
      </c>
      <c r="H5751" s="8">
        <v>7.335</v>
      </c>
      <c r="J5751" s="26"/>
      <c r="K5751"/>
    </row>
    <row r="5752" spans="1:11">
      <c r="A5752">
        <v>41</v>
      </c>
      <c r="B5752" s="64">
        <v>40424</v>
      </c>
      <c r="C5752" s="2">
        <v>1223355.5</v>
      </c>
      <c r="D5752">
        <v>0</v>
      </c>
      <c r="E5752" s="65">
        <v>64.13</v>
      </c>
      <c r="F5752" s="8">
        <v>2.773</v>
      </c>
      <c r="G5752" s="66">
        <v>190.3621607</v>
      </c>
      <c r="H5752" s="8">
        <v>7.335</v>
      </c>
      <c r="J5752" s="26"/>
      <c r="K5752"/>
    </row>
    <row r="5753" spans="1:11">
      <c r="A5753">
        <v>41</v>
      </c>
      <c r="B5753" s="64">
        <v>40431</v>
      </c>
      <c r="C5753" s="2">
        <v>1172672.27</v>
      </c>
      <c r="D5753">
        <v>1</v>
      </c>
      <c r="E5753" s="65">
        <v>63.3</v>
      </c>
      <c r="F5753" s="8">
        <v>2.78</v>
      </c>
      <c r="G5753" s="66">
        <v>190.3958293</v>
      </c>
      <c r="H5753" s="8">
        <v>7.335</v>
      </c>
      <c r="J5753" s="26"/>
      <c r="K5753"/>
    </row>
    <row r="5754" spans="1:11">
      <c r="A5754">
        <v>41</v>
      </c>
      <c r="B5754" s="64">
        <v>40438</v>
      </c>
      <c r="C5754" s="2">
        <v>1111170.91</v>
      </c>
      <c r="D5754">
        <v>0</v>
      </c>
      <c r="E5754" s="65">
        <v>62.4</v>
      </c>
      <c r="F5754" s="8">
        <v>2.8</v>
      </c>
      <c r="G5754" s="66">
        <v>190.4688287</v>
      </c>
      <c r="H5754" s="8">
        <v>7.335</v>
      </c>
      <c r="J5754" s="26"/>
      <c r="K5754"/>
    </row>
    <row r="5755" spans="1:11">
      <c r="A5755">
        <v>41</v>
      </c>
      <c r="B5755" s="64">
        <v>40445</v>
      </c>
      <c r="C5755" s="2">
        <v>1110941.78</v>
      </c>
      <c r="D5755">
        <v>0</v>
      </c>
      <c r="E5755" s="65">
        <v>60.11</v>
      </c>
      <c r="F5755" s="8">
        <v>2.793</v>
      </c>
      <c r="G5755" s="66">
        <v>190.5713264</v>
      </c>
      <c r="H5755" s="8">
        <v>7.335</v>
      </c>
      <c r="J5755" s="26"/>
      <c r="K5755"/>
    </row>
    <row r="5756" spans="1:11">
      <c r="A5756">
        <v>41</v>
      </c>
      <c r="B5756" s="64">
        <v>40452</v>
      </c>
      <c r="C5756" s="2">
        <v>1109216.35</v>
      </c>
      <c r="D5756">
        <v>0</v>
      </c>
      <c r="E5756" s="65">
        <v>62.67</v>
      </c>
      <c r="F5756" s="8">
        <v>2.759</v>
      </c>
      <c r="G5756" s="66">
        <v>190.6738241</v>
      </c>
      <c r="H5756" s="8">
        <v>7.508</v>
      </c>
      <c r="J5756" s="26"/>
      <c r="K5756"/>
    </row>
    <row r="5757" spans="1:11">
      <c r="A5757">
        <v>41</v>
      </c>
      <c r="B5757" s="64">
        <v>40459</v>
      </c>
      <c r="C5757" s="2">
        <v>1162042.24</v>
      </c>
      <c r="D5757">
        <v>0</v>
      </c>
      <c r="E5757" s="65">
        <v>57.1</v>
      </c>
      <c r="F5757" s="8">
        <v>2.745</v>
      </c>
      <c r="G5757" s="66">
        <v>190.7763218</v>
      </c>
      <c r="H5757" s="8">
        <v>7.508</v>
      </c>
      <c r="J5757" s="26"/>
      <c r="K5757"/>
    </row>
    <row r="5758" spans="1:11">
      <c r="A5758">
        <v>41</v>
      </c>
      <c r="B5758" s="64">
        <v>40466</v>
      </c>
      <c r="C5758" s="2">
        <v>1133913.33</v>
      </c>
      <c r="D5758">
        <v>0</v>
      </c>
      <c r="E5758" s="65">
        <v>49.91</v>
      </c>
      <c r="F5758" s="8">
        <v>2.762</v>
      </c>
      <c r="G5758" s="66">
        <v>190.8623087</v>
      </c>
      <c r="H5758" s="8">
        <v>7.508</v>
      </c>
      <c r="J5758" s="26"/>
      <c r="K5758"/>
    </row>
    <row r="5759" spans="1:11">
      <c r="A5759">
        <v>41</v>
      </c>
      <c r="B5759" s="64">
        <v>40473</v>
      </c>
      <c r="C5759" s="2">
        <v>1156003.7</v>
      </c>
      <c r="D5759">
        <v>0</v>
      </c>
      <c r="E5759" s="65">
        <v>48.09</v>
      </c>
      <c r="F5759" s="8">
        <v>2.762</v>
      </c>
      <c r="G5759" s="66">
        <v>190.9070184</v>
      </c>
      <c r="H5759" s="8">
        <v>7.508</v>
      </c>
      <c r="J5759" s="26"/>
      <c r="K5759"/>
    </row>
    <row r="5760" spans="1:11">
      <c r="A5760">
        <v>41</v>
      </c>
      <c r="B5760" s="64">
        <v>40480</v>
      </c>
      <c r="C5760" s="2">
        <v>1144854.56</v>
      </c>
      <c r="D5760">
        <v>0</v>
      </c>
      <c r="E5760" s="65">
        <v>42.16</v>
      </c>
      <c r="F5760" s="8">
        <v>2.748</v>
      </c>
      <c r="G5760" s="66">
        <v>190.951728</v>
      </c>
      <c r="H5760" s="8">
        <v>7.508</v>
      </c>
      <c r="J5760" s="26"/>
      <c r="K5760"/>
    </row>
    <row r="5761" spans="1:11">
      <c r="A5761">
        <v>41</v>
      </c>
      <c r="B5761" s="64">
        <v>40487</v>
      </c>
      <c r="C5761" s="2">
        <v>1163878.49</v>
      </c>
      <c r="D5761">
        <v>0</v>
      </c>
      <c r="E5761" s="65">
        <v>46.74</v>
      </c>
      <c r="F5761" s="8">
        <v>2.729</v>
      </c>
      <c r="G5761" s="66">
        <v>190.9964377</v>
      </c>
      <c r="H5761" s="8">
        <v>7.508</v>
      </c>
      <c r="J5761" s="26"/>
      <c r="K5761"/>
    </row>
    <row r="5762" spans="1:11">
      <c r="A5762">
        <v>41</v>
      </c>
      <c r="B5762" s="64">
        <v>40494</v>
      </c>
      <c r="C5762" s="2">
        <v>1175326.23</v>
      </c>
      <c r="D5762">
        <v>0</v>
      </c>
      <c r="E5762" s="65">
        <v>38.99</v>
      </c>
      <c r="F5762" s="8">
        <v>2.737</v>
      </c>
      <c r="G5762" s="66">
        <v>191.0411474</v>
      </c>
      <c r="H5762" s="8">
        <v>7.508</v>
      </c>
      <c r="J5762" s="26"/>
      <c r="K5762"/>
    </row>
    <row r="5763" spans="1:11">
      <c r="A5763">
        <v>41</v>
      </c>
      <c r="B5763" s="64">
        <v>40501</v>
      </c>
      <c r="C5763" s="2">
        <v>1172155.28</v>
      </c>
      <c r="D5763">
        <v>0</v>
      </c>
      <c r="E5763" s="65">
        <v>31.34</v>
      </c>
      <c r="F5763" s="8">
        <v>2.758</v>
      </c>
      <c r="G5763" s="66">
        <v>191.0312172</v>
      </c>
      <c r="H5763" s="8">
        <v>7.508</v>
      </c>
      <c r="J5763" s="26"/>
      <c r="K5763"/>
    </row>
    <row r="5764" spans="1:11">
      <c r="A5764">
        <v>41</v>
      </c>
      <c r="B5764" s="64">
        <v>40508</v>
      </c>
      <c r="C5764" s="2">
        <v>1866681.57</v>
      </c>
      <c r="D5764">
        <v>1</v>
      </c>
      <c r="E5764" s="65">
        <v>25.3</v>
      </c>
      <c r="F5764" s="8">
        <v>2.742</v>
      </c>
      <c r="G5764" s="66">
        <v>191.0121805</v>
      </c>
      <c r="H5764" s="8">
        <v>7.508</v>
      </c>
      <c r="J5764" s="26"/>
      <c r="K5764"/>
    </row>
    <row r="5765" spans="1:11">
      <c r="A5765">
        <v>41</v>
      </c>
      <c r="B5765" s="64">
        <v>40515</v>
      </c>
      <c r="C5765" s="2">
        <v>1220115.75</v>
      </c>
      <c r="D5765">
        <v>0</v>
      </c>
      <c r="E5765" s="65">
        <v>33</v>
      </c>
      <c r="F5765" s="8">
        <v>2.712</v>
      </c>
      <c r="G5765" s="66">
        <v>190.9931437</v>
      </c>
      <c r="H5765" s="8">
        <v>7.508</v>
      </c>
      <c r="J5765" s="26"/>
      <c r="K5765"/>
    </row>
    <row r="5766" spans="1:11">
      <c r="A5766">
        <v>41</v>
      </c>
      <c r="B5766" s="64">
        <v>40522</v>
      </c>
      <c r="C5766" s="2">
        <v>1434908.13</v>
      </c>
      <c r="D5766">
        <v>0</v>
      </c>
      <c r="E5766" s="65">
        <v>33.9</v>
      </c>
      <c r="F5766" s="8">
        <v>2.728</v>
      </c>
      <c r="G5766" s="66">
        <v>190.9741069</v>
      </c>
      <c r="H5766" s="8">
        <v>7.508</v>
      </c>
      <c r="J5766" s="26"/>
      <c r="K5766"/>
    </row>
    <row r="5767" spans="1:11">
      <c r="A5767">
        <v>41</v>
      </c>
      <c r="B5767" s="64">
        <v>40529</v>
      </c>
      <c r="C5767" s="2">
        <v>1627904.68</v>
      </c>
      <c r="D5767">
        <v>0</v>
      </c>
      <c r="E5767" s="65">
        <v>31.51</v>
      </c>
      <c r="F5767" s="8">
        <v>2.778</v>
      </c>
      <c r="G5767" s="66">
        <v>191.0303376</v>
      </c>
      <c r="H5767" s="8">
        <v>7.508</v>
      </c>
      <c r="J5767" s="26"/>
      <c r="K5767"/>
    </row>
    <row r="5768" spans="1:11">
      <c r="A5768">
        <v>41</v>
      </c>
      <c r="B5768" s="64">
        <v>40536</v>
      </c>
      <c r="C5768" s="2">
        <v>2225016.73</v>
      </c>
      <c r="D5768">
        <v>0</v>
      </c>
      <c r="E5768" s="65">
        <v>29.81</v>
      </c>
      <c r="F5768" s="8">
        <v>2.781</v>
      </c>
      <c r="G5768" s="66">
        <v>191.1430189</v>
      </c>
      <c r="H5768" s="8">
        <v>7.508</v>
      </c>
      <c r="J5768" s="26"/>
      <c r="K5768"/>
    </row>
    <row r="5769" spans="1:11">
      <c r="A5769">
        <v>41</v>
      </c>
      <c r="B5769" s="64">
        <v>40543</v>
      </c>
      <c r="C5769" s="2">
        <v>1001790.16</v>
      </c>
      <c r="D5769">
        <v>1</v>
      </c>
      <c r="E5769" s="65">
        <v>25.19</v>
      </c>
      <c r="F5769" s="8">
        <v>2.829</v>
      </c>
      <c r="G5769" s="66">
        <v>191.2557002</v>
      </c>
      <c r="H5769" s="8">
        <v>7.508</v>
      </c>
      <c r="J5769" s="26"/>
      <c r="K5769"/>
    </row>
    <row r="5770" spans="1:11">
      <c r="A5770">
        <v>41</v>
      </c>
      <c r="B5770" s="64">
        <v>40550</v>
      </c>
      <c r="C5770" s="2">
        <v>1153596.53</v>
      </c>
      <c r="D5770">
        <v>0</v>
      </c>
      <c r="E5770" s="65">
        <v>23.76</v>
      </c>
      <c r="F5770" s="8">
        <v>2.882</v>
      </c>
      <c r="G5770" s="66">
        <v>191.3683815</v>
      </c>
      <c r="H5770" s="8">
        <v>7.241</v>
      </c>
      <c r="J5770" s="26"/>
      <c r="K5770"/>
    </row>
    <row r="5771" spans="1:11">
      <c r="A5771">
        <v>41</v>
      </c>
      <c r="B5771" s="64">
        <v>40557</v>
      </c>
      <c r="C5771" s="2">
        <v>1052609.16</v>
      </c>
      <c r="D5771">
        <v>0</v>
      </c>
      <c r="E5771" s="65">
        <v>22.44</v>
      </c>
      <c r="F5771" s="8">
        <v>2.911</v>
      </c>
      <c r="G5771" s="66">
        <v>191.4784939</v>
      </c>
      <c r="H5771" s="8">
        <v>7.241</v>
      </c>
      <c r="J5771" s="26"/>
      <c r="K5771"/>
    </row>
    <row r="5772" spans="1:11">
      <c r="A5772">
        <v>41</v>
      </c>
      <c r="B5772" s="64">
        <v>40564</v>
      </c>
      <c r="C5772" s="2">
        <v>1088025.8</v>
      </c>
      <c r="D5772">
        <v>0</v>
      </c>
      <c r="E5772" s="65">
        <v>32.7</v>
      </c>
      <c r="F5772" s="8">
        <v>2.973</v>
      </c>
      <c r="G5772" s="66">
        <v>191.5731924</v>
      </c>
      <c r="H5772" s="8">
        <v>7.241</v>
      </c>
      <c r="J5772" s="26"/>
      <c r="K5772"/>
    </row>
    <row r="5773" spans="1:11">
      <c r="A5773">
        <v>41</v>
      </c>
      <c r="B5773" s="64">
        <v>40571</v>
      </c>
      <c r="C5773" s="2">
        <v>1026439.93</v>
      </c>
      <c r="D5773">
        <v>0</v>
      </c>
      <c r="E5773" s="65">
        <v>32.23</v>
      </c>
      <c r="F5773" s="8">
        <v>3.008</v>
      </c>
      <c r="G5773" s="66">
        <v>191.667891</v>
      </c>
      <c r="H5773" s="8">
        <v>7.241</v>
      </c>
      <c r="J5773" s="26"/>
      <c r="K5773"/>
    </row>
    <row r="5774" spans="1:11">
      <c r="A5774">
        <v>41</v>
      </c>
      <c r="B5774" s="64">
        <v>40578</v>
      </c>
      <c r="C5774" s="2">
        <v>1179420.5</v>
      </c>
      <c r="D5774">
        <v>0</v>
      </c>
      <c r="E5774" s="65">
        <v>14.56</v>
      </c>
      <c r="F5774" s="8">
        <v>3.011</v>
      </c>
      <c r="G5774" s="66">
        <v>191.7625895</v>
      </c>
      <c r="H5774" s="8">
        <v>7.241</v>
      </c>
      <c r="J5774" s="26"/>
      <c r="K5774"/>
    </row>
    <row r="5775" spans="1:11">
      <c r="A5775">
        <v>41</v>
      </c>
      <c r="B5775" s="64">
        <v>40585</v>
      </c>
      <c r="C5775" s="2">
        <v>1150003.36</v>
      </c>
      <c r="D5775">
        <v>1</v>
      </c>
      <c r="E5775" s="65">
        <v>16.81</v>
      </c>
      <c r="F5775" s="8">
        <v>3.037</v>
      </c>
      <c r="G5775" s="66">
        <v>191.8572881</v>
      </c>
      <c r="H5775" s="8">
        <v>7.241</v>
      </c>
      <c r="J5775" s="26"/>
      <c r="K5775"/>
    </row>
    <row r="5776" spans="1:11">
      <c r="A5776">
        <v>41</v>
      </c>
      <c r="B5776" s="64">
        <v>40592</v>
      </c>
      <c r="C5776" s="2">
        <v>1203399.64</v>
      </c>
      <c r="D5776">
        <v>0</v>
      </c>
      <c r="E5776" s="65">
        <v>39.39</v>
      </c>
      <c r="F5776" s="8">
        <v>3.051</v>
      </c>
      <c r="G5776" s="66">
        <v>191.9178331</v>
      </c>
      <c r="H5776" s="8">
        <v>7.241</v>
      </c>
      <c r="J5776" s="26"/>
      <c r="K5776"/>
    </row>
    <row r="5777" spans="1:11">
      <c r="A5777">
        <v>41</v>
      </c>
      <c r="B5777" s="64">
        <v>40599</v>
      </c>
      <c r="C5777" s="2">
        <v>1099714.93</v>
      </c>
      <c r="D5777">
        <v>0</v>
      </c>
      <c r="E5777" s="65">
        <v>26.1</v>
      </c>
      <c r="F5777" s="8">
        <v>3.101</v>
      </c>
      <c r="G5777" s="66">
        <v>191.9647167</v>
      </c>
      <c r="H5777" s="8">
        <v>7.241</v>
      </c>
      <c r="J5777" s="26"/>
      <c r="K5777"/>
    </row>
    <row r="5778" spans="1:11">
      <c r="A5778">
        <v>41</v>
      </c>
      <c r="B5778" s="64">
        <v>40606</v>
      </c>
      <c r="C5778" s="2">
        <v>1229257.7</v>
      </c>
      <c r="D5778">
        <v>0</v>
      </c>
      <c r="E5778" s="65">
        <v>34.99</v>
      </c>
      <c r="F5778" s="8">
        <v>3.232</v>
      </c>
      <c r="G5778" s="66">
        <v>192.0116004</v>
      </c>
      <c r="H5778" s="8">
        <v>7.241</v>
      </c>
      <c r="J5778" s="26"/>
      <c r="K5778"/>
    </row>
    <row r="5779" spans="1:11">
      <c r="A5779">
        <v>41</v>
      </c>
      <c r="B5779" s="64">
        <v>40613</v>
      </c>
      <c r="C5779" s="2">
        <v>1159089.6</v>
      </c>
      <c r="D5779">
        <v>0</v>
      </c>
      <c r="E5779" s="65">
        <v>31.6</v>
      </c>
      <c r="F5779" s="8">
        <v>3.372</v>
      </c>
      <c r="G5779" s="66">
        <v>192.058484</v>
      </c>
      <c r="H5779" s="8">
        <v>7.241</v>
      </c>
      <c r="J5779" s="26"/>
      <c r="K5779"/>
    </row>
    <row r="5780" spans="1:11">
      <c r="A5780">
        <v>41</v>
      </c>
      <c r="B5780" s="64">
        <v>40620</v>
      </c>
      <c r="C5780" s="2">
        <v>1115504.26</v>
      </c>
      <c r="D5780">
        <v>0</v>
      </c>
      <c r="E5780" s="65">
        <v>40.19</v>
      </c>
      <c r="F5780" s="8">
        <v>3.406</v>
      </c>
      <c r="G5780" s="66">
        <v>192.1237981</v>
      </c>
      <c r="H5780" s="8">
        <v>7.241</v>
      </c>
      <c r="J5780" s="26"/>
      <c r="K5780"/>
    </row>
    <row r="5781" spans="1:11">
      <c r="A5781">
        <v>41</v>
      </c>
      <c r="B5781" s="64">
        <v>40627</v>
      </c>
      <c r="C5781" s="2">
        <v>1140578.16</v>
      </c>
      <c r="D5781">
        <v>0</v>
      </c>
      <c r="E5781" s="65">
        <v>41.11</v>
      </c>
      <c r="F5781" s="8">
        <v>3.414</v>
      </c>
      <c r="G5781" s="66">
        <v>192.1964844</v>
      </c>
      <c r="H5781" s="8">
        <v>7.241</v>
      </c>
      <c r="J5781" s="26"/>
      <c r="K5781"/>
    </row>
    <row r="5782" spans="1:11">
      <c r="A5782">
        <v>41</v>
      </c>
      <c r="B5782" s="64">
        <v>40634</v>
      </c>
      <c r="C5782" s="2">
        <v>1179125.48</v>
      </c>
      <c r="D5782">
        <v>0</v>
      </c>
      <c r="E5782" s="65">
        <v>38.16</v>
      </c>
      <c r="F5782" s="8">
        <v>3.461</v>
      </c>
      <c r="G5782" s="66">
        <v>192.2691707</v>
      </c>
      <c r="H5782" s="8">
        <v>6.934</v>
      </c>
      <c r="J5782" s="26"/>
      <c r="K5782"/>
    </row>
    <row r="5783" spans="1:11">
      <c r="A5783">
        <v>41</v>
      </c>
      <c r="B5783" s="64">
        <v>40641</v>
      </c>
      <c r="C5783" s="2">
        <v>1206252.12</v>
      </c>
      <c r="D5783">
        <v>0</v>
      </c>
      <c r="E5783" s="65">
        <v>42.87</v>
      </c>
      <c r="F5783" s="8">
        <v>3.532</v>
      </c>
      <c r="G5783" s="66">
        <v>192.3418571</v>
      </c>
      <c r="H5783" s="8">
        <v>6.934</v>
      </c>
      <c r="J5783" s="26"/>
      <c r="K5783"/>
    </row>
    <row r="5784" spans="1:11">
      <c r="A5784">
        <v>41</v>
      </c>
      <c r="B5784" s="64">
        <v>40648</v>
      </c>
      <c r="C5784" s="2">
        <v>1192982.07</v>
      </c>
      <c r="D5784">
        <v>0</v>
      </c>
      <c r="E5784" s="65">
        <v>39.94</v>
      </c>
      <c r="F5784" s="8">
        <v>3.611</v>
      </c>
      <c r="G5784" s="66">
        <v>192.4225954</v>
      </c>
      <c r="H5784" s="8">
        <v>6.934</v>
      </c>
      <c r="J5784" s="26"/>
      <c r="K5784"/>
    </row>
    <row r="5785" spans="1:11">
      <c r="A5785">
        <v>41</v>
      </c>
      <c r="B5785" s="64">
        <v>40655</v>
      </c>
      <c r="C5785" s="2">
        <v>1304481.75</v>
      </c>
      <c r="D5785">
        <v>0</v>
      </c>
      <c r="E5785" s="65">
        <v>42.86</v>
      </c>
      <c r="F5785" s="8">
        <v>3.636</v>
      </c>
      <c r="G5785" s="66">
        <v>192.5234638</v>
      </c>
      <c r="H5785" s="8">
        <v>6.934</v>
      </c>
      <c r="J5785" s="26"/>
      <c r="K5785"/>
    </row>
    <row r="5786" spans="1:11">
      <c r="A5786">
        <v>41</v>
      </c>
      <c r="B5786" s="64">
        <v>40662</v>
      </c>
      <c r="C5786" s="2">
        <v>1178841.05</v>
      </c>
      <c r="D5786">
        <v>0</v>
      </c>
      <c r="E5786" s="65">
        <v>39.81</v>
      </c>
      <c r="F5786" s="8">
        <v>3.663</v>
      </c>
      <c r="G5786" s="66">
        <v>192.6243322</v>
      </c>
      <c r="H5786" s="8">
        <v>6.934</v>
      </c>
      <c r="J5786" s="26"/>
      <c r="K5786"/>
    </row>
    <row r="5787" spans="1:11">
      <c r="A5787">
        <v>41</v>
      </c>
      <c r="B5787" s="64">
        <v>40669</v>
      </c>
      <c r="C5787" s="2">
        <v>1244956.91</v>
      </c>
      <c r="D5787">
        <v>0</v>
      </c>
      <c r="E5787" s="65">
        <v>41.2</v>
      </c>
      <c r="F5787" s="8">
        <v>3.735</v>
      </c>
      <c r="G5787" s="66">
        <v>192.7252006</v>
      </c>
      <c r="H5787" s="8">
        <v>6.934</v>
      </c>
      <c r="J5787" s="26"/>
      <c r="K5787"/>
    </row>
    <row r="5788" spans="1:11">
      <c r="A5788">
        <v>41</v>
      </c>
      <c r="B5788" s="64">
        <v>40676</v>
      </c>
      <c r="C5788" s="2">
        <v>1270025.74</v>
      </c>
      <c r="D5788">
        <v>0</v>
      </c>
      <c r="E5788" s="65">
        <v>50.29</v>
      </c>
      <c r="F5788" s="8">
        <v>3.767</v>
      </c>
      <c r="G5788" s="66">
        <v>192.826069</v>
      </c>
      <c r="H5788" s="8">
        <v>6.934</v>
      </c>
      <c r="J5788" s="26"/>
      <c r="K5788"/>
    </row>
    <row r="5789" spans="1:11">
      <c r="A5789">
        <v>41</v>
      </c>
      <c r="B5789" s="64">
        <v>40683</v>
      </c>
      <c r="C5789" s="2">
        <v>1244542.33</v>
      </c>
      <c r="D5789">
        <v>0</v>
      </c>
      <c r="E5789" s="65">
        <v>41.11</v>
      </c>
      <c r="F5789" s="8">
        <v>3.828</v>
      </c>
      <c r="G5789" s="66">
        <v>192.831317</v>
      </c>
      <c r="H5789" s="8">
        <v>6.934</v>
      </c>
      <c r="J5789" s="26"/>
      <c r="K5789"/>
    </row>
    <row r="5790" spans="1:11">
      <c r="A5790">
        <v>41</v>
      </c>
      <c r="B5790" s="64">
        <v>40690</v>
      </c>
      <c r="C5790" s="2">
        <v>1278304.33</v>
      </c>
      <c r="D5790">
        <v>0</v>
      </c>
      <c r="E5790" s="65">
        <v>50.56</v>
      </c>
      <c r="F5790" s="8">
        <v>3.795</v>
      </c>
      <c r="G5790" s="66">
        <v>192.8365651</v>
      </c>
      <c r="H5790" s="8">
        <v>6.934</v>
      </c>
      <c r="J5790" s="26"/>
      <c r="K5790"/>
    </row>
    <row r="5791" spans="1:11">
      <c r="A5791">
        <v>41</v>
      </c>
      <c r="B5791" s="64">
        <v>40697</v>
      </c>
      <c r="C5791" s="2">
        <v>1297584.95</v>
      </c>
      <c r="D5791">
        <v>0</v>
      </c>
      <c r="E5791" s="65">
        <v>54.81</v>
      </c>
      <c r="F5791" s="8">
        <v>3.763</v>
      </c>
      <c r="G5791" s="66">
        <v>192.8418131</v>
      </c>
      <c r="H5791" s="8">
        <v>6.934</v>
      </c>
      <c r="J5791" s="26"/>
      <c r="K5791"/>
    </row>
    <row r="5792" spans="1:11">
      <c r="A5792">
        <v>41</v>
      </c>
      <c r="B5792" s="64">
        <v>40704</v>
      </c>
      <c r="C5792" s="2">
        <v>1311690.11</v>
      </c>
      <c r="D5792">
        <v>0</v>
      </c>
      <c r="E5792" s="65">
        <v>61.1</v>
      </c>
      <c r="F5792" s="8">
        <v>3.735</v>
      </c>
      <c r="G5792" s="66">
        <v>192.8470612</v>
      </c>
      <c r="H5792" s="8">
        <v>6.934</v>
      </c>
      <c r="J5792" s="26"/>
      <c r="K5792"/>
    </row>
    <row r="5793" spans="1:11">
      <c r="A5793">
        <v>41</v>
      </c>
      <c r="B5793" s="64">
        <v>40711</v>
      </c>
      <c r="C5793" s="2">
        <v>1289151.84</v>
      </c>
      <c r="D5793">
        <v>0</v>
      </c>
      <c r="E5793" s="65">
        <v>62.3</v>
      </c>
      <c r="F5793" s="8">
        <v>3.697</v>
      </c>
      <c r="G5793" s="66">
        <v>192.9034759</v>
      </c>
      <c r="H5793" s="8">
        <v>6.934</v>
      </c>
      <c r="J5793" s="26"/>
      <c r="K5793"/>
    </row>
    <row r="5794" spans="1:11">
      <c r="A5794">
        <v>41</v>
      </c>
      <c r="B5794" s="64">
        <v>40718</v>
      </c>
      <c r="C5794" s="2">
        <v>1244381.98</v>
      </c>
      <c r="D5794">
        <v>0</v>
      </c>
      <c r="E5794" s="65">
        <v>59.54</v>
      </c>
      <c r="F5794" s="8">
        <v>3.661</v>
      </c>
      <c r="G5794" s="66">
        <v>192.9982655</v>
      </c>
      <c r="H5794" s="8">
        <v>6.934</v>
      </c>
      <c r="J5794" s="26"/>
      <c r="K5794"/>
    </row>
    <row r="5795" spans="1:11">
      <c r="A5795">
        <v>41</v>
      </c>
      <c r="B5795" s="64">
        <v>40725</v>
      </c>
      <c r="C5795" s="2">
        <v>1333347.78</v>
      </c>
      <c r="D5795">
        <v>0</v>
      </c>
      <c r="E5795" s="65">
        <v>67.01</v>
      </c>
      <c r="F5795" s="8">
        <v>3.597</v>
      </c>
      <c r="G5795" s="66">
        <v>193.0930552</v>
      </c>
      <c r="H5795" s="8">
        <v>6.901</v>
      </c>
      <c r="J5795" s="26"/>
      <c r="K5795"/>
    </row>
    <row r="5796" spans="1:11">
      <c r="A5796">
        <v>41</v>
      </c>
      <c r="B5796" s="64">
        <v>40732</v>
      </c>
      <c r="C5796" s="2">
        <v>1338862.58</v>
      </c>
      <c r="D5796">
        <v>0</v>
      </c>
      <c r="E5796" s="65">
        <v>68.49</v>
      </c>
      <c r="F5796" s="8">
        <v>3.54</v>
      </c>
      <c r="G5796" s="66">
        <v>193.1878448</v>
      </c>
      <c r="H5796" s="8">
        <v>6.901</v>
      </c>
      <c r="J5796" s="26"/>
      <c r="K5796"/>
    </row>
    <row r="5797" spans="1:11">
      <c r="A5797">
        <v>41</v>
      </c>
      <c r="B5797" s="64">
        <v>40739</v>
      </c>
      <c r="C5797" s="2">
        <v>1245772.7</v>
      </c>
      <c r="D5797">
        <v>0</v>
      </c>
      <c r="E5797" s="65">
        <v>68.18</v>
      </c>
      <c r="F5797" s="8">
        <v>3.532</v>
      </c>
      <c r="G5797" s="66">
        <v>193.3125484</v>
      </c>
      <c r="H5797" s="8">
        <v>6.901</v>
      </c>
      <c r="J5797" s="26"/>
      <c r="K5797"/>
    </row>
    <row r="5798" spans="1:11">
      <c r="A5798">
        <v>41</v>
      </c>
      <c r="B5798" s="64">
        <v>40746</v>
      </c>
      <c r="C5798" s="2">
        <v>1292830.93</v>
      </c>
      <c r="D5798">
        <v>0</v>
      </c>
      <c r="E5798" s="65">
        <v>74.11</v>
      </c>
      <c r="F5798" s="8">
        <v>3.545</v>
      </c>
      <c r="G5798" s="66">
        <v>193.5120367</v>
      </c>
      <c r="H5798" s="8">
        <v>6.901</v>
      </c>
      <c r="J5798" s="26"/>
      <c r="K5798"/>
    </row>
    <row r="5799" spans="1:11">
      <c r="A5799">
        <v>41</v>
      </c>
      <c r="B5799" s="64">
        <v>40753</v>
      </c>
      <c r="C5799" s="2">
        <v>1248330.1</v>
      </c>
      <c r="D5799">
        <v>0</v>
      </c>
      <c r="E5799" s="65">
        <v>71.3</v>
      </c>
      <c r="F5799" s="8">
        <v>3.547</v>
      </c>
      <c r="G5799" s="66">
        <v>193.711525</v>
      </c>
      <c r="H5799" s="8">
        <v>6.901</v>
      </c>
      <c r="J5799" s="26"/>
      <c r="K5799"/>
    </row>
    <row r="5800" spans="1:11">
      <c r="A5800">
        <v>41</v>
      </c>
      <c r="B5800" s="64">
        <v>40760</v>
      </c>
      <c r="C5800" s="2">
        <v>1402233.69</v>
      </c>
      <c r="D5800">
        <v>0</v>
      </c>
      <c r="E5800" s="65">
        <v>72.19</v>
      </c>
      <c r="F5800" s="8">
        <v>3.554</v>
      </c>
      <c r="G5800" s="66">
        <v>193.9110133</v>
      </c>
      <c r="H5800" s="8">
        <v>6.901</v>
      </c>
      <c r="J5800" s="26"/>
      <c r="K5800"/>
    </row>
    <row r="5801" spans="1:11">
      <c r="A5801">
        <v>41</v>
      </c>
      <c r="B5801" s="64">
        <v>40767</v>
      </c>
      <c r="C5801" s="2">
        <v>1356689.88</v>
      </c>
      <c r="D5801">
        <v>0</v>
      </c>
      <c r="E5801" s="65">
        <v>67.65</v>
      </c>
      <c r="F5801" s="8">
        <v>3.542</v>
      </c>
      <c r="G5801" s="66">
        <v>194.1105017</v>
      </c>
      <c r="H5801" s="8">
        <v>6.901</v>
      </c>
      <c r="J5801" s="26"/>
      <c r="K5801"/>
    </row>
    <row r="5802" spans="1:11">
      <c r="A5802">
        <v>41</v>
      </c>
      <c r="B5802" s="64">
        <v>40774</v>
      </c>
      <c r="C5802" s="2">
        <v>1412959.97</v>
      </c>
      <c r="D5802">
        <v>0</v>
      </c>
      <c r="E5802" s="65">
        <v>70.55</v>
      </c>
      <c r="F5802" s="8">
        <v>3.499</v>
      </c>
      <c r="G5802" s="66">
        <v>194.2500634</v>
      </c>
      <c r="H5802" s="8">
        <v>6.901</v>
      </c>
      <c r="J5802" s="26"/>
      <c r="K5802"/>
    </row>
    <row r="5803" spans="1:11">
      <c r="A5803">
        <v>41</v>
      </c>
      <c r="B5803" s="64">
        <v>40781</v>
      </c>
      <c r="C5803" s="2">
        <v>1328740.71</v>
      </c>
      <c r="D5803">
        <v>0</v>
      </c>
      <c r="E5803" s="65">
        <v>71.61</v>
      </c>
      <c r="F5803" s="8">
        <v>3.485</v>
      </c>
      <c r="G5803" s="66">
        <v>194.3796374</v>
      </c>
      <c r="H5803" s="8">
        <v>6.901</v>
      </c>
      <c r="J5803" s="26"/>
      <c r="K5803"/>
    </row>
    <row r="5804" spans="1:11">
      <c r="A5804">
        <v>41</v>
      </c>
      <c r="B5804" s="64">
        <v>40788</v>
      </c>
      <c r="C5804" s="2">
        <v>1283849.38</v>
      </c>
      <c r="D5804">
        <v>0</v>
      </c>
      <c r="E5804" s="65">
        <v>70.37</v>
      </c>
      <c r="F5804" s="8">
        <v>3.511</v>
      </c>
      <c r="G5804" s="66">
        <v>194.5092113</v>
      </c>
      <c r="H5804" s="8">
        <v>6.901</v>
      </c>
      <c r="J5804" s="26"/>
      <c r="K5804"/>
    </row>
    <row r="5805" spans="1:11">
      <c r="A5805">
        <v>41</v>
      </c>
      <c r="B5805" s="64">
        <v>40795</v>
      </c>
      <c r="C5805" s="2">
        <v>1280958.97</v>
      </c>
      <c r="D5805">
        <v>1</v>
      </c>
      <c r="E5805" s="65">
        <v>58.31</v>
      </c>
      <c r="F5805" s="8">
        <v>3.566</v>
      </c>
      <c r="G5805" s="66">
        <v>194.6387853</v>
      </c>
      <c r="H5805" s="8">
        <v>6.901</v>
      </c>
      <c r="J5805" s="26"/>
      <c r="K5805"/>
    </row>
    <row r="5806" spans="1:11">
      <c r="A5806">
        <v>41</v>
      </c>
      <c r="B5806" s="64">
        <v>40802</v>
      </c>
      <c r="C5806" s="2">
        <v>1197019.39</v>
      </c>
      <c r="D5806">
        <v>0</v>
      </c>
      <c r="E5806" s="65">
        <v>54.82</v>
      </c>
      <c r="F5806" s="8">
        <v>3.596</v>
      </c>
      <c r="G5806" s="66">
        <v>194.7419707</v>
      </c>
      <c r="H5806" s="8">
        <v>6.901</v>
      </c>
      <c r="J5806" s="26"/>
      <c r="K5806"/>
    </row>
    <row r="5807" spans="1:11">
      <c r="A5807">
        <v>41</v>
      </c>
      <c r="B5807" s="64">
        <v>40809</v>
      </c>
      <c r="C5807" s="2">
        <v>1173059.79</v>
      </c>
      <c r="D5807">
        <v>0</v>
      </c>
      <c r="E5807" s="65">
        <v>55.06</v>
      </c>
      <c r="F5807" s="8">
        <v>3.581</v>
      </c>
      <c r="G5807" s="66">
        <v>194.8099713</v>
      </c>
      <c r="H5807" s="8">
        <v>6.901</v>
      </c>
      <c r="J5807" s="26"/>
      <c r="K5807"/>
    </row>
    <row r="5808" spans="1:11">
      <c r="A5808">
        <v>41</v>
      </c>
      <c r="B5808" s="64">
        <v>40816</v>
      </c>
      <c r="C5808" s="2">
        <v>1160619.61</v>
      </c>
      <c r="D5808">
        <v>0</v>
      </c>
      <c r="E5808" s="65">
        <v>61.77</v>
      </c>
      <c r="F5808" s="8">
        <v>3.538</v>
      </c>
      <c r="G5808" s="66">
        <v>194.8779718</v>
      </c>
      <c r="H5808" s="8">
        <v>6.901</v>
      </c>
      <c r="J5808" s="26"/>
      <c r="K5808"/>
    </row>
    <row r="5809" spans="1:11">
      <c r="A5809">
        <v>41</v>
      </c>
      <c r="B5809" s="64">
        <v>40823</v>
      </c>
      <c r="C5809" s="2">
        <v>1277882.77</v>
      </c>
      <c r="D5809">
        <v>0</v>
      </c>
      <c r="E5809" s="65">
        <v>58.74</v>
      </c>
      <c r="F5809" s="8">
        <v>3.498</v>
      </c>
      <c r="G5809" s="66">
        <v>194.9459724</v>
      </c>
      <c r="H5809" s="8">
        <v>6.759</v>
      </c>
      <c r="J5809" s="26"/>
      <c r="K5809"/>
    </row>
    <row r="5810" spans="1:11">
      <c r="A5810">
        <v>41</v>
      </c>
      <c r="B5810" s="64">
        <v>40830</v>
      </c>
      <c r="C5810" s="2">
        <v>1247130.22</v>
      </c>
      <c r="D5810">
        <v>0</v>
      </c>
      <c r="E5810" s="65">
        <v>47.43</v>
      </c>
      <c r="F5810" s="8">
        <v>3.491</v>
      </c>
      <c r="G5810" s="66">
        <v>195.0261012</v>
      </c>
      <c r="H5810" s="8">
        <v>6.759</v>
      </c>
      <c r="J5810" s="26"/>
      <c r="K5810"/>
    </row>
    <row r="5811" spans="1:11">
      <c r="A5811">
        <v>41</v>
      </c>
      <c r="B5811" s="64">
        <v>40837</v>
      </c>
      <c r="C5811" s="2">
        <v>1214944.29</v>
      </c>
      <c r="D5811">
        <v>0</v>
      </c>
      <c r="E5811" s="65">
        <v>45.62</v>
      </c>
      <c r="F5811" s="8">
        <v>3.548</v>
      </c>
      <c r="G5811" s="66">
        <v>195.1789994</v>
      </c>
      <c r="H5811" s="8">
        <v>6.759</v>
      </c>
      <c r="J5811" s="26"/>
      <c r="K5811"/>
    </row>
    <row r="5812" spans="1:11">
      <c r="A5812">
        <v>41</v>
      </c>
      <c r="B5812" s="64">
        <v>40844</v>
      </c>
      <c r="C5812" s="2">
        <v>1274463.02</v>
      </c>
      <c r="D5812">
        <v>0</v>
      </c>
      <c r="E5812" s="65">
        <v>37.02</v>
      </c>
      <c r="F5812" s="8">
        <v>3.55</v>
      </c>
      <c r="G5812" s="66">
        <v>195.3318977</v>
      </c>
      <c r="H5812" s="8">
        <v>6.759</v>
      </c>
      <c r="J5812" s="26"/>
      <c r="K5812"/>
    </row>
    <row r="5813" spans="1:11">
      <c r="A5813">
        <v>41</v>
      </c>
      <c r="B5813" s="64">
        <v>40851</v>
      </c>
      <c r="C5813" s="2">
        <v>1315684.86</v>
      </c>
      <c r="D5813">
        <v>0</v>
      </c>
      <c r="E5813" s="65">
        <v>35.04</v>
      </c>
      <c r="F5813" s="8">
        <v>3.527</v>
      </c>
      <c r="G5813" s="66">
        <v>195.4847959</v>
      </c>
      <c r="H5813" s="8">
        <v>6.759</v>
      </c>
      <c r="J5813" s="26"/>
      <c r="K5813"/>
    </row>
    <row r="5814" spans="1:11">
      <c r="A5814">
        <v>41</v>
      </c>
      <c r="B5814" s="64">
        <v>40858</v>
      </c>
      <c r="C5814" s="2">
        <v>1302499.23</v>
      </c>
      <c r="D5814">
        <v>0</v>
      </c>
      <c r="E5814" s="65">
        <v>32.87</v>
      </c>
      <c r="F5814" s="8">
        <v>3.505</v>
      </c>
      <c r="G5814" s="66">
        <v>195.6376941</v>
      </c>
      <c r="H5814" s="8">
        <v>6.759</v>
      </c>
      <c r="J5814" s="26"/>
      <c r="K5814"/>
    </row>
    <row r="5815" spans="1:11">
      <c r="A5815">
        <v>41</v>
      </c>
      <c r="B5815" s="64">
        <v>40865</v>
      </c>
      <c r="C5815" s="2">
        <v>1230118.02</v>
      </c>
      <c r="D5815">
        <v>0</v>
      </c>
      <c r="E5815" s="65">
        <v>36.64</v>
      </c>
      <c r="F5815" s="8">
        <v>3.479</v>
      </c>
      <c r="G5815" s="66">
        <v>195.7184713</v>
      </c>
      <c r="H5815" s="8">
        <v>6.759</v>
      </c>
      <c r="J5815" s="26"/>
      <c r="K5815"/>
    </row>
    <row r="5816" spans="1:11">
      <c r="A5816">
        <v>41</v>
      </c>
      <c r="B5816" s="64">
        <v>40872</v>
      </c>
      <c r="C5816" s="2">
        <v>1906713.35</v>
      </c>
      <c r="D5816">
        <v>1</v>
      </c>
      <c r="E5816" s="65">
        <v>36.37</v>
      </c>
      <c r="F5816" s="8">
        <v>3.424</v>
      </c>
      <c r="G5816" s="66">
        <v>195.7704</v>
      </c>
      <c r="H5816" s="8">
        <v>6.759</v>
      </c>
      <c r="J5816" s="26"/>
      <c r="K5816"/>
    </row>
    <row r="5817" spans="1:11">
      <c r="A5817">
        <v>41</v>
      </c>
      <c r="B5817" s="64">
        <v>40879</v>
      </c>
      <c r="C5817" s="2">
        <v>1292436.23</v>
      </c>
      <c r="D5817">
        <v>0</v>
      </c>
      <c r="E5817" s="65">
        <v>34.53</v>
      </c>
      <c r="F5817" s="8">
        <v>3.378</v>
      </c>
      <c r="G5817" s="66">
        <v>195.8223287</v>
      </c>
      <c r="H5817" s="8">
        <v>6.759</v>
      </c>
      <c r="J5817" s="26"/>
      <c r="K5817"/>
    </row>
    <row r="5818" spans="1:11">
      <c r="A5818">
        <v>41</v>
      </c>
      <c r="B5818" s="64">
        <v>40886</v>
      </c>
      <c r="C5818" s="2">
        <v>1548661.45</v>
      </c>
      <c r="D5818">
        <v>0</v>
      </c>
      <c r="E5818" s="65">
        <v>17.05</v>
      </c>
      <c r="F5818" s="8">
        <v>3.331</v>
      </c>
      <c r="G5818" s="66">
        <v>195.8742575</v>
      </c>
      <c r="H5818" s="8">
        <v>6.759</v>
      </c>
      <c r="J5818" s="26"/>
      <c r="K5818"/>
    </row>
    <row r="5819" spans="1:11">
      <c r="A5819">
        <v>41</v>
      </c>
      <c r="B5819" s="64">
        <v>40893</v>
      </c>
      <c r="C5819" s="2">
        <v>1682368.32</v>
      </c>
      <c r="D5819">
        <v>0</v>
      </c>
      <c r="E5819" s="65">
        <v>25.01</v>
      </c>
      <c r="F5819" s="8">
        <v>3.266</v>
      </c>
      <c r="G5819" s="66">
        <v>195.9841685</v>
      </c>
      <c r="H5819" s="8">
        <v>6.759</v>
      </c>
      <c r="J5819" s="26"/>
      <c r="K5819"/>
    </row>
    <row r="5820" spans="1:11">
      <c r="A5820">
        <v>41</v>
      </c>
      <c r="B5820" s="64">
        <v>40900</v>
      </c>
      <c r="C5820" s="2">
        <v>2263722.68</v>
      </c>
      <c r="D5820">
        <v>0</v>
      </c>
      <c r="E5820" s="65">
        <v>25.59</v>
      </c>
      <c r="F5820" s="8">
        <v>3.173</v>
      </c>
      <c r="G5820" s="66">
        <v>196.1713893</v>
      </c>
      <c r="H5820" s="8">
        <v>6.759</v>
      </c>
      <c r="J5820" s="26"/>
      <c r="K5820"/>
    </row>
    <row r="5821" spans="1:11">
      <c r="A5821">
        <v>41</v>
      </c>
      <c r="B5821" s="64">
        <v>40907</v>
      </c>
      <c r="C5821" s="2">
        <v>1264014.16</v>
      </c>
      <c r="D5821">
        <v>1</v>
      </c>
      <c r="E5821" s="65">
        <v>34.12</v>
      </c>
      <c r="F5821" s="8">
        <v>3.119</v>
      </c>
      <c r="G5821" s="66">
        <v>196.3586101</v>
      </c>
      <c r="H5821" s="8">
        <v>6.759</v>
      </c>
      <c r="J5821" s="26"/>
      <c r="K5821"/>
    </row>
    <row r="5822" spans="1:11">
      <c r="A5822">
        <v>41</v>
      </c>
      <c r="B5822" s="64">
        <v>40914</v>
      </c>
      <c r="C5822" s="2">
        <v>1208191.61</v>
      </c>
      <c r="D5822">
        <v>0</v>
      </c>
      <c r="E5822" s="65">
        <v>37.21</v>
      </c>
      <c r="F5822" s="8">
        <v>3.095</v>
      </c>
      <c r="G5822" s="66">
        <v>196.5458309</v>
      </c>
      <c r="H5822" s="8">
        <v>6.589</v>
      </c>
      <c r="J5822" s="26"/>
      <c r="K5822"/>
    </row>
    <row r="5823" spans="1:11">
      <c r="A5823">
        <v>41</v>
      </c>
      <c r="B5823" s="64">
        <v>40921</v>
      </c>
      <c r="C5823" s="2">
        <v>1134767.28</v>
      </c>
      <c r="D5823">
        <v>0</v>
      </c>
      <c r="E5823" s="65">
        <v>27.49</v>
      </c>
      <c r="F5823" s="8">
        <v>3.077</v>
      </c>
      <c r="G5823" s="66">
        <v>196.7330517</v>
      </c>
      <c r="H5823" s="8">
        <v>6.589</v>
      </c>
      <c r="J5823" s="26"/>
      <c r="K5823"/>
    </row>
    <row r="5824" spans="1:11">
      <c r="A5824">
        <v>41</v>
      </c>
      <c r="B5824" s="64">
        <v>40928</v>
      </c>
      <c r="C5824" s="2">
        <v>1116295.24</v>
      </c>
      <c r="D5824">
        <v>0</v>
      </c>
      <c r="E5824" s="65">
        <v>31.56</v>
      </c>
      <c r="F5824" s="8">
        <v>3.055</v>
      </c>
      <c r="G5824" s="66">
        <v>196.7796652</v>
      </c>
      <c r="H5824" s="8">
        <v>6.589</v>
      </c>
      <c r="J5824" s="26"/>
      <c r="K5824"/>
    </row>
    <row r="5825" spans="1:11">
      <c r="A5825">
        <v>41</v>
      </c>
      <c r="B5825" s="64">
        <v>40935</v>
      </c>
      <c r="C5825" s="2">
        <v>1079398.81</v>
      </c>
      <c r="D5825">
        <v>0</v>
      </c>
      <c r="E5825" s="65">
        <v>33.15</v>
      </c>
      <c r="F5825" s="8">
        <v>3.038</v>
      </c>
      <c r="G5825" s="66">
        <v>196.8262786</v>
      </c>
      <c r="H5825" s="8">
        <v>6.589</v>
      </c>
      <c r="J5825" s="26"/>
      <c r="K5825"/>
    </row>
    <row r="5826" spans="1:11">
      <c r="A5826">
        <v>41</v>
      </c>
      <c r="B5826" s="64">
        <v>40942</v>
      </c>
      <c r="C5826" s="2">
        <v>1208825.6</v>
      </c>
      <c r="D5826">
        <v>0</v>
      </c>
      <c r="E5826" s="65">
        <v>31.65</v>
      </c>
      <c r="F5826" s="8">
        <v>3.031</v>
      </c>
      <c r="G5826" s="66">
        <v>196.8728921</v>
      </c>
      <c r="H5826" s="8">
        <v>6.589</v>
      </c>
      <c r="J5826" s="26"/>
      <c r="K5826"/>
    </row>
    <row r="5827" spans="1:11">
      <c r="A5827">
        <v>41</v>
      </c>
      <c r="B5827" s="64">
        <v>40949</v>
      </c>
      <c r="C5827" s="2">
        <v>1238844.56</v>
      </c>
      <c r="D5827">
        <v>1</v>
      </c>
      <c r="E5827" s="65">
        <v>22</v>
      </c>
      <c r="F5827" s="8">
        <v>3.103</v>
      </c>
      <c r="G5827" s="66">
        <v>196.9195056</v>
      </c>
      <c r="H5827" s="8">
        <v>6.589</v>
      </c>
      <c r="J5827" s="26"/>
      <c r="K5827"/>
    </row>
    <row r="5828" spans="1:11">
      <c r="A5828">
        <v>41</v>
      </c>
      <c r="B5828" s="64">
        <v>40956</v>
      </c>
      <c r="C5828" s="2">
        <v>1330451.46</v>
      </c>
      <c r="D5828">
        <v>0</v>
      </c>
      <c r="E5828" s="65">
        <v>22.52</v>
      </c>
      <c r="F5828" s="8">
        <v>3.113</v>
      </c>
      <c r="G5828" s="66">
        <v>196.9432711</v>
      </c>
      <c r="H5828" s="8">
        <v>6.589</v>
      </c>
      <c r="J5828" s="26"/>
      <c r="K5828"/>
    </row>
    <row r="5829" spans="1:11">
      <c r="A5829">
        <v>41</v>
      </c>
      <c r="B5829" s="64">
        <v>40963</v>
      </c>
      <c r="C5829" s="2">
        <v>1224915.66</v>
      </c>
      <c r="D5829">
        <v>0</v>
      </c>
      <c r="E5829" s="65">
        <v>27.89</v>
      </c>
      <c r="F5829" s="8">
        <v>3.129</v>
      </c>
      <c r="G5829" s="66">
        <v>196.9499007</v>
      </c>
      <c r="H5829" s="8">
        <v>6.589</v>
      </c>
      <c r="J5829" s="26"/>
      <c r="K5829"/>
    </row>
    <row r="5830" spans="1:11">
      <c r="A5830">
        <v>41</v>
      </c>
      <c r="B5830" s="64">
        <v>40970</v>
      </c>
      <c r="C5830" s="2">
        <v>1239813.26</v>
      </c>
      <c r="D5830">
        <v>0</v>
      </c>
      <c r="E5830" s="65">
        <v>27.39</v>
      </c>
      <c r="F5830" s="8">
        <v>3.191</v>
      </c>
      <c r="G5830" s="66">
        <v>196.9565303</v>
      </c>
      <c r="H5830" s="8">
        <v>6.589</v>
      </c>
      <c r="J5830" s="26"/>
      <c r="K5830"/>
    </row>
    <row r="5831" spans="1:11">
      <c r="A5831">
        <v>41</v>
      </c>
      <c r="B5831" s="64">
        <v>40977</v>
      </c>
      <c r="C5831" s="2">
        <v>1243814.77</v>
      </c>
      <c r="D5831">
        <v>0</v>
      </c>
      <c r="E5831" s="65">
        <v>35.3</v>
      </c>
      <c r="F5831" s="8">
        <v>3.286</v>
      </c>
      <c r="G5831" s="66">
        <v>196.9631599</v>
      </c>
      <c r="H5831" s="8">
        <v>6.589</v>
      </c>
      <c r="J5831" s="26"/>
      <c r="K5831"/>
    </row>
    <row r="5832" spans="1:11">
      <c r="A5832">
        <v>41</v>
      </c>
      <c r="B5832" s="64">
        <v>40984</v>
      </c>
      <c r="C5832" s="2">
        <v>1201511.62</v>
      </c>
      <c r="D5832">
        <v>0</v>
      </c>
      <c r="E5832" s="65">
        <v>47.76</v>
      </c>
      <c r="F5832" s="8">
        <v>3.486</v>
      </c>
      <c r="G5832" s="66">
        <v>197.0457208</v>
      </c>
      <c r="H5832" s="8">
        <v>6.589</v>
      </c>
      <c r="J5832" s="26"/>
      <c r="K5832"/>
    </row>
    <row r="5833" spans="1:11">
      <c r="A5833">
        <v>41</v>
      </c>
      <c r="B5833" s="64">
        <v>40991</v>
      </c>
      <c r="C5833" s="2">
        <v>1215354.38</v>
      </c>
      <c r="D5833">
        <v>0</v>
      </c>
      <c r="E5833" s="65">
        <v>44.04</v>
      </c>
      <c r="F5833" s="8">
        <v>3.664</v>
      </c>
      <c r="G5833" s="66">
        <v>197.2295234</v>
      </c>
      <c r="H5833" s="8">
        <v>6.589</v>
      </c>
      <c r="J5833" s="26"/>
      <c r="K5833"/>
    </row>
    <row r="5834" spans="1:11">
      <c r="A5834">
        <v>41</v>
      </c>
      <c r="B5834" s="64">
        <v>40998</v>
      </c>
      <c r="C5834" s="2">
        <v>1239423.19</v>
      </c>
      <c r="D5834">
        <v>0</v>
      </c>
      <c r="E5834" s="65">
        <v>51.56</v>
      </c>
      <c r="F5834" s="8">
        <v>3.75</v>
      </c>
      <c r="G5834" s="66">
        <v>197.4133259</v>
      </c>
      <c r="H5834" s="8">
        <v>6.589</v>
      </c>
      <c r="J5834" s="26"/>
      <c r="K5834"/>
    </row>
    <row r="5835" spans="1:11">
      <c r="A5835">
        <v>41</v>
      </c>
      <c r="B5835" s="64">
        <v>41005</v>
      </c>
      <c r="C5835" s="2">
        <v>1460234.31</v>
      </c>
      <c r="D5835">
        <v>0</v>
      </c>
      <c r="E5835" s="65">
        <v>48.48</v>
      </c>
      <c r="F5835" s="8">
        <v>3.854</v>
      </c>
      <c r="G5835" s="66">
        <v>197.5971285</v>
      </c>
      <c r="H5835" s="8">
        <v>6.547</v>
      </c>
      <c r="J5835" s="26"/>
      <c r="K5835"/>
    </row>
    <row r="5836" spans="1:11">
      <c r="A5836">
        <v>41</v>
      </c>
      <c r="B5836" s="64">
        <v>41012</v>
      </c>
      <c r="C5836" s="2">
        <v>1323004.73</v>
      </c>
      <c r="D5836">
        <v>0</v>
      </c>
      <c r="E5836" s="65">
        <v>46.84</v>
      </c>
      <c r="F5836" s="8">
        <v>3.901</v>
      </c>
      <c r="G5836" s="66">
        <v>197.780931</v>
      </c>
      <c r="H5836" s="8">
        <v>6.547</v>
      </c>
      <c r="J5836" s="26"/>
      <c r="K5836"/>
    </row>
    <row r="5837" spans="1:11">
      <c r="A5837">
        <v>41</v>
      </c>
      <c r="B5837" s="64">
        <v>41019</v>
      </c>
      <c r="C5837" s="2">
        <v>1220815.33</v>
      </c>
      <c r="D5837">
        <v>0</v>
      </c>
      <c r="E5837" s="65">
        <v>43.57</v>
      </c>
      <c r="F5837" s="8">
        <v>3.936</v>
      </c>
      <c r="G5837" s="66">
        <v>197.7227385</v>
      </c>
      <c r="H5837" s="8">
        <v>6.547</v>
      </c>
      <c r="J5837" s="26"/>
      <c r="K5837"/>
    </row>
    <row r="5838" spans="1:11">
      <c r="A5838">
        <v>41</v>
      </c>
      <c r="B5838" s="64">
        <v>41026</v>
      </c>
      <c r="C5838" s="2">
        <v>1248950.65</v>
      </c>
      <c r="D5838">
        <v>0</v>
      </c>
      <c r="E5838" s="65">
        <v>57.66</v>
      </c>
      <c r="F5838" s="8">
        <v>3.927</v>
      </c>
      <c r="G5838" s="66">
        <v>197.664546</v>
      </c>
      <c r="H5838" s="8">
        <v>6.547</v>
      </c>
      <c r="J5838" s="26"/>
      <c r="K5838"/>
    </row>
    <row r="5839" spans="1:11">
      <c r="A5839">
        <v>41</v>
      </c>
      <c r="B5839" s="64">
        <v>41033</v>
      </c>
      <c r="C5839" s="2">
        <v>1359770.73</v>
      </c>
      <c r="D5839">
        <v>0</v>
      </c>
      <c r="E5839" s="65">
        <v>52.86</v>
      </c>
      <c r="F5839" s="8">
        <v>3.903</v>
      </c>
      <c r="G5839" s="66">
        <v>197.6063534</v>
      </c>
      <c r="H5839" s="8">
        <v>6.547</v>
      </c>
      <c r="J5839" s="26"/>
      <c r="K5839"/>
    </row>
    <row r="5840" spans="1:11">
      <c r="A5840">
        <v>41</v>
      </c>
      <c r="B5840" s="64">
        <v>41040</v>
      </c>
      <c r="C5840" s="2">
        <v>1353285.1</v>
      </c>
      <c r="D5840">
        <v>0</v>
      </c>
      <c r="E5840" s="65">
        <v>50.22</v>
      </c>
      <c r="F5840" s="8">
        <v>3.87</v>
      </c>
      <c r="G5840" s="66">
        <v>197.5481609</v>
      </c>
      <c r="H5840" s="8">
        <v>6.547</v>
      </c>
      <c r="J5840" s="26"/>
      <c r="K5840"/>
    </row>
    <row r="5841" spans="1:11">
      <c r="A5841">
        <v>41</v>
      </c>
      <c r="B5841" s="64">
        <v>41047</v>
      </c>
      <c r="C5841" s="2">
        <v>1331514.44</v>
      </c>
      <c r="D5841">
        <v>0</v>
      </c>
      <c r="E5841" s="65">
        <v>55.24</v>
      </c>
      <c r="F5841" s="8">
        <v>3.837</v>
      </c>
      <c r="G5841" s="66">
        <v>197.5553137</v>
      </c>
      <c r="H5841" s="8">
        <v>6.547</v>
      </c>
      <c r="J5841" s="26"/>
      <c r="K5841"/>
    </row>
    <row r="5842" spans="1:11">
      <c r="A5842">
        <v>41</v>
      </c>
      <c r="B5842" s="64">
        <v>41054</v>
      </c>
      <c r="C5842" s="2">
        <v>1424500.47</v>
      </c>
      <c r="D5842">
        <v>0</v>
      </c>
      <c r="E5842" s="65">
        <v>54.89</v>
      </c>
      <c r="F5842" s="8">
        <v>3.804</v>
      </c>
      <c r="G5842" s="66">
        <v>197.5886046</v>
      </c>
      <c r="H5842" s="8">
        <v>6.547</v>
      </c>
      <c r="J5842" s="26"/>
      <c r="K5842"/>
    </row>
    <row r="5843" spans="1:11">
      <c r="A5843">
        <v>41</v>
      </c>
      <c r="B5843" s="64">
        <v>41061</v>
      </c>
      <c r="C5843" s="2">
        <v>1374891.36</v>
      </c>
      <c r="D5843">
        <v>0</v>
      </c>
      <c r="E5843" s="65">
        <v>57.29</v>
      </c>
      <c r="F5843" s="8">
        <v>3.764</v>
      </c>
      <c r="G5843" s="66">
        <v>197.6218954</v>
      </c>
      <c r="H5843" s="8">
        <v>6.547</v>
      </c>
      <c r="J5843" s="26"/>
      <c r="K5843"/>
    </row>
    <row r="5844" spans="1:11">
      <c r="A5844">
        <v>41</v>
      </c>
      <c r="B5844" s="64">
        <v>41068</v>
      </c>
      <c r="C5844" s="2">
        <v>1436383.84</v>
      </c>
      <c r="D5844">
        <v>0</v>
      </c>
      <c r="E5844" s="65">
        <v>65.11</v>
      </c>
      <c r="F5844" s="8">
        <v>3.741</v>
      </c>
      <c r="G5844" s="66">
        <v>197.6551863</v>
      </c>
      <c r="H5844" s="8">
        <v>6.547</v>
      </c>
      <c r="J5844" s="26"/>
      <c r="K5844"/>
    </row>
    <row r="5845" spans="1:11">
      <c r="A5845">
        <v>41</v>
      </c>
      <c r="B5845" s="64">
        <v>41075</v>
      </c>
      <c r="C5845" s="2">
        <v>1384584.59</v>
      </c>
      <c r="D5845">
        <v>0</v>
      </c>
      <c r="E5845" s="65">
        <v>64.92</v>
      </c>
      <c r="F5845" s="8">
        <v>3.723</v>
      </c>
      <c r="G5845" s="66">
        <v>197.692292</v>
      </c>
      <c r="H5845" s="8">
        <v>6.547</v>
      </c>
      <c r="J5845" s="26"/>
      <c r="K5845"/>
    </row>
    <row r="5846" spans="1:11">
      <c r="A5846">
        <v>41</v>
      </c>
      <c r="B5846" s="64">
        <v>41082</v>
      </c>
      <c r="C5846" s="2">
        <v>1386407.17</v>
      </c>
      <c r="D5846">
        <v>0</v>
      </c>
      <c r="E5846" s="65">
        <v>66.88</v>
      </c>
      <c r="F5846" s="8">
        <v>3.735</v>
      </c>
      <c r="G5846" s="66">
        <v>197.7389345</v>
      </c>
      <c r="H5846" s="8">
        <v>6.547</v>
      </c>
      <c r="J5846" s="26"/>
      <c r="K5846"/>
    </row>
    <row r="5847" spans="1:11">
      <c r="A5847">
        <v>41</v>
      </c>
      <c r="B5847" s="64">
        <v>41089</v>
      </c>
      <c r="C5847" s="2">
        <v>1355600.01</v>
      </c>
      <c r="D5847">
        <v>0</v>
      </c>
      <c r="E5847" s="65">
        <v>76.54</v>
      </c>
      <c r="F5847" s="8">
        <v>3.693</v>
      </c>
      <c r="G5847" s="66">
        <v>197.785577</v>
      </c>
      <c r="H5847" s="8">
        <v>6.547</v>
      </c>
      <c r="J5847" s="26"/>
      <c r="K5847"/>
    </row>
    <row r="5848" spans="1:11">
      <c r="A5848">
        <v>41</v>
      </c>
      <c r="B5848" s="64">
        <v>41096</v>
      </c>
      <c r="C5848" s="2">
        <v>1456300.89</v>
      </c>
      <c r="D5848">
        <v>0</v>
      </c>
      <c r="E5848" s="65">
        <v>74.47</v>
      </c>
      <c r="F5848" s="8">
        <v>3.646</v>
      </c>
      <c r="G5848" s="66">
        <v>197.8322195</v>
      </c>
      <c r="H5848" s="8">
        <v>6.432</v>
      </c>
      <c r="J5848" s="26"/>
      <c r="K5848"/>
    </row>
    <row r="5849" spans="1:11">
      <c r="A5849">
        <v>41</v>
      </c>
      <c r="B5849" s="64">
        <v>41103</v>
      </c>
      <c r="C5849" s="2">
        <v>1332594.07</v>
      </c>
      <c r="D5849">
        <v>0</v>
      </c>
      <c r="E5849" s="65">
        <v>67.24</v>
      </c>
      <c r="F5849" s="8">
        <v>3.613</v>
      </c>
      <c r="G5849" s="66">
        <v>197.8788621</v>
      </c>
      <c r="H5849" s="8">
        <v>6.432</v>
      </c>
      <c r="J5849" s="26"/>
      <c r="K5849"/>
    </row>
    <row r="5850" spans="1:11">
      <c r="A5850">
        <v>41</v>
      </c>
      <c r="B5850" s="64">
        <v>41110</v>
      </c>
      <c r="C5850" s="2">
        <v>1347175.93</v>
      </c>
      <c r="D5850">
        <v>0</v>
      </c>
      <c r="E5850" s="65">
        <v>74.06</v>
      </c>
      <c r="F5850" s="8">
        <v>3.585</v>
      </c>
      <c r="G5850" s="66">
        <v>197.9290378</v>
      </c>
      <c r="H5850" s="8">
        <v>6.432</v>
      </c>
      <c r="J5850" s="26"/>
      <c r="K5850"/>
    </row>
    <row r="5851" spans="1:11">
      <c r="A5851">
        <v>41</v>
      </c>
      <c r="B5851" s="64">
        <v>41117</v>
      </c>
      <c r="C5851" s="2">
        <v>1344723.97</v>
      </c>
      <c r="D5851">
        <v>0</v>
      </c>
      <c r="E5851" s="65">
        <v>73.31</v>
      </c>
      <c r="F5851" s="8">
        <v>3.57</v>
      </c>
      <c r="G5851" s="66">
        <v>197.9792136</v>
      </c>
      <c r="H5851" s="8">
        <v>6.432</v>
      </c>
      <c r="J5851" s="26"/>
      <c r="K5851"/>
    </row>
    <row r="5852" spans="1:11">
      <c r="A5852">
        <v>41</v>
      </c>
      <c r="B5852" s="64">
        <v>41124</v>
      </c>
      <c r="C5852" s="2">
        <v>1439607.35</v>
      </c>
      <c r="D5852">
        <v>0</v>
      </c>
      <c r="E5852" s="65">
        <v>73.16</v>
      </c>
      <c r="F5852" s="8">
        <v>3.528</v>
      </c>
      <c r="G5852" s="66">
        <v>198.0293893</v>
      </c>
      <c r="H5852" s="8">
        <v>6.432</v>
      </c>
      <c r="J5852" s="26"/>
      <c r="K5852"/>
    </row>
    <row r="5853" spans="1:11">
      <c r="A5853">
        <v>41</v>
      </c>
      <c r="B5853" s="64">
        <v>41131</v>
      </c>
      <c r="C5853" s="2">
        <v>1504545.94</v>
      </c>
      <c r="D5853">
        <v>0</v>
      </c>
      <c r="E5853" s="65">
        <v>71.73</v>
      </c>
      <c r="F5853" s="8">
        <v>3.509</v>
      </c>
      <c r="G5853" s="66">
        <v>198.0795651</v>
      </c>
      <c r="H5853" s="8">
        <v>6.432</v>
      </c>
      <c r="J5853" s="26"/>
      <c r="K5853"/>
    </row>
    <row r="5854" spans="1:11">
      <c r="A5854">
        <v>41</v>
      </c>
      <c r="B5854" s="64">
        <v>41138</v>
      </c>
      <c r="C5854" s="2">
        <v>1560590.05</v>
      </c>
      <c r="D5854">
        <v>0</v>
      </c>
      <c r="E5854" s="65">
        <v>65.77</v>
      </c>
      <c r="F5854" s="8">
        <v>3.545</v>
      </c>
      <c r="G5854" s="66">
        <v>198.1001057</v>
      </c>
      <c r="H5854" s="8">
        <v>6.432</v>
      </c>
      <c r="J5854" s="26"/>
      <c r="K5854"/>
    </row>
    <row r="5855" spans="1:11">
      <c r="A5855">
        <v>41</v>
      </c>
      <c r="B5855" s="64">
        <v>41145</v>
      </c>
      <c r="C5855" s="2">
        <v>1464462.85</v>
      </c>
      <c r="D5855">
        <v>0</v>
      </c>
      <c r="E5855" s="65">
        <v>69.07</v>
      </c>
      <c r="F5855" s="8">
        <v>3.558</v>
      </c>
      <c r="G5855" s="66">
        <v>198.0984199</v>
      </c>
      <c r="H5855" s="8">
        <v>6.432</v>
      </c>
      <c r="J5855" s="26"/>
      <c r="K5855"/>
    </row>
    <row r="5856" spans="1:11">
      <c r="A5856">
        <v>41</v>
      </c>
      <c r="B5856" s="64">
        <v>41152</v>
      </c>
      <c r="C5856" s="2">
        <v>1360517.52</v>
      </c>
      <c r="D5856">
        <v>0</v>
      </c>
      <c r="E5856" s="65">
        <v>71.56</v>
      </c>
      <c r="F5856" s="8">
        <v>3.556</v>
      </c>
      <c r="G5856" s="66">
        <v>198.0967341</v>
      </c>
      <c r="H5856" s="8">
        <v>6.432</v>
      </c>
      <c r="J5856" s="26"/>
      <c r="K5856"/>
    </row>
    <row r="5857" spans="1:11">
      <c r="A5857">
        <v>41</v>
      </c>
      <c r="B5857" s="64">
        <v>41159</v>
      </c>
      <c r="C5857" s="2">
        <v>1392143.82</v>
      </c>
      <c r="D5857">
        <v>1</v>
      </c>
      <c r="E5857" s="65">
        <v>67.41</v>
      </c>
      <c r="F5857" s="8">
        <v>3.596</v>
      </c>
      <c r="G5857" s="66">
        <v>198.0950484</v>
      </c>
      <c r="H5857" s="8">
        <v>6.432</v>
      </c>
      <c r="J5857" s="26"/>
      <c r="K5857"/>
    </row>
    <row r="5858" spans="1:11">
      <c r="A5858">
        <v>41</v>
      </c>
      <c r="B5858" s="64">
        <v>41166</v>
      </c>
      <c r="C5858" s="2">
        <v>1306644.25</v>
      </c>
      <c r="D5858">
        <v>0</v>
      </c>
      <c r="E5858" s="65">
        <v>59.39</v>
      </c>
      <c r="F5858" s="8">
        <v>3.659</v>
      </c>
      <c r="G5858" s="66">
        <v>198.1267184</v>
      </c>
      <c r="H5858" s="8">
        <v>6.432</v>
      </c>
      <c r="J5858" s="26"/>
      <c r="K5858"/>
    </row>
    <row r="5859" spans="1:11">
      <c r="A5859">
        <v>41</v>
      </c>
      <c r="B5859" s="64">
        <v>41173</v>
      </c>
      <c r="C5859" s="2">
        <v>1276609.36</v>
      </c>
      <c r="D5859">
        <v>0</v>
      </c>
      <c r="E5859" s="65">
        <v>59.81</v>
      </c>
      <c r="F5859" s="8">
        <v>3.765</v>
      </c>
      <c r="G5859" s="66">
        <v>198.358523</v>
      </c>
      <c r="H5859" s="8">
        <v>6.432</v>
      </c>
      <c r="J5859" s="26"/>
      <c r="K5859"/>
    </row>
    <row r="5860" spans="1:11">
      <c r="A5860">
        <v>41</v>
      </c>
      <c r="B5860" s="64">
        <v>41180</v>
      </c>
      <c r="C5860" s="2">
        <v>1307928.01</v>
      </c>
      <c r="D5860">
        <v>0</v>
      </c>
      <c r="E5860" s="65">
        <v>56.08</v>
      </c>
      <c r="F5860" s="8">
        <v>3.789</v>
      </c>
      <c r="G5860" s="66">
        <v>198.5903276</v>
      </c>
      <c r="H5860" s="8">
        <v>6.432</v>
      </c>
      <c r="J5860" s="26"/>
      <c r="K5860"/>
    </row>
    <row r="5861" spans="1:11">
      <c r="A5861">
        <v>41</v>
      </c>
      <c r="B5861" s="64">
        <v>41187</v>
      </c>
      <c r="C5861" s="2">
        <v>1400160.95</v>
      </c>
      <c r="D5861">
        <v>0</v>
      </c>
      <c r="E5861" s="65">
        <v>50.14</v>
      </c>
      <c r="F5861" s="8">
        <v>3.779</v>
      </c>
      <c r="G5861" s="66">
        <v>198.8221322</v>
      </c>
      <c r="H5861" s="8">
        <v>6.195</v>
      </c>
      <c r="J5861" s="26"/>
      <c r="K5861"/>
    </row>
    <row r="5862" spans="1:11">
      <c r="A5862">
        <v>41</v>
      </c>
      <c r="B5862" s="64">
        <v>41194</v>
      </c>
      <c r="C5862" s="2">
        <v>1409544.97</v>
      </c>
      <c r="D5862">
        <v>0</v>
      </c>
      <c r="E5862" s="65">
        <v>39.38</v>
      </c>
      <c r="F5862" s="8">
        <v>3.76</v>
      </c>
      <c r="G5862" s="66">
        <v>199.0539368</v>
      </c>
      <c r="H5862" s="8">
        <v>6.195</v>
      </c>
      <c r="J5862" s="26"/>
      <c r="K5862"/>
    </row>
    <row r="5863" spans="1:11">
      <c r="A5863">
        <v>41</v>
      </c>
      <c r="B5863" s="64">
        <v>41201</v>
      </c>
      <c r="C5863" s="2">
        <v>1326197.24</v>
      </c>
      <c r="D5863">
        <v>0</v>
      </c>
      <c r="E5863" s="65">
        <v>49.56</v>
      </c>
      <c r="F5863" s="8">
        <v>3.75</v>
      </c>
      <c r="G5863" s="66">
        <v>199.1481963</v>
      </c>
      <c r="H5863" s="8">
        <v>6.195</v>
      </c>
      <c r="J5863" s="26"/>
      <c r="K5863"/>
    </row>
    <row r="5864" spans="1:11">
      <c r="A5864">
        <v>41</v>
      </c>
      <c r="B5864" s="64">
        <v>41208</v>
      </c>
      <c r="C5864" s="2">
        <v>1316542.59</v>
      </c>
      <c r="D5864">
        <v>0</v>
      </c>
      <c r="E5864" s="65">
        <v>41.8</v>
      </c>
      <c r="F5864" s="8">
        <v>3.686</v>
      </c>
      <c r="G5864" s="66">
        <v>199.2195317</v>
      </c>
      <c r="H5864" s="8">
        <v>6.195</v>
      </c>
      <c r="J5864" s="26"/>
      <c r="K5864"/>
    </row>
    <row r="5865" spans="1:11">
      <c r="A5865">
        <v>42</v>
      </c>
      <c r="B5865" s="64">
        <v>40214</v>
      </c>
      <c r="C5865" s="2">
        <v>543384.01</v>
      </c>
      <c r="D5865">
        <v>0</v>
      </c>
      <c r="E5865" s="65">
        <v>54.34</v>
      </c>
      <c r="F5865" s="8">
        <v>2.962</v>
      </c>
      <c r="G5865" s="66">
        <v>126.4420645</v>
      </c>
      <c r="H5865" s="8">
        <v>9.765</v>
      </c>
      <c r="J5865" s="26"/>
      <c r="K5865"/>
    </row>
    <row r="5866" spans="1:11">
      <c r="A5866">
        <v>42</v>
      </c>
      <c r="B5866" s="64">
        <v>40221</v>
      </c>
      <c r="C5866" s="2">
        <v>575709.96</v>
      </c>
      <c r="D5866">
        <v>1</v>
      </c>
      <c r="E5866" s="65">
        <v>49.96</v>
      </c>
      <c r="F5866" s="8">
        <v>2.828</v>
      </c>
      <c r="G5866" s="66">
        <v>126.4962581</v>
      </c>
      <c r="H5866" s="8">
        <v>9.765</v>
      </c>
      <c r="J5866" s="26"/>
      <c r="K5866"/>
    </row>
    <row r="5867" spans="1:11">
      <c r="A5867">
        <v>42</v>
      </c>
      <c r="B5867" s="64">
        <v>40228</v>
      </c>
      <c r="C5867" s="2">
        <v>508794.87</v>
      </c>
      <c r="D5867">
        <v>0</v>
      </c>
      <c r="E5867" s="65">
        <v>58.22</v>
      </c>
      <c r="F5867" s="8">
        <v>2.915</v>
      </c>
      <c r="G5867" s="66">
        <v>126.5262857</v>
      </c>
      <c r="H5867" s="8">
        <v>9.765</v>
      </c>
      <c r="J5867" s="26"/>
      <c r="K5867"/>
    </row>
    <row r="5868" spans="1:11">
      <c r="A5868">
        <v>42</v>
      </c>
      <c r="B5868" s="64">
        <v>40235</v>
      </c>
      <c r="C5868" s="2">
        <v>491510.58</v>
      </c>
      <c r="D5868">
        <v>0</v>
      </c>
      <c r="E5868" s="65">
        <v>52.77</v>
      </c>
      <c r="F5868" s="8">
        <v>2.825</v>
      </c>
      <c r="G5868" s="66">
        <v>126.5522857</v>
      </c>
      <c r="H5868" s="8">
        <v>9.765</v>
      </c>
      <c r="J5868" s="26"/>
      <c r="K5868"/>
    </row>
    <row r="5869" spans="1:11">
      <c r="A5869">
        <v>42</v>
      </c>
      <c r="B5869" s="64">
        <v>40242</v>
      </c>
      <c r="C5869" s="2">
        <v>554972.42</v>
      </c>
      <c r="D5869">
        <v>0</v>
      </c>
      <c r="E5869" s="65">
        <v>55.92</v>
      </c>
      <c r="F5869" s="8">
        <v>2.877</v>
      </c>
      <c r="G5869" s="66">
        <v>126.5782857</v>
      </c>
      <c r="H5869" s="8">
        <v>9.765</v>
      </c>
      <c r="J5869" s="26"/>
      <c r="K5869"/>
    </row>
    <row r="5870" spans="1:11">
      <c r="A5870">
        <v>42</v>
      </c>
      <c r="B5870" s="64">
        <v>40249</v>
      </c>
      <c r="C5870" s="2">
        <v>588363.62</v>
      </c>
      <c r="D5870">
        <v>0</v>
      </c>
      <c r="E5870" s="65">
        <v>52.33</v>
      </c>
      <c r="F5870" s="8">
        <v>3.034</v>
      </c>
      <c r="G5870" s="66">
        <v>126.6042857</v>
      </c>
      <c r="H5870" s="8">
        <v>9.765</v>
      </c>
      <c r="J5870" s="26"/>
      <c r="K5870"/>
    </row>
    <row r="5871" spans="1:11">
      <c r="A5871">
        <v>42</v>
      </c>
      <c r="B5871" s="64">
        <v>40256</v>
      </c>
      <c r="C5871" s="2">
        <v>519914.1</v>
      </c>
      <c r="D5871">
        <v>0</v>
      </c>
      <c r="E5871" s="65">
        <v>61.46</v>
      </c>
      <c r="F5871" s="8">
        <v>3.054</v>
      </c>
      <c r="G5871" s="66">
        <v>126.6066452</v>
      </c>
      <c r="H5871" s="8">
        <v>9.765</v>
      </c>
      <c r="J5871" s="26"/>
      <c r="K5871"/>
    </row>
    <row r="5872" spans="1:11">
      <c r="A5872">
        <v>42</v>
      </c>
      <c r="B5872" s="64">
        <v>40263</v>
      </c>
      <c r="C5872" s="2">
        <v>478021.68</v>
      </c>
      <c r="D5872">
        <v>0</v>
      </c>
      <c r="E5872" s="65">
        <v>60.05</v>
      </c>
      <c r="F5872" s="8">
        <v>2.98</v>
      </c>
      <c r="G5872" s="66">
        <v>126.6050645</v>
      </c>
      <c r="H5872" s="8">
        <v>9.765</v>
      </c>
      <c r="J5872" s="26"/>
      <c r="K5872"/>
    </row>
    <row r="5873" spans="1:11">
      <c r="A5873">
        <v>42</v>
      </c>
      <c r="B5873" s="64">
        <v>40270</v>
      </c>
      <c r="C5873" s="2">
        <v>505907.41</v>
      </c>
      <c r="D5873">
        <v>0</v>
      </c>
      <c r="E5873" s="65">
        <v>63.66</v>
      </c>
      <c r="F5873" s="8">
        <v>3.086</v>
      </c>
      <c r="G5873" s="66">
        <v>126.6034839</v>
      </c>
      <c r="H5873" s="8">
        <v>9.524</v>
      </c>
      <c r="J5873" s="26"/>
      <c r="K5873"/>
    </row>
    <row r="5874" spans="1:11">
      <c r="A5874">
        <v>42</v>
      </c>
      <c r="B5874" s="64">
        <v>40277</v>
      </c>
      <c r="C5874" s="2">
        <v>582552.26</v>
      </c>
      <c r="D5874">
        <v>0</v>
      </c>
      <c r="E5874" s="65">
        <v>65.29</v>
      </c>
      <c r="F5874" s="8">
        <v>3.004</v>
      </c>
      <c r="G5874" s="66">
        <v>126.6019032</v>
      </c>
      <c r="H5874" s="8">
        <v>9.524</v>
      </c>
      <c r="J5874" s="26"/>
      <c r="K5874"/>
    </row>
    <row r="5875" spans="1:11">
      <c r="A5875">
        <v>42</v>
      </c>
      <c r="B5875" s="64">
        <v>40284</v>
      </c>
      <c r="C5875" s="2">
        <v>549528.16</v>
      </c>
      <c r="D5875">
        <v>0</v>
      </c>
      <c r="E5875" s="65">
        <v>69.74</v>
      </c>
      <c r="F5875" s="8">
        <v>3.109</v>
      </c>
      <c r="G5875" s="66">
        <v>126.5621</v>
      </c>
      <c r="H5875" s="8">
        <v>9.524</v>
      </c>
      <c r="J5875" s="26"/>
      <c r="K5875"/>
    </row>
    <row r="5876" spans="1:11">
      <c r="A5876">
        <v>42</v>
      </c>
      <c r="B5876" s="64">
        <v>40291</v>
      </c>
      <c r="C5876" s="2">
        <v>492364.77</v>
      </c>
      <c r="D5876">
        <v>0</v>
      </c>
      <c r="E5876" s="65">
        <v>66.42</v>
      </c>
      <c r="F5876" s="8">
        <v>3.05</v>
      </c>
      <c r="G5876" s="66">
        <v>126.4713333</v>
      </c>
      <c r="H5876" s="8">
        <v>9.524</v>
      </c>
      <c r="J5876" s="26"/>
      <c r="K5876"/>
    </row>
    <row r="5877" spans="1:11">
      <c r="A5877">
        <v>42</v>
      </c>
      <c r="B5877" s="64">
        <v>40298</v>
      </c>
      <c r="C5877" s="2">
        <v>477615.87</v>
      </c>
      <c r="D5877">
        <v>0</v>
      </c>
      <c r="E5877" s="65">
        <v>69.76</v>
      </c>
      <c r="F5877" s="8">
        <v>3.105</v>
      </c>
      <c r="G5877" s="66">
        <v>126.3805667</v>
      </c>
      <c r="H5877" s="8">
        <v>9.524</v>
      </c>
      <c r="J5877" s="26"/>
      <c r="K5877"/>
    </row>
    <row r="5878" spans="1:11">
      <c r="A5878">
        <v>42</v>
      </c>
      <c r="B5878" s="64">
        <v>40305</v>
      </c>
      <c r="C5878" s="2">
        <v>582846.22</v>
      </c>
      <c r="D5878">
        <v>0</v>
      </c>
      <c r="E5878" s="65">
        <v>71.06</v>
      </c>
      <c r="F5878" s="8">
        <v>3.127</v>
      </c>
      <c r="G5878" s="66">
        <v>126.2898</v>
      </c>
      <c r="H5878" s="8">
        <v>9.524</v>
      </c>
      <c r="J5878" s="26"/>
      <c r="K5878"/>
    </row>
    <row r="5879" spans="1:11">
      <c r="A5879">
        <v>42</v>
      </c>
      <c r="B5879" s="64">
        <v>40312</v>
      </c>
      <c r="C5879" s="2">
        <v>564345.55</v>
      </c>
      <c r="D5879">
        <v>0</v>
      </c>
      <c r="E5879" s="65">
        <v>73.88</v>
      </c>
      <c r="F5879" s="8">
        <v>3.145</v>
      </c>
      <c r="G5879" s="66">
        <v>126.2085484</v>
      </c>
      <c r="H5879" s="8">
        <v>9.524</v>
      </c>
      <c r="J5879" s="26"/>
      <c r="K5879"/>
    </row>
    <row r="5880" spans="1:11">
      <c r="A5880">
        <v>42</v>
      </c>
      <c r="B5880" s="64">
        <v>40319</v>
      </c>
      <c r="C5880" s="2">
        <v>504403.16</v>
      </c>
      <c r="D5880">
        <v>0</v>
      </c>
      <c r="E5880" s="65">
        <v>78.32</v>
      </c>
      <c r="F5880" s="8">
        <v>3.12</v>
      </c>
      <c r="G5880" s="66">
        <v>126.1843871</v>
      </c>
      <c r="H5880" s="8">
        <v>9.524</v>
      </c>
      <c r="J5880" s="26"/>
      <c r="K5880"/>
    </row>
    <row r="5881" spans="1:11">
      <c r="A5881">
        <v>42</v>
      </c>
      <c r="B5881" s="64">
        <v>40326</v>
      </c>
      <c r="C5881" s="2">
        <v>484097.03</v>
      </c>
      <c r="D5881">
        <v>0</v>
      </c>
      <c r="E5881" s="65">
        <v>76.67</v>
      </c>
      <c r="F5881" s="8">
        <v>3.058</v>
      </c>
      <c r="G5881" s="66">
        <v>126.1602258</v>
      </c>
      <c r="H5881" s="8">
        <v>9.524</v>
      </c>
      <c r="J5881" s="26"/>
      <c r="K5881"/>
    </row>
    <row r="5882" spans="1:11">
      <c r="A5882">
        <v>42</v>
      </c>
      <c r="B5882" s="64">
        <v>40333</v>
      </c>
      <c r="C5882" s="2">
        <v>556046.12</v>
      </c>
      <c r="D5882">
        <v>0</v>
      </c>
      <c r="E5882" s="65">
        <v>82.82</v>
      </c>
      <c r="F5882" s="8">
        <v>2.941</v>
      </c>
      <c r="G5882" s="66">
        <v>126.1360645</v>
      </c>
      <c r="H5882" s="8">
        <v>9.524</v>
      </c>
      <c r="J5882" s="26"/>
      <c r="K5882"/>
    </row>
    <row r="5883" spans="1:11">
      <c r="A5883">
        <v>42</v>
      </c>
      <c r="B5883" s="64">
        <v>40340</v>
      </c>
      <c r="C5883" s="2">
        <v>607218.6</v>
      </c>
      <c r="D5883">
        <v>0</v>
      </c>
      <c r="E5883" s="65">
        <v>89.67</v>
      </c>
      <c r="F5883" s="8">
        <v>3.057</v>
      </c>
      <c r="G5883" s="66">
        <v>126.1119032</v>
      </c>
      <c r="H5883" s="8">
        <v>9.524</v>
      </c>
      <c r="J5883" s="26"/>
      <c r="K5883"/>
    </row>
    <row r="5884" spans="1:11">
      <c r="A5884">
        <v>42</v>
      </c>
      <c r="B5884" s="64">
        <v>40347</v>
      </c>
      <c r="C5884" s="2">
        <v>529418.64</v>
      </c>
      <c r="D5884">
        <v>0</v>
      </c>
      <c r="E5884" s="65">
        <v>83.49</v>
      </c>
      <c r="F5884" s="8">
        <v>2.935</v>
      </c>
      <c r="G5884" s="66">
        <v>126.114</v>
      </c>
      <c r="H5884" s="8">
        <v>9.524</v>
      </c>
      <c r="J5884" s="26"/>
      <c r="K5884"/>
    </row>
    <row r="5885" spans="1:11">
      <c r="A5885">
        <v>42</v>
      </c>
      <c r="B5885" s="64">
        <v>40354</v>
      </c>
      <c r="C5885" s="2">
        <v>484327.56</v>
      </c>
      <c r="D5885">
        <v>0</v>
      </c>
      <c r="E5885" s="65">
        <v>90.32</v>
      </c>
      <c r="F5885" s="8">
        <v>3.084</v>
      </c>
      <c r="G5885" s="66">
        <v>126.1266</v>
      </c>
      <c r="H5885" s="8">
        <v>9.524</v>
      </c>
      <c r="J5885" s="26"/>
      <c r="K5885"/>
    </row>
    <row r="5886" spans="1:11">
      <c r="A5886">
        <v>42</v>
      </c>
      <c r="B5886" s="64">
        <v>40361</v>
      </c>
      <c r="C5886" s="2">
        <v>507168.8</v>
      </c>
      <c r="D5886">
        <v>0</v>
      </c>
      <c r="E5886" s="65">
        <v>92.89</v>
      </c>
      <c r="F5886" s="8">
        <v>2.978</v>
      </c>
      <c r="G5886" s="66">
        <v>126.1392</v>
      </c>
      <c r="H5886" s="8">
        <v>9.199</v>
      </c>
      <c r="J5886" s="26"/>
      <c r="K5886"/>
    </row>
    <row r="5887" spans="1:11">
      <c r="A5887">
        <v>42</v>
      </c>
      <c r="B5887" s="64">
        <v>40368</v>
      </c>
      <c r="C5887" s="2">
        <v>570069.48</v>
      </c>
      <c r="D5887">
        <v>0</v>
      </c>
      <c r="E5887" s="65">
        <v>91.03</v>
      </c>
      <c r="F5887" s="8">
        <v>3.1</v>
      </c>
      <c r="G5887" s="66">
        <v>126.1518</v>
      </c>
      <c r="H5887" s="8">
        <v>9.199</v>
      </c>
      <c r="J5887" s="26"/>
      <c r="K5887"/>
    </row>
    <row r="5888" spans="1:11">
      <c r="A5888">
        <v>42</v>
      </c>
      <c r="B5888" s="64">
        <v>40375</v>
      </c>
      <c r="C5888" s="2">
        <v>558837.27</v>
      </c>
      <c r="D5888">
        <v>0</v>
      </c>
      <c r="E5888" s="65">
        <v>91.8</v>
      </c>
      <c r="F5888" s="8">
        <v>2.971</v>
      </c>
      <c r="G5888" s="66">
        <v>126.1498065</v>
      </c>
      <c r="H5888" s="8">
        <v>9.199</v>
      </c>
      <c r="J5888" s="26"/>
      <c r="K5888"/>
    </row>
    <row r="5889" spans="1:11">
      <c r="A5889">
        <v>42</v>
      </c>
      <c r="B5889" s="64">
        <v>40382</v>
      </c>
      <c r="C5889" s="2">
        <v>491115.86</v>
      </c>
      <c r="D5889">
        <v>0</v>
      </c>
      <c r="E5889" s="65">
        <v>88.44</v>
      </c>
      <c r="F5889" s="8">
        <v>3.112</v>
      </c>
      <c r="G5889" s="66">
        <v>126.1283548</v>
      </c>
      <c r="H5889" s="8">
        <v>9.199</v>
      </c>
      <c r="J5889" s="26"/>
      <c r="K5889"/>
    </row>
    <row r="5890" spans="1:11">
      <c r="A5890">
        <v>42</v>
      </c>
      <c r="B5890" s="64">
        <v>40389</v>
      </c>
      <c r="C5890" s="2">
        <v>469598.57</v>
      </c>
      <c r="D5890">
        <v>0</v>
      </c>
      <c r="E5890" s="65">
        <v>85.03</v>
      </c>
      <c r="F5890" s="8">
        <v>3.017</v>
      </c>
      <c r="G5890" s="66">
        <v>126.1069032</v>
      </c>
      <c r="H5890" s="8">
        <v>9.199</v>
      </c>
      <c r="J5890" s="26"/>
      <c r="K5890"/>
    </row>
    <row r="5891" spans="1:11">
      <c r="A5891">
        <v>42</v>
      </c>
      <c r="B5891" s="64">
        <v>40396</v>
      </c>
      <c r="C5891" s="2">
        <v>579544.21</v>
      </c>
      <c r="D5891">
        <v>0</v>
      </c>
      <c r="E5891" s="65">
        <v>86.13</v>
      </c>
      <c r="F5891" s="8">
        <v>3.123</v>
      </c>
      <c r="G5891" s="66">
        <v>126.0854516</v>
      </c>
      <c r="H5891" s="8">
        <v>9.199</v>
      </c>
      <c r="J5891" s="26"/>
      <c r="K5891"/>
    </row>
    <row r="5892" spans="1:11">
      <c r="A5892">
        <v>42</v>
      </c>
      <c r="B5892" s="64">
        <v>40403</v>
      </c>
      <c r="C5892" s="2">
        <v>583079.97</v>
      </c>
      <c r="D5892">
        <v>0</v>
      </c>
      <c r="E5892" s="65">
        <v>88.37</v>
      </c>
      <c r="F5892" s="8">
        <v>3.049</v>
      </c>
      <c r="G5892" s="66">
        <v>126.064</v>
      </c>
      <c r="H5892" s="8">
        <v>9.199</v>
      </c>
      <c r="J5892" s="26"/>
      <c r="K5892"/>
    </row>
    <row r="5893" spans="1:11">
      <c r="A5893">
        <v>42</v>
      </c>
      <c r="B5893" s="64">
        <v>40410</v>
      </c>
      <c r="C5893" s="2">
        <v>500945.63</v>
      </c>
      <c r="D5893">
        <v>0</v>
      </c>
      <c r="E5893" s="65">
        <v>89.88</v>
      </c>
      <c r="F5893" s="8">
        <v>3.041</v>
      </c>
      <c r="G5893" s="66">
        <v>126.0766452</v>
      </c>
      <c r="H5893" s="8">
        <v>9.199</v>
      </c>
      <c r="J5893" s="26"/>
      <c r="K5893"/>
    </row>
    <row r="5894" spans="1:11">
      <c r="A5894">
        <v>42</v>
      </c>
      <c r="B5894" s="64">
        <v>40417</v>
      </c>
      <c r="C5894" s="2">
        <v>465993.51</v>
      </c>
      <c r="D5894">
        <v>0</v>
      </c>
      <c r="E5894" s="65">
        <v>84.99</v>
      </c>
      <c r="F5894" s="8">
        <v>3.022</v>
      </c>
      <c r="G5894" s="66">
        <v>126.0892903</v>
      </c>
      <c r="H5894" s="8">
        <v>9.199</v>
      </c>
      <c r="J5894" s="26"/>
      <c r="K5894"/>
    </row>
    <row r="5895" spans="1:11">
      <c r="A5895">
        <v>42</v>
      </c>
      <c r="B5895" s="64">
        <v>40424</v>
      </c>
      <c r="C5895" s="2">
        <v>524658.06</v>
      </c>
      <c r="D5895">
        <v>0</v>
      </c>
      <c r="E5895" s="65">
        <v>83.8</v>
      </c>
      <c r="F5895" s="8">
        <v>3.087</v>
      </c>
      <c r="G5895" s="66">
        <v>126.1019355</v>
      </c>
      <c r="H5895" s="8">
        <v>9.199</v>
      </c>
      <c r="J5895" s="26"/>
      <c r="K5895"/>
    </row>
    <row r="5896" spans="1:11">
      <c r="A5896">
        <v>42</v>
      </c>
      <c r="B5896" s="64">
        <v>40431</v>
      </c>
      <c r="C5896" s="2">
        <v>589091.04</v>
      </c>
      <c r="D5896">
        <v>1</v>
      </c>
      <c r="E5896" s="65">
        <v>84.04</v>
      </c>
      <c r="F5896" s="8">
        <v>2.961</v>
      </c>
      <c r="G5896" s="66">
        <v>126.1145806</v>
      </c>
      <c r="H5896" s="8">
        <v>9.199</v>
      </c>
      <c r="J5896" s="26"/>
      <c r="K5896"/>
    </row>
    <row r="5897" spans="1:11">
      <c r="A5897">
        <v>42</v>
      </c>
      <c r="B5897" s="64">
        <v>40438</v>
      </c>
      <c r="C5897" s="2">
        <v>536871.58</v>
      </c>
      <c r="D5897">
        <v>0</v>
      </c>
      <c r="E5897" s="65">
        <v>85.52</v>
      </c>
      <c r="F5897" s="8">
        <v>3.028</v>
      </c>
      <c r="G5897" s="66">
        <v>126.1454667</v>
      </c>
      <c r="H5897" s="8">
        <v>9.199</v>
      </c>
      <c r="J5897" s="26"/>
      <c r="K5897"/>
    </row>
    <row r="5898" spans="1:11">
      <c r="A5898">
        <v>42</v>
      </c>
      <c r="B5898" s="64">
        <v>40445</v>
      </c>
      <c r="C5898" s="2">
        <v>492262.96</v>
      </c>
      <c r="D5898">
        <v>0</v>
      </c>
      <c r="E5898" s="65">
        <v>85.75</v>
      </c>
      <c r="F5898" s="8">
        <v>2.939</v>
      </c>
      <c r="G5898" s="66">
        <v>126.1900333</v>
      </c>
      <c r="H5898" s="8">
        <v>9.199</v>
      </c>
      <c r="J5898" s="26"/>
      <c r="K5898"/>
    </row>
    <row r="5899" spans="1:11">
      <c r="A5899">
        <v>42</v>
      </c>
      <c r="B5899" s="64">
        <v>40452</v>
      </c>
      <c r="C5899" s="2">
        <v>481523.93</v>
      </c>
      <c r="D5899">
        <v>0</v>
      </c>
      <c r="E5899" s="65">
        <v>86.01</v>
      </c>
      <c r="F5899" s="8">
        <v>3.001</v>
      </c>
      <c r="G5899" s="66">
        <v>126.2346</v>
      </c>
      <c r="H5899" s="8">
        <v>9.003</v>
      </c>
      <c r="J5899" s="26"/>
      <c r="K5899"/>
    </row>
    <row r="5900" spans="1:11">
      <c r="A5900">
        <v>42</v>
      </c>
      <c r="B5900" s="64">
        <v>40459</v>
      </c>
      <c r="C5900" s="2">
        <v>599759.45</v>
      </c>
      <c r="D5900">
        <v>0</v>
      </c>
      <c r="E5900" s="65">
        <v>77.04</v>
      </c>
      <c r="F5900" s="8">
        <v>2.924</v>
      </c>
      <c r="G5900" s="66">
        <v>126.2791667</v>
      </c>
      <c r="H5900" s="8">
        <v>9.003</v>
      </c>
      <c r="J5900" s="26"/>
      <c r="K5900"/>
    </row>
    <row r="5901" spans="1:11">
      <c r="A5901">
        <v>42</v>
      </c>
      <c r="B5901" s="64">
        <v>40466</v>
      </c>
      <c r="C5901" s="2">
        <v>559285.35</v>
      </c>
      <c r="D5901">
        <v>0</v>
      </c>
      <c r="E5901" s="65">
        <v>75.48</v>
      </c>
      <c r="F5901" s="8">
        <v>3.08</v>
      </c>
      <c r="G5901" s="66">
        <v>126.3266774</v>
      </c>
      <c r="H5901" s="8">
        <v>9.003</v>
      </c>
      <c r="J5901" s="26"/>
      <c r="K5901"/>
    </row>
    <row r="5902" spans="1:11">
      <c r="A5902">
        <v>42</v>
      </c>
      <c r="B5902" s="64">
        <v>40473</v>
      </c>
      <c r="C5902" s="2">
        <v>522467.51</v>
      </c>
      <c r="D5902">
        <v>0</v>
      </c>
      <c r="E5902" s="65">
        <v>68.12</v>
      </c>
      <c r="F5902" s="8">
        <v>3.014</v>
      </c>
      <c r="G5902" s="66">
        <v>126.3815484</v>
      </c>
      <c r="H5902" s="8">
        <v>9.003</v>
      </c>
      <c r="J5902" s="26"/>
      <c r="K5902"/>
    </row>
    <row r="5903" spans="1:11">
      <c r="A5903">
        <v>42</v>
      </c>
      <c r="B5903" s="64">
        <v>40480</v>
      </c>
      <c r="C5903" s="2">
        <v>476967.65</v>
      </c>
      <c r="D5903">
        <v>0</v>
      </c>
      <c r="E5903" s="65">
        <v>68.76</v>
      </c>
      <c r="F5903" s="8">
        <v>3.13</v>
      </c>
      <c r="G5903" s="66">
        <v>126.4364194</v>
      </c>
      <c r="H5903" s="8">
        <v>9.003</v>
      </c>
      <c r="J5903" s="26"/>
      <c r="K5903"/>
    </row>
    <row r="5904" spans="1:11">
      <c r="A5904">
        <v>42</v>
      </c>
      <c r="B5904" s="64">
        <v>40487</v>
      </c>
      <c r="C5904" s="2">
        <v>565390.4</v>
      </c>
      <c r="D5904">
        <v>0</v>
      </c>
      <c r="E5904" s="65">
        <v>71.04</v>
      </c>
      <c r="F5904" s="8">
        <v>3.009</v>
      </c>
      <c r="G5904" s="66">
        <v>126.4912903</v>
      </c>
      <c r="H5904" s="8">
        <v>9.003</v>
      </c>
      <c r="J5904" s="26"/>
      <c r="K5904"/>
    </row>
    <row r="5905" spans="1:11">
      <c r="A5905">
        <v>42</v>
      </c>
      <c r="B5905" s="64">
        <v>40494</v>
      </c>
      <c r="C5905" s="2">
        <v>588592.61</v>
      </c>
      <c r="D5905">
        <v>0</v>
      </c>
      <c r="E5905" s="65">
        <v>61.24</v>
      </c>
      <c r="F5905" s="8">
        <v>3.13</v>
      </c>
      <c r="G5905" s="66">
        <v>126.5461613</v>
      </c>
      <c r="H5905" s="8">
        <v>9.003</v>
      </c>
      <c r="J5905" s="26"/>
      <c r="K5905"/>
    </row>
    <row r="5906" spans="1:11">
      <c r="A5906">
        <v>42</v>
      </c>
      <c r="B5906" s="64">
        <v>40501</v>
      </c>
      <c r="C5906" s="2">
        <v>524316.21</v>
      </c>
      <c r="D5906">
        <v>0</v>
      </c>
      <c r="E5906" s="65">
        <v>58.83</v>
      </c>
      <c r="F5906" s="8">
        <v>3.047</v>
      </c>
      <c r="G5906" s="66">
        <v>126.6072</v>
      </c>
      <c r="H5906" s="8">
        <v>9.003</v>
      </c>
      <c r="J5906" s="26"/>
      <c r="K5906"/>
    </row>
    <row r="5907" spans="1:11">
      <c r="A5907">
        <v>42</v>
      </c>
      <c r="B5907" s="64">
        <v>40508</v>
      </c>
      <c r="C5907" s="2">
        <v>522296.71</v>
      </c>
      <c r="D5907">
        <v>1</v>
      </c>
      <c r="E5907" s="65">
        <v>55.33</v>
      </c>
      <c r="F5907" s="8">
        <v>3.162</v>
      </c>
      <c r="G5907" s="66">
        <v>126.6692667</v>
      </c>
      <c r="H5907" s="8">
        <v>9.003</v>
      </c>
      <c r="J5907" s="26"/>
      <c r="K5907"/>
    </row>
    <row r="5908" spans="1:11">
      <c r="A5908">
        <v>42</v>
      </c>
      <c r="B5908" s="64">
        <v>40515</v>
      </c>
      <c r="C5908" s="2">
        <v>500250.8</v>
      </c>
      <c r="D5908">
        <v>0</v>
      </c>
      <c r="E5908" s="65">
        <v>51.17</v>
      </c>
      <c r="F5908" s="8">
        <v>3.041</v>
      </c>
      <c r="G5908" s="66">
        <v>126.7313333</v>
      </c>
      <c r="H5908" s="8">
        <v>9.003</v>
      </c>
      <c r="J5908" s="26"/>
      <c r="K5908"/>
    </row>
    <row r="5909" spans="1:11">
      <c r="A5909">
        <v>42</v>
      </c>
      <c r="B5909" s="64">
        <v>40522</v>
      </c>
      <c r="C5909" s="2">
        <v>585175.24</v>
      </c>
      <c r="D5909">
        <v>0</v>
      </c>
      <c r="E5909" s="65">
        <v>60.51</v>
      </c>
      <c r="F5909" s="8">
        <v>3.091</v>
      </c>
      <c r="G5909" s="66">
        <v>126.7934</v>
      </c>
      <c r="H5909" s="8">
        <v>9.003</v>
      </c>
      <c r="J5909" s="26"/>
      <c r="K5909"/>
    </row>
    <row r="5910" spans="1:11">
      <c r="A5910">
        <v>42</v>
      </c>
      <c r="B5910" s="64">
        <v>40529</v>
      </c>
      <c r="C5910" s="2">
        <v>537455.65</v>
      </c>
      <c r="D5910">
        <v>0</v>
      </c>
      <c r="E5910" s="65">
        <v>59.15</v>
      </c>
      <c r="F5910" s="8">
        <v>3.125</v>
      </c>
      <c r="G5910" s="66">
        <v>126.8794839</v>
      </c>
      <c r="H5910" s="8">
        <v>9.003</v>
      </c>
      <c r="J5910" s="26"/>
      <c r="K5910"/>
    </row>
    <row r="5911" spans="1:11">
      <c r="A5911">
        <v>42</v>
      </c>
      <c r="B5911" s="64">
        <v>40536</v>
      </c>
      <c r="C5911" s="2">
        <v>555075.27</v>
      </c>
      <c r="D5911">
        <v>0</v>
      </c>
      <c r="E5911" s="65">
        <v>57.06</v>
      </c>
      <c r="F5911" s="8">
        <v>3.236</v>
      </c>
      <c r="G5911" s="66">
        <v>126.9835806</v>
      </c>
      <c r="H5911" s="8">
        <v>9.003</v>
      </c>
      <c r="J5911" s="26"/>
      <c r="K5911"/>
    </row>
    <row r="5912" spans="1:11">
      <c r="A5912">
        <v>42</v>
      </c>
      <c r="B5912" s="64">
        <v>40543</v>
      </c>
      <c r="C5912" s="2">
        <v>428953.6</v>
      </c>
      <c r="D5912">
        <v>1</v>
      </c>
      <c r="E5912" s="65">
        <v>49.67</v>
      </c>
      <c r="F5912" s="8">
        <v>3.148</v>
      </c>
      <c r="G5912" s="66">
        <v>127.0876774</v>
      </c>
      <c r="H5912" s="8">
        <v>9.003</v>
      </c>
      <c r="J5912" s="26"/>
      <c r="K5912"/>
    </row>
    <row r="5913" spans="1:11">
      <c r="A5913">
        <v>42</v>
      </c>
      <c r="B5913" s="64">
        <v>40550</v>
      </c>
      <c r="C5913" s="2">
        <v>592947.75</v>
      </c>
      <c r="D5913">
        <v>0</v>
      </c>
      <c r="E5913" s="65">
        <v>43.43</v>
      </c>
      <c r="F5913" s="8">
        <v>3.287</v>
      </c>
      <c r="G5913" s="66">
        <v>127.1917742</v>
      </c>
      <c r="H5913" s="8">
        <v>8.744</v>
      </c>
      <c r="J5913" s="26"/>
      <c r="K5913"/>
    </row>
    <row r="5914" spans="1:11">
      <c r="A5914">
        <v>42</v>
      </c>
      <c r="B5914" s="64">
        <v>40557</v>
      </c>
      <c r="C5914" s="2">
        <v>613899.15</v>
      </c>
      <c r="D5914">
        <v>0</v>
      </c>
      <c r="E5914" s="65">
        <v>49.98</v>
      </c>
      <c r="F5914" s="8">
        <v>3.312</v>
      </c>
      <c r="G5914" s="66">
        <v>127.3009355</v>
      </c>
      <c r="H5914" s="8">
        <v>8.744</v>
      </c>
      <c r="J5914" s="26"/>
      <c r="K5914"/>
    </row>
    <row r="5915" spans="1:11">
      <c r="A5915">
        <v>42</v>
      </c>
      <c r="B5915" s="64">
        <v>40564</v>
      </c>
      <c r="C5915" s="2">
        <v>533414.62</v>
      </c>
      <c r="D5915">
        <v>0</v>
      </c>
      <c r="E5915" s="65">
        <v>56.75</v>
      </c>
      <c r="F5915" s="8">
        <v>3.336</v>
      </c>
      <c r="G5915" s="66">
        <v>127.4404839</v>
      </c>
      <c r="H5915" s="8">
        <v>8.744</v>
      </c>
      <c r="J5915" s="26"/>
      <c r="K5915"/>
    </row>
    <row r="5916" spans="1:11">
      <c r="A5916">
        <v>42</v>
      </c>
      <c r="B5916" s="64">
        <v>40571</v>
      </c>
      <c r="C5916" s="2">
        <v>499081.79</v>
      </c>
      <c r="D5916">
        <v>0</v>
      </c>
      <c r="E5916" s="65">
        <v>53.03</v>
      </c>
      <c r="F5916" s="8">
        <v>3.231</v>
      </c>
      <c r="G5916" s="66">
        <v>127.5800323</v>
      </c>
      <c r="H5916" s="8">
        <v>8.744</v>
      </c>
      <c r="J5916" s="26"/>
      <c r="K5916"/>
    </row>
    <row r="5917" spans="1:11">
      <c r="A5917">
        <v>42</v>
      </c>
      <c r="B5917" s="64">
        <v>40578</v>
      </c>
      <c r="C5917" s="2">
        <v>586886.16</v>
      </c>
      <c r="D5917">
        <v>0</v>
      </c>
      <c r="E5917" s="65">
        <v>44.88</v>
      </c>
      <c r="F5917" s="8">
        <v>3.348</v>
      </c>
      <c r="G5917" s="66">
        <v>127.7195806</v>
      </c>
      <c r="H5917" s="8">
        <v>8.744</v>
      </c>
      <c r="J5917" s="26"/>
      <c r="K5917"/>
    </row>
    <row r="5918" spans="1:11">
      <c r="A5918">
        <v>42</v>
      </c>
      <c r="B5918" s="64">
        <v>40585</v>
      </c>
      <c r="C5918" s="2">
        <v>628063.88</v>
      </c>
      <c r="D5918">
        <v>1</v>
      </c>
      <c r="E5918" s="65">
        <v>51.51</v>
      </c>
      <c r="F5918" s="8">
        <v>3.381</v>
      </c>
      <c r="G5918" s="66">
        <v>127.859129</v>
      </c>
      <c r="H5918" s="8">
        <v>8.744</v>
      </c>
      <c r="J5918" s="26"/>
      <c r="K5918"/>
    </row>
    <row r="5919" spans="1:11">
      <c r="A5919">
        <v>42</v>
      </c>
      <c r="B5919" s="64">
        <v>40592</v>
      </c>
      <c r="C5919" s="2">
        <v>556485.1</v>
      </c>
      <c r="D5919">
        <v>0</v>
      </c>
      <c r="E5919" s="65">
        <v>61.77</v>
      </c>
      <c r="F5919" s="8">
        <v>3.43</v>
      </c>
      <c r="G5919" s="66">
        <v>127.99525</v>
      </c>
      <c r="H5919" s="8">
        <v>8.744</v>
      </c>
      <c r="J5919" s="26"/>
      <c r="K5919"/>
    </row>
    <row r="5920" spans="1:11">
      <c r="A5920">
        <v>42</v>
      </c>
      <c r="B5920" s="64">
        <v>40599</v>
      </c>
      <c r="C5920" s="2">
        <v>526904.08</v>
      </c>
      <c r="D5920">
        <v>0</v>
      </c>
      <c r="E5920" s="65">
        <v>53.59</v>
      </c>
      <c r="F5920" s="8">
        <v>3.398</v>
      </c>
      <c r="G5920" s="66">
        <v>128.13</v>
      </c>
      <c r="H5920" s="8">
        <v>8.744</v>
      </c>
      <c r="J5920" s="26"/>
      <c r="K5920"/>
    </row>
    <row r="5921" spans="1:11">
      <c r="A5921">
        <v>42</v>
      </c>
      <c r="B5921" s="64">
        <v>40606</v>
      </c>
      <c r="C5921" s="2">
        <v>570879.04</v>
      </c>
      <c r="D5921">
        <v>0</v>
      </c>
      <c r="E5921" s="65">
        <v>56.96</v>
      </c>
      <c r="F5921" s="8">
        <v>3.674</v>
      </c>
      <c r="G5921" s="66">
        <v>128.26475</v>
      </c>
      <c r="H5921" s="8">
        <v>8.744</v>
      </c>
      <c r="J5921" s="26"/>
      <c r="K5921"/>
    </row>
    <row r="5922" spans="1:11">
      <c r="A5922">
        <v>42</v>
      </c>
      <c r="B5922" s="64">
        <v>40613</v>
      </c>
      <c r="C5922" s="2">
        <v>607294.56</v>
      </c>
      <c r="D5922">
        <v>0</v>
      </c>
      <c r="E5922" s="65">
        <v>64.22</v>
      </c>
      <c r="F5922" s="8">
        <v>3.63</v>
      </c>
      <c r="G5922" s="66">
        <v>128.3995</v>
      </c>
      <c r="H5922" s="8">
        <v>8.744</v>
      </c>
      <c r="J5922" s="26"/>
      <c r="K5922"/>
    </row>
    <row r="5923" spans="1:11">
      <c r="A5923">
        <v>42</v>
      </c>
      <c r="B5923" s="64">
        <v>40620</v>
      </c>
      <c r="C5923" s="2">
        <v>558239.32</v>
      </c>
      <c r="D5923">
        <v>0</v>
      </c>
      <c r="E5923" s="65">
        <v>70.12</v>
      </c>
      <c r="F5923" s="8">
        <v>3.892</v>
      </c>
      <c r="G5923" s="66">
        <v>128.5121935</v>
      </c>
      <c r="H5923" s="8">
        <v>8.744</v>
      </c>
      <c r="J5923" s="26"/>
      <c r="K5923"/>
    </row>
    <row r="5924" spans="1:11">
      <c r="A5924">
        <v>42</v>
      </c>
      <c r="B5924" s="64">
        <v>40627</v>
      </c>
      <c r="C5924" s="2">
        <v>522673.62</v>
      </c>
      <c r="D5924">
        <v>0</v>
      </c>
      <c r="E5924" s="65">
        <v>62.53</v>
      </c>
      <c r="F5924" s="8">
        <v>3.716</v>
      </c>
      <c r="G5924" s="66">
        <v>128.6160645</v>
      </c>
      <c r="H5924" s="8">
        <v>8.744</v>
      </c>
      <c r="J5924" s="26"/>
      <c r="K5924"/>
    </row>
    <row r="5925" spans="1:11">
      <c r="A5925">
        <v>42</v>
      </c>
      <c r="B5925" s="64">
        <v>40634</v>
      </c>
      <c r="C5925" s="2">
        <v>508432.17</v>
      </c>
      <c r="D5925">
        <v>0</v>
      </c>
      <c r="E5925" s="65">
        <v>67.64</v>
      </c>
      <c r="F5925" s="8">
        <v>3.772</v>
      </c>
      <c r="G5925" s="66">
        <v>128.7199355</v>
      </c>
      <c r="H5925" s="8">
        <v>8.494</v>
      </c>
      <c r="J5925" s="26"/>
      <c r="K5925"/>
    </row>
    <row r="5926" spans="1:11">
      <c r="A5926">
        <v>42</v>
      </c>
      <c r="B5926" s="64">
        <v>40641</v>
      </c>
      <c r="C5926" s="2">
        <v>620087.35</v>
      </c>
      <c r="D5926">
        <v>0</v>
      </c>
      <c r="E5926" s="65">
        <v>73.03</v>
      </c>
      <c r="F5926" s="8">
        <v>3.818</v>
      </c>
      <c r="G5926" s="66">
        <v>128.8238065</v>
      </c>
      <c r="H5926" s="8">
        <v>8.494</v>
      </c>
      <c r="J5926" s="26"/>
      <c r="K5926"/>
    </row>
    <row r="5927" spans="1:11">
      <c r="A5927">
        <v>42</v>
      </c>
      <c r="B5927" s="64">
        <v>40648</v>
      </c>
      <c r="C5927" s="2">
        <v>597644.02</v>
      </c>
      <c r="D5927">
        <v>0</v>
      </c>
      <c r="E5927" s="65">
        <v>61.05</v>
      </c>
      <c r="F5927" s="8">
        <v>4.089</v>
      </c>
      <c r="G5927" s="66">
        <v>128.9107333</v>
      </c>
      <c r="H5927" s="8">
        <v>8.494</v>
      </c>
      <c r="J5927" s="26"/>
      <c r="K5927"/>
    </row>
    <row r="5928" spans="1:11">
      <c r="A5928">
        <v>42</v>
      </c>
      <c r="B5928" s="64">
        <v>40655</v>
      </c>
      <c r="C5928" s="2">
        <v>534597.69</v>
      </c>
      <c r="D5928">
        <v>0</v>
      </c>
      <c r="E5928" s="65">
        <v>75.93</v>
      </c>
      <c r="F5928" s="8">
        <v>3.917</v>
      </c>
      <c r="G5928" s="66">
        <v>128.9553</v>
      </c>
      <c r="H5928" s="8">
        <v>8.494</v>
      </c>
      <c r="J5928" s="26"/>
      <c r="K5928"/>
    </row>
    <row r="5929" spans="1:11">
      <c r="A5929">
        <v>42</v>
      </c>
      <c r="B5929" s="64">
        <v>40662</v>
      </c>
      <c r="C5929" s="2">
        <v>496010.17</v>
      </c>
      <c r="D5929">
        <v>0</v>
      </c>
      <c r="E5929" s="65">
        <v>73.38</v>
      </c>
      <c r="F5929" s="8">
        <v>4.151</v>
      </c>
      <c r="G5929" s="66">
        <v>128.9998667</v>
      </c>
      <c r="H5929" s="8">
        <v>8.494</v>
      </c>
      <c r="J5929" s="26"/>
      <c r="K5929"/>
    </row>
    <row r="5930" spans="1:11">
      <c r="A5930">
        <v>42</v>
      </c>
      <c r="B5930" s="64">
        <v>40669</v>
      </c>
      <c r="C5930" s="2">
        <v>612337.35</v>
      </c>
      <c r="D5930">
        <v>0</v>
      </c>
      <c r="E5930" s="65">
        <v>73.56</v>
      </c>
      <c r="F5930" s="8">
        <v>4.193</v>
      </c>
      <c r="G5930" s="66">
        <v>129.0444333</v>
      </c>
      <c r="H5930" s="8">
        <v>8.494</v>
      </c>
      <c r="J5930" s="26"/>
      <c r="K5930"/>
    </row>
    <row r="5931" spans="1:11">
      <c r="A5931">
        <v>42</v>
      </c>
      <c r="B5931" s="64">
        <v>40676</v>
      </c>
      <c r="C5931" s="2">
        <v>603024.75</v>
      </c>
      <c r="D5931">
        <v>0</v>
      </c>
      <c r="E5931" s="65">
        <v>74.04</v>
      </c>
      <c r="F5931" s="8">
        <v>4.202</v>
      </c>
      <c r="G5931" s="66">
        <v>129.089</v>
      </c>
      <c r="H5931" s="8">
        <v>8.494</v>
      </c>
      <c r="J5931" s="26"/>
      <c r="K5931"/>
    </row>
    <row r="5932" spans="1:11">
      <c r="A5932">
        <v>42</v>
      </c>
      <c r="B5932" s="64">
        <v>40683</v>
      </c>
      <c r="C5932" s="2">
        <v>524559.95</v>
      </c>
      <c r="D5932">
        <v>0</v>
      </c>
      <c r="E5932" s="65">
        <v>72.62</v>
      </c>
      <c r="F5932" s="8">
        <v>3.99</v>
      </c>
      <c r="G5932" s="66">
        <v>129.0756774</v>
      </c>
      <c r="H5932" s="8">
        <v>8.494</v>
      </c>
      <c r="J5932" s="26"/>
      <c r="K5932"/>
    </row>
    <row r="5933" spans="1:11">
      <c r="A5933">
        <v>42</v>
      </c>
      <c r="B5933" s="64">
        <v>40690</v>
      </c>
      <c r="C5933" s="2">
        <v>503295.29</v>
      </c>
      <c r="D5933">
        <v>0</v>
      </c>
      <c r="E5933" s="65">
        <v>78.62</v>
      </c>
      <c r="F5933" s="8">
        <v>3.933</v>
      </c>
      <c r="G5933" s="66">
        <v>129.0623548</v>
      </c>
      <c r="H5933" s="8">
        <v>8.494</v>
      </c>
      <c r="J5933" s="26"/>
      <c r="K5933"/>
    </row>
    <row r="5934" spans="1:11">
      <c r="A5934">
        <v>42</v>
      </c>
      <c r="B5934" s="64">
        <v>40697</v>
      </c>
      <c r="C5934" s="2">
        <v>545109.3</v>
      </c>
      <c r="D5934">
        <v>0</v>
      </c>
      <c r="E5934" s="65">
        <v>81.87</v>
      </c>
      <c r="F5934" s="8">
        <v>3.893</v>
      </c>
      <c r="G5934" s="66">
        <v>129.0490323</v>
      </c>
      <c r="H5934" s="8">
        <v>8.494</v>
      </c>
      <c r="J5934" s="26"/>
      <c r="K5934"/>
    </row>
    <row r="5935" spans="1:11">
      <c r="A5935">
        <v>42</v>
      </c>
      <c r="B5935" s="64">
        <v>40704</v>
      </c>
      <c r="C5935" s="2">
        <v>616701.99</v>
      </c>
      <c r="D5935">
        <v>0</v>
      </c>
      <c r="E5935" s="65">
        <v>84.57</v>
      </c>
      <c r="F5935" s="8">
        <v>3.981</v>
      </c>
      <c r="G5935" s="66">
        <v>129.0357097</v>
      </c>
      <c r="H5935" s="8">
        <v>8.494</v>
      </c>
      <c r="J5935" s="26"/>
      <c r="K5935"/>
    </row>
    <row r="5936" spans="1:11">
      <c r="A5936">
        <v>42</v>
      </c>
      <c r="B5936" s="64">
        <v>40711</v>
      </c>
      <c r="C5936" s="2">
        <v>546675.65</v>
      </c>
      <c r="D5936">
        <v>0</v>
      </c>
      <c r="E5936" s="65">
        <v>87.96</v>
      </c>
      <c r="F5936" s="8">
        <v>3.935</v>
      </c>
      <c r="G5936" s="66">
        <v>129.0432</v>
      </c>
      <c r="H5936" s="8">
        <v>8.494</v>
      </c>
      <c r="J5936" s="26"/>
      <c r="K5936"/>
    </row>
    <row r="5937" spans="1:11">
      <c r="A5937">
        <v>42</v>
      </c>
      <c r="B5937" s="64">
        <v>40718</v>
      </c>
      <c r="C5937" s="2">
        <v>501780.66</v>
      </c>
      <c r="D5937">
        <v>0</v>
      </c>
      <c r="E5937" s="65">
        <v>90.69</v>
      </c>
      <c r="F5937" s="8">
        <v>3.807</v>
      </c>
      <c r="G5937" s="66">
        <v>129.0663</v>
      </c>
      <c r="H5937" s="8">
        <v>8.494</v>
      </c>
      <c r="J5937" s="26"/>
      <c r="K5937"/>
    </row>
    <row r="5938" spans="1:11">
      <c r="A5938">
        <v>42</v>
      </c>
      <c r="B5938" s="64">
        <v>40725</v>
      </c>
      <c r="C5938" s="2">
        <v>506343.83</v>
      </c>
      <c r="D5938">
        <v>0</v>
      </c>
      <c r="E5938" s="65">
        <v>95.36</v>
      </c>
      <c r="F5938" s="8">
        <v>3.842</v>
      </c>
      <c r="G5938" s="66">
        <v>129.0894</v>
      </c>
      <c r="H5938" s="8">
        <v>8.257</v>
      </c>
      <c r="J5938" s="26"/>
      <c r="K5938"/>
    </row>
    <row r="5939" spans="1:11">
      <c r="A5939">
        <v>42</v>
      </c>
      <c r="B5939" s="64">
        <v>40732</v>
      </c>
      <c r="C5939" s="2">
        <v>593234.27</v>
      </c>
      <c r="D5939">
        <v>0</v>
      </c>
      <c r="E5939" s="65">
        <v>88.57</v>
      </c>
      <c r="F5939" s="8">
        <v>3.793</v>
      </c>
      <c r="G5939" s="66">
        <v>129.1125</v>
      </c>
      <c r="H5939" s="8">
        <v>8.257</v>
      </c>
      <c r="J5939" s="26"/>
      <c r="K5939"/>
    </row>
    <row r="5940" spans="1:11">
      <c r="A5940">
        <v>42</v>
      </c>
      <c r="B5940" s="64">
        <v>40739</v>
      </c>
      <c r="C5940" s="2">
        <v>591703.82</v>
      </c>
      <c r="D5940">
        <v>0</v>
      </c>
      <c r="E5940" s="65">
        <v>86.01</v>
      </c>
      <c r="F5940" s="8">
        <v>3.779</v>
      </c>
      <c r="G5940" s="66">
        <v>129.1338387</v>
      </c>
      <c r="H5940" s="8">
        <v>8.257</v>
      </c>
      <c r="J5940" s="26"/>
      <c r="K5940"/>
    </row>
    <row r="5941" spans="1:11">
      <c r="A5941">
        <v>42</v>
      </c>
      <c r="B5941" s="64">
        <v>40746</v>
      </c>
      <c r="C5941" s="2">
        <v>511316.29</v>
      </c>
      <c r="D5941">
        <v>0</v>
      </c>
      <c r="E5941" s="65">
        <v>88.59</v>
      </c>
      <c r="F5941" s="8">
        <v>3.697</v>
      </c>
      <c r="G5941" s="66">
        <v>129.1507742</v>
      </c>
      <c r="H5941" s="8">
        <v>8.257</v>
      </c>
      <c r="J5941" s="26"/>
      <c r="K5941"/>
    </row>
    <row r="5942" spans="1:11">
      <c r="A5942">
        <v>42</v>
      </c>
      <c r="B5942" s="64">
        <v>40753</v>
      </c>
      <c r="C5942" s="2">
        <v>479256.8</v>
      </c>
      <c r="D5942">
        <v>0</v>
      </c>
      <c r="E5942" s="65">
        <v>86.75</v>
      </c>
      <c r="F5942" s="8">
        <v>3.694</v>
      </c>
      <c r="G5942" s="66">
        <v>129.1677097</v>
      </c>
      <c r="H5942" s="8">
        <v>8.257</v>
      </c>
      <c r="J5942" s="26"/>
      <c r="K5942"/>
    </row>
    <row r="5943" spans="1:11">
      <c r="A5943">
        <v>42</v>
      </c>
      <c r="B5943" s="64">
        <v>40760</v>
      </c>
      <c r="C5943" s="2">
        <v>572603.33</v>
      </c>
      <c r="D5943">
        <v>0</v>
      </c>
      <c r="E5943" s="65">
        <v>89.8</v>
      </c>
      <c r="F5943" s="8">
        <v>3.803</v>
      </c>
      <c r="G5943" s="66">
        <v>129.1846452</v>
      </c>
      <c r="H5943" s="8">
        <v>8.257</v>
      </c>
      <c r="J5943" s="26"/>
      <c r="K5943"/>
    </row>
    <row r="5944" spans="1:11">
      <c r="A5944">
        <v>42</v>
      </c>
      <c r="B5944" s="64">
        <v>40767</v>
      </c>
      <c r="C5944" s="2">
        <v>603147.26</v>
      </c>
      <c r="D5944">
        <v>0</v>
      </c>
      <c r="E5944" s="65">
        <v>85.61</v>
      </c>
      <c r="F5944" s="8">
        <v>3.794</v>
      </c>
      <c r="G5944" s="66">
        <v>129.2015806</v>
      </c>
      <c r="H5944" s="8">
        <v>8.257</v>
      </c>
      <c r="J5944" s="26"/>
      <c r="K5944"/>
    </row>
    <row r="5945" spans="1:11">
      <c r="A5945">
        <v>42</v>
      </c>
      <c r="B5945" s="64">
        <v>40774</v>
      </c>
      <c r="C5945" s="2">
        <v>526641.23</v>
      </c>
      <c r="D5945">
        <v>0</v>
      </c>
      <c r="E5945" s="65">
        <v>87.4</v>
      </c>
      <c r="F5945" s="8">
        <v>3.743</v>
      </c>
      <c r="G5945" s="66">
        <v>129.2405806</v>
      </c>
      <c r="H5945" s="8">
        <v>8.257</v>
      </c>
      <c r="J5945" s="26"/>
      <c r="K5945"/>
    </row>
    <row r="5946" spans="1:11">
      <c r="A5946">
        <v>42</v>
      </c>
      <c r="B5946" s="64">
        <v>40781</v>
      </c>
      <c r="C5946" s="2">
        <v>503720.98</v>
      </c>
      <c r="D5946">
        <v>0</v>
      </c>
      <c r="E5946" s="65">
        <v>91.59</v>
      </c>
      <c r="F5946" s="8">
        <v>3.663</v>
      </c>
      <c r="G5946" s="66">
        <v>129.2832581</v>
      </c>
      <c r="H5946" s="8">
        <v>8.257</v>
      </c>
      <c r="J5946" s="26"/>
      <c r="K5946"/>
    </row>
    <row r="5947" spans="1:11">
      <c r="A5947">
        <v>42</v>
      </c>
      <c r="B5947" s="64">
        <v>40788</v>
      </c>
      <c r="C5947" s="2">
        <v>537124.76</v>
      </c>
      <c r="D5947">
        <v>0</v>
      </c>
      <c r="E5947" s="65">
        <v>91.61</v>
      </c>
      <c r="F5947" s="8">
        <v>3.798</v>
      </c>
      <c r="G5947" s="66">
        <v>129.3259355</v>
      </c>
      <c r="H5947" s="8">
        <v>8.257</v>
      </c>
      <c r="J5947" s="26"/>
      <c r="K5947"/>
    </row>
    <row r="5948" spans="1:11">
      <c r="A5948">
        <v>42</v>
      </c>
      <c r="B5948" s="64">
        <v>40795</v>
      </c>
      <c r="C5948" s="2">
        <v>608390.94</v>
      </c>
      <c r="D5948">
        <v>1</v>
      </c>
      <c r="E5948" s="65">
        <v>89.06</v>
      </c>
      <c r="F5948" s="8">
        <v>3.771</v>
      </c>
      <c r="G5948" s="66">
        <v>129.3686129</v>
      </c>
      <c r="H5948" s="8">
        <v>8.257</v>
      </c>
      <c r="J5948" s="26"/>
      <c r="K5948"/>
    </row>
    <row r="5949" spans="1:11">
      <c r="A5949">
        <v>42</v>
      </c>
      <c r="B5949" s="64">
        <v>40802</v>
      </c>
      <c r="C5949" s="2">
        <v>576837.09</v>
      </c>
      <c r="D5949">
        <v>0</v>
      </c>
      <c r="E5949" s="65">
        <v>77.49</v>
      </c>
      <c r="F5949" s="8">
        <v>3.784</v>
      </c>
      <c r="G5949" s="66">
        <v>129.4306</v>
      </c>
      <c r="H5949" s="8">
        <v>8.257</v>
      </c>
      <c r="J5949" s="26"/>
      <c r="K5949"/>
    </row>
    <row r="5950" spans="1:11">
      <c r="A5950">
        <v>42</v>
      </c>
      <c r="B5950" s="64">
        <v>40809</v>
      </c>
      <c r="C5950" s="2">
        <v>528486.45</v>
      </c>
      <c r="D5950">
        <v>0</v>
      </c>
      <c r="E5950" s="65">
        <v>82.51</v>
      </c>
      <c r="F5950" s="8">
        <v>3.789</v>
      </c>
      <c r="G5950" s="66">
        <v>129.5183333</v>
      </c>
      <c r="H5950" s="8">
        <v>8.257</v>
      </c>
      <c r="J5950" s="26"/>
      <c r="K5950"/>
    </row>
    <row r="5951" spans="1:11">
      <c r="A5951">
        <v>42</v>
      </c>
      <c r="B5951" s="64">
        <v>40816</v>
      </c>
      <c r="C5951" s="2">
        <v>510243.79</v>
      </c>
      <c r="D5951">
        <v>0</v>
      </c>
      <c r="E5951" s="65">
        <v>82.27</v>
      </c>
      <c r="F5951" s="8">
        <v>3.877</v>
      </c>
      <c r="G5951" s="66">
        <v>129.6060667</v>
      </c>
      <c r="H5951" s="8">
        <v>8.257</v>
      </c>
      <c r="J5951" s="26"/>
      <c r="K5951"/>
    </row>
    <row r="5952" spans="1:11">
      <c r="A5952">
        <v>42</v>
      </c>
      <c r="B5952" s="64">
        <v>40823</v>
      </c>
      <c r="C5952" s="2">
        <v>649111.23</v>
      </c>
      <c r="D5952">
        <v>0</v>
      </c>
      <c r="E5952" s="65">
        <v>75.01</v>
      </c>
      <c r="F5952" s="8">
        <v>3.827</v>
      </c>
      <c r="G5952" s="66">
        <v>129.6938</v>
      </c>
      <c r="H5952" s="8">
        <v>7.874</v>
      </c>
      <c r="J5952" s="26"/>
      <c r="K5952"/>
    </row>
    <row r="5953" spans="1:11">
      <c r="A5953">
        <v>42</v>
      </c>
      <c r="B5953" s="64">
        <v>40830</v>
      </c>
      <c r="C5953" s="2">
        <v>613531.11</v>
      </c>
      <c r="D5953">
        <v>0</v>
      </c>
      <c r="E5953" s="65">
        <v>70.27</v>
      </c>
      <c r="F5953" s="8">
        <v>3.698</v>
      </c>
      <c r="G5953" s="66">
        <v>129.7706452</v>
      </c>
      <c r="H5953" s="8">
        <v>7.874</v>
      </c>
      <c r="J5953" s="26"/>
      <c r="K5953"/>
    </row>
    <row r="5954" spans="1:11">
      <c r="A5954">
        <v>42</v>
      </c>
      <c r="B5954" s="64">
        <v>40837</v>
      </c>
      <c r="C5954" s="2">
        <v>537276.41</v>
      </c>
      <c r="D5954">
        <v>0</v>
      </c>
      <c r="E5954" s="65">
        <v>77.91</v>
      </c>
      <c r="F5954" s="8">
        <v>3.842</v>
      </c>
      <c r="G5954" s="66">
        <v>129.7821613</v>
      </c>
      <c r="H5954" s="8">
        <v>7.874</v>
      </c>
      <c r="J5954" s="26"/>
      <c r="K5954"/>
    </row>
    <row r="5955" spans="1:11">
      <c r="A5955">
        <v>42</v>
      </c>
      <c r="B5955" s="64">
        <v>40844</v>
      </c>
      <c r="C5955" s="2">
        <v>515599.7</v>
      </c>
      <c r="D5955">
        <v>0</v>
      </c>
      <c r="E5955" s="65">
        <v>72.79</v>
      </c>
      <c r="F5955" s="8">
        <v>3.843</v>
      </c>
      <c r="G5955" s="66">
        <v>129.7936774</v>
      </c>
      <c r="H5955" s="8">
        <v>7.874</v>
      </c>
      <c r="J5955" s="26"/>
      <c r="K5955"/>
    </row>
    <row r="5956" spans="1:11">
      <c r="A5956">
        <v>42</v>
      </c>
      <c r="B5956" s="64">
        <v>40851</v>
      </c>
      <c r="C5956" s="2">
        <v>597667.21</v>
      </c>
      <c r="D5956">
        <v>0</v>
      </c>
      <c r="E5956" s="65">
        <v>68.57</v>
      </c>
      <c r="F5956" s="8">
        <v>3.828</v>
      </c>
      <c r="G5956" s="66">
        <v>129.8051935</v>
      </c>
      <c r="H5956" s="8">
        <v>7.874</v>
      </c>
      <c r="J5956" s="26"/>
      <c r="K5956"/>
    </row>
    <row r="5957" spans="1:11">
      <c r="A5957">
        <v>42</v>
      </c>
      <c r="B5957" s="64">
        <v>40858</v>
      </c>
      <c r="C5957" s="2">
        <v>643125.29</v>
      </c>
      <c r="D5957">
        <v>0</v>
      </c>
      <c r="E5957" s="65">
        <v>55.28</v>
      </c>
      <c r="F5957" s="8">
        <v>3.677</v>
      </c>
      <c r="G5957" s="66">
        <v>129.8167097</v>
      </c>
      <c r="H5957" s="8">
        <v>7.874</v>
      </c>
      <c r="J5957" s="26"/>
      <c r="K5957"/>
    </row>
    <row r="5958" spans="1:11">
      <c r="A5958">
        <v>42</v>
      </c>
      <c r="B5958" s="64">
        <v>40865</v>
      </c>
      <c r="C5958" s="2">
        <v>567673.87</v>
      </c>
      <c r="D5958">
        <v>0</v>
      </c>
      <c r="E5958" s="65">
        <v>58.97</v>
      </c>
      <c r="F5958" s="8">
        <v>3.669</v>
      </c>
      <c r="G5958" s="66">
        <v>129.8268333</v>
      </c>
      <c r="H5958" s="8">
        <v>7.874</v>
      </c>
      <c r="J5958" s="26"/>
      <c r="K5958"/>
    </row>
    <row r="5959" spans="1:11">
      <c r="A5959">
        <v>42</v>
      </c>
      <c r="B5959" s="64">
        <v>40872</v>
      </c>
      <c r="C5959" s="2">
        <v>577698.37</v>
      </c>
      <c r="D5959">
        <v>1</v>
      </c>
      <c r="E5959" s="65">
        <v>60.68</v>
      </c>
      <c r="F5959" s="8">
        <v>3.76</v>
      </c>
      <c r="G5959" s="66">
        <v>129.8364</v>
      </c>
      <c r="H5959" s="8">
        <v>7.874</v>
      </c>
      <c r="J5959" s="26"/>
      <c r="K5959"/>
    </row>
    <row r="5960" spans="1:11">
      <c r="A5960">
        <v>42</v>
      </c>
      <c r="B5960" s="64">
        <v>40879</v>
      </c>
      <c r="C5960" s="2">
        <v>511883.36</v>
      </c>
      <c r="D5960">
        <v>0</v>
      </c>
      <c r="E5960" s="65">
        <v>57.29</v>
      </c>
      <c r="F5960" s="8">
        <v>3.701</v>
      </c>
      <c r="G5960" s="66">
        <v>129.8459667</v>
      </c>
      <c r="H5960" s="8">
        <v>7.874</v>
      </c>
      <c r="J5960" s="26"/>
      <c r="K5960"/>
    </row>
    <row r="5961" spans="1:11">
      <c r="A5961">
        <v>42</v>
      </c>
      <c r="B5961" s="64">
        <v>40886</v>
      </c>
      <c r="C5961" s="2">
        <v>619133.48</v>
      </c>
      <c r="D5961">
        <v>0</v>
      </c>
      <c r="E5961" s="65">
        <v>42.58</v>
      </c>
      <c r="F5961" s="8">
        <v>3.644</v>
      </c>
      <c r="G5961" s="66">
        <v>129.8555333</v>
      </c>
      <c r="H5961" s="8">
        <v>7.874</v>
      </c>
      <c r="J5961" s="26"/>
      <c r="K5961"/>
    </row>
    <row r="5962" spans="1:11">
      <c r="A5962">
        <v>42</v>
      </c>
      <c r="B5962" s="64">
        <v>40893</v>
      </c>
      <c r="C5962" s="2">
        <v>598437.98</v>
      </c>
      <c r="D5962">
        <v>0</v>
      </c>
      <c r="E5962" s="65">
        <v>50.53</v>
      </c>
      <c r="F5962" s="8">
        <v>3.489</v>
      </c>
      <c r="G5962" s="66">
        <v>129.8980645</v>
      </c>
      <c r="H5962" s="8">
        <v>7.874</v>
      </c>
      <c r="J5962" s="26"/>
      <c r="K5962"/>
    </row>
    <row r="5963" spans="1:11">
      <c r="A5963">
        <v>42</v>
      </c>
      <c r="B5963" s="64">
        <v>40900</v>
      </c>
      <c r="C5963" s="2">
        <v>575676.13</v>
      </c>
      <c r="D5963">
        <v>0</v>
      </c>
      <c r="E5963" s="65">
        <v>48.36</v>
      </c>
      <c r="F5963" s="8">
        <v>3.541</v>
      </c>
      <c r="G5963" s="66">
        <v>129.9845484</v>
      </c>
      <c r="H5963" s="8">
        <v>7.874</v>
      </c>
      <c r="J5963" s="26"/>
      <c r="K5963"/>
    </row>
    <row r="5964" spans="1:11">
      <c r="A5964">
        <v>42</v>
      </c>
      <c r="B5964" s="64">
        <v>40907</v>
      </c>
      <c r="C5964" s="2">
        <v>454412.28</v>
      </c>
      <c r="D5964">
        <v>1</v>
      </c>
      <c r="E5964" s="65">
        <v>48.92</v>
      </c>
      <c r="F5964" s="8">
        <v>3.428</v>
      </c>
      <c r="G5964" s="66">
        <v>130.0710323</v>
      </c>
      <c r="H5964" s="8">
        <v>7.874</v>
      </c>
      <c r="J5964" s="26"/>
      <c r="K5964"/>
    </row>
    <row r="5965" spans="1:11">
      <c r="A5965">
        <v>42</v>
      </c>
      <c r="B5965" s="64">
        <v>40914</v>
      </c>
      <c r="C5965" s="2">
        <v>636372.37</v>
      </c>
      <c r="D5965">
        <v>0</v>
      </c>
      <c r="E5965" s="65">
        <v>59.85</v>
      </c>
      <c r="F5965" s="8">
        <v>3.443</v>
      </c>
      <c r="G5965" s="66">
        <v>130.1575161</v>
      </c>
      <c r="H5965" s="8">
        <v>7.545</v>
      </c>
      <c r="J5965" s="26"/>
      <c r="K5965"/>
    </row>
    <row r="5966" spans="1:11">
      <c r="A5966">
        <v>42</v>
      </c>
      <c r="B5966" s="64">
        <v>40921</v>
      </c>
      <c r="C5966" s="2">
        <v>664348.2</v>
      </c>
      <c r="D5966">
        <v>0</v>
      </c>
      <c r="E5966" s="65">
        <v>51</v>
      </c>
      <c r="F5966" s="8">
        <v>3.477</v>
      </c>
      <c r="G5966" s="66">
        <v>130.244</v>
      </c>
      <c r="H5966" s="8">
        <v>7.545</v>
      </c>
      <c r="J5966" s="26"/>
      <c r="K5966"/>
    </row>
    <row r="5967" spans="1:11">
      <c r="A5967">
        <v>42</v>
      </c>
      <c r="B5967" s="64">
        <v>40928</v>
      </c>
      <c r="C5967" s="2">
        <v>579499.93</v>
      </c>
      <c r="D5967">
        <v>0</v>
      </c>
      <c r="E5967" s="65">
        <v>54.51</v>
      </c>
      <c r="F5967" s="8">
        <v>3.66</v>
      </c>
      <c r="G5967" s="66">
        <v>130.2792258</v>
      </c>
      <c r="H5967" s="8">
        <v>7.545</v>
      </c>
      <c r="J5967" s="26"/>
      <c r="K5967"/>
    </row>
    <row r="5968" spans="1:11">
      <c r="A5968">
        <v>42</v>
      </c>
      <c r="B5968" s="64">
        <v>40935</v>
      </c>
      <c r="C5968" s="2">
        <v>538978.67</v>
      </c>
      <c r="D5968">
        <v>0</v>
      </c>
      <c r="E5968" s="65">
        <v>53.59</v>
      </c>
      <c r="F5968" s="8">
        <v>3.675</v>
      </c>
      <c r="G5968" s="66">
        <v>130.3144516</v>
      </c>
      <c r="H5968" s="8">
        <v>7.545</v>
      </c>
      <c r="J5968" s="26"/>
      <c r="K5968"/>
    </row>
    <row r="5969" spans="1:11">
      <c r="A5969">
        <v>42</v>
      </c>
      <c r="B5969" s="64">
        <v>40942</v>
      </c>
      <c r="C5969" s="2">
        <v>588448.21</v>
      </c>
      <c r="D5969">
        <v>0</v>
      </c>
      <c r="E5969" s="65">
        <v>56.85</v>
      </c>
      <c r="F5969" s="8">
        <v>3.543</v>
      </c>
      <c r="G5969" s="66">
        <v>130.3496774</v>
      </c>
      <c r="H5969" s="8">
        <v>7.545</v>
      </c>
      <c r="J5969" s="26"/>
      <c r="K5969"/>
    </row>
    <row r="5970" spans="1:11">
      <c r="A5970">
        <v>42</v>
      </c>
      <c r="B5970" s="64">
        <v>40949</v>
      </c>
      <c r="C5970" s="2">
        <v>674919.45</v>
      </c>
      <c r="D5970">
        <v>1</v>
      </c>
      <c r="E5970" s="65">
        <v>55.73</v>
      </c>
      <c r="F5970" s="8">
        <v>3.722</v>
      </c>
      <c r="G5970" s="66">
        <v>130.3849032</v>
      </c>
      <c r="H5970" s="8">
        <v>7.545</v>
      </c>
      <c r="J5970" s="26"/>
      <c r="K5970"/>
    </row>
    <row r="5971" spans="1:11">
      <c r="A5971">
        <v>42</v>
      </c>
      <c r="B5971" s="64">
        <v>40956</v>
      </c>
      <c r="C5971" s="2">
        <v>606671.5</v>
      </c>
      <c r="D5971">
        <v>0</v>
      </c>
      <c r="E5971" s="65">
        <v>54.12</v>
      </c>
      <c r="F5971" s="8">
        <v>3.781</v>
      </c>
      <c r="G5971" s="66">
        <v>130.4546207</v>
      </c>
      <c r="H5971" s="8">
        <v>7.545</v>
      </c>
      <c r="J5971" s="26"/>
      <c r="K5971"/>
    </row>
    <row r="5972" spans="1:11">
      <c r="A5972">
        <v>42</v>
      </c>
      <c r="B5972" s="64">
        <v>40963</v>
      </c>
      <c r="C5972" s="2">
        <v>564304.15</v>
      </c>
      <c r="D5972">
        <v>0</v>
      </c>
      <c r="E5972" s="65">
        <v>56.02</v>
      </c>
      <c r="F5972" s="8">
        <v>3.95</v>
      </c>
      <c r="G5972" s="66">
        <v>130.5502069</v>
      </c>
      <c r="H5972" s="8">
        <v>7.545</v>
      </c>
      <c r="J5972" s="26"/>
      <c r="K5972"/>
    </row>
    <row r="5973" spans="1:11">
      <c r="A5973">
        <v>42</v>
      </c>
      <c r="B5973" s="64">
        <v>40970</v>
      </c>
      <c r="C5973" s="2">
        <v>585895.34</v>
      </c>
      <c r="D5973">
        <v>0</v>
      </c>
      <c r="E5973" s="65">
        <v>57.62</v>
      </c>
      <c r="F5973" s="8">
        <v>3.882</v>
      </c>
      <c r="G5973" s="66">
        <v>130.6457931</v>
      </c>
      <c r="H5973" s="8">
        <v>7.545</v>
      </c>
      <c r="J5973" s="26"/>
      <c r="K5973"/>
    </row>
    <row r="5974" spans="1:11">
      <c r="A5974">
        <v>42</v>
      </c>
      <c r="B5974" s="64">
        <v>40977</v>
      </c>
      <c r="C5974" s="2">
        <v>659816.15</v>
      </c>
      <c r="D5974">
        <v>0</v>
      </c>
      <c r="E5974" s="65">
        <v>57.65</v>
      </c>
      <c r="F5974" s="8">
        <v>3.963</v>
      </c>
      <c r="G5974" s="66">
        <v>130.7413793</v>
      </c>
      <c r="H5974" s="8">
        <v>7.545</v>
      </c>
      <c r="J5974" s="26"/>
      <c r="K5974"/>
    </row>
    <row r="5975" spans="1:11">
      <c r="A5975">
        <v>42</v>
      </c>
      <c r="B5975" s="64">
        <v>40984</v>
      </c>
      <c r="C5975" s="2">
        <v>618767.26</v>
      </c>
      <c r="D5975">
        <v>0</v>
      </c>
      <c r="E5975" s="65">
        <v>62.11</v>
      </c>
      <c r="F5975" s="8">
        <v>4.273</v>
      </c>
      <c r="G5975" s="66">
        <v>130.8261935</v>
      </c>
      <c r="H5975" s="8">
        <v>7.545</v>
      </c>
      <c r="J5975" s="26"/>
      <c r="K5975"/>
    </row>
    <row r="5976" spans="1:11">
      <c r="A5976">
        <v>42</v>
      </c>
      <c r="B5976" s="64">
        <v>40991</v>
      </c>
      <c r="C5976" s="2">
        <v>561226.38</v>
      </c>
      <c r="D5976">
        <v>0</v>
      </c>
      <c r="E5976" s="65">
        <v>56.54</v>
      </c>
      <c r="F5976" s="8">
        <v>4.288</v>
      </c>
      <c r="G5976" s="66">
        <v>130.8966452</v>
      </c>
      <c r="H5976" s="8">
        <v>7.545</v>
      </c>
      <c r="J5976" s="26"/>
      <c r="K5976"/>
    </row>
    <row r="5977" spans="1:11">
      <c r="A5977">
        <v>42</v>
      </c>
      <c r="B5977" s="64">
        <v>40998</v>
      </c>
      <c r="C5977" s="2">
        <v>544408.14</v>
      </c>
      <c r="D5977">
        <v>0</v>
      </c>
      <c r="E5977" s="65">
        <v>67.92</v>
      </c>
      <c r="F5977" s="8">
        <v>4.294</v>
      </c>
      <c r="G5977" s="66">
        <v>130.9670968</v>
      </c>
      <c r="H5977" s="8">
        <v>7.545</v>
      </c>
      <c r="J5977" s="26"/>
      <c r="K5977"/>
    </row>
    <row r="5978" spans="1:11">
      <c r="A5978">
        <v>42</v>
      </c>
      <c r="B5978" s="64">
        <v>41005</v>
      </c>
      <c r="C5978" s="2">
        <v>652312.11</v>
      </c>
      <c r="D5978">
        <v>0</v>
      </c>
      <c r="E5978" s="65">
        <v>65.99</v>
      </c>
      <c r="F5978" s="8">
        <v>4.282</v>
      </c>
      <c r="G5978" s="66">
        <v>131.0375484</v>
      </c>
      <c r="H5978" s="8">
        <v>7.382</v>
      </c>
      <c r="J5978" s="26"/>
      <c r="K5978"/>
    </row>
    <row r="5979" spans="1:11">
      <c r="A5979">
        <v>42</v>
      </c>
      <c r="B5979" s="64">
        <v>41012</v>
      </c>
      <c r="C5979" s="2">
        <v>639123.45</v>
      </c>
      <c r="D5979">
        <v>0</v>
      </c>
      <c r="E5979" s="65">
        <v>70.28</v>
      </c>
      <c r="F5979" s="8">
        <v>4.254</v>
      </c>
      <c r="G5979" s="66">
        <v>131.108</v>
      </c>
      <c r="H5979" s="8">
        <v>7.382</v>
      </c>
      <c r="J5979" s="26"/>
      <c r="K5979"/>
    </row>
    <row r="5980" spans="1:11">
      <c r="A5980">
        <v>42</v>
      </c>
      <c r="B5980" s="64">
        <v>41019</v>
      </c>
      <c r="C5980" s="2">
        <v>552529.23</v>
      </c>
      <c r="D5980">
        <v>0</v>
      </c>
      <c r="E5980" s="65">
        <v>67.75</v>
      </c>
      <c r="F5980" s="8">
        <v>4.111</v>
      </c>
      <c r="G5980" s="66">
        <v>131.1173333</v>
      </c>
      <c r="H5980" s="8">
        <v>7.382</v>
      </c>
      <c r="J5980" s="26"/>
      <c r="K5980"/>
    </row>
    <row r="5981" spans="1:11">
      <c r="A5981">
        <v>42</v>
      </c>
      <c r="B5981" s="64">
        <v>41026</v>
      </c>
      <c r="C5981" s="2">
        <v>526625.49</v>
      </c>
      <c r="D5981">
        <v>0</v>
      </c>
      <c r="E5981" s="65">
        <v>80.11</v>
      </c>
      <c r="F5981" s="8">
        <v>4.088</v>
      </c>
      <c r="G5981" s="66">
        <v>131.1266667</v>
      </c>
      <c r="H5981" s="8">
        <v>7.382</v>
      </c>
      <c r="J5981" s="26"/>
      <c r="K5981"/>
    </row>
    <row r="5982" spans="1:11">
      <c r="A5982">
        <v>42</v>
      </c>
      <c r="B5982" s="64">
        <v>41033</v>
      </c>
      <c r="C5982" s="2">
        <v>609274.89</v>
      </c>
      <c r="D5982">
        <v>0</v>
      </c>
      <c r="E5982" s="65">
        <v>77.02</v>
      </c>
      <c r="F5982" s="8">
        <v>4.058</v>
      </c>
      <c r="G5982" s="66">
        <v>131.136</v>
      </c>
      <c r="H5982" s="8">
        <v>7.382</v>
      </c>
      <c r="J5982" s="26"/>
      <c r="K5982"/>
    </row>
    <row r="5983" spans="1:11">
      <c r="A5983">
        <v>42</v>
      </c>
      <c r="B5983" s="64">
        <v>41040</v>
      </c>
      <c r="C5983" s="2">
        <v>643603.69</v>
      </c>
      <c r="D5983">
        <v>0</v>
      </c>
      <c r="E5983" s="65">
        <v>76.03</v>
      </c>
      <c r="F5983" s="8">
        <v>4.186</v>
      </c>
      <c r="G5983" s="66">
        <v>131.1453333</v>
      </c>
      <c r="H5983" s="8">
        <v>7.382</v>
      </c>
      <c r="J5983" s="26"/>
      <c r="K5983"/>
    </row>
    <row r="5984" spans="1:11">
      <c r="A5984">
        <v>42</v>
      </c>
      <c r="B5984" s="64">
        <v>41047</v>
      </c>
      <c r="C5984" s="2">
        <v>590636.38</v>
      </c>
      <c r="D5984">
        <v>0</v>
      </c>
      <c r="E5984" s="65">
        <v>85.19</v>
      </c>
      <c r="F5984" s="8">
        <v>4.308</v>
      </c>
      <c r="G5984" s="66">
        <v>131.0983226</v>
      </c>
      <c r="H5984" s="8">
        <v>7.382</v>
      </c>
      <c r="J5984" s="26"/>
      <c r="K5984"/>
    </row>
    <row r="5985" spans="1:11">
      <c r="A5985">
        <v>42</v>
      </c>
      <c r="B5985" s="64">
        <v>41054</v>
      </c>
      <c r="C5985" s="2">
        <v>535764.58</v>
      </c>
      <c r="D5985">
        <v>0</v>
      </c>
      <c r="E5985" s="65">
        <v>86.03</v>
      </c>
      <c r="F5985" s="8">
        <v>4.127</v>
      </c>
      <c r="G5985" s="66">
        <v>131.0287742</v>
      </c>
      <c r="H5985" s="8">
        <v>7.382</v>
      </c>
      <c r="J5985" s="26"/>
      <c r="K5985"/>
    </row>
    <row r="5986" spans="1:11">
      <c r="A5986">
        <v>42</v>
      </c>
      <c r="B5986" s="64">
        <v>41061</v>
      </c>
      <c r="C5986" s="2">
        <v>521953.78</v>
      </c>
      <c r="D5986">
        <v>0</v>
      </c>
      <c r="E5986" s="65">
        <v>80.06</v>
      </c>
      <c r="F5986" s="8">
        <v>4.277</v>
      </c>
      <c r="G5986" s="66">
        <v>130.9592258</v>
      </c>
      <c r="H5986" s="8">
        <v>7.382</v>
      </c>
      <c r="J5986" s="26"/>
      <c r="K5986"/>
    </row>
    <row r="5987" spans="1:11">
      <c r="A5987">
        <v>42</v>
      </c>
      <c r="B5987" s="64">
        <v>41068</v>
      </c>
      <c r="C5987" s="2">
        <v>642671.48</v>
      </c>
      <c r="D5987">
        <v>0</v>
      </c>
      <c r="E5987" s="65">
        <v>86.87</v>
      </c>
      <c r="F5987" s="8">
        <v>4.103</v>
      </c>
      <c r="G5987" s="66">
        <v>130.8896774</v>
      </c>
      <c r="H5987" s="8">
        <v>7.382</v>
      </c>
      <c r="J5987" s="26"/>
      <c r="K5987"/>
    </row>
    <row r="5988" spans="1:11">
      <c r="A5988">
        <v>42</v>
      </c>
      <c r="B5988" s="64">
        <v>41075</v>
      </c>
      <c r="C5988" s="2">
        <v>606309.13</v>
      </c>
      <c r="D5988">
        <v>0</v>
      </c>
      <c r="E5988" s="65">
        <v>88.58</v>
      </c>
      <c r="F5988" s="8">
        <v>4.144</v>
      </c>
      <c r="G5988" s="66">
        <v>130.8295333</v>
      </c>
      <c r="H5988" s="8">
        <v>7.382</v>
      </c>
      <c r="J5988" s="26"/>
      <c r="K5988"/>
    </row>
    <row r="5989" spans="1:11">
      <c r="A5989">
        <v>42</v>
      </c>
      <c r="B5989" s="64">
        <v>41082</v>
      </c>
      <c r="C5989" s="2">
        <v>540031.29</v>
      </c>
      <c r="D5989">
        <v>0</v>
      </c>
      <c r="E5989" s="65">
        <v>89.92</v>
      </c>
      <c r="F5989" s="8">
        <v>4.014</v>
      </c>
      <c r="G5989" s="66">
        <v>130.7929</v>
      </c>
      <c r="H5989" s="8">
        <v>7.382</v>
      </c>
      <c r="J5989" s="26"/>
      <c r="K5989"/>
    </row>
    <row r="5990" spans="1:11">
      <c r="A5990">
        <v>42</v>
      </c>
      <c r="B5990" s="64">
        <v>41089</v>
      </c>
      <c r="C5990" s="2">
        <v>507403.77</v>
      </c>
      <c r="D5990">
        <v>0</v>
      </c>
      <c r="E5990" s="65">
        <v>91.36</v>
      </c>
      <c r="F5990" s="8">
        <v>3.875</v>
      </c>
      <c r="G5990" s="66">
        <v>130.7562667</v>
      </c>
      <c r="H5990" s="8">
        <v>7.382</v>
      </c>
      <c r="J5990" s="26"/>
      <c r="K5990"/>
    </row>
    <row r="5991" spans="1:11">
      <c r="A5991">
        <v>42</v>
      </c>
      <c r="B5991" s="64">
        <v>41096</v>
      </c>
      <c r="C5991" s="2">
        <v>618702.09</v>
      </c>
      <c r="D5991">
        <v>0</v>
      </c>
      <c r="E5991" s="65">
        <v>86.87</v>
      </c>
      <c r="F5991" s="8">
        <v>3.666</v>
      </c>
      <c r="G5991" s="66">
        <v>130.7196333</v>
      </c>
      <c r="H5991" s="8">
        <v>7.17</v>
      </c>
      <c r="J5991" s="26"/>
      <c r="K5991"/>
    </row>
    <row r="5992" spans="1:11">
      <c r="A5992">
        <v>42</v>
      </c>
      <c r="B5992" s="64">
        <v>41103</v>
      </c>
      <c r="C5992" s="2">
        <v>628099.08</v>
      </c>
      <c r="D5992">
        <v>0</v>
      </c>
      <c r="E5992" s="65">
        <v>89.8</v>
      </c>
      <c r="F5992" s="8">
        <v>3.723</v>
      </c>
      <c r="G5992" s="66">
        <v>130.683</v>
      </c>
      <c r="H5992" s="8">
        <v>7.17</v>
      </c>
      <c r="J5992" s="26"/>
      <c r="K5992"/>
    </row>
    <row r="5993" spans="1:11">
      <c r="A5993">
        <v>42</v>
      </c>
      <c r="B5993" s="64">
        <v>41110</v>
      </c>
      <c r="C5993" s="2">
        <v>530318.39</v>
      </c>
      <c r="D5993">
        <v>0</v>
      </c>
      <c r="E5993" s="65">
        <v>84.45</v>
      </c>
      <c r="F5993" s="8">
        <v>3.589</v>
      </c>
      <c r="G5993" s="66">
        <v>130.7012903</v>
      </c>
      <c r="H5993" s="8">
        <v>7.17</v>
      </c>
      <c r="J5993" s="26"/>
      <c r="K5993"/>
    </row>
    <row r="5994" spans="1:11">
      <c r="A5994">
        <v>42</v>
      </c>
      <c r="B5994" s="64">
        <v>41117</v>
      </c>
      <c r="C5994" s="2">
        <v>516352.21</v>
      </c>
      <c r="D5994">
        <v>0</v>
      </c>
      <c r="E5994" s="65">
        <v>83.98</v>
      </c>
      <c r="F5994" s="8">
        <v>3.769</v>
      </c>
      <c r="G5994" s="66">
        <v>130.7195806</v>
      </c>
      <c r="H5994" s="8">
        <v>7.17</v>
      </c>
      <c r="J5994" s="26"/>
      <c r="K5994"/>
    </row>
    <row r="5995" spans="1:11">
      <c r="A5995">
        <v>42</v>
      </c>
      <c r="B5995" s="64">
        <v>41124</v>
      </c>
      <c r="C5995" s="2">
        <v>573084.71</v>
      </c>
      <c r="D5995">
        <v>0</v>
      </c>
      <c r="E5995" s="65">
        <v>84.76</v>
      </c>
      <c r="F5995" s="8">
        <v>3.595</v>
      </c>
      <c r="G5995" s="66">
        <v>130.737871</v>
      </c>
      <c r="H5995" s="8">
        <v>7.17</v>
      </c>
      <c r="J5995" s="26"/>
      <c r="K5995"/>
    </row>
    <row r="5996" spans="1:11">
      <c r="A5996">
        <v>42</v>
      </c>
      <c r="B5996" s="64">
        <v>41131</v>
      </c>
      <c r="C5996" s="2">
        <v>576620.31</v>
      </c>
      <c r="D5996">
        <v>0</v>
      </c>
      <c r="E5996" s="65">
        <v>90.78</v>
      </c>
      <c r="F5996" s="8">
        <v>3.811</v>
      </c>
      <c r="G5996" s="66">
        <v>130.7561613</v>
      </c>
      <c r="H5996" s="8">
        <v>7.17</v>
      </c>
      <c r="J5996" s="26"/>
      <c r="K5996"/>
    </row>
    <row r="5997" spans="1:11">
      <c r="A5997">
        <v>42</v>
      </c>
      <c r="B5997" s="64">
        <v>41138</v>
      </c>
      <c r="C5997" s="2">
        <v>575997.78</v>
      </c>
      <c r="D5997">
        <v>0</v>
      </c>
      <c r="E5997" s="65">
        <v>88.83</v>
      </c>
      <c r="F5997" s="8">
        <v>4.002</v>
      </c>
      <c r="G5997" s="66">
        <v>130.7909677</v>
      </c>
      <c r="H5997" s="8">
        <v>7.17</v>
      </c>
      <c r="J5997" s="26"/>
      <c r="K5997"/>
    </row>
    <row r="5998" spans="1:11">
      <c r="A5998">
        <v>42</v>
      </c>
      <c r="B5998" s="64">
        <v>41145</v>
      </c>
      <c r="C5998" s="2">
        <v>535537.03</v>
      </c>
      <c r="D5998">
        <v>0</v>
      </c>
      <c r="E5998" s="65">
        <v>82.5</v>
      </c>
      <c r="F5998" s="8">
        <v>4.055</v>
      </c>
      <c r="G5998" s="66">
        <v>130.8381613</v>
      </c>
      <c r="H5998" s="8">
        <v>7.17</v>
      </c>
      <c r="J5998" s="26"/>
      <c r="K5998"/>
    </row>
    <row r="5999" spans="1:11">
      <c r="A5999">
        <v>42</v>
      </c>
      <c r="B5999" s="64">
        <v>41152</v>
      </c>
      <c r="C5999" s="2">
        <v>504760.57</v>
      </c>
      <c r="D5999">
        <v>0</v>
      </c>
      <c r="E5999" s="65">
        <v>86.97</v>
      </c>
      <c r="F5999" s="8">
        <v>3.886</v>
      </c>
      <c r="G5999" s="66">
        <v>130.8853548</v>
      </c>
      <c r="H5999" s="8">
        <v>7.17</v>
      </c>
      <c r="J5999" s="26"/>
      <c r="K5999"/>
    </row>
    <row r="6000" spans="1:11">
      <c r="A6000">
        <v>42</v>
      </c>
      <c r="B6000" s="64">
        <v>41159</v>
      </c>
      <c r="C6000" s="2">
        <v>617405.35</v>
      </c>
      <c r="D6000">
        <v>1</v>
      </c>
      <c r="E6000" s="65">
        <v>83.07</v>
      </c>
      <c r="F6000" s="8">
        <v>4.124</v>
      </c>
      <c r="G6000" s="66">
        <v>130.9325484</v>
      </c>
      <c r="H6000" s="8">
        <v>7.17</v>
      </c>
      <c r="J6000" s="26"/>
      <c r="K6000"/>
    </row>
    <row r="6001" spans="1:11">
      <c r="A6001">
        <v>42</v>
      </c>
      <c r="B6001" s="64">
        <v>41166</v>
      </c>
      <c r="C6001" s="2">
        <v>586737.66</v>
      </c>
      <c r="D6001">
        <v>0</v>
      </c>
      <c r="E6001" s="65">
        <v>78.47</v>
      </c>
      <c r="F6001" s="8">
        <v>3.966</v>
      </c>
      <c r="G6001" s="66">
        <v>130.9776667</v>
      </c>
      <c r="H6001" s="8">
        <v>7.17</v>
      </c>
      <c r="J6001" s="26"/>
      <c r="K6001"/>
    </row>
    <row r="6002" spans="1:11">
      <c r="A6002">
        <v>42</v>
      </c>
      <c r="B6002" s="64">
        <v>41173</v>
      </c>
      <c r="C6002" s="2">
        <v>527165.7</v>
      </c>
      <c r="D6002">
        <v>0</v>
      </c>
      <c r="E6002" s="65">
        <v>81.93</v>
      </c>
      <c r="F6002" s="8">
        <v>4.125</v>
      </c>
      <c r="G6002" s="66">
        <v>131.0103333</v>
      </c>
      <c r="H6002" s="8">
        <v>7.17</v>
      </c>
      <c r="J6002" s="26"/>
      <c r="K6002"/>
    </row>
    <row r="6003" spans="1:11">
      <c r="A6003">
        <v>42</v>
      </c>
      <c r="B6003" s="64">
        <v>41180</v>
      </c>
      <c r="C6003" s="2">
        <v>505978.46</v>
      </c>
      <c r="D6003">
        <v>0</v>
      </c>
      <c r="E6003" s="65">
        <v>82.52</v>
      </c>
      <c r="F6003" s="8">
        <v>3.966</v>
      </c>
      <c r="G6003" s="66">
        <v>131.043</v>
      </c>
      <c r="H6003" s="8">
        <v>7.17</v>
      </c>
      <c r="J6003" s="26"/>
      <c r="K6003"/>
    </row>
    <row r="6004" spans="1:11">
      <c r="A6004">
        <v>42</v>
      </c>
      <c r="B6004" s="64">
        <v>41187</v>
      </c>
      <c r="C6004" s="2">
        <v>593162.53</v>
      </c>
      <c r="D6004">
        <v>0</v>
      </c>
      <c r="E6004" s="65">
        <v>80.88</v>
      </c>
      <c r="F6004" s="8">
        <v>4.132</v>
      </c>
      <c r="G6004" s="66">
        <v>131.0756667</v>
      </c>
      <c r="H6004" s="8">
        <v>6.943</v>
      </c>
      <c r="J6004" s="26"/>
      <c r="K6004"/>
    </row>
    <row r="6005" spans="1:11">
      <c r="A6005">
        <v>42</v>
      </c>
      <c r="B6005" s="64">
        <v>41194</v>
      </c>
      <c r="C6005" s="2">
        <v>612379.9</v>
      </c>
      <c r="D6005">
        <v>0</v>
      </c>
      <c r="E6005" s="65">
        <v>76.03</v>
      </c>
      <c r="F6005" s="8">
        <v>4.468</v>
      </c>
      <c r="G6005" s="66">
        <v>131.1083333</v>
      </c>
      <c r="H6005" s="8">
        <v>6.943</v>
      </c>
      <c r="J6005" s="26"/>
      <c r="K6005"/>
    </row>
    <row r="6006" spans="1:11">
      <c r="A6006">
        <v>42</v>
      </c>
      <c r="B6006" s="64">
        <v>41201</v>
      </c>
      <c r="C6006" s="2">
        <v>541406.98</v>
      </c>
      <c r="D6006">
        <v>0</v>
      </c>
      <c r="E6006" s="65">
        <v>72.71</v>
      </c>
      <c r="F6006" s="8">
        <v>4.449</v>
      </c>
      <c r="G6006" s="66">
        <v>131.1499677</v>
      </c>
      <c r="H6006" s="8">
        <v>6.943</v>
      </c>
      <c r="J6006" s="26"/>
      <c r="K6006"/>
    </row>
    <row r="6007" spans="1:11">
      <c r="A6007">
        <v>42</v>
      </c>
      <c r="B6007" s="64">
        <v>41208</v>
      </c>
      <c r="C6007" s="2">
        <v>514756.08</v>
      </c>
      <c r="D6007">
        <v>0</v>
      </c>
      <c r="E6007" s="65">
        <v>70.5</v>
      </c>
      <c r="F6007" s="8">
        <v>4.301</v>
      </c>
      <c r="G6007" s="66">
        <v>131.1930968</v>
      </c>
      <c r="H6007" s="8">
        <v>6.943</v>
      </c>
      <c r="J6007" s="26"/>
      <c r="K6007"/>
    </row>
    <row r="6008" spans="1:11">
      <c r="A6008">
        <v>43</v>
      </c>
      <c r="B6008" s="64">
        <v>40214</v>
      </c>
      <c r="C6008" s="2">
        <v>647029.28</v>
      </c>
      <c r="D6008">
        <v>0</v>
      </c>
      <c r="E6008" s="65">
        <v>47.31</v>
      </c>
      <c r="F6008" s="8">
        <v>2.572</v>
      </c>
      <c r="G6008" s="66">
        <v>203.0642742</v>
      </c>
      <c r="H6008" s="8">
        <v>9.521</v>
      </c>
      <c r="J6008" s="26"/>
      <c r="K6008"/>
    </row>
    <row r="6009" spans="1:11">
      <c r="A6009">
        <v>43</v>
      </c>
      <c r="B6009" s="64">
        <v>40221</v>
      </c>
      <c r="C6009" s="2">
        <v>682918.99</v>
      </c>
      <c r="D6009">
        <v>1</v>
      </c>
      <c r="E6009" s="65">
        <v>47.99</v>
      </c>
      <c r="F6009" s="8">
        <v>2.548</v>
      </c>
      <c r="G6009" s="66">
        <v>203.2010968</v>
      </c>
      <c r="H6009" s="8">
        <v>9.521</v>
      </c>
      <c r="J6009" s="26"/>
      <c r="K6009"/>
    </row>
    <row r="6010" spans="1:11">
      <c r="A6010">
        <v>43</v>
      </c>
      <c r="B6010" s="64">
        <v>40228</v>
      </c>
      <c r="C6010" s="2">
        <v>658997.55</v>
      </c>
      <c r="D6010">
        <v>0</v>
      </c>
      <c r="E6010" s="65">
        <v>48.77</v>
      </c>
      <c r="F6010" s="8">
        <v>2.514</v>
      </c>
      <c r="G6010" s="66">
        <v>203.2479796</v>
      </c>
      <c r="H6010" s="8">
        <v>9.521</v>
      </c>
      <c r="J6010" s="26"/>
      <c r="K6010"/>
    </row>
    <row r="6011" spans="1:11">
      <c r="A6011">
        <v>43</v>
      </c>
      <c r="B6011" s="64">
        <v>40235</v>
      </c>
      <c r="C6011" s="2">
        <v>618702.79</v>
      </c>
      <c r="D6011">
        <v>0</v>
      </c>
      <c r="E6011" s="65">
        <v>48.77</v>
      </c>
      <c r="F6011" s="8">
        <v>2.561</v>
      </c>
      <c r="G6011" s="66">
        <v>203.2798724</v>
      </c>
      <c r="H6011" s="8">
        <v>9.521</v>
      </c>
      <c r="J6011" s="26"/>
      <c r="K6011"/>
    </row>
    <row r="6012" spans="1:11">
      <c r="A6012">
        <v>43</v>
      </c>
      <c r="B6012" s="64">
        <v>40242</v>
      </c>
      <c r="C6012" s="2">
        <v>658600.05</v>
      </c>
      <c r="D6012">
        <v>0</v>
      </c>
      <c r="E6012" s="65">
        <v>52.89</v>
      </c>
      <c r="F6012" s="8">
        <v>2.625</v>
      </c>
      <c r="G6012" s="66">
        <v>203.3117653</v>
      </c>
      <c r="H6012" s="8">
        <v>9.521</v>
      </c>
      <c r="J6012" s="26"/>
      <c r="K6012"/>
    </row>
    <row r="6013" spans="1:11">
      <c r="A6013">
        <v>43</v>
      </c>
      <c r="B6013" s="64">
        <v>40249</v>
      </c>
      <c r="C6013" s="2">
        <v>645386.94</v>
      </c>
      <c r="D6013">
        <v>0</v>
      </c>
      <c r="E6013" s="65">
        <v>53.67</v>
      </c>
      <c r="F6013" s="8">
        <v>2.667</v>
      </c>
      <c r="G6013" s="66">
        <v>203.3436582</v>
      </c>
      <c r="H6013" s="8">
        <v>9.521</v>
      </c>
      <c r="J6013" s="26"/>
      <c r="K6013"/>
    </row>
    <row r="6014" spans="1:11">
      <c r="A6014">
        <v>43</v>
      </c>
      <c r="B6014" s="64">
        <v>40256</v>
      </c>
      <c r="C6014" s="2">
        <v>668098.49</v>
      </c>
      <c r="D6014">
        <v>0</v>
      </c>
      <c r="E6014" s="65">
        <v>56</v>
      </c>
      <c r="F6014" s="8">
        <v>2.72</v>
      </c>
      <c r="G6014" s="66">
        <v>203.195159</v>
      </c>
      <c r="H6014" s="8">
        <v>9.521</v>
      </c>
      <c r="J6014" s="26"/>
      <c r="K6014"/>
    </row>
    <row r="6015" spans="1:11">
      <c r="A6015">
        <v>43</v>
      </c>
      <c r="B6015" s="64">
        <v>40263</v>
      </c>
      <c r="C6015" s="2">
        <v>623097.93</v>
      </c>
      <c r="D6015">
        <v>0</v>
      </c>
      <c r="E6015" s="65">
        <v>54.53</v>
      </c>
      <c r="F6015" s="8">
        <v>2.732</v>
      </c>
      <c r="G6015" s="66">
        <v>203.0165945</v>
      </c>
      <c r="H6015" s="8">
        <v>9.521</v>
      </c>
      <c r="J6015" s="26"/>
      <c r="K6015"/>
    </row>
    <row r="6016" spans="1:11">
      <c r="A6016">
        <v>43</v>
      </c>
      <c r="B6016" s="64">
        <v>40270</v>
      </c>
      <c r="C6016" s="2">
        <v>650102.8</v>
      </c>
      <c r="D6016">
        <v>0</v>
      </c>
      <c r="E6016" s="65">
        <v>62.19</v>
      </c>
      <c r="F6016" s="8">
        <v>2.719</v>
      </c>
      <c r="G6016" s="66">
        <v>202.83803</v>
      </c>
      <c r="H6016" s="8">
        <v>9.593</v>
      </c>
      <c r="J6016" s="26"/>
      <c r="K6016"/>
    </row>
    <row r="6017" spans="1:11">
      <c r="A6017">
        <v>43</v>
      </c>
      <c r="B6017" s="64">
        <v>40277</v>
      </c>
      <c r="C6017" s="2">
        <v>693058.34</v>
      </c>
      <c r="D6017">
        <v>0</v>
      </c>
      <c r="E6017" s="65">
        <v>64.37</v>
      </c>
      <c r="F6017" s="8">
        <v>2.77</v>
      </c>
      <c r="G6017" s="66">
        <v>202.6594654</v>
      </c>
      <c r="H6017" s="8">
        <v>9.593</v>
      </c>
      <c r="J6017" s="26"/>
      <c r="K6017"/>
    </row>
    <row r="6018" spans="1:11">
      <c r="A6018">
        <v>43</v>
      </c>
      <c r="B6018" s="64">
        <v>40284</v>
      </c>
      <c r="C6018" s="2">
        <v>675282.2</v>
      </c>
      <c r="D6018">
        <v>0</v>
      </c>
      <c r="E6018" s="65">
        <v>69.46</v>
      </c>
      <c r="F6018" s="8">
        <v>2.808</v>
      </c>
      <c r="G6018" s="66">
        <v>202.5351571</v>
      </c>
      <c r="H6018" s="8">
        <v>9.593</v>
      </c>
      <c r="J6018" s="26"/>
      <c r="K6018"/>
    </row>
    <row r="6019" spans="1:11">
      <c r="A6019">
        <v>43</v>
      </c>
      <c r="B6019" s="64">
        <v>40291</v>
      </c>
      <c r="C6019" s="2">
        <v>638957.35</v>
      </c>
      <c r="D6019">
        <v>0</v>
      </c>
      <c r="E6019" s="65">
        <v>62.71</v>
      </c>
      <c r="F6019" s="8">
        <v>2.795</v>
      </c>
      <c r="G6019" s="66">
        <v>202.4831905</v>
      </c>
      <c r="H6019" s="8">
        <v>9.593</v>
      </c>
      <c r="J6019" s="26"/>
      <c r="K6019"/>
    </row>
    <row r="6020" spans="1:11">
      <c r="A6020">
        <v>43</v>
      </c>
      <c r="B6020" s="64">
        <v>40298</v>
      </c>
      <c r="C6020" s="2">
        <v>630740.11</v>
      </c>
      <c r="D6020">
        <v>0</v>
      </c>
      <c r="E6020" s="65">
        <v>66.91</v>
      </c>
      <c r="F6020" s="8">
        <v>2.78</v>
      </c>
      <c r="G6020" s="66">
        <v>202.4312238</v>
      </c>
      <c r="H6020" s="8">
        <v>9.593</v>
      </c>
      <c r="J6020" s="26"/>
      <c r="K6020"/>
    </row>
    <row r="6021" spans="1:11">
      <c r="A6021">
        <v>43</v>
      </c>
      <c r="B6021" s="64">
        <v>40305</v>
      </c>
      <c r="C6021" s="2">
        <v>691498.6</v>
      </c>
      <c r="D6021">
        <v>0</v>
      </c>
      <c r="E6021" s="65">
        <v>67.16</v>
      </c>
      <c r="F6021" s="8">
        <v>2.835</v>
      </c>
      <c r="G6021" s="66">
        <v>202.3792571</v>
      </c>
      <c r="H6021" s="8">
        <v>9.593</v>
      </c>
      <c r="J6021" s="26"/>
      <c r="K6021"/>
    </row>
    <row r="6022" spans="1:11">
      <c r="A6022">
        <v>43</v>
      </c>
      <c r="B6022" s="64">
        <v>40312</v>
      </c>
      <c r="C6022" s="2">
        <v>690851.59</v>
      </c>
      <c r="D6022">
        <v>0</v>
      </c>
      <c r="E6022" s="65">
        <v>72.14</v>
      </c>
      <c r="F6022" s="8">
        <v>2.854</v>
      </c>
      <c r="G6022" s="66">
        <v>202.3705092</v>
      </c>
      <c r="H6022" s="8">
        <v>9.593</v>
      </c>
      <c r="J6022" s="26"/>
      <c r="K6022"/>
    </row>
    <row r="6023" spans="1:11">
      <c r="A6023">
        <v>43</v>
      </c>
      <c r="B6023" s="64">
        <v>40319</v>
      </c>
      <c r="C6023" s="2">
        <v>672062.08</v>
      </c>
      <c r="D6023">
        <v>0</v>
      </c>
      <c r="E6023" s="65">
        <v>74.74</v>
      </c>
      <c r="F6023" s="8">
        <v>2.826</v>
      </c>
      <c r="G6023" s="66">
        <v>202.6210737</v>
      </c>
      <c r="H6023" s="8">
        <v>9.593</v>
      </c>
      <c r="J6023" s="26"/>
      <c r="K6023"/>
    </row>
    <row r="6024" spans="1:11">
      <c r="A6024">
        <v>43</v>
      </c>
      <c r="B6024" s="64">
        <v>40326</v>
      </c>
      <c r="C6024" s="2">
        <v>630315.76</v>
      </c>
      <c r="D6024">
        <v>0</v>
      </c>
      <c r="E6024" s="65">
        <v>78.59</v>
      </c>
      <c r="F6024" s="8">
        <v>2.759</v>
      </c>
      <c r="G6024" s="66">
        <v>202.8716382</v>
      </c>
      <c r="H6024" s="8">
        <v>9.593</v>
      </c>
      <c r="J6024" s="26"/>
      <c r="K6024"/>
    </row>
    <row r="6025" spans="1:11">
      <c r="A6025">
        <v>43</v>
      </c>
      <c r="B6025" s="64">
        <v>40333</v>
      </c>
      <c r="C6025" s="2">
        <v>682012.53</v>
      </c>
      <c r="D6025">
        <v>0</v>
      </c>
      <c r="E6025" s="65">
        <v>82.76</v>
      </c>
      <c r="F6025" s="8">
        <v>2.705</v>
      </c>
      <c r="G6025" s="66">
        <v>203.1222028</v>
      </c>
      <c r="H6025" s="8">
        <v>9.593</v>
      </c>
      <c r="J6025" s="26"/>
      <c r="K6025"/>
    </row>
    <row r="6026" spans="1:11">
      <c r="A6026">
        <v>43</v>
      </c>
      <c r="B6026" s="64">
        <v>40340</v>
      </c>
      <c r="C6026" s="2">
        <v>684023.95</v>
      </c>
      <c r="D6026">
        <v>0</v>
      </c>
      <c r="E6026" s="65">
        <v>88.12</v>
      </c>
      <c r="F6026" s="8">
        <v>2.668</v>
      </c>
      <c r="G6026" s="66">
        <v>203.3727673</v>
      </c>
      <c r="H6026" s="8">
        <v>9.593</v>
      </c>
      <c r="J6026" s="26"/>
      <c r="K6026"/>
    </row>
    <row r="6027" spans="1:11">
      <c r="A6027">
        <v>43</v>
      </c>
      <c r="B6027" s="64">
        <v>40347</v>
      </c>
      <c r="C6027" s="2">
        <v>700009.77</v>
      </c>
      <c r="D6027">
        <v>0</v>
      </c>
      <c r="E6027" s="65">
        <v>84.9</v>
      </c>
      <c r="F6027" s="8">
        <v>2.637</v>
      </c>
      <c r="G6027" s="66">
        <v>203.370619</v>
      </c>
      <c r="H6027" s="8">
        <v>9.593</v>
      </c>
      <c r="J6027" s="26"/>
      <c r="K6027"/>
    </row>
    <row r="6028" spans="1:11">
      <c r="A6028">
        <v>43</v>
      </c>
      <c r="B6028" s="64">
        <v>40354</v>
      </c>
      <c r="C6028" s="2">
        <v>625196.14</v>
      </c>
      <c r="D6028">
        <v>0</v>
      </c>
      <c r="E6028" s="65">
        <v>88.48</v>
      </c>
      <c r="F6028" s="8">
        <v>2.653</v>
      </c>
      <c r="G6028" s="66">
        <v>203.2673857</v>
      </c>
      <c r="H6028" s="8">
        <v>9.593</v>
      </c>
      <c r="J6028" s="26"/>
      <c r="K6028"/>
    </row>
    <row r="6029" spans="1:11">
      <c r="A6029">
        <v>43</v>
      </c>
      <c r="B6029" s="64">
        <v>40361</v>
      </c>
      <c r="C6029" s="2">
        <v>667353.79</v>
      </c>
      <c r="D6029">
        <v>0</v>
      </c>
      <c r="E6029" s="65">
        <v>80.17</v>
      </c>
      <c r="F6029" s="8">
        <v>2.669</v>
      </c>
      <c r="G6029" s="66">
        <v>203.1641524</v>
      </c>
      <c r="H6029" s="8">
        <v>9.816</v>
      </c>
      <c r="J6029" s="26"/>
      <c r="K6029"/>
    </row>
    <row r="6030" spans="1:11">
      <c r="A6030">
        <v>43</v>
      </c>
      <c r="B6030" s="64">
        <v>40368</v>
      </c>
      <c r="C6030" s="2">
        <v>718748.33</v>
      </c>
      <c r="D6030">
        <v>0</v>
      </c>
      <c r="E6030" s="65">
        <v>81.52</v>
      </c>
      <c r="F6030" s="8">
        <v>2.642</v>
      </c>
      <c r="G6030" s="66">
        <v>203.060919</v>
      </c>
      <c r="H6030" s="8">
        <v>9.816</v>
      </c>
      <c r="J6030" s="26"/>
      <c r="K6030"/>
    </row>
    <row r="6031" spans="1:11">
      <c r="A6031">
        <v>43</v>
      </c>
      <c r="B6031" s="64">
        <v>40375</v>
      </c>
      <c r="C6031" s="2">
        <v>696844.36</v>
      </c>
      <c r="D6031">
        <v>0</v>
      </c>
      <c r="E6031" s="65">
        <v>84.17</v>
      </c>
      <c r="F6031" s="8">
        <v>2.623</v>
      </c>
      <c r="G6031" s="66">
        <v>203.0538548</v>
      </c>
      <c r="H6031" s="8">
        <v>9.816</v>
      </c>
      <c r="J6031" s="26"/>
      <c r="K6031"/>
    </row>
    <row r="6032" spans="1:11">
      <c r="A6032">
        <v>43</v>
      </c>
      <c r="B6032" s="64">
        <v>40382</v>
      </c>
      <c r="C6032" s="2">
        <v>649035.55</v>
      </c>
      <c r="D6032">
        <v>0</v>
      </c>
      <c r="E6032" s="65">
        <v>86.6</v>
      </c>
      <c r="F6032" s="8">
        <v>2.608</v>
      </c>
      <c r="G6032" s="66">
        <v>203.1750161</v>
      </c>
      <c r="H6032" s="8">
        <v>9.816</v>
      </c>
      <c r="J6032" s="26"/>
      <c r="K6032"/>
    </row>
    <row r="6033" spans="1:11">
      <c r="A6033">
        <v>43</v>
      </c>
      <c r="B6033" s="64">
        <v>40389</v>
      </c>
      <c r="C6033" s="2">
        <v>622112.23</v>
      </c>
      <c r="D6033">
        <v>0</v>
      </c>
      <c r="E6033" s="65">
        <v>79.79</v>
      </c>
      <c r="F6033" s="8">
        <v>2.64</v>
      </c>
      <c r="G6033" s="66">
        <v>203.2961774</v>
      </c>
      <c r="H6033" s="8">
        <v>9.816</v>
      </c>
      <c r="J6033" s="26"/>
      <c r="K6033"/>
    </row>
    <row r="6034" spans="1:11">
      <c r="A6034">
        <v>43</v>
      </c>
      <c r="B6034" s="64">
        <v>40396</v>
      </c>
      <c r="C6034" s="2">
        <v>698536.06</v>
      </c>
      <c r="D6034">
        <v>0</v>
      </c>
      <c r="E6034" s="65">
        <v>84.66</v>
      </c>
      <c r="F6034" s="8">
        <v>2.627</v>
      </c>
      <c r="G6034" s="66">
        <v>203.4173387</v>
      </c>
      <c r="H6034" s="8">
        <v>9.816</v>
      </c>
      <c r="J6034" s="26"/>
      <c r="K6034"/>
    </row>
    <row r="6035" spans="1:11">
      <c r="A6035">
        <v>43</v>
      </c>
      <c r="B6035" s="64">
        <v>40403</v>
      </c>
      <c r="C6035" s="2">
        <v>713479.91</v>
      </c>
      <c r="D6035">
        <v>0</v>
      </c>
      <c r="E6035" s="65">
        <v>86.31</v>
      </c>
      <c r="F6035" s="8">
        <v>2.692</v>
      </c>
      <c r="G6035" s="66">
        <v>203.5385</v>
      </c>
      <c r="H6035" s="8">
        <v>9.816</v>
      </c>
      <c r="J6035" s="26"/>
      <c r="K6035"/>
    </row>
    <row r="6036" spans="1:11">
      <c r="A6036">
        <v>43</v>
      </c>
      <c r="B6036" s="64">
        <v>40410</v>
      </c>
      <c r="C6036" s="2">
        <v>712869.09</v>
      </c>
      <c r="D6036">
        <v>0</v>
      </c>
      <c r="E6036" s="65">
        <v>85.26</v>
      </c>
      <c r="F6036" s="8">
        <v>2.664</v>
      </c>
      <c r="G6036" s="66">
        <v>203.5092419</v>
      </c>
      <c r="H6036" s="8">
        <v>9.816</v>
      </c>
      <c r="J6036" s="26"/>
      <c r="K6036"/>
    </row>
    <row r="6037" spans="1:11">
      <c r="A6037">
        <v>43</v>
      </c>
      <c r="B6037" s="64">
        <v>40417</v>
      </c>
      <c r="C6037" s="2">
        <v>655284.69</v>
      </c>
      <c r="D6037">
        <v>0</v>
      </c>
      <c r="E6037" s="65">
        <v>80.32</v>
      </c>
      <c r="F6037" s="8">
        <v>2.619</v>
      </c>
      <c r="G6037" s="66">
        <v>203.4799839</v>
      </c>
      <c r="H6037" s="8">
        <v>9.816</v>
      </c>
      <c r="J6037" s="26"/>
      <c r="K6037"/>
    </row>
    <row r="6038" spans="1:11">
      <c r="A6038">
        <v>43</v>
      </c>
      <c r="B6038" s="64">
        <v>40424</v>
      </c>
      <c r="C6038" s="2">
        <v>689326.91</v>
      </c>
      <c r="D6038">
        <v>0</v>
      </c>
      <c r="E6038" s="65">
        <v>80.43</v>
      </c>
      <c r="F6038" s="8">
        <v>2.577</v>
      </c>
      <c r="G6038" s="66">
        <v>203.4507258</v>
      </c>
      <c r="H6038" s="8">
        <v>9.816</v>
      </c>
      <c r="J6038" s="26"/>
      <c r="K6038"/>
    </row>
    <row r="6039" spans="1:11">
      <c r="A6039">
        <v>43</v>
      </c>
      <c r="B6039" s="64">
        <v>40431</v>
      </c>
      <c r="C6039" s="2">
        <v>722120.04</v>
      </c>
      <c r="D6039">
        <v>1</v>
      </c>
      <c r="E6039" s="65">
        <v>81.32</v>
      </c>
      <c r="F6039" s="8">
        <v>2.565</v>
      </c>
      <c r="G6039" s="66">
        <v>203.4214677</v>
      </c>
      <c r="H6039" s="8">
        <v>9.816</v>
      </c>
      <c r="J6039" s="26"/>
      <c r="K6039"/>
    </row>
    <row r="6040" spans="1:11">
      <c r="A6040">
        <v>43</v>
      </c>
      <c r="B6040" s="64">
        <v>40438</v>
      </c>
      <c r="C6040" s="2">
        <v>725043.04</v>
      </c>
      <c r="D6040">
        <v>0</v>
      </c>
      <c r="E6040" s="65">
        <v>78.86</v>
      </c>
      <c r="F6040" s="8">
        <v>2.582</v>
      </c>
      <c r="G6040" s="66">
        <v>203.4499286</v>
      </c>
      <c r="H6040" s="8">
        <v>9.816</v>
      </c>
      <c r="J6040" s="26"/>
      <c r="K6040"/>
    </row>
    <row r="6041" spans="1:11">
      <c r="A6041">
        <v>43</v>
      </c>
      <c r="B6041" s="64">
        <v>40445</v>
      </c>
      <c r="C6041" s="2">
        <v>650263.95</v>
      </c>
      <c r="D6041">
        <v>0</v>
      </c>
      <c r="E6041" s="65">
        <v>77.42</v>
      </c>
      <c r="F6041" s="8">
        <v>2.624</v>
      </c>
      <c r="G6041" s="66">
        <v>203.5216786</v>
      </c>
      <c r="H6041" s="8">
        <v>9.816</v>
      </c>
      <c r="J6041" s="26"/>
      <c r="K6041"/>
    </row>
    <row r="6042" spans="1:11">
      <c r="A6042">
        <v>43</v>
      </c>
      <c r="B6042" s="64">
        <v>40452</v>
      </c>
      <c r="C6042" s="2">
        <v>657108.77</v>
      </c>
      <c r="D6042">
        <v>0</v>
      </c>
      <c r="E6042" s="65">
        <v>77.93</v>
      </c>
      <c r="F6042" s="8">
        <v>2.603</v>
      </c>
      <c r="G6042" s="66">
        <v>203.5934286</v>
      </c>
      <c r="H6042" s="8">
        <v>10.21</v>
      </c>
      <c r="J6042" s="26"/>
      <c r="K6042"/>
    </row>
    <row r="6043" spans="1:11">
      <c r="A6043">
        <v>43</v>
      </c>
      <c r="B6043" s="64">
        <v>40459</v>
      </c>
      <c r="C6043" s="2">
        <v>713332.54</v>
      </c>
      <c r="D6043">
        <v>0</v>
      </c>
      <c r="E6043" s="65">
        <v>72.81</v>
      </c>
      <c r="F6043" s="8">
        <v>2.633</v>
      </c>
      <c r="G6043" s="66">
        <v>203.6651786</v>
      </c>
      <c r="H6043" s="8">
        <v>10.21</v>
      </c>
      <c r="J6043" s="26"/>
      <c r="K6043"/>
    </row>
    <row r="6044" spans="1:11">
      <c r="A6044">
        <v>43</v>
      </c>
      <c r="B6044" s="64">
        <v>40466</v>
      </c>
      <c r="C6044" s="2">
        <v>699852.68</v>
      </c>
      <c r="D6044">
        <v>0</v>
      </c>
      <c r="E6044" s="65">
        <v>68.78</v>
      </c>
      <c r="F6044" s="8">
        <v>2.72</v>
      </c>
      <c r="G6044" s="66">
        <v>203.7299032</v>
      </c>
      <c r="H6044" s="8">
        <v>10.21</v>
      </c>
      <c r="J6044" s="26"/>
      <c r="K6044"/>
    </row>
    <row r="6045" spans="1:11">
      <c r="A6045">
        <v>43</v>
      </c>
      <c r="B6045" s="64">
        <v>40473</v>
      </c>
      <c r="C6045" s="2">
        <v>680943.03</v>
      </c>
      <c r="D6045">
        <v>0</v>
      </c>
      <c r="E6045" s="65">
        <v>69.46</v>
      </c>
      <c r="F6045" s="8">
        <v>2.725</v>
      </c>
      <c r="G6045" s="66">
        <v>203.7770645</v>
      </c>
      <c r="H6045" s="8">
        <v>10.21</v>
      </c>
      <c r="J6045" s="26"/>
      <c r="K6045"/>
    </row>
    <row r="6046" spans="1:11">
      <c r="A6046">
        <v>43</v>
      </c>
      <c r="B6046" s="64">
        <v>40480</v>
      </c>
      <c r="C6046" s="2">
        <v>610076.32</v>
      </c>
      <c r="D6046">
        <v>0</v>
      </c>
      <c r="E6046" s="65">
        <v>65.88</v>
      </c>
      <c r="F6046" s="8">
        <v>2.716</v>
      </c>
      <c r="G6046" s="66">
        <v>203.8242258</v>
      </c>
      <c r="H6046" s="8">
        <v>10.21</v>
      </c>
      <c r="J6046" s="26"/>
      <c r="K6046"/>
    </row>
    <row r="6047" spans="1:11">
      <c r="A6047">
        <v>43</v>
      </c>
      <c r="B6047" s="64">
        <v>40487</v>
      </c>
      <c r="C6047" s="2">
        <v>605960.2</v>
      </c>
      <c r="D6047">
        <v>0</v>
      </c>
      <c r="E6047" s="65">
        <v>62.52</v>
      </c>
      <c r="F6047" s="8">
        <v>2.689</v>
      </c>
      <c r="G6047" s="66">
        <v>203.8713871</v>
      </c>
      <c r="H6047" s="8">
        <v>10.21</v>
      </c>
      <c r="J6047" s="26"/>
      <c r="K6047"/>
    </row>
    <row r="6048" spans="1:11">
      <c r="A6048">
        <v>43</v>
      </c>
      <c r="B6048" s="64">
        <v>40494</v>
      </c>
      <c r="C6048" s="2">
        <v>595421.23</v>
      </c>
      <c r="D6048">
        <v>0</v>
      </c>
      <c r="E6048" s="65">
        <v>59.98</v>
      </c>
      <c r="F6048" s="8">
        <v>2.728</v>
      </c>
      <c r="G6048" s="66">
        <v>203.9185484</v>
      </c>
      <c r="H6048" s="8">
        <v>10.21</v>
      </c>
      <c r="J6048" s="26"/>
      <c r="K6048"/>
    </row>
    <row r="6049" spans="1:11">
      <c r="A6049">
        <v>43</v>
      </c>
      <c r="B6049" s="64">
        <v>40501</v>
      </c>
      <c r="C6049" s="2">
        <v>589467.35</v>
      </c>
      <c r="D6049">
        <v>0</v>
      </c>
      <c r="E6049" s="65">
        <v>54.96</v>
      </c>
      <c r="F6049" s="8">
        <v>2.771</v>
      </c>
      <c r="G6049" s="66">
        <v>203.8191286</v>
      </c>
      <c r="H6049" s="8">
        <v>10.21</v>
      </c>
      <c r="J6049" s="26"/>
      <c r="K6049"/>
    </row>
    <row r="6050" spans="1:11">
      <c r="A6050">
        <v>43</v>
      </c>
      <c r="B6050" s="64">
        <v>40508</v>
      </c>
      <c r="C6050" s="2">
        <v>633520.34</v>
      </c>
      <c r="D6050">
        <v>1</v>
      </c>
      <c r="E6050" s="65">
        <v>54.76</v>
      </c>
      <c r="F6050" s="8">
        <v>2.735</v>
      </c>
      <c r="G6050" s="66">
        <v>203.6952786</v>
      </c>
      <c r="H6050" s="8">
        <v>10.21</v>
      </c>
      <c r="J6050" s="26"/>
      <c r="K6050"/>
    </row>
    <row r="6051" spans="1:11">
      <c r="A6051">
        <v>43</v>
      </c>
      <c r="B6051" s="64">
        <v>40515</v>
      </c>
      <c r="C6051" s="2">
        <v>557543.62</v>
      </c>
      <c r="D6051">
        <v>0</v>
      </c>
      <c r="E6051" s="65">
        <v>44.56</v>
      </c>
      <c r="F6051" s="8">
        <v>2.708</v>
      </c>
      <c r="G6051" s="66">
        <v>203.5714286</v>
      </c>
      <c r="H6051" s="8">
        <v>10.21</v>
      </c>
      <c r="J6051" s="26"/>
      <c r="K6051"/>
    </row>
    <row r="6052" spans="1:11">
      <c r="A6052">
        <v>43</v>
      </c>
      <c r="B6052" s="64">
        <v>40522</v>
      </c>
      <c r="C6052" s="2">
        <v>598679.02</v>
      </c>
      <c r="D6052">
        <v>0</v>
      </c>
      <c r="E6052" s="65">
        <v>52.52</v>
      </c>
      <c r="F6052" s="8">
        <v>2.843</v>
      </c>
      <c r="G6052" s="66">
        <v>203.4475786</v>
      </c>
      <c r="H6052" s="8">
        <v>10.21</v>
      </c>
      <c r="J6052" s="26"/>
      <c r="K6052"/>
    </row>
    <row r="6053" spans="1:11">
      <c r="A6053">
        <v>43</v>
      </c>
      <c r="B6053" s="64">
        <v>40529</v>
      </c>
      <c r="C6053" s="2">
        <v>615761.77</v>
      </c>
      <c r="D6053">
        <v>0</v>
      </c>
      <c r="E6053" s="65">
        <v>56.51</v>
      </c>
      <c r="F6053" s="8">
        <v>2.869</v>
      </c>
      <c r="G6053" s="66">
        <v>203.3996521</v>
      </c>
      <c r="H6053" s="8">
        <v>10.21</v>
      </c>
      <c r="J6053" s="26"/>
      <c r="K6053"/>
    </row>
    <row r="6054" spans="1:11">
      <c r="A6054">
        <v>43</v>
      </c>
      <c r="B6054" s="64">
        <v>40536</v>
      </c>
      <c r="C6054" s="2">
        <v>656637.63</v>
      </c>
      <c r="D6054">
        <v>0</v>
      </c>
      <c r="E6054" s="65">
        <v>57.15</v>
      </c>
      <c r="F6054" s="8">
        <v>2.886</v>
      </c>
      <c r="G6054" s="66">
        <v>203.4086682</v>
      </c>
      <c r="H6054" s="8">
        <v>10.21</v>
      </c>
      <c r="J6054" s="26"/>
      <c r="K6054"/>
    </row>
    <row r="6055" spans="1:11">
      <c r="A6055">
        <v>43</v>
      </c>
      <c r="B6055" s="64">
        <v>40543</v>
      </c>
      <c r="C6055" s="2">
        <v>534740.3</v>
      </c>
      <c r="D6055">
        <v>1</v>
      </c>
      <c r="E6055" s="65">
        <v>48.61</v>
      </c>
      <c r="F6055" s="8">
        <v>2.943</v>
      </c>
      <c r="G6055" s="66">
        <v>203.4176843</v>
      </c>
      <c r="H6055" s="8">
        <v>10.21</v>
      </c>
      <c r="J6055" s="26"/>
      <c r="K6055"/>
    </row>
    <row r="6056" spans="1:11">
      <c r="A6056">
        <v>43</v>
      </c>
      <c r="B6056" s="64">
        <v>40550</v>
      </c>
      <c r="C6056" s="2">
        <v>611796.61</v>
      </c>
      <c r="D6056">
        <v>0</v>
      </c>
      <c r="E6056" s="65">
        <v>40.47</v>
      </c>
      <c r="F6056" s="8">
        <v>2.976</v>
      </c>
      <c r="G6056" s="66">
        <v>203.4267005</v>
      </c>
      <c r="H6056" s="8">
        <v>10.398</v>
      </c>
      <c r="J6056" s="26"/>
      <c r="K6056"/>
    </row>
    <row r="6057" spans="1:11">
      <c r="A6057">
        <v>43</v>
      </c>
      <c r="B6057" s="64">
        <v>40557</v>
      </c>
      <c r="C6057" s="2">
        <v>614940.07</v>
      </c>
      <c r="D6057">
        <v>0</v>
      </c>
      <c r="E6057" s="65">
        <v>43.45</v>
      </c>
      <c r="F6057" s="8">
        <v>2.983</v>
      </c>
      <c r="G6057" s="66">
        <v>203.4840645</v>
      </c>
      <c r="H6057" s="8">
        <v>10.398</v>
      </c>
      <c r="J6057" s="26"/>
      <c r="K6057"/>
    </row>
    <row r="6058" spans="1:11">
      <c r="A6058">
        <v>43</v>
      </c>
      <c r="B6058" s="64">
        <v>40564</v>
      </c>
      <c r="C6058" s="2">
        <v>601004.79</v>
      </c>
      <c r="D6058">
        <v>0</v>
      </c>
      <c r="E6058" s="65">
        <v>53.05</v>
      </c>
      <c r="F6058" s="8">
        <v>3.016</v>
      </c>
      <c r="G6058" s="66">
        <v>203.8315161</v>
      </c>
      <c r="H6058" s="8">
        <v>10.398</v>
      </c>
      <c r="J6058" s="26"/>
      <c r="K6058"/>
    </row>
    <row r="6059" spans="1:11">
      <c r="A6059">
        <v>43</v>
      </c>
      <c r="B6059" s="64">
        <v>40571</v>
      </c>
      <c r="C6059" s="2">
        <v>562558.27</v>
      </c>
      <c r="D6059">
        <v>0</v>
      </c>
      <c r="E6059" s="65">
        <v>44.98</v>
      </c>
      <c r="F6059" s="8">
        <v>3.01</v>
      </c>
      <c r="G6059" s="66">
        <v>204.1789677</v>
      </c>
      <c r="H6059" s="8">
        <v>10.398</v>
      </c>
      <c r="J6059" s="26"/>
      <c r="K6059"/>
    </row>
    <row r="6060" spans="1:11">
      <c r="A6060">
        <v>43</v>
      </c>
      <c r="B6060" s="64">
        <v>40578</v>
      </c>
      <c r="C6060" s="2">
        <v>651521.77</v>
      </c>
      <c r="D6060">
        <v>0</v>
      </c>
      <c r="E6060" s="65">
        <v>33.21</v>
      </c>
      <c r="F6060" s="8">
        <v>2.989</v>
      </c>
      <c r="G6060" s="66">
        <v>204.5264194</v>
      </c>
      <c r="H6060" s="8">
        <v>10.398</v>
      </c>
      <c r="J6060" s="26"/>
      <c r="K6060"/>
    </row>
    <row r="6061" spans="1:11">
      <c r="A6061">
        <v>43</v>
      </c>
      <c r="B6061" s="64">
        <v>40585</v>
      </c>
      <c r="C6061" s="2">
        <v>635650.98</v>
      </c>
      <c r="D6061">
        <v>1</v>
      </c>
      <c r="E6061" s="65">
        <v>40.65</v>
      </c>
      <c r="F6061" s="8">
        <v>3.022</v>
      </c>
      <c r="G6061" s="66">
        <v>204.873871</v>
      </c>
      <c r="H6061" s="8">
        <v>10.398</v>
      </c>
      <c r="J6061" s="26"/>
      <c r="K6061"/>
    </row>
    <row r="6062" spans="1:11">
      <c r="A6062">
        <v>43</v>
      </c>
      <c r="B6062" s="64">
        <v>40592</v>
      </c>
      <c r="C6062" s="2">
        <v>626627.77</v>
      </c>
      <c r="D6062">
        <v>0</v>
      </c>
      <c r="E6062" s="65">
        <v>59.15</v>
      </c>
      <c r="F6062" s="8">
        <v>3.045</v>
      </c>
      <c r="G6062" s="66">
        <v>205.1683214</v>
      </c>
      <c r="H6062" s="8">
        <v>10.398</v>
      </c>
      <c r="J6062" s="26"/>
      <c r="K6062"/>
    </row>
    <row r="6063" spans="1:11">
      <c r="A6063">
        <v>43</v>
      </c>
      <c r="B6063" s="64">
        <v>40599</v>
      </c>
      <c r="C6063" s="2">
        <v>592340.01</v>
      </c>
      <c r="D6063">
        <v>0</v>
      </c>
      <c r="E6063" s="65">
        <v>58.37</v>
      </c>
      <c r="F6063" s="8">
        <v>3.065</v>
      </c>
      <c r="G6063" s="66">
        <v>205.4415714</v>
      </c>
      <c r="H6063" s="8">
        <v>10.398</v>
      </c>
      <c r="J6063" s="26"/>
      <c r="K6063"/>
    </row>
    <row r="6064" spans="1:11">
      <c r="A6064">
        <v>43</v>
      </c>
      <c r="B6064" s="64">
        <v>40606</v>
      </c>
      <c r="C6064" s="2">
        <v>616345.25</v>
      </c>
      <c r="D6064">
        <v>0</v>
      </c>
      <c r="E6064" s="65">
        <v>60.26</v>
      </c>
      <c r="F6064" s="8">
        <v>3.288</v>
      </c>
      <c r="G6064" s="66">
        <v>205.7148214</v>
      </c>
      <c r="H6064" s="8">
        <v>10.398</v>
      </c>
      <c r="J6064" s="26"/>
      <c r="K6064"/>
    </row>
    <row r="6065" spans="1:11">
      <c r="A6065">
        <v>43</v>
      </c>
      <c r="B6065" s="64">
        <v>40613</v>
      </c>
      <c r="C6065" s="2">
        <v>629026.75</v>
      </c>
      <c r="D6065">
        <v>0</v>
      </c>
      <c r="E6065" s="65">
        <v>60.24</v>
      </c>
      <c r="F6065" s="8">
        <v>3.459</v>
      </c>
      <c r="G6065" s="66">
        <v>205.9880714</v>
      </c>
      <c r="H6065" s="8">
        <v>10.398</v>
      </c>
      <c r="J6065" s="26"/>
      <c r="K6065"/>
    </row>
    <row r="6066" spans="1:11">
      <c r="A6066">
        <v>43</v>
      </c>
      <c r="B6066" s="64">
        <v>40620</v>
      </c>
      <c r="C6066" s="2">
        <v>635171.05</v>
      </c>
      <c r="D6066">
        <v>0</v>
      </c>
      <c r="E6066" s="65">
        <v>68.98</v>
      </c>
      <c r="F6066" s="8">
        <v>3.488</v>
      </c>
      <c r="G6066" s="66">
        <v>206.225924</v>
      </c>
      <c r="H6066" s="8">
        <v>10.398</v>
      </c>
      <c r="J6066" s="26"/>
      <c r="K6066"/>
    </row>
    <row r="6067" spans="1:11">
      <c r="A6067">
        <v>43</v>
      </c>
      <c r="B6067" s="64">
        <v>40627</v>
      </c>
      <c r="C6067" s="2">
        <v>585989.1</v>
      </c>
      <c r="D6067">
        <v>0</v>
      </c>
      <c r="E6067" s="65">
        <v>65.53</v>
      </c>
      <c r="F6067" s="8">
        <v>3.473</v>
      </c>
      <c r="G6067" s="66">
        <v>206.4496175</v>
      </c>
      <c r="H6067" s="8">
        <v>10.398</v>
      </c>
      <c r="J6067" s="26"/>
      <c r="K6067"/>
    </row>
    <row r="6068" spans="1:11">
      <c r="A6068">
        <v>43</v>
      </c>
      <c r="B6068" s="64">
        <v>40634</v>
      </c>
      <c r="C6068" s="2">
        <v>611585.54</v>
      </c>
      <c r="D6068">
        <v>0</v>
      </c>
      <c r="E6068" s="65">
        <v>67.79</v>
      </c>
      <c r="F6068" s="8">
        <v>3.524</v>
      </c>
      <c r="G6068" s="66">
        <v>206.6733111</v>
      </c>
      <c r="H6068" s="8">
        <v>10.581</v>
      </c>
      <c r="J6068" s="26"/>
      <c r="K6068"/>
    </row>
    <row r="6069" spans="1:11">
      <c r="A6069">
        <v>43</v>
      </c>
      <c r="B6069" s="64">
        <v>40641</v>
      </c>
      <c r="C6069" s="2">
        <v>650418.75</v>
      </c>
      <c r="D6069">
        <v>0</v>
      </c>
      <c r="E6069" s="65">
        <v>70.35</v>
      </c>
      <c r="F6069" s="8">
        <v>3.622</v>
      </c>
      <c r="G6069" s="66">
        <v>206.8970046</v>
      </c>
      <c r="H6069" s="8">
        <v>10.581</v>
      </c>
      <c r="J6069" s="26"/>
      <c r="K6069"/>
    </row>
    <row r="6070" spans="1:11">
      <c r="A6070">
        <v>43</v>
      </c>
      <c r="B6070" s="64">
        <v>40648</v>
      </c>
      <c r="C6070" s="2">
        <v>635758.03</v>
      </c>
      <c r="D6070">
        <v>0</v>
      </c>
      <c r="E6070" s="65">
        <v>65.01</v>
      </c>
      <c r="F6070" s="8">
        <v>3.743</v>
      </c>
      <c r="G6070" s="66">
        <v>207.1015429</v>
      </c>
      <c r="H6070" s="8">
        <v>10.581</v>
      </c>
      <c r="J6070" s="26"/>
      <c r="K6070"/>
    </row>
    <row r="6071" spans="1:11">
      <c r="A6071">
        <v>43</v>
      </c>
      <c r="B6071" s="64">
        <v>40655</v>
      </c>
      <c r="C6071" s="2">
        <v>638280.67</v>
      </c>
      <c r="D6071">
        <v>0</v>
      </c>
      <c r="E6071" s="65">
        <v>74.49</v>
      </c>
      <c r="F6071" s="8">
        <v>3.807</v>
      </c>
      <c r="G6071" s="66">
        <v>207.2581929</v>
      </c>
      <c r="H6071" s="8">
        <v>10.581</v>
      </c>
      <c r="J6071" s="26"/>
      <c r="K6071"/>
    </row>
    <row r="6072" spans="1:11">
      <c r="A6072">
        <v>43</v>
      </c>
      <c r="B6072" s="64">
        <v>40662</v>
      </c>
      <c r="C6072" s="2">
        <v>611464.21</v>
      </c>
      <c r="D6072">
        <v>0</v>
      </c>
      <c r="E6072" s="65">
        <v>71.34</v>
      </c>
      <c r="F6072" s="8">
        <v>3.81</v>
      </c>
      <c r="G6072" s="66">
        <v>207.4148429</v>
      </c>
      <c r="H6072" s="8">
        <v>10.581</v>
      </c>
      <c r="J6072" s="26"/>
      <c r="K6072"/>
    </row>
    <row r="6073" spans="1:11">
      <c r="A6073">
        <v>43</v>
      </c>
      <c r="B6073" s="64">
        <v>40669</v>
      </c>
      <c r="C6073" s="2">
        <v>649148.74</v>
      </c>
      <c r="D6073">
        <v>0</v>
      </c>
      <c r="E6073" s="65">
        <v>66.77</v>
      </c>
      <c r="F6073" s="8">
        <v>3.906</v>
      </c>
      <c r="G6073" s="66">
        <v>207.5714929</v>
      </c>
      <c r="H6073" s="8">
        <v>10.581</v>
      </c>
      <c r="J6073" s="26"/>
      <c r="K6073"/>
    </row>
    <row r="6074" spans="1:11">
      <c r="A6074">
        <v>43</v>
      </c>
      <c r="B6074" s="64">
        <v>40676</v>
      </c>
      <c r="C6074" s="2">
        <v>684655.91</v>
      </c>
      <c r="D6074">
        <v>0</v>
      </c>
      <c r="E6074" s="65">
        <v>76.03</v>
      </c>
      <c r="F6074" s="8">
        <v>3.899</v>
      </c>
      <c r="G6074" s="66">
        <v>207.7281429</v>
      </c>
      <c r="H6074" s="8">
        <v>10.581</v>
      </c>
      <c r="J6074" s="26"/>
      <c r="K6074"/>
    </row>
    <row r="6075" spans="1:11">
      <c r="A6075">
        <v>43</v>
      </c>
      <c r="B6075" s="64">
        <v>40683</v>
      </c>
      <c r="C6075" s="2">
        <v>648330.18</v>
      </c>
      <c r="D6075">
        <v>0</v>
      </c>
      <c r="E6075" s="65">
        <v>74.21</v>
      </c>
      <c r="F6075" s="8">
        <v>3.907</v>
      </c>
      <c r="G6075" s="66">
        <v>207.5200622</v>
      </c>
      <c r="H6075" s="8">
        <v>10.581</v>
      </c>
      <c r="J6075" s="26"/>
      <c r="K6075"/>
    </row>
    <row r="6076" spans="1:11">
      <c r="A6076">
        <v>43</v>
      </c>
      <c r="B6076" s="64">
        <v>40690</v>
      </c>
      <c r="C6076" s="2">
        <v>578209.63</v>
      </c>
      <c r="D6076">
        <v>0</v>
      </c>
      <c r="E6076" s="65">
        <v>80.89</v>
      </c>
      <c r="F6076" s="8">
        <v>3.786</v>
      </c>
      <c r="G6076" s="66">
        <v>207.3119816</v>
      </c>
      <c r="H6076" s="8">
        <v>10.581</v>
      </c>
      <c r="J6076" s="26"/>
      <c r="K6076"/>
    </row>
    <row r="6077" spans="1:11">
      <c r="A6077">
        <v>43</v>
      </c>
      <c r="B6077" s="64">
        <v>40697</v>
      </c>
      <c r="C6077" s="2">
        <v>630972.15</v>
      </c>
      <c r="D6077">
        <v>0</v>
      </c>
      <c r="E6077" s="65">
        <v>83.49</v>
      </c>
      <c r="F6077" s="8">
        <v>3.699</v>
      </c>
      <c r="G6077" s="66">
        <v>207.1039009</v>
      </c>
      <c r="H6077" s="8">
        <v>10.581</v>
      </c>
      <c r="J6077" s="26"/>
      <c r="K6077"/>
    </row>
    <row r="6078" spans="1:11">
      <c r="A6078">
        <v>43</v>
      </c>
      <c r="B6078" s="64">
        <v>40704</v>
      </c>
      <c r="C6078" s="2">
        <v>643041.71</v>
      </c>
      <c r="D6078">
        <v>0</v>
      </c>
      <c r="E6078" s="65">
        <v>85.81</v>
      </c>
      <c r="F6078" s="8">
        <v>3.648</v>
      </c>
      <c r="G6078" s="66">
        <v>206.8958203</v>
      </c>
      <c r="H6078" s="8">
        <v>10.581</v>
      </c>
      <c r="J6078" s="26"/>
      <c r="K6078"/>
    </row>
    <row r="6079" spans="1:11">
      <c r="A6079">
        <v>43</v>
      </c>
      <c r="B6079" s="64">
        <v>40711</v>
      </c>
      <c r="C6079" s="2">
        <v>665781.74</v>
      </c>
      <c r="D6079">
        <v>0</v>
      </c>
      <c r="E6079" s="65">
        <v>88.49</v>
      </c>
      <c r="F6079" s="8">
        <v>3.637</v>
      </c>
      <c r="G6079" s="66">
        <v>206.8560238</v>
      </c>
      <c r="H6079" s="8">
        <v>10.581</v>
      </c>
      <c r="J6079" s="26"/>
      <c r="K6079"/>
    </row>
    <row r="6080" spans="1:11">
      <c r="A6080">
        <v>43</v>
      </c>
      <c r="B6080" s="64">
        <v>40718</v>
      </c>
      <c r="C6080" s="2">
        <v>604925.08</v>
      </c>
      <c r="D6080">
        <v>0</v>
      </c>
      <c r="E6080" s="65">
        <v>88.3</v>
      </c>
      <c r="F6080" s="8">
        <v>3.594</v>
      </c>
      <c r="G6080" s="66">
        <v>206.9424405</v>
      </c>
      <c r="H6080" s="8">
        <v>10.581</v>
      </c>
      <c r="J6080" s="26"/>
      <c r="K6080"/>
    </row>
    <row r="6081" spans="1:11">
      <c r="A6081">
        <v>43</v>
      </c>
      <c r="B6081" s="64">
        <v>40725</v>
      </c>
      <c r="C6081" s="2">
        <v>586781.78</v>
      </c>
      <c r="D6081">
        <v>0</v>
      </c>
      <c r="E6081" s="65">
        <v>91.36</v>
      </c>
      <c r="F6081" s="8">
        <v>3.524</v>
      </c>
      <c r="G6081" s="66">
        <v>207.0288571</v>
      </c>
      <c r="H6081" s="8">
        <v>10.641</v>
      </c>
      <c r="J6081" s="26"/>
      <c r="K6081"/>
    </row>
    <row r="6082" spans="1:11">
      <c r="A6082">
        <v>43</v>
      </c>
      <c r="B6082" s="64">
        <v>40732</v>
      </c>
      <c r="C6082" s="2">
        <v>651147.83</v>
      </c>
      <c r="D6082">
        <v>0</v>
      </c>
      <c r="E6082" s="65">
        <v>87.02</v>
      </c>
      <c r="F6082" s="8">
        <v>3.48</v>
      </c>
      <c r="G6082" s="66">
        <v>207.1152738</v>
      </c>
      <c r="H6082" s="8">
        <v>10.641</v>
      </c>
      <c r="J6082" s="26"/>
      <c r="K6082"/>
    </row>
    <row r="6083" spans="1:11">
      <c r="A6083">
        <v>43</v>
      </c>
      <c r="B6083" s="64">
        <v>40739</v>
      </c>
      <c r="C6083" s="2">
        <v>631827.38</v>
      </c>
      <c r="D6083">
        <v>0</v>
      </c>
      <c r="E6083" s="65">
        <v>84.67</v>
      </c>
      <c r="F6083" s="8">
        <v>3.575</v>
      </c>
      <c r="G6083" s="66">
        <v>207.1940691</v>
      </c>
      <c r="H6083" s="8">
        <v>10.641</v>
      </c>
      <c r="J6083" s="26"/>
      <c r="K6083"/>
    </row>
    <row r="6084" spans="1:11">
      <c r="A6084">
        <v>43</v>
      </c>
      <c r="B6084" s="64">
        <v>40746</v>
      </c>
      <c r="C6084" s="2">
        <v>597354.39</v>
      </c>
      <c r="D6084">
        <v>0</v>
      </c>
      <c r="E6084" s="65">
        <v>88.58</v>
      </c>
      <c r="F6084" s="8">
        <v>3.651</v>
      </c>
      <c r="G6084" s="66">
        <v>207.2538111</v>
      </c>
      <c r="H6084" s="8">
        <v>10.641</v>
      </c>
      <c r="J6084" s="26"/>
      <c r="K6084"/>
    </row>
    <row r="6085" spans="1:11">
      <c r="A6085">
        <v>43</v>
      </c>
      <c r="B6085" s="64">
        <v>40753</v>
      </c>
      <c r="C6085" s="2">
        <v>533917.52</v>
      </c>
      <c r="D6085">
        <v>0</v>
      </c>
      <c r="E6085" s="65">
        <v>83.43</v>
      </c>
      <c r="F6085" s="8">
        <v>3.682</v>
      </c>
      <c r="G6085" s="66">
        <v>207.313553</v>
      </c>
      <c r="H6085" s="8">
        <v>10.641</v>
      </c>
      <c r="J6085" s="26"/>
      <c r="K6085"/>
    </row>
    <row r="6086" spans="1:11">
      <c r="A6086">
        <v>43</v>
      </c>
      <c r="B6086" s="64">
        <v>40760</v>
      </c>
      <c r="C6086" s="2">
        <v>605956.59</v>
      </c>
      <c r="D6086">
        <v>0</v>
      </c>
      <c r="E6086" s="65">
        <v>87.47</v>
      </c>
      <c r="F6086" s="8">
        <v>3.684</v>
      </c>
      <c r="G6086" s="66">
        <v>207.3732949</v>
      </c>
      <c r="H6086" s="8">
        <v>10.641</v>
      </c>
      <c r="J6086" s="26"/>
      <c r="K6086"/>
    </row>
    <row r="6087" spans="1:11">
      <c r="A6087">
        <v>43</v>
      </c>
      <c r="B6087" s="64">
        <v>40767</v>
      </c>
      <c r="C6087" s="2">
        <v>595626.56</v>
      </c>
      <c r="D6087">
        <v>0</v>
      </c>
      <c r="E6087" s="65">
        <v>86.64</v>
      </c>
      <c r="F6087" s="8">
        <v>3.638</v>
      </c>
      <c r="G6087" s="66">
        <v>207.4330369</v>
      </c>
      <c r="H6087" s="8">
        <v>10.641</v>
      </c>
      <c r="J6087" s="26"/>
      <c r="K6087"/>
    </row>
    <row r="6088" spans="1:11">
      <c r="A6088">
        <v>43</v>
      </c>
      <c r="B6088" s="64">
        <v>40774</v>
      </c>
      <c r="C6088" s="2">
        <v>663396.32</v>
      </c>
      <c r="D6088">
        <v>0</v>
      </c>
      <c r="E6088" s="65">
        <v>82.08</v>
      </c>
      <c r="F6088" s="8">
        <v>3.554</v>
      </c>
      <c r="G6088" s="66">
        <v>207.4953088</v>
      </c>
      <c r="H6088" s="8">
        <v>10.641</v>
      </c>
      <c r="J6088" s="26"/>
      <c r="K6088"/>
    </row>
    <row r="6089" spans="1:11">
      <c r="A6089">
        <v>43</v>
      </c>
      <c r="B6089" s="64">
        <v>40781</v>
      </c>
      <c r="C6089" s="2">
        <v>561573.08</v>
      </c>
      <c r="D6089">
        <v>0</v>
      </c>
      <c r="E6089" s="65">
        <v>87.43</v>
      </c>
      <c r="F6089" s="8">
        <v>3.523</v>
      </c>
      <c r="G6089" s="66">
        <v>207.5580023</v>
      </c>
      <c r="H6089" s="8">
        <v>10.641</v>
      </c>
      <c r="J6089" s="26"/>
      <c r="K6089"/>
    </row>
    <row r="6090" spans="1:11">
      <c r="A6090">
        <v>43</v>
      </c>
      <c r="B6090" s="64">
        <v>40788</v>
      </c>
      <c r="C6090" s="2">
        <v>594224.9</v>
      </c>
      <c r="D6090">
        <v>0</v>
      </c>
      <c r="E6090" s="65">
        <v>87.84</v>
      </c>
      <c r="F6090" s="8">
        <v>3.533</v>
      </c>
      <c r="G6090" s="66">
        <v>207.6206959</v>
      </c>
      <c r="H6090" s="8">
        <v>10.641</v>
      </c>
      <c r="J6090" s="26"/>
      <c r="K6090"/>
    </row>
    <row r="6091" spans="1:11">
      <c r="A6091">
        <v>43</v>
      </c>
      <c r="B6091" s="64">
        <v>40795</v>
      </c>
      <c r="C6091" s="2">
        <v>649128.23</v>
      </c>
      <c r="D6091">
        <v>1</v>
      </c>
      <c r="E6091" s="65">
        <v>79.29</v>
      </c>
      <c r="F6091" s="8">
        <v>3.546</v>
      </c>
      <c r="G6091" s="66">
        <v>207.6833894</v>
      </c>
      <c r="H6091" s="8">
        <v>10.641</v>
      </c>
      <c r="J6091" s="26"/>
      <c r="K6091"/>
    </row>
    <row r="6092" spans="1:11">
      <c r="A6092">
        <v>43</v>
      </c>
      <c r="B6092" s="64">
        <v>40802</v>
      </c>
      <c r="C6092" s="2">
        <v>618877.13</v>
      </c>
      <c r="D6092">
        <v>0</v>
      </c>
      <c r="E6092" s="65">
        <v>77.17</v>
      </c>
      <c r="F6092" s="8">
        <v>3.526</v>
      </c>
      <c r="G6092" s="66">
        <v>207.8527143</v>
      </c>
      <c r="H6092" s="8">
        <v>10.641</v>
      </c>
      <c r="J6092" s="26"/>
      <c r="K6092"/>
    </row>
    <row r="6093" spans="1:11">
      <c r="A6093">
        <v>43</v>
      </c>
      <c r="B6093" s="64">
        <v>40809</v>
      </c>
      <c r="C6093" s="2">
        <v>586108.13</v>
      </c>
      <c r="D6093">
        <v>0</v>
      </c>
      <c r="E6093" s="65">
        <v>78.98</v>
      </c>
      <c r="F6093" s="8">
        <v>3.467</v>
      </c>
      <c r="G6093" s="66">
        <v>208.1642143</v>
      </c>
      <c r="H6093" s="8">
        <v>10.641</v>
      </c>
      <c r="J6093" s="26"/>
      <c r="K6093"/>
    </row>
    <row r="6094" spans="1:11">
      <c r="A6094">
        <v>43</v>
      </c>
      <c r="B6094" s="64">
        <v>40816</v>
      </c>
      <c r="C6094" s="2">
        <v>555183.72</v>
      </c>
      <c r="D6094">
        <v>0</v>
      </c>
      <c r="E6094" s="65">
        <v>78.97</v>
      </c>
      <c r="F6094" s="8">
        <v>3.355</v>
      </c>
      <c r="G6094" s="66">
        <v>208.4757143</v>
      </c>
      <c r="H6094" s="8">
        <v>10.641</v>
      </c>
      <c r="J6094" s="26"/>
      <c r="K6094"/>
    </row>
    <row r="6095" spans="1:11">
      <c r="A6095">
        <v>43</v>
      </c>
      <c r="B6095" s="64">
        <v>40823</v>
      </c>
      <c r="C6095" s="2">
        <v>642828.62</v>
      </c>
      <c r="D6095">
        <v>0</v>
      </c>
      <c r="E6095" s="65">
        <v>74.17</v>
      </c>
      <c r="F6095" s="8">
        <v>3.285</v>
      </c>
      <c r="G6095" s="66">
        <v>208.7872143</v>
      </c>
      <c r="H6095" s="8">
        <v>10.148</v>
      </c>
      <c r="J6095" s="26"/>
      <c r="K6095"/>
    </row>
    <row r="6096" spans="1:11">
      <c r="A6096">
        <v>43</v>
      </c>
      <c r="B6096" s="64">
        <v>40830</v>
      </c>
      <c r="C6096" s="2">
        <v>590984.56</v>
      </c>
      <c r="D6096">
        <v>0</v>
      </c>
      <c r="E6096" s="65">
        <v>68.09</v>
      </c>
      <c r="F6096" s="8">
        <v>3.274</v>
      </c>
      <c r="G6096" s="66">
        <v>209.0752166</v>
      </c>
      <c r="H6096" s="8">
        <v>10.148</v>
      </c>
      <c r="J6096" s="26"/>
      <c r="K6096"/>
    </row>
    <row r="6097" spans="1:11">
      <c r="A6097">
        <v>43</v>
      </c>
      <c r="B6097" s="64">
        <v>40837</v>
      </c>
      <c r="C6097" s="2">
        <v>594625.96</v>
      </c>
      <c r="D6097">
        <v>0</v>
      </c>
      <c r="E6097" s="65">
        <v>70.3</v>
      </c>
      <c r="F6097" s="8">
        <v>3.353</v>
      </c>
      <c r="G6097" s="66">
        <v>209.2222327</v>
      </c>
      <c r="H6097" s="8">
        <v>10.148</v>
      </c>
      <c r="J6097" s="26"/>
      <c r="K6097"/>
    </row>
    <row r="6098" spans="1:11">
      <c r="A6098">
        <v>43</v>
      </c>
      <c r="B6098" s="64">
        <v>40844</v>
      </c>
      <c r="C6098" s="2">
        <v>572516.57</v>
      </c>
      <c r="D6098">
        <v>0</v>
      </c>
      <c r="E6098" s="65">
        <v>66.82</v>
      </c>
      <c r="F6098" s="8">
        <v>3.372</v>
      </c>
      <c r="G6098" s="66">
        <v>209.3692488</v>
      </c>
      <c r="H6098" s="8">
        <v>10.148</v>
      </c>
      <c r="J6098" s="26"/>
      <c r="K6098"/>
    </row>
    <row r="6099" spans="1:11">
      <c r="A6099">
        <v>43</v>
      </c>
      <c r="B6099" s="64">
        <v>40851</v>
      </c>
      <c r="C6099" s="2">
        <v>641905.37</v>
      </c>
      <c r="D6099">
        <v>0</v>
      </c>
      <c r="E6099" s="65">
        <v>59.08</v>
      </c>
      <c r="F6099" s="8">
        <v>3.332</v>
      </c>
      <c r="G6099" s="66">
        <v>209.516265</v>
      </c>
      <c r="H6099" s="8">
        <v>10.148</v>
      </c>
      <c r="J6099" s="26"/>
      <c r="K6099"/>
    </row>
    <row r="6100" spans="1:11">
      <c r="A6100">
        <v>43</v>
      </c>
      <c r="B6100" s="64">
        <v>40858</v>
      </c>
      <c r="C6100" s="2">
        <v>615975.5</v>
      </c>
      <c r="D6100">
        <v>0</v>
      </c>
      <c r="E6100" s="65">
        <v>51.26</v>
      </c>
      <c r="F6100" s="8">
        <v>3.297</v>
      </c>
      <c r="G6100" s="66">
        <v>209.6632811</v>
      </c>
      <c r="H6100" s="8">
        <v>10.148</v>
      </c>
      <c r="J6100" s="26"/>
      <c r="K6100"/>
    </row>
    <row r="6101" spans="1:11">
      <c r="A6101">
        <v>43</v>
      </c>
      <c r="B6101" s="64">
        <v>40865</v>
      </c>
      <c r="C6101" s="2">
        <v>628115.61</v>
      </c>
      <c r="D6101">
        <v>0</v>
      </c>
      <c r="E6101" s="65">
        <v>57.75</v>
      </c>
      <c r="F6101" s="8">
        <v>3.308</v>
      </c>
      <c r="G6101" s="66">
        <v>209.8651071</v>
      </c>
      <c r="H6101" s="8">
        <v>10.148</v>
      </c>
      <c r="J6101" s="26"/>
      <c r="K6101"/>
    </row>
    <row r="6102" spans="1:11">
      <c r="A6102">
        <v>43</v>
      </c>
      <c r="B6102" s="64">
        <v>40872</v>
      </c>
      <c r="C6102" s="2">
        <v>669965.22</v>
      </c>
      <c r="D6102">
        <v>1</v>
      </c>
      <c r="E6102" s="65">
        <v>55.7</v>
      </c>
      <c r="F6102" s="8">
        <v>3.236</v>
      </c>
      <c r="G6102" s="66">
        <v>210.0888571</v>
      </c>
      <c r="H6102" s="8">
        <v>10.148</v>
      </c>
      <c r="J6102" s="26"/>
      <c r="K6102"/>
    </row>
    <row r="6103" spans="1:11">
      <c r="A6103">
        <v>43</v>
      </c>
      <c r="B6103" s="64">
        <v>40879</v>
      </c>
      <c r="C6103" s="2">
        <v>585028.26</v>
      </c>
      <c r="D6103">
        <v>0</v>
      </c>
      <c r="E6103" s="65">
        <v>47.49</v>
      </c>
      <c r="F6103" s="8">
        <v>3.172</v>
      </c>
      <c r="G6103" s="66">
        <v>210.3126071</v>
      </c>
      <c r="H6103" s="8">
        <v>10.148</v>
      </c>
      <c r="J6103" s="26"/>
      <c r="K6103"/>
    </row>
    <row r="6104" spans="1:11">
      <c r="A6104">
        <v>43</v>
      </c>
      <c r="B6104" s="64">
        <v>40886</v>
      </c>
      <c r="C6104" s="2">
        <v>617898.07</v>
      </c>
      <c r="D6104">
        <v>0</v>
      </c>
      <c r="E6104" s="65">
        <v>34.23</v>
      </c>
      <c r="F6104" s="8">
        <v>3.158</v>
      </c>
      <c r="G6104" s="66">
        <v>210.5363571</v>
      </c>
      <c r="H6104" s="8">
        <v>10.148</v>
      </c>
      <c r="J6104" s="26"/>
      <c r="K6104"/>
    </row>
    <row r="6105" spans="1:11">
      <c r="A6105">
        <v>43</v>
      </c>
      <c r="B6105" s="64">
        <v>40893</v>
      </c>
      <c r="C6105" s="2">
        <v>665007.08</v>
      </c>
      <c r="D6105">
        <v>0</v>
      </c>
      <c r="E6105" s="65">
        <v>43.78</v>
      </c>
      <c r="F6105" s="8">
        <v>3.159</v>
      </c>
      <c r="G6105" s="66">
        <v>210.7365392</v>
      </c>
      <c r="H6105" s="8">
        <v>10.148</v>
      </c>
      <c r="J6105" s="26"/>
      <c r="K6105"/>
    </row>
    <row r="6106" spans="1:11">
      <c r="A6106">
        <v>43</v>
      </c>
      <c r="B6106" s="64">
        <v>40900</v>
      </c>
      <c r="C6106" s="2">
        <v>676290.46</v>
      </c>
      <c r="D6106">
        <v>0</v>
      </c>
      <c r="E6106" s="65">
        <v>42.63</v>
      </c>
      <c r="F6106" s="8">
        <v>3.112</v>
      </c>
      <c r="G6106" s="66">
        <v>210.9052972</v>
      </c>
      <c r="H6106" s="8">
        <v>10.148</v>
      </c>
      <c r="J6106" s="26"/>
      <c r="K6106"/>
    </row>
    <row r="6107" spans="1:11">
      <c r="A6107">
        <v>43</v>
      </c>
      <c r="B6107" s="64">
        <v>40907</v>
      </c>
      <c r="C6107" s="2">
        <v>505405.85</v>
      </c>
      <c r="D6107">
        <v>1</v>
      </c>
      <c r="E6107" s="65">
        <v>41.83</v>
      </c>
      <c r="F6107" s="8">
        <v>3.129</v>
      </c>
      <c r="G6107" s="66">
        <v>211.0740553</v>
      </c>
      <c r="H6107" s="8">
        <v>10.148</v>
      </c>
      <c r="J6107" s="26"/>
      <c r="K6107"/>
    </row>
    <row r="6108" spans="1:11">
      <c r="A6108">
        <v>43</v>
      </c>
      <c r="B6108" s="64">
        <v>40914</v>
      </c>
      <c r="C6108" s="2">
        <v>670993.01</v>
      </c>
      <c r="D6108">
        <v>0</v>
      </c>
      <c r="E6108" s="65">
        <v>47.59</v>
      </c>
      <c r="F6108" s="8">
        <v>3.157</v>
      </c>
      <c r="G6108" s="66">
        <v>211.2428134</v>
      </c>
      <c r="H6108" s="8">
        <v>9.653</v>
      </c>
      <c r="J6108" s="26"/>
      <c r="K6108"/>
    </row>
    <row r="6109" spans="1:11">
      <c r="A6109">
        <v>43</v>
      </c>
      <c r="B6109" s="64">
        <v>40921</v>
      </c>
      <c r="C6109" s="2">
        <v>663529.64</v>
      </c>
      <c r="D6109">
        <v>0</v>
      </c>
      <c r="E6109" s="65">
        <v>43.68</v>
      </c>
      <c r="F6109" s="8">
        <v>3.261</v>
      </c>
      <c r="G6109" s="66">
        <v>211.4115714</v>
      </c>
      <c r="H6109" s="8">
        <v>9.653</v>
      </c>
      <c r="J6109" s="26"/>
      <c r="K6109"/>
    </row>
    <row r="6110" spans="1:11">
      <c r="A6110">
        <v>43</v>
      </c>
      <c r="B6110" s="64">
        <v>40928</v>
      </c>
      <c r="C6110" s="2">
        <v>619225.65</v>
      </c>
      <c r="D6110">
        <v>0</v>
      </c>
      <c r="E6110" s="65">
        <v>52.72</v>
      </c>
      <c r="F6110" s="8">
        <v>3.268</v>
      </c>
      <c r="G6110" s="66">
        <v>211.4997811</v>
      </c>
      <c r="H6110" s="8">
        <v>9.653</v>
      </c>
      <c r="J6110" s="26"/>
      <c r="K6110"/>
    </row>
    <row r="6111" spans="1:11">
      <c r="A6111">
        <v>43</v>
      </c>
      <c r="B6111" s="64">
        <v>40935</v>
      </c>
      <c r="C6111" s="2">
        <v>587685.38</v>
      </c>
      <c r="D6111">
        <v>0</v>
      </c>
      <c r="E6111" s="65">
        <v>52.1</v>
      </c>
      <c r="F6111" s="8">
        <v>3.29</v>
      </c>
      <c r="G6111" s="66">
        <v>211.5879908</v>
      </c>
      <c r="H6111" s="8">
        <v>9.653</v>
      </c>
      <c r="J6111" s="26"/>
      <c r="K6111"/>
    </row>
    <row r="6112" spans="1:11">
      <c r="A6112">
        <v>43</v>
      </c>
      <c r="B6112" s="64">
        <v>40942</v>
      </c>
      <c r="C6112" s="2">
        <v>629176.71</v>
      </c>
      <c r="D6112">
        <v>0</v>
      </c>
      <c r="E6112" s="65">
        <v>51.92</v>
      </c>
      <c r="F6112" s="8">
        <v>3.36</v>
      </c>
      <c r="G6112" s="66">
        <v>211.6762005</v>
      </c>
      <c r="H6112" s="8">
        <v>9.653</v>
      </c>
      <c r="J6112" s="26"/>
      <c r="K6112"/>
    </row>
    <row r="6113" spans="1:11">
      <c r="A6113">
        <v>43</v>
      </c>
      <c r="B6113" s="64">
        <v>40949</v>
      </c>
      <c r="C6113" s="2">
        <v>662198.65</v>
      </c>
      <c r="D6113">
        <v>1</v>
      </c>
      <c r="E6113" s="65">
        <v>46.54</v>
      </c>
      <c r="F6113" s="8">
        <v>3.409</v>
      </c>
      <c r="G6113" s="66">
        <v>211.7644101</v>
      </c>
      <c r="H6113" s="8">
        <v>9.653</v>
      </c>
      <c r="J6113" s="26"/>
      <c r="K6113"/>
    </row>
    <row r="6114" spans="1:11">
      <c r="A6114">
        <v>43</v>
      </c>
      <c r="B6114" s="64">
        <v>40956</v>
      </c>
      <c r="C6114" s="2">
        <v>660632.05</v>
      </c>
      <c r="D6114">
        <v>0</v>
      </c>
      <c r="E6114" s="65">
        <v>49.38</v>
      </c>
      <c r="F6114" s="8">
        <v>3.51</v>
      </c>
      <c r="G6114" s="66">
        <v>211.916835</v>
      </c>
      <c r="H6114" s="8">
        <v>9.653</v>
      </c>
      <c r="J6114" s="26"/>
      <c r="K6114"/>
    </row>
    <row r="6115" spans="1:11">
      <c r="A6115">
        <v>43</v>
      </c>
      <c r="B6115" s="64">
        <v>40963</v>
      </c>
      <c r="C6115" s="2">
        <v>613042.97</v>
      </c>
      <c r="D6115">
        <v>0</v>
      </c>
      <c r="E6115" s="65">
        <v>53.53</v>
      </c>
      <c r="F6115" s="8">
        <v>3.555</v>
      </c>
      <c r="G6115" s="66">
        <v>212.1174212</v>
      </c>
      <c r="H6115" s="8">
        <v>9.653</v>
      </c>
      <c r="J6115" s="26"/>
      <c r="K6115"/>
    </row>
    <row r="6116" spans="1:11">
      <c r="A6116">
        <v>43</v>
      </c>
      <c r="B6116" s="64">
        <v>40970</v>
      </c>
      <c r="C6116" s="2">
        <v>693249.98</v>
      </c>
      <c r="D6116">
        <v>0</v>
      </c>
      <c r="E6116" s="65">
        <v>56.43</v>
      </c>
      <c r="F6116" s="8">
        <v>3.63</v>
      </c>
      <c r="G6116" s="66">
        <v>212.3180074</v>
      </c>
      <c r="H6116" s="8">
        <v>9.653</v>
      </c>
      <c r="J6116" s="26"/>
      <c r="K6116"/>
    </row>
    <row r="6117" spans="1:11">
      <c r="A6117">
        <v>43</v>
      </c>
      <c r="B6117" s="64">
        <v>40977</v>
      </c>
      <c r="C6117" s="2">
        <v>636677.67</v>
      </c>
      <c r="D6117">
        <v>0</v>
      </c>
      <c r="E6117" s="65">
        <v>54.52</v>
      </c>
      <c r="F6117" s="8">
        <v>3.669</v>
      </c>
      <c r="G6117" s="66">
        <v>212.5185936</v>
      </c>
      <c r="H6117" s="8">
        <v>9.653</v>
      </c>
      <c r="J6117" s="26"/>
      <c r="K6117"/>
    </row>
    <row r="6118" spans="1:11">
      <c r="A6118">
        <v>43</v>
      </c>
      <c r="B6118" s="64">
        <v>40984</v>
      </c>
      <c r="C6118" s="2">
        <v>661707.02</v>
      </c>
      <c r="D6118">
        <v>0</v>
      </c>
      <c r="E6118" s="65">
        <v>57.88</v>
      </c>
      <c r="F6118" s="8">
        <v>3.734</v>
      </c>
      <c r="G6118" s="66">
        <v>212.6651567</v>
      </c>
      <c r="H6118" s="8">
        <v>9.653</v>
      </c>
      <c r="J6118" s="26"/>
      <c r="K6118"/>
    </row>
    <row r="6119" spans="1:11">
      <c r="A6119">
        <v>43</v>
      </c>
      <c r="B6119" s="64">
        <v>40991</v>
      </c>
      <c r="C6119" s="2">
        <v>610940.94</v>
      </c>
      <c r="D6119">
        <v>0</v>
      </c>
      <c r="E6119" s="65">
        <v>56.28</v>
      </c>
      <c r="F6119" s="8">
        <v>3.787</v>
      </c>
      <c r="G6119" s="66">
        <v>212.7396889</v>
      </c>
      <c r="H6119" s="8">
        <v>9.653</v>
      </c>
      <c r="J6119" s="26"/>
      <c r="K6119"/>
    </row>
    <row r="6120" spans="1:11">
      <c r="A6120">
        <v>43</v>
      </c>
      <c r="B6120" s="64">
        <v>40998</v>
      </c>
      <c r="C6120" s="2">
        <v>623258.4</v>
      </c>
      <c r="D6120">
        <v>0</v>
      </c>
      <c r="E6120" s="65">
        <v>69.88</v>
      </c>
      <c r="F6120" s="8">
        <v>3.845</v>
      </c>
      <c r="G6120" s="66">
        <v>212.8142212</v>
      </c>
      <c r="H6120" s="8">
        <v>9.653</v>
      </c>
      <c r="J6120" s="26"/>
      <c r="K6120"/>
    </row>
    <row r="6121" spans="1:11">
      <c r="A6121">
        <v>43</v>
      </c>
      <c r="B6121" s="64">
        <v>41005</v>
      </c>
      <c r="C6121" s="2">
        <v>658468.27</v>
      </c>
      <c r="D6121">
        <v>0</v>
      </c>
      <c r="E6121" s="65">
        <v>64.7</v>
      </c>
      <c r="F6121" s="8">
        <v>3.891</v>
      </c>
      <c r="G6121" s="66">
        <v>212.8887535</v>
      </c>
      <c r="H6121" s="8">
        <v>9.575</v>
      </c>
      <c r="J6121" s="26"/>
      <c r="K6121"/>
    </row>
    <row r="6122" spans="1:11">
      <c r="A6122">
        <v>43</v>
      </c>
      <c r="B6122" s="64">
        <v>41012</v>
      </c>
      <c r="C6122" s="2">
        <v>665687.92</v>
      </c>
      <c r="D6122">
        <v>0</v>
      </c>
      <c r="E6122" s="65">
        <v>70.18</v>
      </c>
      <c r="F6122" s="8">
        <v>3.891</v>
      </c>
      <c r="G6122" s="66">
        <v>212.9632857</v>
      </c>
      <c r="H6122" s="8">
        <v>9.575</v>
      </c>
      <c r="J6122" s="26"/>
      <c r="K6122"/>
    </row>
    <row r="6123" spans="1:11">
      <c r="A6123">
        <v>43</v>
      </c>
      <c r="B6123" s="64">
        <v>41019</v>
      </c>
      <c r="C6123" s="2">
        <v>638144.98</v>
      </c>
      <c r="D6123">
        <v>0</v>
      </c>
      <c r="E6123" s="65">
        <v>67.28</v>
      </c>
      <c r="F6123" s="8">
        <v>3.877</v>
      </c>
      <c r="G6123" s="66">
        <v>213.0130524</v>
      </c>
      <c r="H6123" s="8">
        <v>9.575</v>
      </c>
      <c r="J6123" s="26"/>
      <c r="K6123"/>
    </row>
    <row r="6124" spans="1:11">
      <c r="A6124">
        <v>43</v>
      </c>
      <c r="B6124" s="64">
        <v>41026</v>
      </c>
      <c r="C6124" s="2">
        <v>593138.59</v>
      </c>
      <c r="D6124">
        <v>0</v>
      </c>
      <c r="E6124" s="65">
        <v>78.27</v>
      </c>
      <c r="F6124" s="8">
        <v>3.814</v>
      </c>
      <c r="G6124" s="66">
        <v>213.062819</v>
      </c>
      <c r="H6124" s="8">
        <v>9.575</v>
      </c>
      <c r="J6124" s="26"/>
      <c r="K6124"/>
    </row>
    <row r="6125" spans="1:11">
      <c r="A6125">
        <v>43</v>
      </c>
      <c r="B6125" s="64">
        <v>41033</v>
      </c>
      <c r="C6125" s="2">
        <v>637964.2</v>
      </c>
      <c r="D6125">
        <v>0</v>
      </c>
      <c r="E6125" s="65">
        <v>77.47</v>
      </c>
      <c r="F6125" s="8">
        <v>3.749</v>
      </c>
      <c r="G6125" s="66">
        <v>213.1125857</v>
      </c>
      <c r="H6125" s="8">
        <v>9.575</v>
      </c>
      <c r="J6125" s="26"/>
      <c r="K6125"/>
    </row>
    <row r="6126" spans="1:11">
      <c r="A6126">
        <v>43</v>
      </c>
      <c r="B6126" s="64">
        <v>41040</v>
      </c>
      <c r="C6126" s="2">
        <v>640159.04</v>
      </c>
      <c r="D6126">
        <v>0</v>
      </c>
      <c r="E6126" s="65">
        <v>67.59</v>
      </c>
      <c r="F6126" s="8">
        <v>3.688</v>
      </c>
      <c r="G6126" s="66">
        <v>213.1623524</v>
      </c>
      <c r="H6126" s="8">
        <v>9.575</v>
      </c>
      <c r="J6126" s="26"/>
      <c r="K6126"/>
    </row>
    <row r="6127" spans="1:11">
      <c r="A6127">
        <v>43</v>
      </c>
      <c r="B6127" s="64">
        <v>41047</v>
      </c>
      <c r="C6127" s="2">
        <v>648541.81</v>
      </c>
      <c r="D6127">
        <v>0</v>
      </c>
      <c r="E6127" s="65">
        <v>72.06</v>
      </c>
      <c r="F6127" s="8">
        <v>3.63</v>
      </c>
      <c r="G6127" s="66">
        <v>213.1753618</v>
      </c>
      <c r="H6127" s="8">
        <v>9.575</v>
      </c>
      <c r="J6127" s="26"/>
      <c r="K6127"/>
    </row>
    <row r="6128" spans="1:11">
      <c r="A6128">
        <v>43</v>
      </c>
      <c r="B6128" s="64">
        <v>41054</v>
      </c>
      <c r="C6128" s="2">
        <v>597406.39</v>
      </c>
      <c r="D6128">
        <v>0</v>
      </c>
      <c r="E6128" s="65">
        <v>82.41</v>
      </c>
      <c r="F6128" s="8">
        <v>3.561</v>
      </c>
      <c r="G6128" s="66">
        <v>213.1736682</v>
      </c>
      <c r="H6128" s="8">
        <v>9.575</v>
      </c>
      <c r="J6128" s="26"/>
      <c r="K6128"/>
    </row>
    <row r="6129" spans="1:11">
      <c r="A6129">
        <v>43</v>
      </c>
      <c r="B6129" s="64">
        <v>41061</v>
      </c>
      <c r="C6129" s="2">
        <v>605078.62</v>
      </c>
      <c r="D6129">
        <v>0</v>
      </c>
      <c r="E6129" s="65">
        <v>80.89</v>
      </c>
      <c r="F6129" s="8">
        <v>3.501</v>
      </c>
      <c r="G6129" s="66">
        <v>213.1719747</v>
      </c>
      <c r="H6129" s="8">
        <v>9.575</v>
      </c>
      <c r="J6129" s="26"/>
      <c r="K6129"/>
    </row>
    <row r="6130" spans="1:11">
      <c r="A6130">
        <v>43</v>
      </c>
      <c r="B6130" s="64">
        <v>41068</v>
      </c>
      <c r="C6130" s="2">
        <v>643032.51</v>
      </c>
      <c r="D6130">
        <v>0</v>
      </c>
      <c r="E6130" s="65">
        <v>85.73</v>
      </c>
      <c r="F6130" s="8">
        <v>3.452</v>
      </c>
      <c r="G6130" s="66">
        <v>213.1702811</v>
      </c>
      <c r="H6130" s="8">
        <v>9.575</v>
      </c>
      <c r="J6130" s="26"/>
      <c r="K6130"/>
    </row>
    <row r="6131" spans="1:11">
      <c r="A6131">
        <v>43</v>
      </c>
      <c r="B6131" s="64">
        <v>41075</v>
      </c>
      <c r="C6131" s="2">
        <v>634815.1</v>
      </c>
      <c r="D6131">
        <v>0</v>
      </c>
      <c r="E6131" s="65">
        <v>87.75</v>
      </c>
      <c r="F6131" s="8">
        <v>3.393</v>
      </c>
      <c r="G6131" s="66">
        <v>213.1786952</v>
      </c>
      <c r="H6131" s="8">
        <v>9.575</v>
      </c>
      <c r="J6131" s="26"/>
      <c r="K6131"/>
    </row>
    <row r="6132" spans="1:11">
      <c r="A6132">
        <v>43</v>
      </c>
      <c r="B6132" s="64">
        <v>41082</v>
      </c>
      <c r="C6132" s="2">
        <v>613270.79</v>
      </c>
      <c r="D6132">
        <v>0</v>
      </c>
      <c r="E6132" s="65">
        <v>87.51</v>
      </c>
      <c r="F6132" s="8">
        <v>3.346</v>
      </c>
      <c r="G6132" s="66">
        <v>213.2123786</v>
      </c>
      <c r="H6132" s="8">
        <v>9.575</v>
      </c>
      <c r="J6132" s="26"/>
      <c r="K6132"/>
    </row>
    <row r="6133" spans="1:11">
      <c r="A6133">
        <v>43</v>
      </c>
      <c r="B6133" s="64">
        <v>41089</v>
      </c>
      <c r="C6133" s="2">
        <v>593128.13</v>
      </c>
      <c r="D6133">
        <v>0</v>
      </c>
      <c r="E6133" s="65">
        <v>89.85</v>
      </c>
      <c r="F6133" s="8">
        <v>3.286</v>
      </c>
      <c r="G6133" s="66">
        <v>213.2460619</v>
      </c>
      <c r="H6133" s="8">
        <v>9.575</v>
      </c>
      <c r="J6133" s="26"/>
      <c r="K6133"/>
    </row>
    <row r="6134" spans="1:11">
      <c r="A6134">
        <v>43</v>
      </c>
      <c r="B6134" s="64">
        <v>41096</v>
      </c>
      <c r="C6134" s="2">
        <v>645618.59</v>
      </c>
      <c r="D6134">
        <v>0</v>
      </c>
      <c r="E6134" s="65">
        <v>82.68</v>
      </c>
      <c r="F6134" s="8">
        <v>3.227</v>
      </c>
      <c r="G6134" s="66">
        <v>213.2797452</v>
      </c>
      <c r="H6134" s="8">
        <v>9.285</v>
      </c>
      <c r="J6134" s="26"/>
      <c r="K6134"/>
    </row>
    <row r="6135" spans="1:11">
      <c r="A6135">
        <v>43</v>
      </c>
      <c r="B6135" s="64">
        <v>41103</v>
      </c>
      <c r="C6135" s="2">
        <v>627634.04</v>
      </c>
      <c r="D6135">
        <v>0</v>
      </c>
      <c r="E6135" s="65">
        <v>78.82</v>
      </c>
      <c r="F6135" s="8">
        <v>3.256</v>
      </c>
      <c r="G6135" s="66">
        <v>213.3134286</v>
      </c>
      <c r="H6135" s="8">
        <v>9.285</v>
      </c>
      <c r="J6135" s="26"/>
      <c r="K6135"/>
    </row>
    <row r="6136" spans="1:11">
      <c r="A6136">
        <v>43</v>
      </c>
      <c r="B6136" s="64">
        <v>41110</v>
      </c>
      <c r="C6136" s="2">
        <v>596554.05</v>
      </c>
      <c r="D6136">
        <v>0</v>
      </c>
      <c r="E6136" s="65">
        <v>83.83</v>
      </c>
      <c r="F6136" s="8">
        <v>3.311</v>
      </c>
      <c r="G6136" s="66">
        <v>213.3219124</v>
      </c>
      <c r="H6136" s="8">
        <v>9.285</v>
      </c>
      <c r="J6136" s="26"/>
      <c r="K6136"/>
    </row>
    <row r="6137" spans="1:11">
      <c r="A6137">
        <v>43</v>
      </c>
      <c r="B6137" s="64">
        <v>41117</v>
      </c>
      <c r="C6137" s="2">
        <v>572447.52</v>
      </c>
      <c r="D6137">
        <v>0</v>
      </c>
      <c r="E6137" s="65">
        <v>82.01</v>
      </c>
      <c r="F6137" s="8">
        <v>3.407</v>
      </c>
      <c r="G6137" s="66">
        <v>213.3303963</v>
      </c>
      <c r="H6137" s="8">
        <v>9.285</v>
      </c>
      <c r="J6137" s="26"/>
      <c r="K6137"/>
    </row>
    <row r="6138" spans="1:11">
      <c r="A6138">
        <v>43</v>
      </c>
      <c r="B6138" s="64">
        <v>41124</v>
      </c>
      <c r="C6138" s="2">
        <v>614378.94</v>
      </c>
      <c r="D6138">
        <v>0</v>
      </c>
      <c r="E6138" s="65">
        <v>85.06</v>
      </c>
      <c r="F6138" s="8">
        <v>3.417</v>
      </c>
      <c r="G6138" s="66">
        <v>213.3388802</v>
      </c>
      <c r="H6138" s="8">
        <v>9.285</v>
      </c>
      <c r="J6138" s="26"/>
      <c r="K6138"/>
    </row>
    <row r="6139" spans="1:11">
      <c r="A6139">
        <v>43</v>
      </c>
      <c r="B6139" s="64">
        <v>41131</v>
      </c>
      <c r="C6139" s="2">
        <v>643558.78</v>
      </c>
      <c r="D6139">
        <v>0</v>
      </c>
      <c r="E6139" s="65">
        <v>86.36</v>
      </c>
      <c r="F6139" s="8">
        <v>3.494</v>
      </c>
      <c r="G6139" s="66">
        <v>213.3473641</v>
      </c>
      <c r="H6139" s="8">
        <v>9.285</v>
      </c>
      <c r="J6139" s="26"/>
      <c r="K6139"/>
    </row>
    <row r="6140" spans="1:11">
      <c r="A6140">
        <v>43</v>
      </c>
      <c r="B6140" s="64">
        <v>41138</v>
      </c>
      <c r="C6140" s="2">
        <v>640210.85</v>
      </c>
      <c r="D6140">
        <v>0</v>
      </c>
      <c r="E6140" s="65">
        <v>85.66</v>
      </c>
      <c r="F6140" s="8">
        <v>3.571</v>
      </c>
      <c r="G6140" s="66">
        <v>213.4226959</v>
      </c>
      <c r="H6140" s="8">
        <v>9.285</v>
      </c>
      <c r="J6140" s="26"/>
      <c r="K6140"/>
    </row>
    <row r="6141" spans="1:11">
      <c r="A6141">
        <v>43</v>
      </c>
      <c r="B6141" s="64">
        <v>41145</v>
      </c>
      <c r="C6141" s="2">
        <v>598234.64</v>
      </c>
      <c r="D6141">
        <v>0</v>
      </c>
      <c r="E6141" s="65">
        <v>81.65</v>
      </c>
      <c r="F6141" s="8">
        <v>3.62</v>
      </c>
      <c r="G6141" s="66">
        <v>213.5481636</v>
      </c>
      <c r="H6141" s="8">
        <v>9.285</v>
      </c>
      <c r="J6141" s="26"/>
      <c r="K6141"/>
    </row>
    <row r="6142" spans="1:11">
      <c r="A6142">
        <v>43</v>
      </c>
      <c r="B6142" s="64">
        <v>41152</v>
      </c>
      <c r="C6142" s="2">
        <v>593141.29</v>
      </c>
      <c r="D6142">
        <v>0</v>
      </c>
      <c r="E6142" s="65">
        <v>81.12</v>
      </c>
      <c r="F6142" s="8">
        <v>3.638</v>
      </c>
      <c r="G6142" s="66">
        <v>213.6736313</v>
      </c>
      <c r="H6142" s="8">
        <v>9.285</v>
      </c>
      <c r="J6142" s="26"/>
      <c r="K6142"/>
    </row>
    <row r="6143" spans="1:11">
      <c r="A6143">
        <v>43</v>
      </c>
      <c r="B6143" s="64">
        <v>41159</v>
      </c>
      <c r="C6143" s="2">
        <v>663814.18</v>
      </c>
      <c r="D6143">
        <v>1</v>
      </c>
      <c r="E6143" s="65">
        <v>84.99</v>
      </c>
      <c r="F6143" s="8">
        <v>3.73</v>
      </c>
      <c r="G6143" s="66">
        <v>213.7990991</v>
      </c>
      <c r="H6143" s="8">
        <v>9.285</v>
      </c>
      <c r="J6143" s="26"/>
      <c r="K6143"/>
    </row>
    <row r="6144" spans="1:11">
      <c r="A6144">
        <v>43</v>
      </c>
      <c r="B6144" s="64">
        <v>41166</v>
      </c>
      <c r="C6144" s="2">
        <v>625196.94</v>
      </c>
      <c r="D6144">
        <v>0</v>
      </c>
      <c r="E6144" s="65">
        <v>73.03</v>
      </c>
      <c r="F6144" s="8">
        <v>3.717</v>
      </c>
      <c r="G6144" s="66">
        <v>213.9332167</v>
      </c>
      <c r="H6144" s="8">
        <v>9.285</v>
      </c>
      <c r="J6144" s="26"/>
      <c r="K6144"/>
    </row>
    <row r="6145" spans="1:11">
      <c r="A6145">
        <v>43</v>
      </c>
      <c r="B6145" s="64">
        <v>41173</v>
      </c>
      <c r="C6145" s="2">
        <v>601990.02</v>
      </c>
      <c r="D6145">
        <v>0</v>
      </c>
      <c r="E6145" s="65">
        <v>75.87</v>
      </c>
      <c r="F6145" s="8">
        <v>3.721</v>
      </c>
      <c r="G6145" s="66">
        <v>214.1192333</v>
      </c>
      <c r="H6145" s="8">
        <v>9.285</v>
      </c>
      <c r="J6145" s="26"/>
      <c r="K6145"/>
    </row>
    <row r="6146" spans="1:11">
      <c r="A6146">
        <v>43</v>
      </c>
      <c r="B6146" s="64">
        <v>41180</v>
      </c>
      <c r="C6146" s="2">
        <v>577792.32</v>
      </c>
      <c r="D6146">
        <v>0</v>
      </c>
      <c r="E6146" s="65">
        <v>77.55</v>
      </c>
      <c r="F6146" s="8">
        <v>3.666</v>
      </c>
      <c r="G6146" s="66">
        <v>214.30525</v>
      </c>
      <c r="H6146" s="8">
        <v>9.285</v>
      </c>
      <c r="J6146" s="26"/>
      <c r="K6146"/>
    </row>
    <row r="6147" spans="1:11">
      <c r="A6147">
        <v>43</v>
      </c>
      <c r="B6147" s="64">
        <v>41187</v>
      </c>
      <c r="C6147" s="2">
        <v>642614.89</v>
      </c>
      <c r="D6147">
        <v>0</v>
      </c>
      <c r="E6147" s="65">
        <v>74.09</v>
      </c>
      <c r="F6147" s="8">
        <v>3.617</v>
      </c>
      <c r="G6147" s="66">
        <v>214.4912667</v>
      </c>
      <c r="H6147" s="8">
        <v>8.839</v>
      </c>
      <c r="J6147" s="26"/>
      <c r="K6147"/>
    </row>
    <row r="6148" spans="1:11">
      <c r="A6148">
        <v>43</v>
      </c>
      <c r="B6148" s="64">
        <v>41194</v>
      </c>
      <c r="C6148" s="2">
        <v>619369.72</v>
      </c>
      <c r="D6148">
        <v>0</v>
      </c>
      <c r="E6148" s="65">
        <v>71.14</v>
      </c>
      <c r="F6148" s="8">
        <v>3.601</v>
      </c>
      <c r="G6148" s="66">
        <v>214.6772833</v>
      </c>
      <c r="H6148" s="8">
        <v>8.839</v>
      </c>
      <c r="J6148" s="26"/>
      <c r="K6148"/>
    </row>
    <row r="6149" spans="1:11">
      <c r="A6149">
        <v>43</v>
      </c>
      <c r="B6149" s="64">
        <v>41201</v>
      </c>
      <c r="C6149" s="2">
        <v>623919.23</v>
      </c>
      <c r="D6149">
        <v>0</v>
      </c>
      <c r="E6149" s="65">
        <v>71.25</v>
      </c>
      <c r="F6149" s="8">
        <v>3.594</v>
      </c>
      <c r="G6149" s="66">
        <v>214.7212488</v>
      </c>
      <c r="H6149" s="8">
        <v>8.839</v>
      </c>
      <c r="J6149" s="26"/>
      <c r="K6149"/>
    </row>
    <row r="6150" spans="1:11">
      <c r="A6150">
        <v>43</v>
      </c>
      <c r="B6150" s="64">
        <v>41208</v>
      </c>
      <c r="C6150" s="2">
        <v>587603.55</v>
      </c>
      <c r="D6150">
        <v>0</v>
      </c>
      <c r="E6150" s="65">
        <v>69.17</v>
      </c>
      <c r="F6150" s="8">
        <v>3.506</v>
      </c>
      <c r="G6150" s="66">
        <v>214.7415392</v>
      </c>
      <c r="H6150" s="8">
        <v>8.839</v>
      </c>
      <c r="J6150" s="26"/>
      <c r="K6150"/>
    </row>
    <row r="6151" spans="1:11">
      <c r="A6151">
        <v>44</v>
      </c>
      <c r="B6151" s="64">
        <v>40214</v>
      </c>
      <c r="C6151" s="2">
        <v>281090.95</v>
      </c>
      <c r="D6151">
        <v>0</v>
      </c>
      <c r="E6151" s="65">
        <v>31.53</v>
      </c>
      <c r="F6151" s="8">
        <v>2.666</v>
      </c>
      <c r="G6151" s="66">
        <v>126.4420645</v>
      </c>
      <c r="H6151" s="8">
        <v>8.119</v>
      </c>
      <c r="J6151" s="26"/>
      <c r="K6151"/>
    </row>
    <row r="6152" spans="1:11">
      <c r="A6152">
        <v>44</v>
      </c>
      <c r="B6152" s="64">
        <v>40221</v>
      </c>
      <c r="C6152" s="2">
        <v>286857.13</v>
      </c>
      <c r="D6152">
        <v>1</v>
      </c>
      <c r="E6152" s="65">
        <v>33.16</v>
      </c>
      <c r="F6152" s="8">
        <v>2.671</v>
      </c>
      <c r="G6152" s="66">
        <v>126.4962581</v>
      </c>
      <c r="H6152" s="8">
        <v>8.119</v>
      </c>
      <c r="J6152" s="26"/>
      <c r="K6152"/>
    </row>
    <row r="6153" spans="1:11">
      <c r="A6153">
        <v>44</v>
      </c>
      <c r="B6153" s="64">
        <v>40228</v>
      </c>
      <c r="C6153" s="2">
        <v>267956.3</v>
      </c>
      <c r="D6153">
        <v>0</v>
      </c>
      <c r="E6153" s="65">
        <v>35.7</v>
      </c>
      <c r="F6153" s="8">
        <v>2.654</v>
      </c>
      <c r="G6153" s="66">
        <v>126.5262857</v>
      </c>
      <c r="H6153" s="8">
        <v>8.119</v>
      </c>
      <c r="J6153" s="26"/>
      <c r="K6153"/>
    </row>
    <row r="6154" spans="1:11">
      <c r="A6154">
        <v>44</v>
      </c>
      <c r="B6154" s="64">
        <v>40235</v>
      </c>
      <c r="C6154" s="2">
        <v>273079.07</v>
      </c>
      <c r="D6154">
        <v>0</v>
      </c>
      <c r="E6154" s="65">
        <v>29.98</v>
      </c>
      <c r="F6154" s="8">
        <v>2.667</v>
      </c>
      <c r="G6154" s="66">
        <v>126.5522857</v>
      </c>
      <c r="H6154" s="8">
        <v>8.119</v>
      </c>
      <c r="J6154" s="26"/>
      <c r="K6154"/>
    </row>
    <row r="6155" spans="1:11">
      <c r="A6155">
        <v>44</v>
      </c>
      <c r="B6155" s="64">
        <v>40242</v>
      </c>
      <c r="C6155" s="2">
        <v>284617.27</v>
      </c>
      <c r="D6155">
        <v>0</v>
      </c>
      <c r="E6155" s="65">
        <v>40.65</v>
      </c>
      <c r="F6155" s="8">
        <v>2.681</v>
      </c>
      <c r="G6155" s="66">
        <v>126.5782857</v>
      </c>
      <c r="H6155" s="8">
        <v>8.119</v>
      </c>
      <c r="J6155" s="26"/>
      <c r="K6155"/>
    </row>
    <row r="6156" spans="1:11">
      <c r="A6156">
        <v>44</v>
      </c>
      <c r="B6156" s="64">
        <v>40249</v>
      </c>
      <c r="C6156" s="2">
        <v>272190.83</v>
      </c>
      <c r="D6156">
        <v>0</v>
      </c>
      <c r="E6156" s="65">
        <v>37.62</v>
      </c>
      <c r="F6156" s="8">
        <v>2.733</v>
      </c>
      <c r="G6156" s="66">
        <v>126.6042857</v>
      </c>
      <c r="H6156" s="8">
        <v>8.119</v>
      </c>
      <c r="J6156" s="26"/>
      <c r="K6156"/>
    </row>
    <row r="6157" spans="1:11">
      <c r="A6157">
        <v>44</v>
      </c>
      <c r="B6157" s="64">
        <v>40256</v>
      </c>
      <c r="C6157" s="2">
        <v>269624.2</v>
      </c>
      <c r="D6157">
        <v>0</v>
      </c>
      <c r="E6157" s="65">
        <v>42.49</v>
      </c>
      <c r="F6157" s="8">
        <v>2.782</v>
      </c>
      <c r="G6157" s="66">
        <v>126.6066452</v>
      </c>
      <c r="H6157" s="8">
        <v>8.119</v>
      </c>
      <c r="J6157" s="26"/>
      <c r="K6157"/>
    </row>
    <row r="6158" spans="1:11">
      <c r="A6158">
        <v>44</v>
      </c>
      <c r="B6158" s="64">
        <v>40263</v>
      </c>
      <c r="C6158" s="2">
        <v>276279.49</v>
      </c>
      <c r="D6158">
        <v>0</v>
      </c>
      <c r="E6158" s="65">
        <v>41.48</v>
      </c>
      <c r="F6158" s="8">
        <v>2.819</v>
      </c>
      <c r="G6158" s="66">
        <v>126.6050645</v>
      </c>
      <c r="H6158" s="8">
        <v>8.119</v>
      </c>
      <c r="J6158" s="26"/>
      <c r="K6158"/>
    </row>
    <row r="6159" spans="1:11">
      <c r="A6159">
        <v>44</v>
      </c>
      <c r="B6159" s="64">
        <v>40270</v>
      </c>
      <c r="C6159" s="2">
        <v>286197.5</v>
      </c>
      <c r="D6159">
        <v>0</v>
      </c>
      <c r="E6159" s="65">
        <v>42.15</v>
      </c>
      <c r="F6159" s="8">
        <v>2.842</v>
      </c>
      <c r="G6159" s="66">
        <v>126.6034839</v>
      </c>
      <c r="H6159" s="8">
        <v>7.972</v>
      </c>
      <c r="J6159" s="26"/>
      <c r="K6159"/>
    </row>
    <row r="6160" spans="1:11">
      <c r="A6160">
        <v>44</v>
      </c>
      <c r="B6160" s="64">
        <v>40277</v>
      </c>
      <c r="C6160" s="2">
        <v>257361.3</v>
      </c>
      <c r="D6160">
        <v>0</v>
      </c>
      <c r="E6160" s="65">
        <v>38.97</v>
      </c>
      <c r="F6160" s="8">
        <v>2.877</v>
      </c>
      <c r="G6160" s="66">
        <v>126.6019032</v>
      </c>
      <c r="H6160" s="8">
        <v>7.972</v>
      </c>
      <c r="J6160" s="26"/>
      <c r="K6160"/>
    </row>
    <row r="6161" spans="1:11">
      <c r="A6161">
        <v>44</v>
      </c>
      <c r="B6161" s="64">
        <v>40284</v>
      </c>
      <c r="C6161" s="2">
        <v>280048.74</v>
      </c>
      <c r="D6161">
        <v>0</v>
      </c>
      <c r="E6161" s="65">
        <v>50.39</v>
      </c>
      <c r="F6161" s="8">
        <v>2.915</v>
      </c>
      <c r="G6161" s="66">
        <v>126.5621</v>
      </c>
      <c r="H6161" s="8">
        <v>7.972</v>
      </c>
      <c r="J6161" s="26"/>
      <c r="K6161"/>
    </row>
    <row r="6162" spans="1:11">
      <c r="A6162">
        <v>44</v>
      </c>
      <c r="B6162" s="64">
        <v>40291</v>
      </c>
      <c r="C6162" s="2">
        <v>278287.04</v>
      </c>
      <c r="D6162">
        <v>0</v>
      </c>
      <c r="E6162" s="65">
        <v>55.66</v>
      </c>
      <c r="F6162" s="8">
        <v>2.936</v>
      </c>
      <c r="G6162" s="66">
        <v>126.4713333</v>
      </c>
      <c r="H6162" s="8">
        <v>7.972</v>
      </c>
      <c r="J6162" s="26"/>
      <c r="K6162"/>
    </row>
    <row r="6163" spans="1:11">
      <c r="A6163">
        <v>44</v>
      </c>
      <c r="B6163" s="64">
        <v>40298</v>
      </c>
      <c r="C6163" s="2">
        <v>272997.65</v>
      </c>
      <c r="D6163">
        <v>0</v>
      </c>
      <c r="E6163" s="65">
        <v>48.33</v>
      </c>
      <c r="F6163" s="8">
        <v>2.941</v>
      </c>
      <c r="G6163" s="66">
        <v>126.3805667</v>
      </c>
      <c r="H6163" s="8">
        <v>7.972</v>
      </c>
      <c r="J6163" s="26"/>
      <c r="K6163"/>
    </row>
    <row r="6164" spans="1:11">
      <c r="A6164">
        <v>44</v>
      </c>
      <c r="B6164" s="64">
        <v>40305</v>
      </c>
      <c r="C6164" s="2">
        <v>285379.86</v>
      </c>
      <c r="D6164">
        <v>0</v>
      </c>
      <c r="E6164" s="65">
        <v>44.42</v>
      </c>
      <c r="F6164" s="8">
        <v>2.948</v>
      </c>
      <c r="G6164" s="66">
        <v>126.2898</v>
      </c>
      <c r="H6164" s="8">
        <v>7.972</v>
      </c>
      <c r="J6164" s="26"/>
      <c r="K6164"/>
    </row>
    <row r="6165" spans="1:11">
      <c r="A6165">
        <v>44</v>
      </c>
      <c r="B6165" s="64">
        <v>40312</v>
      </c>
      <c r="C6165" s="2">
        <v>286515.92</v>
      </c>
      <c r="D6165">
        <v>0</v>
      </c>
      <c r="E6165" s="65">
        <v>50.15</v>
      </c>
      <c r="F6165" s="8">
        <v>2.962</v>
      </c>
      <c r="G6165" s="66">
        <v>126.2085484</v>
      </c>
      <c r="H6165" s="8">
        <v>7.972</v>
      </c>
      <c r="J6165" s="26"/>
      <c r="K6165"/>
    </row>
    <row r="6166" spans="1:11">
      <c r="A6166">
        <v>44</v>
      </c>
      <c r="B6166" s="64">
        <v>40319</v>
      </c>
      <c r="C6166" s="2">
        <v>267065.35</v>
      </c>
      <c r="D6166">
        <v>0</v>
      </c>
      <c r="E6166" s="65">
        <v>57.71</v>
      </c>
      <c r="F6166" s="8">
        <v>2.95</v>
      </c>
      <c r="G6166" s="66">
        <v>126.1843871</v>
      </c>
      <c r="H6166" s="8">
        <v>7.972</v>
      </c>
      <c r="J6166" s="26"/>
      <c r="K6166"/>
    </row>
    <row r="6167" spans="1:11">
      <c r="A6167">
        <v>44</v>
      </c>
      <c r="B6167" s="64">
        <v>40326</v>
      </c>
      <c r="C6167" s="2">
        <v>291891.01</v>
      </c>
      <c r="D6167">
        <v>0</v>
      </c>
      <c r="E6167" s="65">
        <v>53.11</v>
      </c>
      <c r="F6167" s="8">
        <v>2.908</v>
      </c>
      <c r="G6167" s="66">
        <v>126.1602258</v>
      </c>
      <c r="H6167" s="8">
        <v>7.972</v>
      </c>
      <c r="J6167" s="26"/>
      <c r="K6167"/>
    </row>
    <row r="6168" spans="1:11">
      <c r="A6168">
        <v>44</v>
      </c>
      <c r="B6168" s="64">
        <v>40333</v>
      </c>
      <c r="C6168" s="2">
        <v>282351.82</v>
      </c>
      <c r="D6168">
        <v>0</v>
      </c>
      <c r="E6168" s="65">
        <v>59.85</v>
      </c>
      <c r="F6168" s="8">
        <v>2.871</v>
      </c>
      <c r="G6168" s="66">
        <v>126.1360645</v>
      </c>
      <c r="H6168" s="8">
        <v>7.972</v>
      </c>
      <c r="J6168" s="26"/>
      <c r="K6168"/>
    </row>
    <row r="6169" spans="1:11">
      <c r="A6169">
        <v>44</v>
      </c>
      <c r="B6169" s="64">
        <v>40340</v>
      </c>
      <c r="C6169" s="2">
        <v>296818.2</v>
      </c>
      <c r="D6169">
        <v>0</v>
      </c>
      <c r="E6169" s="65">
        <v>65.24</v>
      </c>
      <c r="F6169" s="8">
        <v>2.841</v>
      </c>
      <c r="G6169" s="66">
        <v>126.1119032</v>
      </c>
      <c r="H6169" s="8">
        <v>7.972</v>
      </c>
      <c r="J6169" s="26"/>
      <c r="K6169"/>
    </row>
    <row r="6170" spans="1:11">
      <c r="A6170">
        <v>44</v>
      </c>
      <c r="B6170" s="64">
        <v>40347</v>
      </c>
      <c r="C6170" s="2">
        <v>293481.36</v>
      </c>
      <c r="D6170">
        <v>0</v>
      </c>
      <c r="E6170" s="65">
        <v>58.41</v>
      </c>
      <c r="F6170" s="8">
        <v>2.819</v>
      </c>
      <c r="G6170" s="66">
        <v>126.114</v>
      </c>
      <c r="H6170" s="8">
        <v>7.972</v>
      </c>
      <c r="J6170" s="26"/>
      <c r="K6170"/>
    </row>
    <row r="6171" spans="1:11">
      <c r="A6171">
        <v>44</v>
      </c>
      <c r="B6171" s="64">
        <v>40354</v>
      </c>
      <c r="C6171" s="2">
        <v>288247.24</v>
      </c>
      <c r="D6171">
        <v>0</v>
      </c>
      <c r="E6171" s="65">
        <v>71.83</v>
      </c>
      <c r="F6171" s="8">
        <v>2.82</v>
      </c>
      <c r="G6171" s="66">
        <v>126.1266</v>
      </c>
      <c r="H6171" s="8">
        <v>7.972</v>
      </c>
      <c r="J6171" s="26"/>
      <c r="K6171"/>
    </row>
    <row r="6172" spans="1:11">
      <c r="A6172">
        <v>44</v>
      </c>
      <c r="B6172" s="64">
        <v>40361</v>
      </c>
      <c r="C6172" s="2">
        <v>300628.19</v>
      </c>
      <c r="D6172">
        <v>0</v>
      </c>
      <c r="E6172" s="65">
        <v>78.82</v>
      </c>
      <c r="F6172" s="8">
        <v>2.814</v>
      </c>
      <c r="G6172" s="66">
        <v>126.1392</v>
      </c>
      <c r="H6172" s="8">
        <v>7.804</v>
      </c>
      <c r="J6172" s="26"/>
      <c r="K6172"/>
    </row>
    <row r="6173" spans="1:11">
      <c r="A6173">
        <v>44</v>
      </c>
      <c r="B6173" s="64">
        <v>40368</v>
      </c>
      <c r="C6173" s="2">
        <v>280472.78</v>
      </c>
      <c r="D6173">
        <v>0</v>
      </c>
      <c r="E6173" s="65">
        <v>71.33</v>
      </c>
      <c r="F6173" s="8">
        <v>2.802</v>
      </c>
      <c r="G6173" s="66">
        <v>126.1518</v>
      </c>
      <c r="H6173" s="8">
        <v>7.804</v>
      </c>
      <c r="J6173" s="26"/>
      <c r="K6173"/>
    </row>
    <row r="6174" spans="1:11">
      <c r="A6174">
        <v>44</v>
      </c>
      <c r="B6174" s="64">
        <v>40375</v>
      </c>
      <c r="C6174" s="2">
        <v>297099.95</v>
      </c>
      <c r="D6174">
        <v>0</v>
      </c>
      <c r="E6174" s="65">
        <v>77.79</v>
      </c>
      <c r="F6174" s="8">
        <v>2.791</v>
      </c>
      <c r="G6174" s="66">
        <v>126.1498065</v>
      </c>
      <c r="H6174" s="8">
        <v>7.804</v>
      </c>
      <c r="J6174" s="26"/>
      <c r="K6174"/>
    </row>
    <row r="6175" spans="1:11">
      <c r="A6175">
        <v>44</v>
      </c>
      <c r="B6175" s="64">
        <v>40382</v>
      </c>
      <c r="C6175" s="2">
        <v>292680.16</v>
      </c>
      <c r="D6175">
        <v>0</v>
      </c>
      <c r="E6175" s="65">
        <v>82.27</v>
      </c>
      <c r="F6175" s="8">
        <v>2.797</v>
      </c>
      <c r="G6175" s="66">
        <v>126.1283548</v>
      </c>
      <c r="H6175" s="8">
        <v>7.804</v>
      </c>
      <c r="J6175" s="26"/>
      <c r="K6175"/>
    </row>
    <row r="6176" spans="1:11">
      <c r="A6176">
        <v>44</v>
      </c>
      <c r="B6176" s="64">
        <v>40389</v>
      </c>
      <c r="C6176" s="2">
        <v>275020.96</v>
      </c>
      <c r="D6176">
        <v>0</v>
      </c>
      <c r="E6176" s="65">
        <v>78.94</v>
      </c>
      <c r="F6176" s="8">
        <v>2.797</v>
      </c>
      <c r="G6176" s="66">
        <v>126.1069032</v>
      </c>
      <c r="H6176" s="8">
        <v>7.804</v>
      </c>
      <c r="J6176" s="26"/>
      <c r="K6176"/>
    </row>
    <row r="6177" spans="1:11">
      <c r="A6177">
        <v>44</v>
      </c>
      <c r="B6177" s="64">
        <v>40396</v>
      </c>
      <c r="C6177" s="2">
        <v>296804.49</v>
      </c>
      <c r="D6177">
        <v>0</v>
      </c>
      <c r="E6177" s="65">
        <v>81.24</v>
      </c>
      <c r="F6177" s="8">
        <v>2.802</v>
      </c>
      <c r="G6177" s="66">
        <v>126.0854516</v>
      </c>
      <c r="H6177" s="8">
        <v>7.804</v>
      </c>
      <c r="J6177" s="26"/>
      <c r="K6177"/>
    </row>
    <row r="6178" spans="1:11">
      <c r="A6178">
        <v>44</v>
      </c>
      <c r="B6178" s="64">
        <v>40403</v>
      </c>
      <c r="C6178" s="2">
        <v>291028.09</v>
      </c>
      <c r="D6178">
        <v>0</v>
      </c>
      <c r="E6178" s="65">
        <v>74.93</v>
      </c>
      <c r="F6178" s="8">
        <v>2.837</v>
      </c>
      <c r="G6178" s="66">
        <v>126.064</v>
      </c>
      <c r="H6178" s="8">
        <v>7.804</v>
      </c>
      <c r="J6178" s="26"/>
      <c r="K6178"/>
    </row>
    <row r="6179" spans="1:11">
      <c r="A6179">
        <v>44</v>
      </c>
      <c r="B6179" s="64">
        <v>40410</v>
      </c>
      <c r="C6179" s="2">
        <v>284740.5</v>
      </c>
      <c r="D6179">
        <v>0</v>
      </c>
      <c r="E6179" s="65">
        <v>76.34</v>
      </c>
      <c r="F6179" s="8">
        <v>2.85</v>
      </c>
      <c r="G6179" s="66">
        <v>126.0766452</v>
      </c>
      <c r="H6179" s="8">
        <v>7.804</v>
      </c>
      <c r="J6179" s="26"/>
      <c r="K6179"/>
    </row>
    <row r="6180" spans="1:11">
      <c r="A6180">
        <v>44</v>
      </c>
      <c r="B6180" s="64">
        <v>40417</v>
      </c>
      <c r="C6180" s="2">
        <v>293155.08</v>
      </c>
      <c r="D6180">
        <v>0</v>
      </c>
      <c r="E6180" s="65">
        <v>75.31</v>
      </c>
      <c r="F6180" s="8">
        <v>2.854</v>
      </c>
      <c r="G6180" s="66">
        <v>126.0892903</v>
      </c>
      <c r="H6180" s="8">
        <v>7.804</v>
      </c>
      <c r="J6180" s="26"/>
      <c r="K6180"/>
    </row>
    <row r="6181" spans="1:11">
      <c r="A6181">
        <v>44</v>
      </c>
      <c r="B6181" s="64">
        <v>40424</v>
      </c>
      <c r="C6181" s="2">
        <v>295880.12</v>
      </c>
      <c r="D6181">
        <v>0</v>
      </c>
      <c r="E6181" s="65">
        <v>65.71</v>
      </c>
      <c r="F6181" s="8">
        <v>2.868</v>
      </c>
      <c r="G6181" s="66">
        <v>126.1019355</v>
      </c>
      <c r="H6181" s="8">
        <v>7.804</v>
      </c>
      <c r="J6181" s="26"/>
      <c r="K6181"/>
    </row>
    <row r="6182" spans="1:11">
      <c r="A6182">
        <v>44</v>
      </c>
      <c r="B6182" s="64">
        <v>40431</v>
      </c>
      <c r="C6182" s="2">
        <v>283455.13</v>
      </c>
      <c r="D6182">
        <v>1</v>
      </c>
      <c r="E6182" s="65">
        <v>65.74</v>
      </c>
      <c r="F6182" s="8">
        <v>2.87</v>
      </c>
      <c r="G6182" s="66">
        <v>126.1145806</v>
      </c>
      <c r="H6182" s="8">
        <v>7.804</v>
      </c>
      <c r="J6182" s="26"/>
      <c r="K6182"/>
    </row>
    <row r="6183" spans="1:11">
      <c r="A6183">
        <v>44</v>
      </c>
      <c r="B6183" s="64">
        <v>40438</v>
      </c>
      <c r="C6183" s="2">
        <v>279364.13</v>
      </c>
      <c r="D6183">
        <v>0</v>
      </c>
      <c r="E6183" s="65">
        <v>66.84</v>
      </c>
      <c r="F6183" s="8">
        <v>2.875</v>
      </c>
      <c r="G6183" s="66">
        <v>126.1454667</v>
      </c>
      <c r="H6183" s="8">
        <v>7.804</v>
      </c>
      <c r="J6183" s="26"/>
      <c r="K6183"/>
    </row>
    <row r="6184" spans="1:11">
      <c r="A6184">
        <v>44</v>
      </c>
      <c r="B6184" s="64">
        <v>40445</v>
      </c>
      <c r="C6184" s="2">
        <v>281313.78</v>
      </c>
      <c r="D6184">
        <v>0</v>
      </c>
      <c r="E6184" s="65">
        <v>68.22</v>
      </c>
      <c r="F6184" s="8">
        <v>2.872</v>
      </c>
      <c r="G6184" s="66">
        <v>126.1900333</v>
      </c>
      <c r="H6184" s="8">
        <v>7.804</v>
      </c>
      <c r="J6184" s="26"/>
      <c r="K6184"/>
    </row>
    <row r="6185" spans="1:11">
      <c r="A6185">
        <v>44</v>
      </c>
      <c r="B6185" s="64">
        <v>40452</v>
      </c>
      <c r="C6185" s="2">
        <v>300152.45</v>
      </c>
      <c r="D6185">
        <v>0</v>
      </c>
      <c r="E6185" s="65">
        <v>68.74</v>
      </c>
      <c r="F6185" s="8">
        <v>2.853</v>
      </c>
      <c r="G6185" s="66">
        <v>126.2346</v>
      </c>
      <c r="H6185" s="8">
        <v>7.61</v>
      </c>
      <c r="J6185" s="26"/>
      <c r="K6185"/>
    </row>
    <row r="6186" spans="1:11">
      <c r="A6186">
        <v>44</v>
      </c>
      <c r="B6186" s="64">
        <v>40459</v>
      </c>
      <c r="C6186" s="2">
        <v>279524.44</v>
      </c>
      <c r="D6186">
        <v>0</v>
      </c>
      <c r="E6186" s="65">
        <v>63.03</v>
      </c>
      <c r="F6186" s="8">
        <v>2.841</v>
      </c>
      <c r="G6186" s="66">
        <v>126.2791667</v>
      </c>
      <c r="H6186" s="8">
        <v>7.61</v>
      </c>
      <c r="J6186" s="26"/>
      <c r="K6186"/>
    </row>
    <row r="6187" spans="1:11">
      <c r="A6187">
        <v>44</v>
      </c>
      <c r="B6187" s="64">
        <v>40466</v>
      </c>
      <c r="C6187" s="2">
        <v>268708.43</v>
      </c>
      <c r="D6187">
        <v>0</v>
      </c>
      <c r="E6187" s="65">
        <v>54.12</v>
      </c>
      <c r="F6187" s="8">
        <v>2.845</v>
      </c>
      <c r="G6187" s="66">
        <v>126.3266774</v>
      </c>
      <c r="H6187" s="8">
        <v>7.61</v>
      </c>
      <c r="J6187" s="26"/>
      <c r="K6187"/>
    </row>
    <row r="6188" spans="1:11">
      <c r="A6188">
        <v>44</v>
      </c>
      <c r="B6188" s="64">
        <v>40473</v>
      </c>
      <c r="C6188" s="2">
        <v>270110.3</v>
      </c>
      <c r="D6188">
        <v>0</v>
      </c>
      <c r="E6188" s="65">
        <v>56.89</v>
      </c>
      <c r="F6188" s="8">
        <v>2.849</v>
      </c>
      <c r="G6188" s="66">
        <v>126.3815484</v>
      </c>
      <c r="H6188" s="8">
        <v>7.61</v>
      </c>
      <c r="J6188" s="26"/>
      <c r="K6188"/>
    </row>
    <row r="6189" spans="1:11">
      <c r="A6189">
        <v>44</v>
      </c>
      <c r="B6189" s="64">
        <v>40480</v>
      </c>
      <c r="C6189" s="2">
        <v>286497.49</v>
      </c>
      <c r="D6189">
        <v>0</v>
      </c>
      <c r="E6189" s="65">
        <v>45.12</v>
      </c>
      <c r="F6189" s="8">
        <v>2.841</v>
      </c>
      <c r="G6189" s="66">
        <v>126.4364194</v>
      </c>
      <c r="H6189" s="8">
        <v>7.61</v>
      </c>
      <c r="J6189" s="26"/>
      <c r="K6189"/>
    </row>
    <row r="6190" spans="1:11">
      <c r="A6190">
        <v>44</v>
      </c>
      <c r="B6190" s="64">
        <v>40487</v>
      </c>
      <c r="C6190" s="2">
        <v>270516.84</v>
      </c>
      <c r="D6190">
        <v>0</v>
      </c>
      <c r="E6190" s="65">
        <v>49.96</v>
      </c>
      <c r="F6190" s="8">
        <v>2.831</v>
      </c>
      <c r="G6190" s="66">
        <v>126.4912903</v>
      </c>
      <c r="H6190" s="8">
        <v>7.61</v>
      </c>
      <c r="J6190" s="26"/>
      <c r="K6190"/>
    </row>
    <row r="6191" spans="1:11">
      <c r="A6191">
        <v>44</v>
      </c>
      <c r="B6191" s="64">
        <v>40494</v>
      </c>
      <c r="C6191" s="2">
        <v>281909.79</v>
      </c>
      <c r="D6191">
        <v>0</v>
      </c>
      <c r="E6191" s="65">
        <v>42.55</v>
      </c>
      <c r="F6191" s="8">
        <v>2.831</v>
      </c>
      <c r="G6191" s="66">
        <v>126.5461613</v>
      </c>
      <c r="H6191" s="8">
        <v>7.61</v>
      </c>
      <c r="J6191" s="26"/>
      <c r="K6191"/>
    </row>
    <row r="6192" spans="1:11">
      <c r="A6192">
        <v>44</v>
      </c>
      <c r="B6192" s="64">
        <v>40501</v>
      </c>
      <c r="C6192" s="2">
        <v>284322.52</v>
      </c>
      <c r="D6192">
        <v>0</v>
      </c>
      <c r="E6192" s="65">
        <v>42</v>
      </c>
      <c r="F6192" s="8">
        <v>2.842</v>
      </c>
      <c r="G6192" s="66">
        <v>126.6072</v>
      </c>
      <c r="H6192" s="8">
        <v>7.61</v>
      </c>
      <c r="J6192" s="26"/>
      <c r="K6192"/>
    </row>
    <row r="6193" spans="1:11">
      <c r="A6193">
        <v>44</v>
      </c>
      <c r="B6193" s="64">
        <v>40508</v>
      </c>
      <c r="C6193" s="2">
        <v>307646.5</v>
      </c>
      <c r="D6193">
        <v>1</v>
      </c>
      <c r="E6193" s="65">
        <v>28.22</v>
      </c>
      <c r="F6193" s="8">
        <v>2.83</v>
      </c>
      <c r="G6193" s="66">
        <v>126.6692667</v>
      </c>
      <c r="H6193" s="8">
        <v>7.61</v>
      </c>
      <c r="J6193" s="26"/>
      <c r="K6193"/>
    </row>
    <row r="6194" spans="1:11">
      <c r="A6194">
        <v>44</v>
      </c>
      <c r="B6194" s="64">
        <v>40515</v>
      </c>
      <c r="C6194" s="2">
        <v>264214.12</v>
      </c>
      <c r="D6194">
        <v>0</v>
      </c>
      <c r="E6194" s="65">
        <v>25.8</v>
      </c>
      <c r="F6194" s="8">
        <v>2.812</v>
      </c>
      <c r="G6194" s="66">
        <v>126.7313333</v>
      </c>
      <c r="H6194" s="8">
        <v>7.61</v>
      </c>
      <c r="J6194" s="26"/>
      <c r="K6194"/>
    </row>
    <row r="6195" spans="1:11">
      <c r="A6195">
        <v>44</v>
      </c>
      <c r="B6195" s="64">
        <v>40522</v>
      </c>
      <c r="C6195" s="2">
        <v>278253.28</v>
      </c>
      <c r="D6195">
        <v>0</v>
      </c>
      <c r="E6195" s="65">
        <v>36.78</v>
      </c>
      <c r="F6195" s="8">
        <v>2.817</v>
      </c>
      <c r="G6195" s="66">
        <v>126.7934</v>
      </c>
      <c r="H6195" s="8">
        <v>7.61</v>
      </c>
      <c r="J6195" s="26"/>
      <c r="K6195"/>
    </row>
    <row r="6196" spans="1:11">
      <c r="A6196">
        <v>44</v>
      </c>
      <c r="B6196" s="64">
        <v>40529</v>
      </c>
      <c r="C6196" s="2">
        <v>278646.35</v>
      </c>
      <c r="D6196">
        <v>0</v>
      </c>
      <c r="E6196" s="65">
        <v>35.21</v>
      </c>
      <c r="F6196" s="8">
        <v>2.842</v>
      </c>
      <c r="G6196" s="66">
        <v>126.8794839</v>
      </c>
      <c r="H6196" s="8">
        <v>7.61</v>
      </c>
      <c r="J6196" s="26"/>
      <c r="K6196"/>
    </row>
    <row r="6197" spans="1:11">
      <c r="A6197">
        <v>44</v>
      </c>
      <c r="B6197" s="64">
        <v>40536</v>
      </c>
      <c r="C6197" s="2">
        <v>365098.24</v>
      </c>
      <c r="D6197">
        <v>0</v>
      </c>
      <c r="E6197" s="65">
        <v>34.9</v>
      </c>
      <c r="F6197" s="8">
        <v>2.846</v>
      </c>
      <c r="G6197" s="66">
        <v>126.9835806</v>
      </c>
      <c r="H6197" s="8">
        <v>7.61</v>
      </c>
      <c r="J6197" s="26"/>
      <c r="K6197"/>
    </row>
    <row r="6198" spans="1:11">
      <c r="A6198">
        <v>44</v>
      </c>
      <c r="B6198" s="64">
        <v>40543</v>
      </c>
      <c r="C6198" s="2">
        <v>241937.11</v>
      </c>
      <c r="D6198">
        <v>1</v>
      </c>
      <c r="E6198" s="65">
        <v>26.79</v>
      </c>
      <c r="F6198" s="8">
        <v>2.868</v>
      </c>
      <c r="G6198" s="66">
        <v>127.0876774</v>
      </c>
      <c r="H6198" s="8">
        <v>7.61</v>
      </c>
      <c r="J6198" s="26"/>
      <c r="K6198"/>
    </row>
    <row r="6199" spans="1:11">
      <c r="A6199">
        <v>44</v>
      </c>
      <c r="B6199" s="64">
        <v>40550</v>
      </c>
      <c r="C6199" s="2">
        <v>288320.38</v>
      </c>
      <c r="D6199">
        <v>0</v>
      </c>
      <c r="E6199" s="65">
        <v>16.94</v>
      </c>
      <c r="F6199" s="8">
        <v>2.891</v>
      </c>
      <c r="G6199" s="66">
        <v>127.1917742</v>
      </c>
      <c r="H6199" s="8">
        <v>7.224</v>
      </c>
      <c r="J6199" s="26"/>
      <c r="K6199"/>
    </row>
    <row r="6200" spans="1:11">
      <c r="A6200">
        <v>44</v>
      </c>
      <c r="B6200" s="64">
        <v>40557</v>
      </c>
      <c r="C6200" s="2">
        <v>292859.36</v>
      </c>
      <c r="D6200">
        <v>0</v>
      </c>
      <c r="E6200" s="65">
        <v>20.6</v>
      </c>
      <c r="F6200" s="8">
        <v>2.903</v>
      </c>
      <c r="G6200" s="66">
        <v>127.3009355</v>
      </c>
      <c r="H6200" s="8">
        <v>7.224</v>
      </c>
      <c r="J6200" s="26"/>
      <c r="K6200"/>
    </row>
    <row r="6201" spans="1:11">
      <c r="A6201">
        <v>44</v>
      </c>
      <c r="B6201" s="64">
        <v>40564</v>
      </c>
      <c r="C6201" s="2">
        <v>276157.8</v>
      </c>
      <c r="D6201">
        <v>0</v>
      </c>
      <c r="E6201" s="65">
        <v>34.8</v>
      </c>
      <c r="F6201" s="8">
        <v>2.934</v>
      </c>
      <c r="G6201" s="66">
        <v>127.4404839</v>
      </c>
      <c r="H6201" s="8">
        <v>7.224</v>
      </c>
      <c r="J6201" s="26"/>
      <c r="K6201"/>
    </row>
    <row r="6202" spans="1:11">
      <c r="A6202">
        <v>44</v>
      </c>
      <c r="B6202" s="64">
        <v>40571</v>
      </c>
      <c r="C6202" s="2">
        <v>276011.4</v>
      </c>
      <c r="D6202">
        <v>0</v>
      </c>
      <c r="E6202" s="65">
        <v>31.64</v>
      </c>
      <c r="F6202" s="8">
        <v>2.96</v>
      </c>
      <c r="G6202" s="66">
        <v>127.5800323</v>
      </c>
      <c r="H6202" s="8">
        <v>7.224</v>
      </c>
      <c r="J6202" s="26"/>
      <c r="K6202"/>
    </row>
    <row r="6203" spans="1:11">
      <c r="A6203">
        <v>44</v>
      </c>
      <c r="B6203" s="64">
        <v>40578</v>
      </c>
      <c r="C6203" s="2">
        <v>293953.08</v>
      </c>
      <c r="D6203">
        <v>0</v>
      </c>
      <c r="E6203" s="65">
        <v>23.35</v>
      </c>
      <c r="F6203" s="8">
        <v>2.974</v>
      </c>
      <c r="G6203" s="66">
        <v>127.7195806</v>
      </c>
      <c r="H6203" s="8">
        <v>7.224</v>
      </c>
      <c r="J6203" s="26"/>
      <c r="K6203"/>
    </row>
    <row r="6204" spans="1:11">
      <c r="A6204">
        <v>44</v>
      </c>
      <c r="B6204" s="64">
        <v>40585</v>
      </c>
      <c r="C6204" s="2">
        <v>307486.73</v>
      </c>
      <c r="D6204">
        <v>1</v>
      </c>
      <c r="E6204" s="65">
        <v>30.83</v>
      </c>
      <c r="F6204" s="8">
        <v>3.034</v>
      </c>
      <c r="G6204" s="66">
        <v>127.859129</v>
      </c>
      <c r="H6204" s="8">
        <v>7.224</v>
      </c>
      <c r="J6204" s="26"/>
      <c r="K6204"/>
    </row>
    <row r="6205" spans="1:11">
      <c r="A6205">
        <v>44</v>
      </c>
      <c r="B6205" s="64">
        <v>40592</v>
      </c>
      <c r="C6205" s="2">
        <v>280785.76</v>
      </c>
      <c r="D6205">
        <v>0</v>
      </c>
      <c r="E6205" s="65">
        <v>40.85</v>
      </c>
      <c r="F6205" s="8">
        <v>3.062</v>
      </c>
      <c r="G6205" s="66">
        <v>127.99525</v>
      </c>
      <c r="H6205" s="8">
        <v>7.224</v>
      </c>
      <c r="J6205" s="26"/>
      <c r="K6205"/>
    </row>
    <row r="6206" spans="1:11">
      <c r="A6206">
        <v>44</v>
      </c>
      <c r="B6206" s="64">
        <v>40599</v>
      </c>
      <c r="C6206" s="2">
        <v>279427.93</v>
      </c>
      <c r="D6206">
        <v>0</v>
      </c>
      <c r="E6206" s="65">
        <v>33.17</v>
      </c>
      <c r="F6206" s="8">
        <v>3.12</v>
      </c>
      <c r="G6206" s="66">
        <v>128.13</v>
      </c>
      <c r="H6206" s="8">
        <v>7.224</v>
      </c>
      <c r="J6206" s="26"/>
      <c r="K6206"/>
    </row>
    <row r="6207" spans="1:11">
      <c r="A6207">
        <v>44</v>
      </c>
      <c r="B6207" s="64">
        <v>40606</v>
      </c>
      <c r="C6207" s="2">
        <v>293984.54</v>
      </c>
      <c r="D6207">
        <v>0</v>
      </c>
      <c r="E6207" s="65">
        <v>34.23</v>
      </c>
      <c r="F6207" s="8">
        <v>3.23</v>
      </c>
      <c r="G6207" s="66">
        <v>128.26475</v>
      </c>
      <c r="H6207" s="8">
        <v>7.224</v>
      </c>
      <c r="J6207" s="26"/>
      <c r="K6207"/>
    </row>
    <row r="6208" spans="1:11">
      <c r="A6208">
        <v>44</v>
      </c>
      <c r="B6208" s="64">
        <v>40613</v>
      </c>
      <c r="C6208" s="2">
        <v>284496.14</v>
      </c>
      <c r="D6208">
        <v>0</v>
      </c>
      <c r="E6208" s="65">
        <v>41.28</v>
      </c>
      <c r="F6208" s="8">
        <v>3.346</v>
      </c>
      <c r="G6208" s="66">
        <v>128.3995</v>
      </c>
      <c r="H6208" s="8">
        <v>7.224</v>
      </c>
      <c r="J6208" s="26"/>
      <c r="K6208"/>
    </row>
    <row r="6209" spans="1:11">
      <c r="A6209">
        <v>44</v>
      </c>
      <c r="B6209" s="64">
        <v>40620</v>
      </c>
      <c r="C6209" s="2">
        <v>281699.68</v>
      </c>
      <c r="D6209">
        <v>0</v>
      </c>
      <c r="E6209" s="65">
        <v>44.69</v>
      </c>
      <c r="F6209" s="8">
        <v>3.407</v>
      </c>
      <c r="G6209" s="66">
        <v>128.5121935</v>
      </c>
      <c r="H6209" s="8">
        <v>7.224</v>
      </c>
      <c r="J6209" s="26"/>
      <c r="K6209"/>
    </row>
    <row r="6210" spans="1:11">
      <c r="A6210">
        <v>44</v>
      </c>
      <c r="B6210" s="64">
        <v>40627</v>
      </c>
      <c r="C6210" s="2">
        <v>285031.81</v>
      </c>
      <c r="D6210">
        <v>0</v>
      </c>
      <c r="E6210" s="65">
        <v>42.38</v>
      </c>
      <c r="F6210" s="8">
        <v>3.435</v>
      </c>
      <c r="G6210" s="66">
        <v>128.6160645</v>
      </c>
      <c r="H6210" s="8">
        <v>7.224</v>
      </c>
      <c r="J6210" s="26"/>
      <c r="K6210"/>
    </row>
    <row r="6211" spans="1:11">
      <c r="A6211">
        <v>44</v>
      </c>
      <c r="B6211" s="64">
        <v>40634</v>
      </c>
      <c r="C6211" s="2">
        <v>281514.26</v>
      </c>
      <c r="D6211">
        <v>0</v>
      </c>
      <c r="E6211" s="65">
        <v>42.49</v>
      </c>
      <c r="F6211" s="8">
        <v>3.487</v>
      </c>
      <c r="G6211" s="66">
        <v>128.7199355</v>
      </c>
      <c r="H6211" s="8">
        <v>6.906</v>
      </c>
      <c r="J6211" s="26"/>
      <c r="K6211"/>
    </row>
    <row r="6212" spans="1:11">
      <c r="A6212">
        <v>44</v>
      </c>
      <c r="B6212" s="64">
        <v>40641</v>
      </c>
      <c r="C6212" s="2">
        <v>292498.61</v>
      </c>
      <c r="D6212">
        <v>0</v>
      </c>
      <c r="E6212" s="65">
        <v>42.75</v>
      </c>
      <c r="F6212" s="8">
        <v>3.547</v>
      </c>
      <c r="G6212" s="66">
        <v>128.8238065</v>
      </c>
      <c r="H6212" s="8">
        <v>6.906</v>
      </c>
      <c r="J6212" s="26"/>
      <c r="K6212"/>
    </row>
    <row r="6213" spans="1:11">
      <c r="A6213">
        <v>44</v>
      </c>
      <c r="B6213" s="64">
        <v>40648</v>
      </c>
      <c r="C6213" s="2">
        <v>289667.55</v>
      </c>
      <c r="D6213">
        <v>0</v>
      </c>
      <c r="E6213" s="65">
        <v>41.72</v>
      </c>
      <c r="F6213" s="8">
        <v>3.616</v>
      </c>
      <c r="G6213" s="66">
        <v>128.9107333</v>
      </c>
      <c r="H6213" s="8">
        <v>6.906</v>
      </c>
      <c r="J6213" s="26"/>
      <c r="K6213"/>
    </row>
    <row r="6214" spans="1:11">
      <c r="A6214">
        <v>44</v>
      </c>
      <c r="B6214" s="64">
        <v>40655</v>
      </c>
      <c r="C6214" s="2">
        <v>280357.3</v>
      </c>
      <c r="D6214">
        <v>0</v>
      </c>
      <c r="E6214" s="65">
        <v>47.55</v>
      </c>
      <c r="F6214" s="8">
        <v>3.655</v>
      </c>
      <c r="G6214" s="66">
        <v>128.9553</v>
      </c>
      <c r="H6214" s="8">
        <v>6.906</v>
      </c>
      <c r="J6214" s="26"/>
      <c r="K6214"/>
    </row>
    <row r="6215" spans="1:11">
      <c r="A6215">
        <v>44</v>
      </c>
      <c r="B6215" s="64">
        <v>40662</v>
      </c>
      <c r="C6215" s="2">
        <v>281247.97</v>
      </c>
      <c r="D6215">
        <v>0</v>
      </c>
      <c r="E6215" s="65">
        <v>43.85</v>
      </c>
      <c r="F6215" s="8">
        <v>3.683</v>
      </c>
      <c r="G6215" s="66">
        <v>128.9998667</v>
      </c>
      <c r="H6215" s="8">
        <v>6.906</v>
      </c>
      <c r="J6215" s="26"/>
      <c r="K6215"/>
    </row>
    <row r="6216" spans="1:11">
      <c r="A6216">
        <v>44</v>
      </c>
      <c r="B6216" s="64">
        <v>40669</v>
      </c>
      <c r="C6216" s="2">
        <v>299354.67</v>
      </c>
      <c r="D6216">
        <v>0</v>
      </c>
      <c r="E6216" s="65">
        <v>47.75</v>
      </c>
      <c r="F6216" s="8">
        <v>3.744</v>
      </c>
      <c r="G6216" s="66">
        <v>129.0444333</v>
      </c>
      <c r="H6216" s="8">
        <v>6.906</v>
      </c>
      <c r="J6216" s="26"/>
      <c r="K6216"/>
    </row>
    <row r="6217" spans="1:11">
      <c r="A6217">
        <v>44</v>
      </c>
      <c r="B6217" s="64">
        <v>40676</v>
      </c>
      <c r="C6217" s="2">
        <v>307095.31</v>
      </c>
      <c r="D6217">
        <v>0</v>
      </c>
      <c r="E6217" s="65">
        <v>52.4</v>
      </c>
      <c r="F6217" s="8">
        <v>3.77</v>
      </c>
      <c r="G6217" s="66">
        <v>129.089</v>
      </c>
      <c r="H6217" s="8">
        <v>6.906</v>
      </c>
      <c r="J6217" s="26"/>
      <c r="K6217"/>
    </row>
    <row r="6218" spans="1:11">
      <c r="A6218">
        <v>44</v>
      </c>
      <c r="B6218" s="64">
        <v>40683</v>
      </c>
      <c r="C6218" s="2">
        <v>303559.23</v>
      </c>
      <c r="D6218">
        <v>0</v>
      </c>
      <c r="E6218" s="65">
        <v>52.12</v>
      </c>
      <c r="F6218" s="8">
        <v>3.802</v>
      </c>
      <c r="G6218" s="66">
        <v>129.0756774</v>
      </c>
      <c r="H6218" s="8">
        <v>6.906</v>
      </c>
      <c r="J6218" s="26"/>
      <c r="K6218"/>
    </row>
    <row r="6219" spans="1:11">
      <c r="A6219">
        <v>44</v>
      </c>
      <c r="B6219" s="64">
        <v>40690</v>
      </c>
      <c r="C6219" s="2">
        <v>308442.49</v>
      </c>
      <c r="D6219">
        <v>0</v>
      </c>
      <c r="E6219" s="65">
        <v>54.62</v>
      </c>
      <c r="F6219" s="8">
        <v>3.778</v>
      </c>
      <c r="G6219" s="66">
        <v>129.0623548</v>
      </c>
      <c r="H6219" s="8">
        <v>6.906</v>
      </c>
      <c r="J6219" s="26"/>
      <c r="K6219"/>
    </row>
    <row r="6220" spans="1:11">
      <c r="A6220">
        <v>44</v>
      </c>
      <c r="B6220" s="64">
        <v>40697</v>
      </c>
      <c r="C6220" s="2">
        <v>308950.04</v>
      </c>
      <c r="D6220">
        <v>0</v>
      </c>
      <c r="E6220" s="65">
        <v>52.76</v>
      </c>
      <c r="F6220" s="8">
        <v>3.752</v>
      </c>
      <c r="G6220" s="66">
        <v>129.0490323</v>
      </c>
      <c r="H6220" s="8">
        <v>6.906</v>
      </c>
      <c r="J6220" s="26"/>
      <c r="K6220"/>
    </row>
    <row r="6221" spans="1:11">
      <c r="A6221">
        <v>44</v>
      </c>
      <c r="B6221" s="64">
        <v>40704</v>
      </c>
      <c r="C6221" s="2">
        <v>308770.42</v>
      </c>
      <c r="D6221">
        <v>0</v>
      </c>
      <c r="E6221" s="65">
        <v>61.39</v>
      </c>
      <c r="F6221" s="8">
        <v>3.732</v>
      </c>
      <c r="G6221" s="66">
        <v>129.0357097</v>
      </c>
      <c r="H6221" s="8">
        <v>6.906</v>
      </c>
      <c r="J6221" s="26"/>
      <c r="K6221"/>
    </row>
    <row r="6222" spans="1:11">
      <c r="A6222">
        <v>44</v>
      </c>
      <c r="B6222" s="64">
        <v>40711</v>
      </c>
      <c r="C6222" s="2">
        <v>300255.87</v>
      </c>
      <c r="D6222">
        <v>0</v>
      </c>
      <c r="E6222" s="65">
        <v>63.35</v>
      </c>
      <c r="F6222" s="8">
        <v>3.704</v>
      </c>
      <c r="G6222" s="66">
        <v>129.0432</v>
      </c>
      <c r="H6222" s="8">
        <v>6.906</v>
      </c>
      <c r="J6222" s="26"/>
      <c r="K6222"/>
    </row>
    <row r="6223" spans="1:11">
      <c r="A6223">
        <v>44</v>
      </c>
      <c r="B6223" s="64">
        <v>40718</v>
      </c>
      <c r="C6223" s="2">
        <v>296765.59</v>
      </c>
      <c r="D6223">
        <v>0</v>
      </c>
      <c r="E6223" s="65">
        <v>66.38</v>
      </c>
      <c r="F6223" s="8">
        <v>3.668</v>
      </c>
      <c r="G6223" s="66">
        <v>129.0663</v>
      </c>
      <c r="H6223" s="8">
        <v>6.906</v>
      </c>
      <c r="J6223" s="26"/>
      <c r="K6223"/>
    </row>
    <row r="6224" spans="1:11">
      <c r="A6224">
        <v>44</v>
      </c>
      <c r="B6224" s="64">
        <v>40725</v>
      </c>
      <c r="C6224" s="2">
        <v>315273.08</v>
      </c>
      <c r="D6224">
        <v>0</v>
      </c>
      <c r="E6224" s="65">
        <v>74.29</v>
      </c>
      <c r="F6224" s="8">
        <v>3.613</v>
      </c>
      <c r="G6224" s="66">
        <v>129.0894</v>
      </c>
      <c r="H6224" s="8">
        <v>6.56</v>
      </c>
      <c r="J6224" s="26"/>
      <c r="K6224"/>
    </row>
    <row r="6225" spans="1:11">
      <c r="A6225">
        <v>44</v>
      </c>
      <c r="B6225" s="64">
        <v>40732</v>
      </c>
      <c r="C6225" s="2">
        <v>295339.01</v>
      </c>
      <c r="D6225">
        <v>0</v>
      </c>
      <c r="E6225" s="65">
        <v>77.3</v>
      </c>
      <c r="F6225" s="8">
        <v>3.563</v>
      </c>
      <c r="G6225" s="66">
        <v>129.1125</v>
      </c>
      <c r="H6225" s="8">
        <v>6.56</v>
      </c>
      <c r="J6225" s="26"/>
      <c r="K6225"/>
    </row>
    <row r="6226" spans="1:11">
      <c r="A6226">
        <v>44</v>
      </c>
      <c r="B6226" s="64">
        <v>40739</v>
      </c>
      <c r="C6226" s="2">
        <v>289201.21</v>
      </c>
      <c r="D6226">
        <v>0</v>
      </c>
      <c r="E6226" s="65">
        <v>75.59</v>
      </c>
      <c r="F6226" s="8">
        <v>3.553</v>
      </c>
      <c r="G6226" s="66">
        <v>129.1338387</v>
      </c>
      <c r="H6226" s="8">
        <v>6.56</v>
      </c>
      <c r="J6226" s="26"/>
      <c r="K6226"/>
    </row>
    <row r="6227" spans="1:11">
      <c r="A6227">
        <v>44</v>
      </c>
      <c r="B6227" s="64">
        <v>40746</v>
      </c>
      <c r="C6227" s="2">
        <v>303108.81</v>
      </c>
      <c r="D6227">
        <v>0</v>
      </c>
      <c r="E6227" s="65">
        <v>78.5</v>
      </c>
      <c r="F6227" s="8">
        <v>3.563</v>
      </c>
      <c r="G6227" s="66">
        <v>129.1507742</v>
      </c>
      <c r="H6227" s="8">
        <v>6.56</v>
      </c>
      <c r="J6227" s="26"/>
      <c r="K6227"/>
    </row>
    <row r="6228" spans="1:11">
      <c r="A6228">
        <v>44</v>
      </c>
      <c r="B6228" s="64">
        <v>40753</v>
      </c>
      <c r="C6228" s="2">
        <v>279677</v>
      </c>
      <c r="D6228">
        <v>0</v>
      </c>
      <c r="E6228" s="65">
        <v>77.62</v>
      </c>
      <c r="F6228" s="8">
        <v>3.574</v>
      </c>
      <c r="G6228" s="66">
        <v>129.1677097</v>
      </c>
      <c r="H6228" s="8">
        <v>6.56</v>
      </c>
      <c r="J6228" s="26"/>
      <c r="K6228"/>
    </row>
    <row r="6229" spans="1:11">
      <c r="A6229">
        <v>44</v>
      </c>
      <c r="B6229" s="64">
        <v>40760</v>
      </c>
      <c r="C6229" s="2">
        <v>298080.45</v>
      </c>
      <c r="D6229">
        <v>0</v>
      </c>
      <c r="E6229" s="65">
        <v>75.56</v>
      </c>
      <c r="F6229" s="8">
        <v>3.595</v>
      </c>
      <c r="G6229" s="66">
        <v>129.1846452</v>
      </c>
      <c r="H6229" s="8">
        <v>6.56</v>
      </c>
      <c r="J6229" s="26"/>
      <c r="K6229"/>
    </row>
    <row r="6230" spans="1:11">
      <c r="A6230">
        <v>44</v>
      </c>
      <c r="B6230" s="64">
        <v>40767</v>
      </c>
      <c r="C6230" s="2">
        <v>290399.66</v>
      </c>
      <c r="D6230">
        <v>0</v>
      </c>
      <c r="E6230" s="65">
        <v>75.95</v>
      </c>
      <c r="F6230" s="8">
        <v>3.606</v>
      </c>
      <c r="G6230" s="66">
        <v>129.2015806</v>
      </c>
      <c r="H6230" s="8">
        <v>6.56</v>
      </c>
      <c r="J6230" s="26"/>
      <c r="K6230"/>
    </row>
    <row r="6231" spans="1:11">
      <c r="A6231">
        <v>44</v>
      </c>
      <c r="B6231" s="64">
        <v>40774</v>
      </c>
      <c r="C6231" s="2">
        <v>290909.69</v>
      </c>
      <c r="D6231">
        <v>0</v>
      </c>
      <c r="E6231" s="65">
        <v>76.68</v>
      </c>
      <c r="F6231" s="8">
        <v>3.578</v>
      </c>
      <c r="G6231" s="66">
        <v>129.2405806</v>
      </c>
      <c r="H6231" s="8">
        <v>6.56</v>
      </c>
      <c r="J6231" s="26"/>
      <c r="K6231"/>
    </row>
    <row r="6232" spans="1:11">
      <c r="A6232">
        <v>44</v>
      </c>
      <c r="B6232" s="64">
        <v>40781</v>
      </c>
      <c r="C6232" s="2">
        <v>324174.79</v>
      </c>
      <c r="D6232">
        <v>0</v>
      </c>
      <c r="E6232" s="65">
        <v>81.53</v>
      </c>
      <c r="F6232" s="8">
        <v>3.57</v>
      </c>
      <c r="G6232" s="66">
        <v>129.2832581</v>
      </c>
      <c r="H6232" s="8">
        <v>6.56</v>
      </c>
      <c r="J6232" s="26"/>
      <c r="K6232"/>
    </row>
    <row r="6233" spans="1:11">
      <c r="A6233">
        <v>44</v>
      </c>
      <c r="B6233" s="64">
        <v>40788</v>
      </c>
      <c r="C6233" s="2">
        <v>309543.52</v>
      </c>
      <c r="D6233">
        <v>0</v>
      </c>
      <c r="E6233" s="65">
        <v>77</v>
      </c>
      <c r="F6233" s="8">
        <v>3.58</v>
      </c>
      <c r="G6233" s="66">
        <v>129.3259355</v>
      </c>
      <c r="H6233" s="8">
        <v>6.56</v>
      </c>
      <c r="J6233" s="26"/>
      <c r="K6233"/>
    </row>
    <row r="6234" spans="1:11">
      <c r="A6234">
        <v>44</v>
      </c>
      <c r="B6234" s="64">
        <v>40795</v>
      </c>
      <c r="C6234" s="2">
        <v>295811.25</v>
      </c>
      <c r="D6234">
        <v>1</v>
      </c>
      <c r="E6234" s="65">
        <v>70.19</v>
      </c>
      <c r="F6234" s="8">
        <v>3.619</v>
      </c>
      <c r="G6234" s="66">
        <v>129.3686129</v>
      </c>
      <c r="H6234" s="8">
        <v>6.56</v>
      </c>
      <c r="J6234" s="26"/>
      <c r="K6234"/>
    </row>
    <row r="6235" spans="1:11">
      <c r="A6235">
        <v>44</v>
      </c>
      <c r="B6235" s="64">
        <v>40802</v>
      </c>
      <c r="C6235" s="2">
        <v>303974.28</v>
      </c>
      <c r="D6235">
        <v>0</v>
      </c>
      <c r="E6235" s="65">
        <v>67.54</v>
      </c>
      <c r="F6235" s="8">
        <v>3.641</v>
      </c>
      <c r="G6235" s="66">
        <v>129.4306</v>
      </c>
      <c r="H6235" s="8">
        <v>6.56</v>
      </c>
      <c r="J6235" s="26"/>
      <c r="K6235"/>
    </row>
    <row r="6236" spans="1:11">
      <c r="A6236">
        <v>44</v>
      </c>
      <c r="B6236" s="64">
        <v>40809</v>
      </c>
      <c r="C6236" s="2">
        <v>307409.13</v>
      </c>
      <c r="D6236">
        <v>0</v>
      </c>
      <c r="E6236" s="65">
        <v>63.6</v>
      </c>
      <c r="F6236" s="8">
        <v>3.648</v>
      </c>
      <c r="G6236" s="66">
        <v>129.5183333</v>
      </c>
      <c r="H6236" s="8">
        <v>6.56</v>
      </c>
      <c r="J6236" s="26"/>
      <c r="K6236"/>
    </row>
    <row r="6237" spans="1:11">
      <c r="A6237">
        <v>44</v>
      </c>
      <c r="B6237" s="64">
        <v>40816</v>
      </c>
      <c r="C6237" s="2">
        <v>299757.75</v>
      </c>
      <c r="D6237">
        <v>0</v>
      </c>
      <c r="E6237" s="65">
        <v>68.28</v>
      </c>
      <c r="F6237" s="8">
        <v>3.623</v>
      </c>
      <c r="G6237" s="66">
        <v>129.6060667</v>
      </c>
      <c r="H6237" s="8">
        <v>6.56</v>
      </c>
      <c r="J6237" s="26"/>
      <c r="K6237"/>
    </row>
    <row r="6238" spans="1:11">
      <c r="A6238">
        <v>44</v>
      </c>
      <c r="B6238" s="64">
        <v>40823</v>
      </c>
      <c r="C6238" s="2">
        <v>312577.36</v>
      </c>
      <c r="D6238">
        <v>0</v>
      </c>
      <c r="E6238" s="65">
        <v>60.62</v>
      </c>
      <c r="F6238" s="8">
        <v>3.592</v>
      </c>
      <c r="G6238" s="66">
        <v>129.6938</v>
      </c>
      <c r="H6238" s="8">
        <v>6.078</v>
      </c>
      <c r="J6238" s="26"/>
      <c r="K6238"/>
    </row>
    <row r="6239" spans="1:11">
      <c r="A6239">
        <v>44</v>
      </c>
      <c r="B6239" s="64">
        <v>40830</v>
      </c>
      <c r="C6239" s="2">
        <v>293031.78</v>
      </c>
      <c r="D6239">
        <v>0</v>
      </c>
      <c r="E6239" s="65">
        <v>51.74</v>
      </c>
      <c r="F6239" s="8">
        <v>3.567</v>
      </c>
      <c r="G6239" s="66">
        <v>129.7706452</v>
      </c>
      <c r="H6239" s="8">
        <v>6.078</v>
      </c>
      <c r="J6239" s="26"/>
      <c r="K6239"/>
    </row>
    <row r="6240" spans="1:11">
      <c r="A6240">
        <v>44</v>
      </c>
      <c r="B6240" s="64">
        <v>40837</v>
      </c>
      <c r="C6240" s="2">
        <v>305969.81</v>
      </c>
      <c r="D6240">
        <v>0</v>
      </c>
      <c r="E6240" s="65">
        <v>54.66</v>
      </c>
      <c r="F6240" s="8">
        <v>3.579</v>
      </c>
      <c r="G6240" s="66">
        <v>129.7821613</v>
      </c>
      <c r="H6240" s="8">
        <v>6.078</v>
      </c>
      <c r="J6240" s="26"/>
      <c r="K6240"/>
    </row>
    <row r="6241" spans="1:11">
      <c r="A6241">
        <v>44</v>
      </c>
      <c r="B6241" s="64">
        <v>40844</v>
      </c>
      <c r="C6241" s="2">
        <v>306336.07</v>
      </c>
      <c r="D6241">
        <v>0</v>
      </c>
      <c r="E6241" s="65">
        <v>47.41</v>
      </c>
      <c r="F6241" s="8">
        <v>3.567</v>
      </c>
      <c r="G6241" s="66">
        <v>129.7936774</v>
      </c>
      <c r="H6241" s="8">
        <v>6.078</v>
      </c>
      <c r="J6241" s="26"/>
      <c r="K6241"/>
    </row>
    <row r="6242" spans="1:11">
      <c r="A6242">
        <v>44</v>
      </c>
      <c r="B6242" s="64">
        <v>40851</v>
      </c>
      <c r="C6242" s="2">
        <v>307126.34</v>
      </c>
      <c r="D6242">
        <v>0</v>
      </c>
      <c r="E6242" s="65">
        <v>43.51</v>
      </c>
      <c r="F6242" s="8">
        <v>3.538</v>
      </c>
      <c r="G6242" s="66">
        <v>129.8051935</v>
      </c>
      <c r="H6242" s="8">
        <v>6.078</v>
      </c>
      <c r="J6242" s="26"/>
      <c r="K6242"/>
    </row>
    <row r="6243" spans="1:11">
      <c r="A6243">
        <v>44</v>
      </c>
      <c r="B6243" s="64">
        <v>40858</v>
      </c>
      <c r="C6243" s="2">
        <v>312233.56</v>
      </c>
      <c r="D6243">
        <v>0</v>
      </c>
      <c r="E6243" s="65">
        <v>33.8</v>
      </c>
      <c r="F6243" s="8">
        <v>3.513</v>
      </c>
      <c r="G6243" s="66">
        <v>129.8167097</v>
      </c>
      <c r="H6243" s="8">
        <v>6.078</v>
      </c>
      <c r="J6243" s="26"/>
      <c r="K6243"/>
    </row>
    <row r="6244" spans="1:11">
      <c r="A6244">
        <v>44</v>
      </c>
      <c r="B6244" s="64">
        <v>40865</v>
      </c>
      <c r="C6244" s="2">
        <v>310531.04</v>
      </c>
      <c r="D6244">
        <v>0</v>
      </c>
      <c r="E6244" s="65">
        <v>40.65</v>
      </c>
      <c r="F6244" s="8">
        <v>3.489</v>
      </c>
      <c r="G6244" s="66">
        <v>129.8268333</v>
      </c>
      <c r="H6244" s="8">
        <v>6.078</v>
      </c>
      <c r="J6244" s="26"/>
      <c r="K6244"/>
    </row>
    <row r="6245" spans="1:11">
      <c r="A6245">
        <v>44</v>
      </c>
      <c r="B6245" s="64">
        <v>40872</v>
      </c>
      <c r="C6245" s="2">
        <v>309129.01</v>
      </c>
      <c r="D6245">
        <v>1</v>
      </c>
      <c r="E6245" s="65">
        <v>38.89</v>
      </c>
      <c r="F6245" s="8">
        <v>3.445</v>
      </c>
      <c r="G6245" s="66">
        <v>129.8364</v>
      </c>
      <c r="H6245" s="8">
        <v>6.078</v>
      </c>
      <c r="J6245" s="26"/>
      <c r="K6245"/>
    </row>
    <row r="6246" spans="1:11">
      <c r="A6246">
        <v>44</v>
      </c>
      <c r="B6246" s="64">
        <v>40879</v>
      </c>
      <c r="C6246" s="2">
        <v>284309.34</v>
      </c>
      <c r="D6246">
        <v>0</v>
      </c>
      <c r="E6246" s="65">
        <v>33.94</v>
      </c>
      <c r="F6246" s="8">
        <v>3.389</v>
      </c>
      <c r="G6246" s="66">
        <v>129.8459667</v>
      </c>
      <c r="H6246" s="8">
        <v>6.078</v>
      </c>
      <c r="J6246" s="26"/>
      <c r="K6246"/>
    </row>
    <row r="6247" spans="1:11">
      <c r="A6247">
        <v>44</v>
      </c>
      <c r="B6247" s="64">
        <v>40886</v>
      </c>
      <c r="C6247" s="2">
        <v>304300.91</v>
      </c>
      <c r="D6247">
        <v>0</v>
      </c>
      <c r="E6247" s="65">
        <v>24.82</v>
      </c>
      <c r="F6247" s="8">
        <v>3.341</v>
      </c>
      <c r="G6247" s="66">
        <v>129.8555333</v>
      </c>
      <c r="H6247" s="8">
        <v>6.078</v>
      </c>
      <c r="J6247" s="26"/>
      <c r="K6247"/>
    </row>
    <row r="6248" spans="1:11">
      <c r="A6248">
        <v>44</v>
      </c>
      <c r="B6248" s="64">
        <v>40893</v>
      </c>
      <c r="C6248" s="2">
        <v>311144.16</v>
      </c>
      <c r="D6248">
        <v>0</v>
      </c>
      <c r="E6248" s="65">
        <v>27.85</v>
      </c>
      <c r="F6248" s="8">
        <v>3.282</v>
      </c>
      <c r="G6248" s="66">
        <v>129.8980645</v>
      </c>
      <c r="H6248" s="8">
        <v>6.078</v>
      </c>
      <c r="J6248" s="26"/>
      <c r="K6248"/>
    </row>
    <row r="6249" spans="1:11">
      <c r="A6249">
        <v>44</v>
      </c>
      <c r="B6249" s="64">
        <v>40900</v>
      </c>
      <c r="C6249" s="2">
        <v>376233.89</v>
      </c>
      <c r="D6249">
        <v>0</v>
      </c>
      <c r="E6249" s="65">
        <v>24.76</v>
      </c>
      <c r="F6249" s="8">
        <v>3.186</v>
      </c>
      <c r="G6249" s="66">
        <v>129.9845484</v>
      </c>
      <c r="H6249" s="8">
        <v>6.078</v>
      </c>
      <c r="J6249" s="26"/>
      <c r="K6249"/>
    </row>
    <row r="6250" spans="1:11">
      <c r="A6250">
        <v>44</v>
      </c>
      <c r="B6250" s="64">
        <v>40907</v>
      </c>
      <c r="C6250" s="2">
        <v>263917.85</v>
      </c>
      <c r="D6250">
        <v>1</v>
      </c>
      <c r="E6250" s="65">
        <v>31.53</v>
      </c>
      <c r="F6250" s="8">
        <v>3.119</v>
      </c>
      <c r="G6250" s="66">
        <v>130.0710323</v>
      </c>
      <c r="H6250" s="8">
        <v>6.078</v>
      </c>
      <c r="J6250" s="26"/>
      <c r="K6250"/>
    </row>
    <row r="6251" spans="1:11">
      <c r="A6251">
        <v>44</v>
      </c>
      <c r="B6251" s="64">
        <v>40914</v>
      </c>
      <c r="C6251" s="2">
        <v>325327.93</v>
      </c>
      <c r="D6251">
        <v>0</v>
      </c>
      <c r="E6251" s="65">
        <v>33.8</v>
      </c>
      <c r="F6251" s="8">
        <v>3.08</v>
      </c>
      <c r="G6251" s="66">
        <v>130.1575161</v>
      </c>
      <c r="H6251" s="8">
        <v>5.774</v>
      </c>
      <c r="J6251" s="26"/>
      <c r="K6251"/>
    </row>
    <row r="6252" spans="1:11">
      <c r="A6252">
        <v>44</v>
      </c>
      <c r="B6252" s="64">
        <v>40921</v>
      </c>
      <c r="C6252" s="2">
        <v>312361.88</v>
      </c>
      <c r="D6252">
        <v>0</v>
      </c>
      <c r="E6252" s="65">
        <v>25.61</v>
      </c>
      <c r="F6252" s="8">
        <v>3.056</v>
      </c>
      <c r="G6252" s="66">
        <v>130.244</v>
      </c>
      <c r="H6252" s="8">
        <v>5.774</v>
      </c>
      <c r="J6252" s="26"/>
      <c r="K6252"/>
    </row>
    <row r="6253" spans="1:11">
      <c r="A6253">
        <v>44</v>
      </c>
      <c r="B6253" s="64">
        <v>40928</v>
      </c>
      <c r="C6253" s="2">
        <v>316948.39</v>
      </c>
      <c r="D6253">
        <v>0</v>
      </c>
      <c r="E6253" s="65">
        <v>32.71</v>
      </c>
      <c r="F6253" s="8">
        <v>3.047</v>
      </c>
      <c r="G6253" s="66">
        <v>130.2792258</v>
      </c>
      <c r="H6253" s="8">
        <v>5.774</v>
      </c>
      <c r="J6253" s="26"/>
      <c r="K6253"/>
    </row>
    <row r="6254" spans="1:11">
      <c r="A6254">
        <v>44</v>
      </c>
      <c r="B6254" s="64">
        <v>40935</v>
      </c>
      <c r="C6254" s="2">
        <v>308295.38</v>
      </c>
      <c r="D6254">
        <v>0</v>
      </c>
      <c r="E6254" s="65">
        <v>34.32</v>
      </c>
      <c r="F6254" s="8">
        <v>3.058</v>
      </c>
      <c r="G6254" s="66">
        <v>130.3144516</v>
      </c>
      <c r="H6254" s="8">
        <v>5.774</v>
      </c>
      <c r="J6254" s="26"/>
      <c r="K6254"/>
    </row>
    <row r="6255" spans="1:11">
      <c r="A6255">
        <v>44</v>
      </c>
      <c r="B6255" s="64">
        <v>40942</v>
      </c>
      <c r="C6255" s="2">
        <v>325986.05</v>
      </c>
      <c r="D6255">
        <v>0</v>
      </c>
      <c r="E6255" s="65">
        <v>31.39</v>
      </c>
      <c r="F6255" s="8">
        <v>3.077</v>
      </c>
      <c r="G6255" s="66">
        <v>130.3496774</v>
      </c>
      <c r="H6255" s="8">
        <v>5.774</v>
      </c>
      <c r="J6255" s="26"/>
      <c r="K6255"/>
    </row>
    <row r="6256" spans="1:11">
      <c r="A6256">
        <v>44</v>
      </c>
      <c r="B6256" s="64">
        <v>40949</v>
      </c>
      <c r="C6256" s="2">
        <v>325377.97</v>
      </c>
      <c r="D6256">
        <v>1</v>
      </c>
      <c r="E6256" s="65">
        <v>33.73</v>
      </c>
      <c r="F6256" s="8">
        <v>3.116</v>
      </c>
      <c r="G6256" s="66">
        <v>130.3849032</v>
      </c>
      <c r="H6256" s="8">
        <v>5.774</v>
      </c>
      <c r="J6256" s="26"/>
      <c r="K6256"/>
    </row>
    <row r="6257" spans="1:11">
      <c r="A6257">
        <v>44</v>
      </c>
      <c r="B6257" s="64">
        <v>40956</v>
      </c>
      <c r="C6257" s="2">
        <v>320691.21</v>
      </c>
      <c r="D6257">
        <v>0</v>
      </c>
      <c r="E6257" s="65">
        <v>36.57</v>
      </c>
      <c r="F6257" s="8">
        <v>3.119</v>
      </c>
      <c r="G6257" s="66">
        <v>130.4546207</v>
      </c>
      <c r="H6257" s="8">
        <v>5.774</v>
      </c>
      <c r="J6257" s="26"/>
      <c r="K6257"/>
    </row>
    <row r="6258" spans="1:11">
      <c r="A6258">
        <v>44</v>
      </c>
      <c r="B6258" s="64">
        <v>40963</v>
      </c>
      <c r="C6258" s="2">
        <v>315641.8</v>
      </c>
      <c r="D6258">
        <v>0</v>
      </c>
      <c r="E6258" s="65">
        <v>35.38</v>
      </c>
      <c r="F6258" s="8">
        <v>3.145</v>
      </c>
      <c r="G6258" s="66">
        <v>130.5502069</v>
      </c>
      <c r="H6258" s="8">
        <v>5.774</v>
      </c>
      <c r="J6258" s="26"/>
      <c r="K6258"/>
    </row>
    <row r="6259" spans="1:11">
      <c r="A6259">
        <v>44</v>
      </c>
      <c r="B6259" s="64">
        <v>40970</v>
      </c>
      <c r="C6259" s="2">
        <v>316687.22</v>
      </c>
      <c r="D6259">
        <v>0</v>
      </c>
      <c r="E6259" s="65">
        <v>32.36</v>
      </c>
      <c r="F6259" s="8">
        <v>3.242</v>
      </c>
      <c r="G6259" s="66">
        <v>130.6457931</v>
      </c>
      <c r="H6259" s="8">
        <v>5.774</v>
      </c>
      <c r="J6259" s="26"/>
      <c r="K6259"/>
    </row>
    <row r="6260" spans="1:11">
      <c r="A6260">
        <v>44</v>
      </c>
      <c r="B6260" s="64">
        <v>40977</v>
      </c>
      <c r="C6260" s="2">
        <v>303438.24</v>
      </c>
      <c r="D6260">
        <v>0</v>
      </c>
      <c r="E6260" s="65">
        <v>38.24</v>
      </c>
      <c r="F6260" s="8">
        <v>3.38</v>
      </c>
      <c r="G6260" s="66">
        <v>130.7413793</v>
      </c>
      <c r="H6260" s="8">
        <v>5.774</v>
      </c>
      <c r="J6260" s="26"/>
      <c r="K6260"/>
    </row>
    <row r="6261" spans="1:11">
      <c r="A6261">
        <v>44</v>
      </c>
      <c r="B6261" s="64">
        <v>40984</v>
      </c>
      <c r="C6261" s="2">
        <v>331965.95</v>
      </c>
      <c r="D6261">
        <v>0</v>
      </c>
      <c r="E6261" s="65">
        <v>52.5</v>
      </c>
      <c r="F6261" s="8">
        <v>3.529</v>
      </c>
      <c r="G6261" s="66">
        <v>130.8261935</v>
      </c>
      <c r="H6261" s="8">
        <v>5.774</v>
      </c>
      <c r="J6261" s="26"/>
      <c r="K6261"/>
    </row>
    <row r="6262" spans="1:11">
      <c r="A6262">
        <v>44</v>
      </c>
      <c r="B6262" s="64">
        <v>40991</v>
      </c>
      <c r="C6262" s="2">
        <v>296947.06</v>
      </c>
      <c r="D6262">
        <v>0</v>
      </c>
      <c r="E6262" s="65">
        <v>47.83</v>
      </c>
      <c r="F6262" s="8">
        <v>3.671</v>
      </c>
      <c r="G6262" s="66">
        <v>130.8966452</v>
      </c>
      <c r="H6262" s="8">
        <v>5.774</v>
      </c>
      <c r="J6262" s="26"/>
      <c r="K6262"/>
    </row>
    <row r="6263" spans="1:11">
      <c r="A6263">
        <v>44</v>
      </c>
      <c r="B6263" s="64">
        <v>40998</v>
      </c>
      <c r="C6263" s="2">
        <v>310027.29</v>
      </c>
      <c r="D6263">
        <v>0</v>
      </c>
      <c r="E6263" s="65">
        <v>53.2</v>
      </c>
      <c r="F6263" s="8">
        <v>3.734</v>
      </c>
      <c r="G6263" s="66">
        <v>130.9670968</v>
      </c>
      <c r="H6263" s="8">
        <v>5.774</v>
      </c>
      <c r="J6263" s="26"/>
      <c r="K6263"/>
    </row>
    <row r="6264" spans="1:11">
      <c r="A6264">
        <v>44</v>
      </c>
      <c r="B6264" s="64">
        <v>41005</v>
      </c>
      <c r="C6264" s="2">
        <v>320021.1</v>
      </c>
      <c r="D6264">
        <v>0</v>
      </c>
      <c r="E6264" s="65">
        <v>48.85</v>
      </c>
      <c r="F6264" s="8">
        <v>3.793</v>
      </c>
      <c r="G6264" s="66">
        <v>131.0375484</v>
      </c>
      <c r="H6264" s="8">
        <v>5.621</v>
      </c>
      <c r="J6264" s="26"/>
      <c r="K6264"/>
    </row>
    <row r="6265" spans="1:11">
      <c r="A6265">
        <v>44</v>
      </c>
      <c r="B6265" s="64">
        <v>41012</v>
      </c>
      <c r="C6265" s="2">
        <v>311390.22</v>
      </c>
      <c r="D6265">
        <v>0</v>
      </c>
      <c r="E6265" s="65">
        <v>51.7</v>
      </c>
      <c r="F6265" s="8">
        <v>3.833</v>
      </c>
      <c r="G6265" s="66">
        <v>131.108</v>
      </c>
      <c r="H6265" s="8">
        <v>5.621</v>
      </c>
      <c r="J6265" s="26"/>
      <c r="K6265"/>
    </row>
    <row r="6266" spans="1:11">
      <c r="A6266">
        <v>44</v>
      </c>
      <c r="B6266" s="64">
        <v>41019</v>
      </c>
      <c r="C6266" s="2">
        <v>323233.8</v>
      </c>
      <c r="D6266">
        <v>0</v>
      </c>
      <c r="E6266" s="65">
        <v>50.24</v>
      </c>
      <c r="F6266" s="8">
        <v>3.845</v>
      </c>
      <c r="G6266" s="66">
        <v>131.1173333</v>
      </c>
      <c r="H6266" s="8">
        <v>5.621</v>
      </c>
      <c r="J6266" s="26"/>
      <c r="K6266"/>
    </row>
    <row r="6267" spans="1:11">
      <c r="A6267">
        <v>44</v>
      </c>
      <c r="B6267" s="64">
        <v>41026</v>
      </c>
      <c r="C6267" s="2">
        <v>330338.36</v>
      </c>
      <c r="D6267">
        <v>0</v>
      </c>
      <c r="E6267" s="65">
        <v>64.8</v>
      </c>
      <c r="F6267" s="8">
        <v>3.842</v>
      </c>
      <c r="G6267" s="66">
        <v>131.1266667</v>
      </c>
      <c r="H6267" s="8">
        <v>5.621</v>
      </c>
      <c r="J6267" s="26"/>
      <c r="K6267"/>
    </row>
    <row r="6268" spans="1:11">
      <c r="A6268">
        <v>44</v>
      </c>
      <c r="B6268" s="64">
        <v>41033</v>
      </c>
      <c r="C6268" s="2">
        <v>326053.28</v>
      </c>
      <c r="D6268">
        <v>0</v>
      </c>
      <c r="E6268" s="65">
        <v>54.41</v>
      </c>
      <c r="F6268" s="8">
        <v>3.831</v>
      </c>
      <c r="G6268" s="66">
        <v>131.136</v>
      </c>
      <c r="H6268" s="8">
        <v>5.621</v>
      </c>
      <c r="J6268" s="26"/>
      <c r="K6268"/>
    </row>
    <row r="6269" spans="1:11">
      <c r="A6269">
        <v>44</v>
      </c>
      <c r="B6269" s="64">
        <v>41040</v>
      </c>
      <c r="C6269" s="2">
        <v>341381.08</v>
      </c>
      <c r="D6269">
        <v>0</v>
      </c>
      <c r="E6269" s="65">
        <v>56.47</v>
      </c>
      <c r="F6269" s="8">
        <v>3.809</v>
      </c>
      <c r="G6269" s="66">
        <v>131.1453333</v>
      </c>
      <c r="H6269" s="8">
        <v>5.621</v>
      </c>
      <c r="J6269" s="26"/>
      <c r="K6269"/>
    </row>
    <row r="6270" spans="1:11">
      <c r="A6270">
        <v>44</v>
      </c>
      <c r="B6270" s="64">
        <v>41047</v>
      </c>
      <c r="C6270" s="2">
        <v>334042.43</v>
      </c>
      <c r="D6270">
        <v>0</v>
      </c>
      <c r="E6270" s="65">
        <v>65.17</v>
      </c>
      <c r="F6270" s="8">
        <v>3.808</v>
      </c>
      <c r="G6270" s="66">
        <v>131.0983226</v>
      </c>
      <c r="H6270" s="8">
        <v>5.621</v>
      </c>
      <c r="J6270" s="26"/>
      <c r="K6270"/>
    </row>
    <row r="6271" spans="1:11">
      <c r="A6271">
        <v>44</v>
      </c>
      <c r="B6271" s="64">
        <v>41054</v>
      </c>
      <c r="C6271" s="2">
        <v>343268.29</v>
      </c>
      <c r="D6271">
        <v>0</v>
      </c>
      <c r="E6271" s="65">
        <v>62.39</v>
      </c>
      <c r="F6271" s="8">
        <v>3.801</v>
      </c>
      <c r="G6271" s="66">
        <v>131.0287742</v>
      </c>
      <c r="H6271" s="8">
        <v>5.621</v>
      </c>
      <c r="J6271" s="26"/>
      <c r="K6271"/>
    </row>
    <row r="6272" spans="1:11">
      <c r="A6272">
        <v>44</v>
      </c>
      <c r="B6272" s="64">
        <v>41061</v>
      </c>
      <c r="C6272" s="2">
        <v>323410.94</v>
      </c>
      <c r="D6272">
        <v>0</v>
      </c>
      <c r="E6272" s="65">
        <v>61.11</v>
      </c>
      <c r="F6272" s="8">
        <v>3.788</v>
      </c>
      <c r="G6272" s="66">
        <v>130.9592258</v>
      </c>
      <c r="H6272" s="8">
        <v>5.621</v>
      </c>
      <c r="J6272" s="26"/>
      <c r="K6272"/>
    </row>
    <row r="6273" spans="1:11">
      <c r="A6273">
        <v>44</v>
      </c>
      <c r="B6273" s="64">
        <v>41068</v>
      </c>
      <c r="C6273" s="2">
        <v>340238.38</v>
      </c>
      <c r="D6273">
        <v>0</v>
      </c>
      <c r="E6273" s="65">
        <v>68.4</v>
      </c>
      <c r="F6273" s="8">
        <v>3.776</v>
      </c>
      <c r="G6273" s="66">
        <v>130.8896774</v>
      </c>
      <c r="H6273" s="8">
        <v>5.621</v>
      </c>
      <c r="J6273" s="26"/>
      <c r="K6273"/>
    </row>
    <row r="6274" spans="1:11">
      <c r="A6274">
        <v>44</v>
      </c>
      <c r="B6274" s="64">
        <v>41075</v>
      </c>
      <c r="C6274" s="2">
        <v>338400.82</v>
      </c>
      <c r="D6274">
        <v>0</v>
      </c>
      <c r="E6274" s="65">
        <v>65.97</v>
      </c>
      <c r="F6274" s="8">
        <v>3.756</v>
      </c>
      <c r="G6274" s="66">
        <v>130.8295333</v>
      </c>
      <c r="H6274" s="8">
        <v>5.621</v>
      </c>
      <c r="J6274" s="26"/>
      <c r="K6274"/>
    </row>
    <row r="6275" spans="1:11">
      <c r="A6275">
        <v>44</v>
      </c>
      <c r="B6275" s="64">
        <v>41082</v>
      </c>
      <c r="C6275" s="2">
        <v>336241</v>
      </c>
      <c r="D6275">
        <v>0</v>
      </c>
      <c r="E6275" s="65">
        <v>72.89</v>
      </c>
      <c r="F6275" s="8">
        <v>3.737</v>
      </c>
      <c r="G6275" s="66">
        <v>130.7929</v>
      </c>
      <c r="H6275" s="8">
        <v>5.621</v>
      </c>
      <c r="J6275" s="26"/>
      <c r="K6275"/>
    </row>
    <row r="6276" spans="1:11">
      <c r="A6276">
        <v>44</v>
      </c>
      <c r="B6276" s="64">
        <v>41089</v>
      </c>
      <c r="C6276" s="2">
        <v>338386.08</v>
      </c>
      <c r="D6276">
        <v>0</v>
      </c>
      <c r="E6276" s="65">
        <v>82</v>
      </c>
      <c r="F6276" s="8">
        <v>3.681</v>
      </c>
      <c r="G6276" s="66">
        <v>130.7562667</v>
      </c>
      <c r="H6276" s="8">
        <v>5.621</v>
      </c>
      <c r="J6276" s="26"/>
      <c r="K6276"/>
    </row>
    <row r="6277" spans="1:11">
      <c r="A6277">
        <v>44</v>
      </c>
      <c r="B6277" s="64">
        <v>41096</v>
      </c>
      <c r="C6277" s="2">
        <v>358461.58</v>
      </c>
      <c r="D6277">
        <v>0</v>
      </c>
      <c r="E6277" s="65">
        <v>79.23</v>
      </c>
      <c r="F6277" s="8">
        <v>3.63</v>
      </c>
      <c r="G6277" s="66">
        <v>130.7196333</v>
      </c>
      <c r="H6277" s="8">
        <v>5.407</v>
      </c>
      <c r="J6277" s="26"/>
      <c r="K6277"/>
    </row>
    <row r="6278" spans="1:11">
      <c r="A6278">
        <v>44</v>
      </c>
      <c r="B6278" s="64">
        <v>41103</v>
      </c>
      <c r="C6278" s="2">
        <v>336479.49</v>
      </c>
      <c r="D6278">
        <v>0</v>
      </c>
      <c r="E6278" s="65">
        <v>83.68</v>
      </c>
      <c r="F6278" s="8">
        <v>3.595</v>
      </c>
      <c r="G6278" s="66">
        <v>130.683</v>
      </c>
      <c r="H6278" s="8">
        <v>5.407</v>
      </c>
      <c r="J6278" s="26"/>
      <c r="K6278"/>
    </row>
    <row r="6279" spans="1:11">
      <c r="A6279">
        <v>44</v>
      </c>
      <c r="B6279" s="64">
        <v>41110</v>
      </c>
      <c r="C6279" s="2">
        <v>337819.16</v>
      </c>
      <c r="D6279">
        <v>0</v>
      </c>
      <c r="E6279" s="65">
        <v>75.69</v>
      </c>
      <c r="F6279" s="8">
        <v>3.556</v>
      </c>
      <c r="G6279" s="66">
        <v>130.7012903</v>
      </c>
      <c r="H6279" s="8">
        <v>5.407</v>
      </c>
      <c r="J6279" s="26"/>
      <c r="K6279"/>
    </row>
    <row r="6280" spans="1:11">
      <c r="A6280">
        <v>44</v>
      </c>
      <c r="B6280" s="64">
        <v>41117</v>
      </c>
      <c r="C6280" s="2">
        <v>319855.26</v>
      </c>
      <c r="D6280">
        <v>0</v>
      </c>
      <c r="E6280" s="65">
        <v>80.42</v>
      </c>
      <c r="F6280" s="8">
        <v>3.537</v>
      </c>
      <c r="G6280" s="66">
        <v>130.7195806</v>
      </c>
      <c r="H6280" s="8">
        <v>5.407</v>
      </c>
      <c r="J6280" s="26"/>
      <c r="K6280"/>
    </row>
    <row r="6281" spans="1:11">
      <c r="A6281">
        <v>44</v>
      </c>
      <c r="B6281" s="64">
        <v>41124</v>
      </c>
      <c r="C6281" s="2">
        <v>342385.38</v>
      </c>
      <c r="D6281">
        <v>0</v>
      </c>
      <c r="E6281" s="65">
        <v>81.99</v>
      </c>
      <c r="F6281" s="8">
        <v>3.512</v>
      </c>
      <c r="G6281" s="66">
        <v>130.737871</v>
      </c>
      <c r="H6281" s="8">
        <v>5.407</v>
      </c>
      <c r="J6281" s="26"/>
      <c r="K6281"/>
    </row>
    <row r="6282" spans="1:11">
      <c r="A6282">
        <v>44</v>
      </c>
      <c r="B6282" s="64">
        <v>41131</v>
      </c>
      <c r="C6282" s="2">
        <v>333594.81</v>
      </c>
      <c r="D6282">
        <v>0</v>
      </c>
      <c r="E6282" s="65">
        <v>81.69</v>
      </c>
      <c r="F6282" s="8">
        <v>3.509</v>
      </c>
      <c r="G6282" s="66">
        <v>130.7561613</v>
      </c>
      <c r="H6282" s="8">
        <v>5.407</v>
      </c>
      <c r="J6282" s="26"/>
      <c r="K6282"/>
    </row>
    <row r="6283" spans="1:11">
      <c r="A6283">
        <v>44</v>
      </c>
      <c r="B6283" s="64">
        <v>41138</v>
      </c>
      <c r="C6283" s="2">
        <v>327389.51</v>
      </c>
      <c r="D6283">
        <v>0</v>
      </c>
      <c r="E6283" s="65">
        <v>79.4</v>
      </c>
      <c r="F6283" s="8">
        <v>3.545</v>
      </c>
      <c r="G6283" s="66">
        <v>130.7909677</v>
      </c>
      <c r="H6283" s="8">
        <v>5.407</v>
      </c>
      <c r="J6283" s="26"/>
      <c r="K6283"/>
    </row>
    <row r="6284" spans="1:11">
      <c r="A6284">
        <v>44</v>
      </c>
      <c r="B6284" s="64">
        <v>41145</v>
      </c>
      <c r="C6284" s="2">
        <v>337985.74</v>
      </c>
      <c r="D6284">
        <v>0</v>
      </c>
      <c r="E6284" s="65">
        <v>77.37</v>
      </c>
      <c r="F6284" s="8">
        <v>3.582</v>
      </c>
      <c r="G6284" s="66">
        <v>130.8381613</v>
      </c>
      <c r="H6284" s="8">
        <v>5.407</v>
      </c>
      <c r="J6284" s="26"/>
      <c r="K6284"/>
    </row>
    <row r="6285" spans="1:11">
      <c r="A6285">
        <v>44</v>
      </c>
      <c r="B6285" s="64">
        <v>41152</v>
      </c>
      <c r="C6285" s="2">
        <v>339490.69</v>
      </c>
      <c r="D6285">
        <v>0</v>
      </c>
      <c r="E6285" s="65">
        <v>79.18</v>
      </c>
      <c r="F6285" s="8">
        <v>3.624</v>
      </c>
      <c r="G6285" s="66">
        <v>130.8853548</v>
      </c>
      <c r="H6285" s="8">
        <v>5.407</v>
      </c>
      <c r="J6285" s="26"/>
      <c r="K6285"/>
    </row>
    <row r="6286" spans="1:11">
      <c r="A6286">
        <v>44</v>
      </c>
      <c r="B6286" s="64">
        <v>41159</v>
      </c>
      <c r="C6286" s="2">
        <v>338737.33</v>
      </c>
      <c r="D6286">
        <v>1</v>
      </c>
      <c r="E6286" s="65">
        <v>70.65</v>
      </c>
      <c r="F6286" s="8">
        <v>3.689</v>
      </c>
      <c r="G6286" s="66">
        <v>130.9325484</v>
      </c>
      <c r="H6286" s="8">
        <v>5.407</v>
      </c>
      <c r="J6286" s="26"/>
      <c r="K6286"/>
    </row>
    <row r="6287" spans="1:11">
      <c r="A6287">
        <v>44</v>
      </c>
      <c r="B6287" s="64">
        <v>41166</v>
      </c>
      <c r="C6287" s="2">
        <v>347726.67</v>
      </c>
      <c r="D6287">
        <v>0</v>
      </c>
      <c r="E6287" s="65">
        <v>68.55</v>
      </c>
      <c r="F6287" s="8">
        <v>3.749</v>
      </c>
      <c r="G6287" s="66">
        <v>130.9776667</v>
      </c>
      <c r="H6287" s="8">
        <v>5.407</v>
      </c>
      <c r="J6287" s="26"/>
      <c r="K6287"/>
    </row>
    <row r="6288" spans="1:11">
      <c r="A6288">
        <v>44</v>
      </c>
      <c r="B6288" s="64">
        <v>41173</v>
      </c>
      <c r="C6288" s="2">
        <v>336017.6</v>
      </c>
      <c r="D6288">
        <v>0</v>
      </c>
      <c r="E6288" s="65">
        <v>67.96</v>
      </c>
      <c r="F6288" s="8">
        <v>3.821</v>
      </c>
      <c r="G6288" s="66">
        <v>131.0103333</v>
      </c>
      <c r="H6288" s="8">
        <v>5.407</v>
      </c>
      <c r="J6288" s="26"/>
      <c r="K6288"/>
    </row>
    <row r="6289" spans="1:11">
      <c r="A6289">
        <v>44</v>
      </c>
      <c r="B6289" s="64">
        <v>41180</v>
      </c>
      <c r="C6289" s="2">
        <v>355307.94</v>
      </c>
      <c r="D6289">
        <v>0</v>
      </c>
      <c r="E6289" s="65">
        <v>64.8</v>
      </c>
      <c r="F6289" s="8">
        <v>3.821</v>
      </c>
      <c r="G6289" s="66">
        <v>131.043</v>
      </c>
      <c r="H6289" s="8">
        <v>5.407</v>
      </c>
      <c r="J6289" s="26"/>
      <c r="K6289"/>
    </row>
    <row r="6290" spans="1:11">
      <c r="A6290">
        <v>44</v>
      </c>
      <c r="B6290" s="64">
        <v>41187</v>
      </c>
      <c r="C6290" s="2">
        <v>337390.44</v>
      </c>
      <c r="D6290">
        <v>0</v>
      </c>
      <c r="E6290" s="65">
        <v>61.79</v>
      </c>
      <c r="F6290" s="8">
        <v>3.815</v>
      </c>
      <c r="G6290" s="66">
        <v>131.0756667</v>
      </c>
      <c r="H6290" s="8">
        <v>5.217</v>
      </c>
      <c r="J6290" s="26"/>
      <c r="K6290"/>
    </row>
    <row r="6291" spans="1:11">
      <c r="A6291">
        <v>44</v>
      </c>
      <c r="B6291" s="64">
        <v>41194</v>
      </c>
      <c r="C6291" s="2">
        <v>337796.13</v>
      </c>
      <c r="D6291">
        <v>0</v>
      </c>
      <c r="E6291" s="65">
        <v>55.1</v>
      </c>
      <c r="F6291" s="8">
        <v>3.797</v>
      </c>
      <c r="G6291" s="66">
        <v>131.1083333</v>
      </c>
      <c r="H6291" s="8">
        <v>5.217</v>
      </c>
      <c r="J6291" s="26"/>
      <c r="K6291"/>
    </row>
    <row r="6292" spans="1:11">
      <c r="A6292">
        <v>44</v>
      </c>
      <c r="B6292" s="64">
        <v>41201</v>
      </c>
      <c r="C6292" s="2">
        <v>323766.77</v>
      </c>
      <c r="D6292">
        <v>0</v>
      </c>
      <c r="E6292" s="65">
        <v>52.06</v>
      </c>
      <c r="F6292" s="8">
        <v>3.781</v>
      </c>
      <c r="G6292" s="66">
        <v>131.1499677</v>
      </c>
      <c r="H6292" s="8">
        <v>5.217</v>
      </c>
      <c r="J6292" s="26"/>
      <c r="K6292"/>
    </row>
    <row r="6293" spans="1:11">
      <c r="A6293">
        <v>44</v>
      </c>
      <c r="B6293" s="64">
        <v>41208</v>
      </c>
      <c r="C6293" s="2">
        <v>361067.07</v>
      </c>
      <c r="D6293">
        <v>0</v>
      </c>
      <c r="E6293" s="65">
        <v>46.97</v>
      </c>
      <c r="F6293" s="8">
        <v>3.755</v>
      </c>
      <c r="G6293" s="66">
        <v>131.1930968</v>
      </c>
      <c r="H6293" s="8">
        <v>5.217</v>
      </c>
      <c r="J6293" s="26"/>
      <c r="K6293"/>
    </row>
    <row r="6294" spans="1:11">
      <c r="A6294">
        <v>45</v>
      </c>
      <c r="B6294" s="64">
        <v>40214</v>
      </c>
      <c r="C6294" s="2">
        <v>890689.51</v>
      </c>
      <c r="D6294">
        <v>0</v>
      </c>
      <c r="E6294" s="65">
        <v>27.31</v>
      </c>
      <c r="F6294" s="8">
        <v>2.784</v>
      </c>
      <c r="G6294" s="66">
        <v>181.8711898</v>
      </c>
      <c r="H6294" s="8">
        <v>8.992</v>
      </c>
      <c r="J6294" s="26"/>
      <c r="K6294"/>
    </row>
    <row r="6295" spans="1:11">
      <c r="A6295">
        <v>45</v>
      </c>
      <c r="B6295" s="64">
        <v>40221</v>
      </c>
      <c r="C6295" s="2">
        <v>656988.64</v>
      </c>
      <c r="D6295">
        <v>1</v>
      </c>
      <c r="E6295" s="65">
        <v>27.73</v>
      </c>
      <c r="F6295" s="8">
        <v>2.773</v>
      </c>
      <c r="G6295" s="66">
        <v>181.982317</v>
      </c>
      <c r="H6295" s="8">
        <v>8.992</v>
      </c>
      <c r="J6295" s="26"/>
      <c r="K6295"/>
    </row>
    <row r="6296" spans="1:11">
      <c r="A6296">
        <v>45</v>
      </c>
      <c r="B6296" s="64">
        <v>40228</v>
      </c>
      <c r="C6296" s="2">
        <v>841264.04</v>
      </c>
      <c r="D6296">
        <v>0</v>
      </c>
      <c r="E6296" s="65">
        <v>31.27</v>
      </c>
      <c r="F6296" s="8">
        <v>2.745</v>
      </c>
      <c r="G6296" s="66">
        <v>182.0347816</v>
      </c>
      <c r="H6296" s="8">
        <v>8.992</v>
      </c>
      <c r="J6296" s="26"/>
      <c r="K6296"/>
    </row>
    <row r="6297" spans="1:11">
      <c r="A6297">
        <v>45</v>
      </c>
      <c r="B6297" s="64">
        <v>40235</v>
      </c>
      <c r="C6297" s="2">
        <v>741891.65</v>
      </c>
      <c r="D6297">
        <v>0</v>
      </c>
      <c r="E6297" s="65">
        <v>34.89</v>
      </c>
      <c r="F6297" s="8">
        <v>2.754</v>
      </c>
      <c r="G6297" s="66">
        <v>182.0774691</v>
      </c>
      <c r="H6297" s="8">
        <v>8.992</v>
      </c>
      <c r="J6297" s="26"/>
      <c r="K6297"/>
    </row>
    <row r="6298" spans="1:11">
      <c r="A6298">
        <v>45</v>
      </c>
      <c r="B6298" s="64">
        <v>40242</v>
      </c>
      <c r="C6298" s="2">
        <v>777951.22</v>
      </c>
      <c r="D6298">
        <v>0</v>
      </c>
      <c r="E6298" s="65">
        <v>37.13</v>
      </c>
      <c r="F6298" s="8">
        <v>2.777</v>
      </c>
      <c r="G6298" s="66">
        <v>182.1201566</v>
      </c>
      <c r="H6298" s="8">
        <v>8.992</v>
      </c>
      <c r="J6298" s="26"/>
      <c r="K6298"/>
    </row>
    <row r="6299" spans="1:11">
      <c r="A6299">
        <v>45</v>
      </c>
      <c r="B6299" s="64">
        <v>40249</v>
      </c>
      <c r="C6299" s="2">
        <v>765687.42</v>
      </c>
      <c r="D6299">
        <v>0</v>
      </c>
      <c r="E6299" s="65">
        <v>45.8</v>
      </c>
      <c r="F6299" s="8">
        <v>2.818</v>
      </c>
      <c r="G6299" s="66">
        <v>182.1628441</v>
      </c>
      <c r="H6299" s="8">
        <v>8.992</v>
      </c>
      <c r="J6299" s="26"/>
      <c r="K6299"/>
    </row>
    <row r="6300" spans="1:11">
      <c r="A6300">
        <v>45</v>
      </c>
      <c r="B6300" s="64">
        <v>40256</v>
      </c>
      <c r="C6300" s="2">
        <v>773819.49</v>
      </c>
      <c r="D6300">
        <v>0</v>
      </c>
      <c r="E6300" s="65">
        <v>48.79</v>
      </c>
      <c r="F6300" s="8">
        <v>2.844</v>
      </c>
      <c r="G6300" s="66">
        <v>182.0779857</v>
      </c>
      <c r="H6300" s="8">
        <v>8.992</v>
      </c>
      <c r="J6300" s="26"/>
      <c r="K6300"/>
    </row>
    <row r="6301" spans="1:11">
      <c r="A6301">
        <v>45</v>
      </c>
      <c r="B6301" s="64">
        <v>40263</v>
      </c>
      <c r="C6301" s="2">
        <v>782563.38</v>
      </c>
      <c r="D6301">
        <v>0</v>
      </c>
      <c r="E6301" s="65">
        <v>54.36</v>
      </c>
      <c r="F6301" s="8">
        <v>2.854</v>
      </c>
      <c r="G6301" s="66">
        <v>181.9718697</v>
      </c>
      <c r="H6301" s="8">
        <v>8.992</v>
      </c>
      <c r="J6301" s="26"/>
      <c r="K6301"/>
    </row>
    <row r="6302" spans="1:11">
      <c r="A6302">
        <v>45</v>
      </c>
      <c r="B6302" s="64">
        <v>40270</v>
      </c>
      <c r="C6302" s="2">
        <v>877235.96</v>
      </c>
      <c r="D6302">
        <v>0</v>
      </c>
      <c r="E6302" s="65">
        <v>47.74</v>
      </c>
      <c r="F6302" s="8">
        <v>2.85</v>
      </c>
      <c r="G6302" s="66">
        <v>181.8657537</v>
      </c>
      <c r="H6302" s="8">
        <v>8.899</v>
      </c>
      <c r="J6302" s="26"/>
      <c r="K6302"/>
    </row>
    <row r="6303" spans="1:11">
      <c r="A6303">
        <v>45</v>
      </c>
      <c r="B6303" s="64">
        <v>40277</v>
      </c>
      <c r="C6303" s="2">
        <v>833782.7</v>
      </c>
      <c r="D6303">
        <v>0</v>
      </c>
      <c r="E6303" s="65">
        <v>65.45</v>
      </c>
      <c r="F6303" s="8">
        <v>2.869</v>
      </c>
      <c r="G6303" s="66">
        <v>181.7596377</v>
      </c>
      <c r="H6303" s="8">
        <v>8.899</v>
      </c>
      <c r="J6303" s="26"/>
      <c r="K6303"/>
    </row>
    <row r="6304" spans="1:11">
      <c r="A6304">
        <v>45</v>
      </c>
      <c r="B6304" s="64">
        <v>40284</v>
      </c>
      <c r="C6304" s="2">
        <v>782221.96</v>
      </c>
      <c r="D6304">
        <v>0</v>
      </c>
      <c r="E6304" s="65">
        <v>54.28</v>
      </c>
      <c r="F6304" s="8">
        <v>2.899</v>
      </c>
      <c r="G6304" s="66">
        <v>181.6924769</v>
      </c>
      <c r="H6304" s="8">
        <v>8.899</v>
      </c>
      <c r="J6304" s="26"/>
      <c r="K6304"/>
    </row>
    <row r="6305" spans="1:11">
      <c r="A6305">
        <v>45</v>
      </c>
      <c r="B6305" s="64">
        <v>40291</v>
      </c>
      <c r="C6305" s="2">
        <v>749779.1</v>
      </c>
      <c r="D6305">
        <v>0</v>
      </c>
      <c r="E6305" s="65">
        <v>53.47</v>
      </c>
      <c r="F6305" s="8">
        <v>2.902</v>
      </c>
      <c r="G6305" s="66">
        <v>181.6772564</v>
      </c>
      <c r="H6305" s="8">
        <v>8.899</v>
      </c>
      <c r="J6305" s="26"/>
      <c r="K6305"/>
    </row>
    <row r="6306" spans="1:11">
      <c r="A6306">
        <v>45</v>
      </c>
      <c r="B6306" s="64">
        <v>40298</v>
      </c>
      <c r="C6306" s="2">
        <v>737265.57</v>
      </c>
      <c r="D6306">
        <v>0</v>
      </c>
      <c r="E6306" s="65">
        <v>53.15</v>
      </c>
      <c r="F6306" s="8">
        <v>2.921</v>
      </c>
      <c r="G6306" s="66">
        <v>181.6620359</v>
      </c>
      <c r="H6306" s="8">
        <v>8.899</v>
      </c>
      <c r="J6306" s="26"/>
      <c r="K6306"/>
    </row>
    <row r="6307" spans="1:11">
      <c r="A6307">
        <v>45</v>
      </c>
      <c r="B6307" s="64">
        <v>40305</v>
      </c>
      <c r="C6307" s="2">
        <v>812190.76</v>
      </c>
      <c r="D6307">
        <v>0</v>
      </c>
      <c r="E6307" s="65">
        <v>70.75</v>
      </c>
      <c r="F6307" s="8">
        <v>2.966</v>
      </c>
      <c r="G6307" s="66">
        <v>181.6468154</v>
      </c>
      <c r="H6307" s="8">
        <v>8.899</v>
      </c>
      <c r="J6307" s="26"/>
      <c r="K6307"/>
    </row>
    <row r="6308" spans="1:11">
      <c r="A6308">
        <v>45</v>
      </c>
      <c r="B6308" s="64">
        <v>40312</v>
      </c>
      <c r="C6308" s="2">
        <v>758182.2</v>
      </c>
      <c r="D6308">
        <v>0</v>
      </c>
      <c r="E6308" s="65">
        <v>54.26</v>
      </c>
      <c r="F6308" s="8">
        <v>2.982</v>
      </c>
      <c r="G6308" s="66">
        <v>181.6612792</v>
      </c>
      <c r="H6308" s="8">
        <v>8.899</v>
      </c>
      <c r="J6308" s="26"/>
      <c r="K6308"/>
    </row>
    <row r="6309" spans="1:11">
      <c r="A6309">
        <v>45</v>
      </c>
      <c r="B6309" s="64">
        <v>40319</v>
      </c>
      <c r="C6309" s="2">
        <v>747888.25</v>
      </c>
      <c r="D6309">
        <v>0</v>
      </c>
      <c r="E6309" s="65">
        <v>62.62</v>
      </c>
      <c r="F6309" s="8">
        <v>2.958</v>
      </c>
      <c r="G6309" s="66">
        <v>181.8538486</v>
      </c>
      <c r="H6309" s="8">
        <v>8.899</v>
      </c>
      <c r="J6309" s="26"/>
      <c r="K6309"/>
    </row>
    <row r="6310" spans="1:11">
      <c r="A6310">
        <v>45</v>
      </c>
      <c r="B6310" s="64">
        <v>40326</v>
      </c>
      <c r="C6310" s="2">
        <v>801098.43</v>
      </c>
      <c r="D6310">
        <v>0</v>
      </c>
      <c r="E6310" s="65">
        <v>69.27</v>
      </c>
      <c r="F6310" s="8">
        <v>2.899</v>
      </c>
      <c r="G6310" s="66">
        <v>182.0464181</v>
      </c>
      <c r="H6310" s="8">
        <v>8.899</v>
      </c>
      <c r="J6310" s="26"/>
      <c r="K6310"/>
    </row>
    <row r="6311" spans="1:11">
      <c r="A6311">
        <v>45</v>
      </c>
      <c r="B6311" s="64">
        <v>40333</v>
      </c>
      <c r="C6311" s="2">
        <v>837548.62</v>
      </c>
      <c r="D6311">
        <v>0</v>
      </c>
      <c r="E6311" s="65">
        <v>75.93</v>
      </c>
      <c r="F6311" s="8">
        <v>2.847</v>
      </c>
      <c r="G6311" s="66">
        <v>182.2389876</v>
      </c>
      <c r="H6311" s="8">
        <v>8.899</v>
      </c>
      <c r="J6311" s="26"/>
      <c r="K6311"/>
    </row>
    <row r="6312" spans="1:11">
      <c r="A6312">
        <v>45</v>
      </c>
      <c r="B6312" s="64">
        <v>40340</v>
      </c>
      <c r="C6312" s="2">
        <v>794698.77</v>
      </c>
      <c r="D6312">
        <v>0</v>
      </c>
      <c r="E6312" s="65">
        <v>69.71</v>
      </c>
      <c r="F6312" s="8">
        <v>2.809</v>
      </c>
      <c r="G6312" s="66">
        <v>182.4315571</v>
      </c>
      <c r="H6312" s="8">
        <v>8.899</v>
      </c>
      <c r="J6312" s="26"/>
      <c r="K6312"/>
    </row>
    <row r="6313" spans="1:11">
      <c r="A6313">
        <v>45</v>
      </c>
      <c r="B6313" s="64">
        <v>40347</v>
      </c>
      <c r="C6313" s="2">
        <v>815130.5</v>
      </c>
      <c r="D6313">
        <v>0</v>
      </c>
      <c r="E6313" s="65">
        <v>72.62</v>
      </c>
      <c r="F6313" s="8">
        <v>2.78</v>
      </c>
      <c r="G6313" s="66">
        <v>182.4424199</v>
      </c>
      <c r="H6313" s="8">
        <v>8.899</v>
      </c>
      <c r="J6313" s="26"/>
      <c r="K6313"/>
    </row>
    <row r="6314" spans="1:11">
      <c r="A6314">
        <v>45</v>
      </c>
      <c r="B6314" s="64">
        <v>40354</v>
      </c>
      <c r="C6314" s="2">
        <v>792299.15</v>
      </c>
      <c r="D6314">
        <v>0</v>
      </c>
      <c r="E6314" s="65">
        <v>79.32</v>
      </c>
      <c r="F6314" s="8">
        <v>2.808</v>
      </c>
      <c r="G6314" s="66">
        <v>182.3806</v>
      </c>
      <c r="H6314" s="8">
        <v>8.899</v>
      </c>
      <c r="J6314" s="26"/>
      <c r="K6314"/>
    </row>
    <row r="6315" spans="1:11">
      <c r="A6315">
        <v>45</v>
      </c>
      <c r="B6315" s="64">
        <v>40361</v>
      </c>
      <c r="C6315" s="2">
        <v>800147.84</v>
      </c>
      <c r="D6315">
        <v>0</v>
      </c>
      <c r="E6315" s="65">
        <v>76.61</v>
      </c>
      <c r="F6315" s="8">
        <v>2.815</v>
      </c>
      <c r="G6315" s="66">
        <v>182.3187801</v>
      </c>
      <c r="H6315" s="8">
        <v>8.743</v>
      </c>
      <c r="J6315" s="26"/>
      <c r="K6315"/>
    </row>
    <row r="6316" spans="1:11">
      <c r="A6316">
        <v>45</v>
      </c>
      <c r="B6316" s="64">
        <v>40368</v>
      </c>
      <c r="C6316" s="2">
        <v>787062</v>
      </c>
      <c r="D6316">
        <v>0</v>
      </c>
      <c r="E6316" s="65">
        <v>82.45</v>
      </c>
      <c r="F6316" s="8">
        <v>2.793</v>
      </c>
      <c r="G6316" s="66">
        <v>182.2569603</v>
      </c>
      <c r="H6316" s="8">
        <v>8.743</v>
      </c>
      <c r="J6316" s="26"/>
      <c r="K6316"/>
    </row>
    <row r="6317" spans="1:11">
      <c r="A6317">
        <v>45</v>
      </c>
      <c r="B6317" s="64">
        <v>40375</v>
      </c>
      <c r="C6317" s="2">
        <v>723708.99</v>
      </c>
      <c r="D6317">
        <v>0</v>
      </c>
      <c r="E6317" s="65">
        <v>77.84</v>
      </c>
      <c r="F6317" s="8">
        <v>2.783</v>
      </c>
      <c r="G6317" s="66">
        <v>182.2604411</v>
      </c>
      <c r="H6317" s="8">
        <v>8.743</v>
      </c>
      <c r="J6317" s="26"/>
      <c r="K6317"/>
    </row>
    <row r="6318" spans="1:11">
      <c r="A6318">
        <v>45</v>
      </c>
      <c r="B6318" s="64">
        <v>40382</v>
      </c>
      <c r="C6318" s="2">
        <v>714601.11</v>
      </c>
      <c r="D6318">
        <v>0</v>
      </c>
      <c r="E6318" s="65">
        <v>81.46</v>
      </c>
      <c r="F6318" s="8">
        <v>2.771</v>
      </c>
      <c r="G6318" s="66">
        <v>182.3509895</v>
      </c>
      <c r="H6318" s="8">
        <v>8.743</v>
      </c>
      <c r="J6318" s="26"/>
      <c r="K6318"/>
    </row>
    <row r="6319" spans="1:11">
      <c r="A6319">
        <v>45</v>
      </c>
      <c r="B6319" s="64">
        <v>40389</v>
      </c>
      <c r="C6319" s="2">
        <v>716859.27</v>
      </c>
      <c r="D6319">
        <v>0</v>
      </c>
      <c r="E6319" s="65">
        <v>79.78</v>
      </c>
      <c r="F6319" s="8">
        <v>2.781</v>
      </c>
      <c r="G6319" s="66">
        <v>182.4415378</v>
      </c>
      <c r="H6319" s="8">
        <v>8.743</v>
      </c>
      <c r="J6319" s="26"/>
      <c r="K6319"/>
    </row>
    <row r="6320" spans="1:11">
      <c r="A6320">
        <v>45</v>
      </c>
      <c r="B6320" s="64">
        <v>40396</v>
      </c>
      <c r="C6320" s="2">
        <v>746517.32</v>
      </c>
      <c r="D6320">
        <v>0</v>
      </c>
      <c r="E6320" s="65">
        <v>77.17</v>
      </c>
      <c r="F6320" s="8">
        <v>2.784</v>
      </c>
      <c r="G6320" s="66">
        <v>182.5320862</v>
      </c>
      <c r="H6320" s="8">
        <v>8.743</v>
      </c>
      <c r="J6320" s="26"/>
      <c r="K6320"/>
    </row>
    <row r="6321" spans="1:11">
      <c r="A6321">
        <v>45</v>
      </c>
      <c r="B6321" s="64">
        <v>40403</v>
      </c>
      <c r="C6321" s="2">
        <v>722262.21</v>
      </c>
      <c r="D6321">
        <v>0</v>
      </c>
      <c r="E6321" s="65">
        <v>78.44</v>
      </c>
      <c r="F6321" s="8">
        <v>2.805</v>
      </c>
      <c r="G6321" s="66">
        <v>182.6226346</v>
      </c>
      <c r="H6321" s="8">
        <v>8.743</v>
      </c>
      <c r="J6321" s="26"/>
      <c r="K6321"/>
    </row>
    <row r="6322" spans="1:11">
      <c r="A6322">
        <v>45</v>
      </c>
      <c r="B6322" s="64">
        <v>40410</v>
      </c>
      <c r="C6322" s="2">
        <v>708568.29</v>
      </c>
      <c r="D6322">
        <v>0</v>
      </c>
      <c r="E6322" s="65">
        <v>76.01</v>
      </c>
      <c r="F6322" s="8">
        <v>2.779</v>
      </c>
      <c r="G6322" s="66">
        <v>182.6165205</v>
      </c>
      <c r="H6322" s="8">
        <v>8.743</v>
      </c>
      <c r="J6322" s="26"/>
      <c r="K6322"/>
    </row>
    <row r="6323" spans="1:11">
      <c r="A6323">
        <v>45</v>
      </c>
      <c r="B6323" s="64">
        <v>40417</v>
      </c>
      <c r="C6323" s="2">
        <v>721744.33</v>
      </c>
      <c r="D6323">
        <v>0</v>
      </c>
      <c r="E6323" s="65">
        <v>71.36</v>
      </c>
      <c r="F6323" s="8">
        <v>2.755</v>
      </c>
      <c r="G6323" s="66">
        <v>182.6104063</v>
      </c>
      <c r="H6323" s="8">
        <v>8.743</v>
      </c>
      <c r="J6323" s="26"/>
      <c r="K6323"/>
    </row>
    <row r="6324" spans="1:11">
      <c r="A6324">
        <v>45</v>
      </c>
      <c r="B6324" s="64">
        <v>40424</v>
      </c>
      <c r="C6324" s="2">
        <v>790144.7</v>
      </c>
      <c r="D6324">
        <v>0</v>
      </c>
      <c r="E6324" s="65">
        <v>78.37</v>
      </c>
      <c r="F6324" s="8">
        <v>2.715</v>
      </c>
      <c r="G6324" s="66">
        <v>182.6042922</v>
      </c>
      <c r="H6324" s="8">
        <v>8.743</v>
      </c>
      <c r="J6324" s="26"/>
      <c r="K6324"/>
    </row>
    <row r="6325" spans="1:11">
      <c r="A6325">
        <v>45</v>
      </c>
      <c r="B6325" s="64">
        <v>40431</v>
      </c>
      <c r="C6325" s="2">
        <v>721460.22</v>
      </c>
      <c r="D6325">
        <v>1</v>
      </c>
      <c r="E6325" s="65">
        <v>70.87</v>
      </c>
      <c r="F6325" s="8">
        <v>2.699</v>
      </c>
      <c r="G6325" s="66">
        <v>182.598178</v>
      </c>
      <c r="H6325" s="8">
        <v>8.743</v>
      </c>
      <c r="J6325" s="26"/>
      <c r="K6325"/>
    </row>
    <row r="6326" spans="1:11">
      <c r="A6326">
        <v>45</v>
      </c>
      <c r="B6326" s="64">
        <v>40438</v>
      </c>
      <c r="C6326" s="2">
        <v>716987.58</v>
      </c>
      <c r="D6326">
        <v>0</v>
      </c>
      <c r="E6326" s="65">
        <v>66.55</v>
      </c>
      <c r="F6326" s="8">
        <v>2.706</v>
      </c>
      <c r="G6326" s="66">
        <v>182.622509</v>
      </c>
      <c r="H6326" s="8">
        <v>8.743</v>
      </c>
      <c r="J6326" s="26"/>
      <c r="K6326"/>
    </row>
    <row r="6327" spans="1:11">
      <c r="A6327">
        <v>45</v>
      </c>
      <c r="B6327" s="64">
        <v>40445</v>
      </c>
      <c r="C6327" s="2">
        <v>678228.58</v>
      </c>
      <c r="D6327">
        <v>0</v>
      </c>
      <c r="E6327" s="65">
        <v>68.59</v>
      </c>
      <c r="F6327" s="8">
        <v>2.713</v>
      </c>
      <c r="G6327" s="66">
        <v>182.6696737</v>
      </c>
      <c r="H6327" s="8">
        <v>8.743</v>
      </c>
      <c r="J6327" s="26"/>
      <c r="K6327"/>
    </row>
    <row r="6328" spans="1:11">
      <c r="A6328">
        <v>45</v>
      </c>
      <c r="B6328" s="64">
        <v>40452</v>
      </c>
      <c r="C6328" s="2">
        <v>690007.76</v>
      </c>
      <c r="D6328">
        <v>0</v>
      </c>
      <c r="E6328" s="65">
        <v>70.58</v>
      </c>
      <c r="F6328" s="8">
        <v>2.707</v>
      </c>
      <c r="G6328" s="66">
        <v>182.7168385</v>
      </c>
      <c r="H6328" s="8">
        <v>8.724</v>
      </c>
      <c r="J6328" s="26"/>
      <c r="K6328"/>
    </row>
    <row r="6329" spans="1:11">
      <c r="A6329">
        <v>45</v>
      </c>
      <c r="B6329" s="64">
        <v>40459</v>
      </c>
      <c r="C6329" s="2">
        <v>745782.1</v>
      </c>
      <c r="D6329">
        <v>0</v>
      </c>
      <c r="E6329" s="65">
        <v>56.49</v>
      </c>
      <c r="F6329" s="8">
        <v>2.764</v>
      </c>
      <c r="G6329" s="66">
        <v>182.7640032</v>
      </c>
      <c r="H6329" s="8">
        <v>8.724</v>
      </c>
      <c r="J6329" s="26"/>
      <c r="K6329"/>
    </row>
    <row r="6330" spans="1:11">
      <c r="A6330">
        <v>45</v>
      </c>
      <c r="B6330" s="64">
        <v>40466</v>
      </c>
      <c r="C6330" s="2">
        <v>715263.3</v>
      </c>
      <c r="D6330">
        <v>0</v>
      </c>
      <c r="E6330" s="65">
        <v>58.61</v>
      </c>
      <c r="F6330" s="8">
        <v>2.868</v>
      </c>
      <c r="G6330" s="66">
        <v>182.8106203</v>
      </c>
      <c r="H6330" s="8">
        <v>8.724</v>
      </c>
      <c r="J6330" s="26"/>
      <c r="K6330"/>
    </row>
    <row r="6331" spans="1:11">
      <c r="A6331">
        <v>45</v>
      </c>
      <c r="B6331" s="64">
        <v>40473</v>
      </c>
      <c r="C6331" s="2">
        <v>730899.37</v>
      </c>
      <c r="D6331">
        <v>0</v>
      </c>
      <c r="E6331" s="65">
        <v>53.15</v>
      </c>
      <c r="F6331" s="8">
        <v>2.917</v>
      </c>
      <c r="G6331" s="66">
        <v>182.8558685</v>
      </c>
      <c r="H6331" s="8">
        <v>8.724</v>
      </c>
      <c r="J6331" s="26"/>
      <c r="K6331"/>
    </row>
    <row r="6332" spans="1:11">
      <c r="A6332">
        <v>45</v>
      </c>
      <c r="B6332" s="64">
        <v>40480</v>
      </c>
      <c r="C6332" s="2">
        <v>732859.76</v>
      </c>
      <c r="D6332">
        <v>0</v>
      </c>
      <c r="E6332" s="65">
        <v>61.3</v>
      </c>
      <c r="F6332" s="8">
        <v>2.921</v>
      </c>
      <c r="G6332" s="66">
        <v>182.9011166</v>
      </c>
      <c r="H6332" s="8">
        <v>8.724</v>
      </c>
      <c r="J6332" s="26"/>
      <c r="K6332"/>
    </row>
    <row r="6333" spans="1:11">
      <c r="A6333">
        <v>45</v>
      </c>
      <c r="B6333" s="64">
        <v>40487</v>
      </c>
      <c r="C6333" s="2">
        <v>764014.06</v>
      </c>
      <c r="D6333">
        <v>0</v>
      </c>
      <c r="E6333" s="65">
        <v>45.65</v>
      </c>
      <c r="F6333" s="8">
        <v>2.917</v>
      </c>
      <c r="G6333" s="66">
        <v>182.9463648</v>
      </c>
      <c r="H6333" s="8">
        <v>8.724</v>
      </c>
      <c r="J6333" s="26"/>
      <c r="K6333"/>
    </row>
    <row r="6334" spans="1:11">
      <c r="A6334">
        <v>45</v>
      </c>
      <c r="B6334" s="64">
        <v>40494</v>
      </c>
      <c r="C6334" s="2">
        <v>765648.93</v>
      </c>
      <c r="D6334">
        <v>0</v>
      </c>
      <c r="E6334" s="65">
        <v>46.14</v>
      </c>
      <c r="F6334" s="8">
        <v>2.931</v>
      </c>
      <c r="G6334" s="66">
        <v>182.9916129</v>
      </c>
      <c r="H6334" s="8">
        <v>8.724</v>
      </c>
      <c r="J6334" s="26"/>
      <c r="K6334"/>
    </row>
    <row r="6335" spans="1:11">
      <c r="A6335">
        <v>45</v>
      </c>
      <c r="B6335" s="64">
        <v>40501</v>
      </c>
      <c r="C6335" s="2">
        <v>723987.85</v>
      </c>
      <c r="D6335">
        <v>0</v>
      </c>
      <c r="E6335" s="65">
        <v>50.02</v>
      </c>
      <c r="F6335" s="8">
        <v>3</v>
      </c>
      <c r="G6335" s="66">
        <v>182.8989385</v>
      </c>
      <c r="H6335" s="8">
        <v>8.724</v>
      </c>
      <c r="J6335" s="26"/>
      <c r="K6335"/>
    </row>
    <row r="6336" spans="1:11">
      <c r="A6336">
        <v>45</v>
      </c>
      <c r="B6336" s="64">
        <v>40508</v>
      </c>
      <c r="C6336" s="2">
        <v>1182500.16</v>
      </c>
      <c r="D6336">
        <v>1</v>
      </c>
      <c r="E6336" s="65">
        <v>46.15</v>
      </c>
      <c r="F6336" s="8">
        <v>3.039</v>
      </c>
      <c r="G6336" s="66">
        <v>182.7832769</v>
      </c>
      <c r="H6336" s="8">
        <v>8.724</v>
      </c>
      <c r="J6336" s="26"/>
      <c r="K6336"/>
    </row>
    <row r="6337" spans="1:11">
      <c r="A6337">
        <v>45</v>
      </c>
      <c r="B6337" s="64">
        <v>40515</v>
      </c>
      <c r="C6337" s="2">
        <v>879244.9</v>
      </c>
      <c r="D6337">
        <v>0</v>
      </c>
      <c r="E6337" s="65">
        <v>40.93</v>
      </c>
      <c r="F6337" s="8">
        <v>3.046</v>
      </c>
      <c r="G6337" s="66">
        <v>182.6676154</v>
      </c>
      <c r="H6337" s="8">
        <v>8.724</v>
      </c>
      <c r="J6337" s="26"/>
      <c r="K6337"/>
    </row>
    <row r="6338" spans="1:11">
      <c r="A6338">
        <v>45</v>
      </c>
      <c r="B6338" s="64">
        <v>40522</v>
      </c>
      <c r="C6338" s="2">
        <v>1002364.34</v>
      </c>
      <c r="D6338">
        <v>0</v>
      </c>
      <c r="E6338" s="65">
        <v>30.54</v>
      </c>
      <c r="F6338" s="8">
        <v>3.109</v>
      </c>
      <c r="G6338" s="66">
        <v>182.5519538</v>
      </c>
      <c r="H6338" s="8">
        <v>8.724</v>
      </c>
      <c r="J6338" s="26"/>
      <c r="K6338"/>
    </row>
    <row r="6339" spans="1:11">
      <c r="A6339">
        <v>45</v>
      </c>
      <c r="B6339" s="64">
        <v>40529</v>
      </c>
      <c r="C6339" s="2">
        <v>1123282.85</v>
      </c>
      <c r="D6339">
        <v>0</v>
      </c>
      <c r="E6339" s="65">
        <v>30.51</v>
      </c>
      <c r="F6339" s="8">
        <v>3.14</v>
      </c>
      <c r="G6339" s="66">
        <v>182.517732</v>
      </c>
      <c r="H6339" s="8">
        <v>8.724</v>
      </c>
      <c r="J6339" s="26"/>
      <c r="K6339"/>
    </row>
    <row r="6340" spans="1:11">
      <c r="A6340">
        <v>45</v>
      </c>
      <c r="B6340" s="64">
        <v>40536</v>
      </c>
      <c r="C6340" s="2">
        <v>1682862.03</v>
      </c>
      <c r="D6340">
        <v>0</v>
      </c>
      <c r="E6340" s="65">
        <v>30.59</v>
      </c>
      <c r="F6340" s="8">
        <v>3.141</v>
      </c>
      <c r="G6340" s="66">
        <v>182.54459</v>
      </c>
      <c r="H6340" s="8">
        <v>8.724</v>
      </c>
      <c r="J6340" s="26"/>
      <c r="K6340"/>
    </row>
    <row r="6341" spans="1:11">
      <c r="A6341">
        <v>45</v>
      </c>
      <c r="B6341" s="64">
        <v>40543</v>
      </c>
      <c r="C6341" s="2">
        <v>679156.2</v>
      </c>
      <c r="D6341">
        <v>1</v>
      </c>
      <c r="E6341" s="65">
        <v>29.67</v>
      </c>
      <c r="F6341" s="8">
        <v>3.179</v>
      </c>
      <c r="G6341" s="66">
        <v>182.5714479</v>
      </c>
      <c r="H6341" s="8">
        <v>8.724</v>
      </c>
      <c r="J6341" s="26"/>
      <c r="K6341"/>
    </row>
    <row r="6342" spans="1:11">
      <c r="A6342">
        <v>45</v>
      </c>
      <c r="B6342" s="64">
        <v>40550</v>
      </c>
      <c r="C6342" s="2">
        <v>680254.35</v>
      </c>
      <c r="D6342">
        <v>0</v>
      </c>
      <c r="E6342" s="65">
        <v>34.32</v>
      </c>
      <c r="F6342" s="8">
        <v>3.193</v>
      </c>
      <c r="G6342" s="66">
        <v>182.5983058</v>
      </c>
      <c r="H6342" s="8">
        <v>8.549</v>
      </c>
      <c r="J6342" s="26"/>
      <c r="K6342"/>
    </row>
    <row r="6343" spans="1:11">
      <c r="A6343">
        <v>45</v>
      </c>
      <c r="B6343" s="64">
        <v>40557</v>
      </c>
      <c r="C6343" s="2">
        <v>654018.95</v>
      </c>
      <c r="D6343">
        <v>0</v>
      </c>
      <c r="E6343" s="65">
        <v>24.78</v>
      </c>
      <c r="F6343" s="8">
        <v>3.205</v>
      </c>
      <c r="G6343" s="66">
        <v>182.6585782</v>
      </c>
      <c r="H6343" s="8">
        <v>8.549</v>
      </c>
      <c r="J6343" s="26"/>
      <c r="K6343"/>
    </row>
    <row r="6344" spans="1:11">
      <c r="A6344">
        <v>45</v>
      </c>
      <c r="B6344" s="64">
        <v>40564</v>
      </c>
      <c r="C6344" s="2">
        <v>644285.33</v>
      </c>
      <c r="D6344">
        <v>0</v>
      </c>
      <c r="E6344" s="65">
        <v>30.55</v>
      </c>
      <c r="F6344" s="8">
        <v>3.229</v>
      </c>
      <c r="G6344" s="66">
        <v>182.9193368</v>
      </c>
      <c r="H6344" s="8">
        <v>8.549</v>
      </c>
      <c r="J6344" s="26"/>
      <c r="K6344"/>
    </row>
    <row r="6345" spans="1:11">
      <c r="A6345">
        <v>45</v>
      </c>
      <c r="B6345" s="64">
        <v>40571</v>
      </c>
      <c r="C6345" s="2">
        <v>617207.58</v>
      </c>
      <c r="D6345">
        <v>0</v>
      </c>
      <c r="E6345" s="65">
        <v>24.05</v>
      </c>
      <c r="F6345" s="8">
        <v>3.237</v>
      </c>
      <c r="G6345" s="66">
        <v>183.1800955</v>
      </c>
      <c r="H6345" s="8">
        <v>8.549</v>
      </c>
      <c r="J6345" s="26"/>
      <c r="K6345"/>
    </row>
    <row r="6346" spans="1:11">
      <c r="A6346">
        <v>45</v>
      </c>
      <c r="B6346" s="64">
        <v>40578</v>
      </c>
      <c r="C6346" s="2">
        <v>759442.33</v>
      </c>
      <c r="D6346">
        <v>0</v>
      </c>
      <c r="E6346" s="65">
        <v>28.73</v>
      </c>
      <c r="F6346" s="8">
        <v>3.231</v>
      </c>
      <c r="G6346" s="66">
        <v>183.4408542</v>
      </c>
      <c r="H6346" s="8">
        <v>8.549</v>
      </c>
      <c r="J6346" s="26"/>
      <c r="K6346"/>
    </row>
    <row r="6347" spans="1:11">
      <c r="A6347">
        <v>45</v>
      </c>
      <c r="B6347" s="64">
        <v>40585</v>
      </c>
      <c r="C6347" s="2">
        <v>766456</v>
      </c>
      <c r="D6347">
        <v>1</v>
      </c>
      <c r="E6347" s="65">
        <v>30.3</v>
      </c>
      <c r="F6347" s="8">
        <v>3.239</v>
      </c>
      <c r="G6347" s="66">
        <v>183.7016129</v>
      </c>
      <c r="H6347" s="8">
        <v>8.549</v>
      </c>
      <c r="J6347" s="26"/>
      <c r="K6347"/>
    </row>
    <row r="6348" spans="1:11">
      <c r="A6348">
        <v>45</v>
      </c>
      <c r="B6348" s="64">
        <v>40592</v>
      </c>
      <c r="C6348" s="2">
        <v>802253.41</v>
      </c>
      <c r="D6348">
        <v>0</v>
      </c>
      <c r="E6348" s="65">
        <v>40.7</v>
      </c>
      <c r="F6348" s="8">
        <v>3.245</v>
      </c>
      <c r="G6348" s="66">
        <v>183.9371353</v>
      </c>
      <c r="H6348" s="8">
        <v>8.549</v>
      </c>
      <c r="J6348" s="26"/>
      <c r="K6348"/>
    </row>
    <row r="6349" spans="1:11">
      <c r="A6349">
        <v>45</v>
      </c>
      <c r="B6349" s="64">
        <v>40599</v>
      </c>
      <c r="C6349" s="2">
        <v>733716.78</v>
      </c>
      <c r="D6349">
        <v>0</v>
      </c>
      <c r="E6349" s="65">
        <v>35.78</v>
      </c>
      <c r="F6349" s="8">
        <v>3.274</v>
      </c>
      <c r="G6349" s="66">
        <v>184.1625632</v>
      </c>
      <c r="H6349" s="8">
        <v>8.549</v>
      </c>
      <c r="J6349" s="26"/>
      <c r="K6349"/>
    </row>
    <row r="6350" spans="1:11">
      <c r="A6350">
        <v>45</v>
      </c>
      <c r="B6350" s="64">
        <v>40606</v>
      </c>
      <c r="C6350" s="2">
        <v>761880.36</v>
      </c>
      <c r="D6350">
        <v>0</v>
      </c>
      <c r="E6350" s="65">
        <v>38.65</v>
      </c>
      <c r="F6350" s="8">
        <v>3.433</v>
      </c>
      <c r="G6350" s="66">
        <v>184.3879911</v>
      </c>
      <c r="H6350" s="8">
        <v>8.549</v>
      </c>
      <c r="J6350" s="26"/>
      <c r="K6350"/>
    </row>
    <row r="6351" spans="1:11">
      <c r="A6351">
        <v>45</v>
      </c>
      <c r="B6351" s="64">
        <v>40613</v>
      </c>
      <c r="C6351" s="2">
        <v>714014.73</v>
      </c>
      <c r="D6351">
        <v>0</v>
      </c>
      <c r="E6351" s="65">
        <v>45.01</v>
      </c>
      <c r="F6351" s="8">
        <v>3.582</v>
      </c>
      <c r="G6351" s="66">
        <v>184.613419</v>
      </c>
      <c r="H6351" s="8">
        <v>8.549</v>
      </c>
      <c r="J6351" s="26"/>
      <c r="K6351"/>
    </row>
    <row r="6352" spans="1:11">
      <c r="A6352">
        <v>45</v>
      </c>
      <c r="B6352" s="64">
        <v>40620</v>
      </c>
      <c r="C6352" s="2">
        <v>733564.77</v>
      </c>
      <c r="D6352">
        <v>0</v>
      </c>
      <c r="E6352" s="65">
        <v>46.66</v>
      </c>
      <c r="F6352" s="8">
        <v>3.631</v>
      </c>
      <c r="G6352" s="66">
        <v>184.809719</v>
      </c>
      <c r="H6352" s="8">
        <v>8.549</v>
      </c>
      <c r="J6352" s="26"/>
      <c r="K6352"/>
    </row>
    <row r="6353" spans="1:11">
      <c r="A6353">
        <v>45</v>
      </c>
      <c r="B6353" s="64">
        <v>40627</v>
      </c>
      <c r="C6353" s="2">
        <v>719737.25</v>
      </c>
      <c r="D6353">
        <v>0</v>
      </c>
      <c r="E6353" s="65">
        <v>41.76</v>
      </c>
      <c r="F6353" s="8">
        <v>3.625</v>
      </c>
      <c r="G6353" s="66">
        <v>184.9943679</v>
      </c>
      <c r="H6353" s="8">
        <v>8.549</v>
      </c>
      <c r="J6353" s="26"/>
      <c r="K6353"/>
    </row>
    <row r="6354" spans="1:11">
      <c r="A6354">
        <v>45</v>
      </c>
      <c r="B6354" s="64">
        <v>40634</v>
      </c>
      <c r="C6354" s="2">
        <v>712425.76</v>
      </c>
      <c r="D6354">
        <v>0</v>
      </c>
      <c r="E6354" s="65">
        <v>37.27</v>
      </c>
      <c r="F6354" s="8">
        <v>3.638</v>
      </c>
      <c r="G6354" s="66">
        <v>185.1790167</v>
      </c>
      <c r="H6354" s="8">
        <v>8.521</v>
      </c>
      <c r="J6354" s="26"/>
      <c r="K6354"/>
    </row>
    <row r="6355" spans="1:11">
      <c r="A6355">
        <v>45</v>
      </c>
      <c r="B6355" s="64">
        <v>40641</v>
      </c>
      <c r="C6355" s="2">
        <v>750182.71</v>
      </c>
      <c r="D6355">
        <v>0</v>
      </c>
      <c r="E6355" s="65">
        <v>48.71</v>
      </c>
      <c r="F6355" s="8">
        <v>3.72</v>
      </c>
      <c r="G6355" s="66">
        <v>185.3636656</v>
      </c>
      <c r="H6355" s="8">
        <v>8.521</v>
      </c>
      <c r="J6355" s="26"/>
      <c r="K6355"/>
    </row>
    <row r="6356" spans="1:11">
      <c r="A6356">
        <v>45</v>
      </c>
      <c r="B6356" s="64">
        <v>40648</v>
      </c>
      <c r="C6356" s="2">
        <v>765270.02</v>
      </c>
      <c r="D6356">
        <v>0</v>
      </c>
      <c r="E6356" s="65">
        <v>53.69</v>
      </c>
      <c r="F6356" s="8">
        <v>3.821</v>
      </c>
      <c r="G6356" s="66">
        <v>185.5339821</v>
      </c>
      <c r="H6356" s="8">
        <v>8.521</v>
      </c>
      <c r="J6356" s="26"/>
      <c r="K6356"/>
    </row>
    <row r="6357" spans="1:11">
      <c r="A6357">
        <v>45</v>
      </c>
      <c r="B6357" s="64">
        <v>40655</v>
      </c>
      <c r="C6357" s="2">
        <v>813630.44</v>
      </c>
      <c r="D6357">
        <v>0</v>
      </c>
      <c r="E6357" s="65">
        <v>53.04</v>
      </c>
      <c r="F6357" s="8">
        <v>3.892</v>
      </c>
      <c r="G6357" s="66">
        <v>185.6684673</v>
      </c>
      <c r="H6357" s="8">
        <v>8.521</v>
      </c>
      <c r="J6357" s="26"/>
      <c r="K6357"/>
    </row>
    <row r="6358" spans="1:11">
      <c r="A6358">
        <v>45</v>
      </c>
      <c r="B6358" s="64">
        <v>40662</v>
      </c>
      <c r="C6358" s="2">
        <v>786561.61</v>
      </c>
      <c r="D6358">
        <v>0</v>
      </c>
      <c r="E6358" s="65">
        <v>66.18</v>
      </c>
      <c r="F6358" s="8">
        <v>3.962</v>
      </c>
      <c r="G6358" s="66">
        <v>185.8029526</v>
      </c>
      <c r="H6358" s="8">
        <v>8.521</v>
      </c>
      <c r="J6358" s="26"/>
      <c r="K6358"/>
    </row>
    <row r="6359" spans="1:11">
      <c r="A6359">
        <v>45</v>
      </c>
      <c r="B6359" s="64">
        <v>40669</v>
      </c>
      <c r="C6359" s="2">
        <v>810150.64</v>
      </c>
      <c r="D6359">
        <v>0</v>
      </c>
      <c r="E6359" s="65">
        <v>58.21</v>
      </c>
      <c r="F6359" s="8">
        <v>4.046</v>
      </c>
      <c r="G6359" s="66">
        <v>185.9374378</v>
      </c>
      <c r="H6359" s="8">
        <v>8.521</v>
      </c>
      <c r="J6359" s="26"/>
      <c r="K6359"/>
    </row>
    <row r="6360" spans="1:11">
      <c r="A6360">
        <v>45</v>
      </c>
      <c r="B6360" s="64">
        <v>40676</v>
      </c>
      <c r="C6360" s="2">
        <v>793889.1</v>
      </c>
      <c r="D6360">
        <v>0</v>
      </c>
      <c r="E6360" s="65">
        <v>60.38</v>
      </c>
      <c r="F6360" s="8">
        <v>4.066</v>
      </c>
      <c r="G6360" s="66">
        <v>186.0719231</v>
      </c>
      <c r="H6360" s="8">
        <v>8.521</v>
      </c>
      <c r="J6360" s="26"/>
      <c r="K6360"/>
    </row>
    <row r="6361" spans="1:11">
      <c r="A6361">
        <v>45</v>
      </c>
      <c r="B6361" s="64">
        <v>40683</v>
      </c>
      <c r="C6361" s="2">
        <v>727163.67</v>
      </c>
      <c r="D6361">
        <v>0</v>
      </c>
      <c r="E6361" s="65">
        <v>62.28</v>
      </c>
      <c r="F6361" s="8">
        <v>4.062</v>
      </c>
      <c r="G6361" s="66">
        <v>185.9661154</v>
      </c>
      <c r="H6361" s="8">
        <v>8.521</v>
      </c>
      <c r="J6361" s="26"/>
      <c r="K6361"/>
    </row>
    <row r="6362" spans="1:11">
      <c r="A6362">
        <v>45</v>
      </c>
      <c r="B6362" s="64">
        <v>40690</v>
      </c>
      <c r="C6362" s="2">
        <v>817653.25</v>
      </c>
      <c r="D6362">
        <v>0</v>
      </c>
      <c r="E6362" s="65">
        <v>69.7</v>
      </c>
      <c r="F6362" s="8">
        <v>3.985</v>
      </c>
      <c r="G6362" s="66">
        <v>185.8603077</v>
      </c>
      <c r="H6362" s="8">
        <v>8.521</v>
      </c>
      <c r="J6362" s="26"/>
      <c r="K6362"/>
    </row>
    <row r="6363" spans="1:11">
      <c r="A6363">
        <v>45</v>
      </c>
      <c r="B6363" s="64">
        <v>40697</v>
      </c>
      <c r="C6363" s="2">
        <v>877423.45</v>
      </c>
      <c r="D6363">
        <v>0</v>
      </c>
      <c r="E6363" s="65">
        <v>76.38</v>
      </c>
      <c r="F6363" s="8">
        <v>3.922</v>
      </c>
      <c r="G6363" s="66">
        <v>185.7545</v>
      </c>
      <c r="H6363" s="8">
        <v>8.521</v>
      </c>
      <c r="J6363" s="26"/>
      <c r="K6363"/>
    </row>
    <row r="6364" spans="1:11">
      <c r="A6364">
        <v>45</v>
      </c>
      <c r="B6364" s="64">
        <v>40704</v>
      </c>
      <c r="C6364" s="2">
        <v>814395.17</v>
      </c>
      <c r="D6364">
        <v>0</v>
      </c>
      <c r="E6364" s="65">
        <v>73.88</v>
      </c>
      <c r="F6364" s="8">
        <v>3.881</v>
      </c>
      <c r="G6364" s="66">
        <v>185.6486923</v>
      </c>
      <c r="H6364" s="8">
        <v>8.521</v>
      </c>
      <c r="J6364" s="26"/>
      <c r="K6364"/>
    </row>
    <row r="6365" spans="1:11">
      <c r="A6365">
        <v>45</v>
      </c>
      <c r="B6365" s="64">
        <v>40711</v>
      </c>
      <c r="C6365" s="2">
        <v>811153.67</v>
      </c>
      <c r="D6365">
        <v>0</v>
      </c>
      <c r="E6365" s="65">
        <v>69.32</v>
      </c>
      <c r="F6365" s="8">
        <v>3.842</v>
      </c>
      <c r="G6365" s="66">
        <v>185.6719333</v>
      </c>
      <c r="H6365" s="8">
        <v>8.521</v>
      </c>
      <c r="J6365" s="26"/>
      <c r="K6365"/>
    </row>
    <row r="6366" spans="1:11">
      <c r="A6366">
        <v>45</v>
      </c>
      <c r="B6366" s="64">
        <v>40718</v>
      </c>
      <c r="C6366" s="2">
        <v>762861.78</v>
      </c>
      <c r="D6366">
        <v>0</v>
      </c>
      <c r="E6366" s="65">
        <v>74.85</v>
      </c>
      <c r="F6366" s="8">
        <v>3.804</v>
      </c>
      <c r="G6366" s="66">
        <v>185.7919609</v>
      </c>
      <c r="H6366" s="8">
        <v>8.521</v>
      </c>
      <c r="J6366" s="26"/>
      <c r="K6366"/>
    </row>
    <row r="6367" spans="1:11">
      <c r="A6367">
        <v>45</v>
      </c>
      <c r="B6367" s="64">
        <v>40725</v>
      </c>
      <c r="C6367" s="2">
        <v>791495.25</v>
      </c>
      <c r="D6367">
        <v>0</v>
      </c>
      <c r="E6367" s="65">
        <v>74.04</v>
      </c>
      <c r="F6367" s="8">
        <v>3.748</v>
      </c>
      <c r="G6367" s="66">
        <v>185.9119885</v>
      </c>
      <c r="H6367" s="8">
        <v>8.625</v>
      </c>
      <c r="J6367" s="26"/>
      <c r="K6367"/>
    </row>
    <row r="6368" spans="1:11">
      <c r="A6368">
        <v>45</v>
      </c>
      <c r="B6368" s="64">
        <v>40732</v>
      </c>
      <c r="C6368" s="2">
        <v>768718.11</v>
      </c>
      <c r="D6368">
        <v>0</v>
      </c>
      <c r="E6368" s="65">
        <v>77.49</v>
      </c>
      <c r="F6368" s="8">
        <v>3.711</v>
      </c>
      <c r="G6368" s="66">
        <v>186.032016</v>
      </c>
      <c r="H6368" s="8">
        <v>8.625</v>
      </c>
      <c r="J6368" s="26"/>
      <c r="K6368"/>
    </row>
    <row r="6369" spans="1:11">
      <c r="A6369">
        <v>45</v>
      </c>
      <c r="B6369" s="64">
        <v>40739</v>
      </c>
      <c r="C6369" s="2">
        <v>748435.2</v>
      </c>
      <c r="D6369">
        <v>0</v>
      </c>
      <c r="E6369" s="65">
        <v>78.47</v>
      </c>
      <c r="F6369" s="8">
        <v>3.76</v>
      </c>
      <c r="G6369" s="66">
        <v>186.1399808</v>
      </c>
      <c r="H6369" s="8">
        <v>8.625</v>
      </c>
      <c r="J6369" s="26"/>
      <c r="K6369"/>
    </row>
    <row r="6370" spans="1:11">
      <c r="A6370">
        <v>45</v>
      </c>
      <c r="B6370" s="64">
        <v>40746</v>
      </c>
      <c r="C6370" s="2">
        <v>741625.25</v>
      </c>
      <c r="D6370">
        <v>0</v>
      </c>
      <c r="E6370" s="65">
        <v>82.33</v>
      </c>
      <c r="F6370" s="8">
        <v>3.811</v>
      </c>
      <c r="G6370" s="66">
        <v>186.2177885</v>
      </c>
      <c r="H6370" s="8">
        <v>8.625</v>
      </c>
      <c r="J6370" s="26"/>
      <c r="K6370"/>
    </row>
    <row r="6371" spans="1:11">
      <c r="A6371">
        <v>45</v>
      </c>
      <c r="B6371" s="64">
        <v>40753</v>
      </c>
      <c r="C6371" s="2">
        <v>704680.97</v>
      </c>
      <c r="D6371">
        <v>0</v>
      </c>
      <c r="E6371" s="65">
        <v>81.31</v>
      </c>
      <c r="F6371" s="8">
        <v>3.829</v>
      </c>
      <c r="G6371" s="66">
        <v>186.2955962</v>
      </c>
      <c r="H6371" s="8">
        <v>8.625</v>
      </c>
      <c r="J6371" s="26"/>
      <c r="K6371"/>
    </row>
    <row r="6372" spans="1:11">
      <c r="A6372">
        <v>45</v>
      </c>
      <c r="B6372" s="64">
        <v>40760</v>
      </c>
      <c r="C6372" s="2">
        <v>765996.92</v>
      </c>
      <c r="D6372">
        <v>0</v>
      </c>
      <c r="E6372" s="65">
        <v>78.22</v>
      </c>
      <c r="F6372" s="8">
        <v>3.842</v>
      </c>
      <c r="G6372" s="66">
        <v>186.3734038</v>
      </c>
      <c r="H6372" s="8">
        <v>8.625</v>
      </c>
      <c r="J6372" s="26"/>
      <c r="K6372"/>
    </row>
    <row r="6373" spans="1:11">
      <c r="A6373">
        <v>45</v>
      </c>
      <c r="B6373" s="64">
        <v>40767</v>
      </c>
      <c r="C6373" s="2">
        <v>724180.89</v>
      </c>
      <c r="D6373">
        <v>0</v>
      </c>
      <c r="E6373" s="65">
        <v>77</v>
      </c>
      <c r="F6373" s="8">
        <v>3.812</v>
      </c>
      <c r="G6373" s="66">
        <v>186.4512115</v>
      </c>
      <c r="H6373" s="8">
        <v>8.625</v>
      </c>
      <c r="J6373" s="26"/>
      <c r="K6373"/>
    </row>
    <row r="6374" spans="1:11">
      <c r="A6374">
        <v>45</v>
      </c>
      <c r="B6374" s="64">
        <v>40774</v>
      </c>
      <c r="C6374" s="2">
        <v>712362.72</v>
      </c>
      <c r="D6374">
        <v>0</v>
      </c>
      <c r="E6374" s="65">
        <v>72.98</v>
      </c>
      <c r="F6374" s="8">
        <v>3.747</v>
      </c>
      <c r="G6374" s="66">
        <v>186.5093071</v>
      </c>
      <c r="H6374" s="8">
        <v>8.625</v>
      </c>
      <c r="J6374" s="26"/>
      <c r="K6374"/>
    </row>
    <row r="6375" spans="1:11">
      <c r="A6375">
        <v>45</v>
      </c>
      <c r="B6375" s="64">
        <v>40781</v>
      </c>
      <c r="C6375" s="2">
        <v>833979.01</v>
      </c>
      <c r="D6375">
        <v>0</v>
      </c>
      <c r="E6375" s="65">
        <v>72.55</v>
      </c>
      <c r="F6375" s="8">
        <v>3.704</v>
      </c>
      <c r="G6375" s="66">
        <v>186.5641172</v>
      </c>
      <c r="H6375" s="8">
        <v>8.625</v>
      </c>
      <c r="J6375" s="26"/>
      <c r="K6375"/>
    </row>
    <row r="6376" spans="1:11">
      <c r="A6376">
        <v>45</v>
      </c>
      <c r="B6376" s="64">
        <v>40788</v>
      </c>
      <c r="C6376" s="2">
        <v>726482.39</v>
      </c>
      <c r="D6376">
        <v>0</v>
      </c>
      <c r="E6376" s="65">
        <v>70.63</v>
      </c>
      <c r="F6376" s="8">
        <v>3.703</v>
      </c>
      <c r="G6376" s="66">
        <v>186.6189274</v>
      </c>
      <c r="H6376" s="8">
        <v>8.625</v>
      </c>
      <c r="J6376" s="26"/>
      <c r="K6376"/>
    </row>
    <row r="6377" spans="1:11">
      <c r="A6377">
        <v>45</v>
      </c>
      <c r="B6377" s="64">
        <v>40795</v>
      </c>
      <c r="C6377" s="2">
        <v>746129.56</v>
      </c>
      <c r="D6377">
        <v>1</v>
      </c>
      <c r="E6377" s="65">
        <v>71.48</v>
      </c>
      <c r="F6377" s="8">
        <v>3.738</v>
      </c>
      <c r="G6377" s="66">
        <v>186.6737376</v>
      </c>
      <c r="H6377" s="8">
        <v>8.625</v>
      </c>
      <c r="J6377" s="26"/>
      <c r="K6377"/>
    </row>
    <row r="6378" spans="1:11">
      <c r="A6378">
        <v>45</v>
      </c>
      <c r="B6378" s="64">
        <v>40802</v>
      </c>
      <c r="C6378" s="2">
        <v>711367.56</v>
      </c>
      <c r="D6378">
        <v>0</v>
      </c>
      <c r="E6378" s="65">
        <v>69.17</v>
      </c>
      <c r="F6378" s="8">
        <v>3.742</v>
      </c>
      <c r="G6378" s="66">
        <v>186.8024</v>
      </c>
      <c r="H6378" s="8">
        <v>8.625</v>
      </c>
      <c r="J6378" s="26"/>
      <c r="K6378"/>
    </row>
    <row r="6379" spans="1:11">
      <c r="A6379">
        <v>45</v>
      </c>
      <c r="B6379" s="64">
        <v>40809</v>
      </c>
      <c r="C6379" s="2">
        <v>714106.42</v>
      </c>
      <c r="D6379">
        <v>0</v>
      </c>
      <c r="E6379" s="65">
        <v>63.75</v>
      </c>
      <c r="F6379" s="8">
        <v>3.711</v>
      </c>
      <c r="G6379" s="66">
        <v>187.0295321</v>
      </c>
      <c r="H6379" s="8">
        <v>8.625</v>
      </c>
      <c r="J6379" s="26"/>
      <c r="K6379"/>
    </row>
    <row r="6380" spans="1:11">
      <c r="A6380">
        <v>45</v>
      </c>
      <c r="B6380" s="64">
        <v>40816</v>
      </c>
      <c r="C6380" s="2">
        <v>698986.34</v>
      </c>
      <c r="D6380">
        <v>0</v>
      </c>
      <c r="E6380" s="65">
        <v>70.66</v>
      </c>
      <c r="F6380" s="8">
        <v>3.645</v>
      </c>
      <c r="G6380" s="66">
        <v>187.2566641</v>
      </c>
      <c r="H6380" s="8">
        <v>8.625</v>
      </c>
      <c r="J6380" s="26"/>
      <c r="K6380"/>
    </row>
    <row r="6381" spans="1:11">
      <c r="A6381">
        <v>45</v>
      </c>
      <c r="B6381" s="64">
        <v>40823</v>
      </c>
      <c r="C6381" s="2">
        <v>753447.05</v>
      </c>
      <c r="D6381">
        <v>0</v>
      </c>
      <c r="E6381" s="65">
        <v>55.82</v>
      </c>
      <c r="F6381" s="8">
        <v>3.583</v>
      </c>
      <c r="G6381" s="66">
        <v>187.4837962</v>
      </c>
      <c r="H6381" s="8">
        <v>8.523</v>
      </c>
      <c r="J6381" s="26"/>
      <c r="K6381"/>
    </row>
    <row r="6382" spans="1:11">
      <c r="A6382">
        <v>45</v>
      </c>
      <c r="B6382" s="64">
        <v>40830</v>
      </c>
      <c r="C6382" s="2">
        <v>720946.99</v>
      </c>
      <c r="D6382">
        <v>0</v>
      </c>
      <c r="E6382" s="65">
        <v>63.82</v>
      </c>
      <c r="F6382" s="8">
        <v>3.541</v>
      </c>
      <c r="G6382" s="66">
        <v>187.6917481</v>
      </c>
      <c r="H6382" s="8">
        <v>8.523</v>
      </c>
      <c r="J6382" s="26"/>
      <c r="K6382"/>
    </row>
    <row r="6383" spans="1:11">
      <c r="A6383">
        <v>45</v>
      </c>
      <c r="B6383" s="64">
        <v>40837</v>
      </c>
      <c r="C6383" s="2">
        <v>771686.4</v>
      </c>
      <c r="D6383">
        <v>0</v>
      </c>
      <c r="E6383" s="65">
        <v>59.6</v>
      </c>
      <c r="F6383" s="8">
        <v>3.57</v>
      </c>
      <c r="G6383" s="66">
        <v>187.7846197</v>
      </c>
      <c r="H6383" s="8">
        <v>8.523</v>
      </c>
      <c r="J6383" s="26"/>
      <c r="K6383"/>
    </row>
    <row r="6384" spans="1:11">
      <c r="A6384">
        <v>45</v>
      </c>
      <c r="B6384" s="64">
        <v>40844</v>
      </c>
      <c r="C6384" s="2">
        <v>781694.57</v>
      </c>
      <c r="D6384">
        <v>0</v>
      </c>
      <c r="E6384" s="65">
        <v>51.78</v>
      </c>
      <c r="F6384" s="8">
        <v>3.569</v>
      </c>
      <c r="G6384" s="66">
        <v>187.8774913</v>
      </c>
      <c r="H6384" s="8">
        <v>8.523</v>
      </c>
      <c r="J6384" s="26"/>
      <c r="K6384"/>
    </row>
    <row r="6385" spans="1:11">
      <c r="A6385">
        <v>45</v>
      </c>
      <c r="B6385" s="64">
        <v>40851</v>
      </c>
      <c r="C6385" s="2">
        <v>833429.22</v>
      </c>
      <c r="D6385">
        <v>0</v>
      </c>
      <c r="E6385" s="65">
        <v>43.92</v>
      </c>
      <c r="F6385" s="8">
        <v>3.551</v>
      </c>
      <c r="G6385" s="66">
        <v>187.9703629</v>
      </c>
      <c r="H6385" s="8">
        <v>8.523</v>
      </c>
      <c r="J6385" s="26"/>
      <c r="K6385"/>
    </row>
    <row r="6386" spans="1:11">
      <c r="A6386">
        <v>45</v>
      </c>
      <c r="B6386" s="64">
        <v>40858</v>
      </c>
      <c r="C6386" s="2">
        <v>808624.82</v>
      </c>
      <c r="D6386">
        <v>0</v>
      </c>
      <c r="E6386" s="65">
        <v>47.65</v>
      </c>
      <c r="F6386" s="8">
        <v>3.53</v>
      </c>
      <c r="G6386" s="66">
        <v>188.0632345</v>
      </c>
      <c r="H6386" s="8">
        <v>8.523</v>
      </c>
      <c r="J6386" s="26"/>
      <c r="K6386"/>
    </row>
    <row r="6387" spans="1:11">
      <c r="A6387">
        <v>45</v>
      </c>
      <c r="B6387" s="64">
        <v>40865</v>
      </c>
      <c r="C6387" s="2">
        <v>773603.77</v>
      </c>
      <c r="D6387">
        <v>0</v>
      </c>
      <c r="E6387" s="65">
        <v>51.34</v>
      </c>
      <c r="F6387" s="8">
        <v>3.53</v>
      </c>
      <c r="G6387" s="66">
        <v>188.1983654</v>
      </c>
      <c r="H6387" s="8">
        <v>8.523</v>
      </c>
      <c r="J6387" s="26"/>
      <c r="K6387"/>
    </row>
    <row r="6388" spans="1:11">
      <c r="A6388">
        <v>45</v>
      </c>
      <c r="B6388" s="64">
        <v>40872</v>
      </c>
      <c r="C6388" s="2">
        <v>1170672.94</v>
      </c>
      <c r="D6388">
        <v>1</v>
      </c>
      <c r="E6388" s="65">
        <v>48.71</v>
      </c>
      <c r="F6388" s="8">
        <v>3.492</v>
      </c>
      <c r="G6388" s="66">
        <v>188.3504</v>
      </c>
      <c r="H6388" s="8">
        <v>8.523</v>
      </c>
      <c r="J6388" s="26"/>
      <c r="K6388"/>
    </row>
    <row r="6389" spans="1:11">
      <c r="A6389">
        <v>45</v>
      </c>
      <c r="B6389" s="64">
        <v>40879</v>
      </c>
      <c r="C6389" s="2">
        <v>875699.81</v>
      </c>
      <c r="D6389">
        <v>0</v>
      </c>
      <c r="E6389" s="65">
        <v>50.19</v>
      </c>
      <c r="F6389" s="8">
        <v>3.452</v>
      </c>
      <c r="G6389" s="66">
        <v>188.5024346</v>
      </c>
      <c r="H6389" s="8">
        <v>8.523</v>
      </c>
      <c r="J6389" s="26"/>
      <c r="K6389"/>
    </row>
    <row r="6390" spans="1:11">
      <c r="A6390">
        <v>45</v>
      </c>
      <c r="B6390" s="64">
        <v>40886</v>
      </c>
      <c r="C6390" s="2">
        <v>957155.31</v>
      </c>
      <c r="D6390">
        <v>0</v>
      </c>
      <c r="E6390" s="65">
        <v>46.57</v>
      </c>
      <c r="F6390" s="8">
        <v>3.415</v>
      </c>
      <c r="G6390" s="66">
        <v>188.6544692</v>
      </c>
      <c r="H6390" s="8">
        <v>8.523</v>
      </c>
      <c r="J6390" s="26"/>
      <c r="K6390"/>
    </row>
    <row r="6391" spans="1:11">
      <c r="A6391">
        <v>45</v>
      </c>
      <c r="B6391" s="64">
        <v>40893</v>
      </c>
      <c r="C6391" s="2">
        <v>1078905.68</v>
      </c>
      <c r="D6391">
        <v>0</v>
      </c>
      <c r="E6391" s="65">
        <v>39.93</v>
      </c>
      <c r="F6391" s="8">
        <v>3.413</v>
      </c>
      <c r="G6391" s="66">
        <v>188.7979349</v>
      </c>
      <c r="H6391" s="8">
        <v>8.523</v>
      </c>
      <c r="J6391" s="26"/>
      <c r="K6391"/>
    </row>
    <row r="6392" spans="1:11">
      <c r="A6392">
        <v>45</v>
      </c>
      <c r="B6392" s="64">
        <v>40900</v>
      </c>
      <c r="C6392" s="2">
        <v>1521957.99</v>
      </c>
      <c r="D6392">
        <v>0</v>
      </c>
      <c r="E6392" s="65">
        <v>42.27</v>
      </c>
      <c r="F6392" s="8">
        <v>3.389</v>
      </c>
      <c r="G6392" s="66">
        <v>188.9299752</v>
      </c>
      <c r="H6392" s="8">
        <v>8.523</v>
      </c>
      <c r="J6392" s="26"/>
      <c r="K6392"/>
    </row>
    <row r="6393" spans="1:11">
      <c r="A6393">
        <v>45</v>
      </c>
      <c r="B6393" s="64">
        <v>40907</v>
      </c>
      <c r="C6393" s="2">
        <v>869403.63</v>
      </c>
      <c r="D6393">
        <v>1</v>
      </c>
      <c r="E6393" s="65">
        <v>37.79</v>
      </c>
      <c r="F6393" s="8">
        <v>3.389</v>
      </c>
      <c r="G6393" s="66">
        <v>189.0620155</v>
      </c>
      <c r="H6393" s="8">
        <v>8.523</v>
      </c>
      <c r="J6393" s="26"/>
      <c r="K6393"/>
    </row>
    <row r="6394" spans="1:11">
      <c r="A6394">
        <v>45</v>
      </c>
      <c r="B6394" s="64">
        <v>40914</v>
      </c>
      <c r="C6394" s="2">
        <v>714081.05</v>
      </c>
      <c r="D6394">
        <v>0</v>
      </c>
      <c r="E6394" s="65">
        <v>35.88</v>
      </c>
      <c r="F6394" s="8">
        <v>3.422</v>
      </c>
      <c r="G6394" s="66">
        <v>189.1940558</v>
      </c>
      <c r="H6394" s="8">
        <v>8.424</v>
      </c>
      <c r="J6394" s="26"/>
      <c r="K6394"/>
    </row>
    <row r="6395" spans="1:11">
      <c r="A6395">
        <v>45</v>
      </c>
      <c r="B6395" s="64">
        <v>40921</v>
      </c>
      <c r="C6395" s="2">
        <v>676615.53</v>
      </c>
      <c r="D6395">
        <v>0</v>
      </c>
      <c r="E6395" s="65">
        <v>41.18</v>
      </c>
      <c r="F6395" s="8">
        <v>3.513</v>
      </c>
      <c r="G6395" s="66">
        <v>189.3260962</v>
      </c>
      <c r="H6395" s="8">
        <v>8.424</v>
      </c>
      <c r="J6395" s="26"/>
      <c r="K6395"/>
    </row>
    <row r="6396" spans="1:11">
      <c r="A6396">
        <v>45</v>
      </c>
      <c r="B6396" s="64">
        <v>40928</v>
      </c>
      <c r="C6396" s="2">
        <v>700392.21</v>
      </c>
      <c r="D6396">
        <v>0</v>
      </c>
      <c r="E6396" s="65">
        <v>31.85</v>
      </c>
      <c r="F6396" s="8">
        <v>3.533</v>
      </c>
      <c r="G6396" s="66">
        <v>189.4214733</v>
      </c>
      <c r="H6396" s="8">
        <v>8.424</v>
      </c>
      <c r="J6396" s="26"/>
      <c r="K6396"/>
    </row>
    <row r="6397" spans="1:11">
      <c r="A6397">
        <v>45</v>
      </c>
      <c r="B6397" s="64">
        <v>40935</v>
      </c>
      <c r="C6397" s="2">
        <v>624081.64</v>
      </c>
      <c r="D6397">
        <v>0</v>
      </c>
      <c r="E6397" s="65">
        <v>37.93</v>
      </c>
      <c r="F6397" s="8">
        <v>3.567</v>
      </c>
      <c r="G6397" s="66">
        <v>189.5168505</v>
      </c>
      <c r="H6397" s="8">
        <v>8.424</v>
      </c>
      <c r="J6397" s="26"/>
      <c r="K6397"/>
    </row>
    <row r="6398" spans="1:11">
      <c r="A6398">
        <v>45</v>
      </c>
      <c r="B6398" s="64">
        <v>40942</v>
      </c>
      <c r="C6398" s="2">
        <v>757330.95</v>
      </c>
      <c r="D6398">
        <v>0</v>
      </c>
      <c r="E6398" s="65">
        <v>42.96</v>
      </c>
      <c r="F6398" s="8">
        <v>3.617</v>
      </c>
      <c r="G6398" s="66">
        <v>189.6122277</v>
      </c>
      <c r="H6398" s="8">
        <v>8.424</v>
      </c>
      <c r="J6398" s="26"/>
      <c r="K6398"/>
    </row>
    <row r="6399" spans="1:11">
      <c r="A6399">
        <v>45</v>
      </c>
      <c r="B6399" s="64">
        <v>40949</v>
      </c>
      <c r="C6399" s="2">
        <v>803657.12</v>
      </c>
      <c r="D6399">
        <v>1</v>
      </c>
      <c r="E6399" s="65">
        <v>37</v>
      </c>
      <c r="F6399" s="8">
        <v>3.64</v>
      </c>
      <c r="G6399" s="66">
        <v>189.7076048</v>
      </c>
      <c r="H6399" s="8">
        <v>8.424</v>
      </c>
      <c r="J6399" s="26"/>
      <c r="K6399"/>
    </row>
    <row r="6400" spans="1:11">
      <c r="A6400">
        <v>45</v>
      </c>
      <c r="B6400" s="64">
        <v>40956</v>
      </c>
      <c r="C6400" s="2">
        <v>858853.75</v>
      </c>
      <c r="D6400">
        <v>0</v>
      </c>
      <c r="E6400" s="65">
        <v>36.85</v>
      </c>
      <c r="F6400" s="8">
        <v>3.695</v>
      </c>
      <c r="G6400" s="66">
        <v>189.8424834</v>
      </c>
      <c r="H6400" s="8">
        <v>8.424</v>
      </c>
      <c r="J6400" s="26"/>
      <c r="K6400"/>
    </row>
    <row r="6401" spans="1:11">
      <c r="A6401">
        <v>45</v>
      </c>
      <c r="B6401" s="64">
        <v>40963</v>
      </c>
      <c r="C6401" s="2">
        <v>753060.78</v>
      </c>
      <c r="D6401">
        <v>0</v>
      </c>
      <c r="E6401" s="65">
        <v>42.86</v>
      </c>
      <c r="F6401" s="8">
        <v>3.739</v>
      </c>
      <c r="G6401" s="66">
        <v>190.0069881</v>
      </c>
      <c r="H6401" s="8">
        <v>8.424</v>
      </c>
      <c r="J6401" s="26"/>
      <c r="K6401"/>
    </row>
    <row r="6402" spans="1:11">
      <c r="A6402">
        <v>45</v>
      </c>
      <c r="B6402" s="64">
        <v>40970</v>
      </c>
      <c r="C6402" s="2">
        <v>782796.01</v>
      </c>
      <c r="D6402">
        <v>0</v>
      </c>
      <c r="E6402" s="65">
        <v>41.55</v>
      </c>
      <c r="F6402" s="8">
        <v>3.816</v>
      </c>
      <c r="G6402" s="66">
        <v>190.1714927</v>
      </c>
      <c r="H6402" s="8">
        <v>8.424</v>
      </c>
      <c r="J6402" s="26"/>
      <c r="K6402"/>
    </row>
    <row r="6403" spans="1:11">
      <c r="A6403">
        <v>45</v>
      </c>
      <c r="B6403" s="64">
        <v>40977</v>
      </c>
      <c r="C6403" s="2">
        <v>776968.87</v>
      </c>
      <c r="D6403">
        <v>0</v>
      </c>
      <c r="E6403" s="65">
        <v>45.52</v>
      </c>
      <c r="F6403" s="8">
        <v>3.848</v>
      </c>
      <c r="G6403" s="66">
        <v>190.3359973</v>
      </c>
      <c r="H6403" s="8">
        <v>8.424</v>
      </c>
      <c r="J6403" s="26"/>
      <c r="K6403"/>
    </row>
    <row r="6404" spans="1:11">
      <c r="A6404">
        <v>45</v>
      </c>
      <c r="B6404" s="64">
        <v>40984</v>
      </c>
      <c r="C6404" s="2">
        <v>788340.23</v>
      </c>
      <c r="D6404">
        <v>0</v>
      </c>
      <c r="E6404" s="65">
        <v>50.56</v>
      </c>
      <c r="F6404" s="8">
        <v>3.862</v>
      </c>
      <c r="G6404" s="66">
        <v>190.4618964</v>
      </c>
      <c r="H6404" s="8">
        <v>8.424</v>
      </c>
      <c r="J6404" s="26"/>
      <c r="K6404"/>
    </row>
    <row r="6405" spans="1:11">
      <c r="A6405">
        <v>45</v>
      </c>
      <c r="B6405" s="64">
        <v>40991</v>
      </c>
      <c r="C6405" s="2">
        <v>791835.37</v>
      </c>
      <c r="D6405">
        <v>0</v>
      </c>
      <c r="E6405" s="65">
        <v>59.45</v>
      </c>
      <c r="F6405" s="8">
        <v>3.9</v>
      </c>
      <c r="G6405" s="66">
        <v>190.5363213</v>
      </c>
      <c r="H6405" s="8">
        <v>8.424</v>
      </c>
      <c r="J6405" s="26"/>
      <c r="K6405"/>
    </row>
    <row r="6406" spans="1:11">
      <c r="A6406">
        <v>45</v>
      </c>
      <c r="B6406" s="64">
        <v>40998</v>
      </c>
      <c r="C6406" s="2">
        <v>777254.06</v>
      </c>
      <c r="D6406">
        <v>0</v>
      </c>
      <c r="E6406" s="65">
        <v>50.04</v>
      </c>
      <c r="F6406" s="8">
        <v>3.953</v>
      </c>
      <c r="G6406" s="66">
        <v>190.6107463</v>
      </c>
      <c r="H6406" s="8">
        <v>8.424</v>
      </c>
      <c r="J6406" s="26"/>
      <c r="K6406"/>
    </row>
    <row r="6407" spans="1:11">
      <c r="A6407">
        <v>45</v>
      </c>
      <c r="B6407" s="64">
        <v>41005</v>
      </c>
      <c r="C6407" s="2">
        <v>899479.43</v>
      </c>
      <c r="D6407">
        <v>0</v>
      </c>
      <c r="E6407" s="65">
        <v>49.73</v>
      </c>
      <c r="F6407" s="8">
        <v>3.996</v>
      </c>
      <c r="G6407" s="66">
        <v>190.6851712</v>
      </c>
      <c r="H6407" s="8">
        <v>8.567</v>
      </c>
      <c r="J6407" s="26"/>
      <c r="K6407"/>
    </row>
    <row r="6408" spans="1:11">
      <c r="A6408">
        <v>45</v>
      </c>
      <c r="B6408" s="64">
        <v>41012</v>
      </c>
      <c r="C6408" s="2">
        <v>781970.6</v>
      </c>
      <c r="D6408">
        <v>0</v>
      </c>
      <c r="E6408" s="65">
        <v>51.83</v>
      </c>
      <c r="F6408" s="8">
        <v>4.044</v>
      </c>
      <c r="G6408" s="66">
        <v>190.7595962</v>
      </c>
      <c r="H6408" s="8">
        <v>8.567</v>
      </c>
      <c r="J6408" s="26"/>
      <c r="K6408"/>
    </row>
    <row r="6409" spans="1:11">
      <c r="A6409">
        <v>45</v>
      </c>
      <c r="B6409" s="64">
        <v>41019</v>
      </c>
      <c r="C6409" s="2">
        <v>776661.74</v>
      </c>
      <c r="D6409">
        <v>0</v>
      </c>
      <c r="E6409" s="65">
        <v>63.13</v>
      </c>
      <c r="F6409" s="8">
        <v>4.027</v>
      </c>
      <c r="G6409" s="66">
        <v>190.8138013</v>
      </c>
      <c r="H6409" s="8">
        <v>8.567</v>
      </c>
      <c r="J6409" s="26"/>
      <c r="K6409"/>
    </row>
    <row r="6410" spans="1:11">
      <c r="A6410">
        <v>45</v>
      </c>
      <c r="B6410" s="64">
        <v>41026</v>
      </c>
      <c r="C6410" s="2">
        <v>711571.88</v>
      </c>
      <c r="D6410">
        <v>0</v>
      </c>
      <c r="E6410" s="65">
        <v>53.2</v>
      </c>
      <c r="F6410" s="8">
        <v>4.004</v>
      </c>
      <c r="G6410" s="66">
        <v>190.8680064</v>
      </c>
      <c r="H6410" s="8">
        <v>8.567</v>
      </c>
      <c r="J6410" s="26"/>
      <c r="K6410"/>
    </row>
    <row r="6411" spans="1:11">
      <c r="A6411">
        <v>45</v>
      </c>
      <c r="B6411" s="64">
        <v>41033</v>
      </c>
      <c r="C6411" s="2">
        <v>782300.68</v>
      </c>
      <c r="D6411">
        <v>0</v>
      </c>
      <c r="E6411" s="65">
        <v>55.21</v>
      </c>
      <c r="F6411" s="8">
        <v>3.951</v>
      </c>
      <c r="G6411" s="66">
        <v>190.9222115</v>
      </c>
      <c r="H6411" s="8">
        <v>8.567</v>
      </c>
      <c r="J6411" s="26"/>
      <c r="K6411"/>
    </row>
    <row r="6412" spans="1:11">
      <c r="A6412">
        <v>45</v>
      </c>
      <c r="B6412" s="64">
        <v>41040</v>
      </c>
      <c r="C6412" s="2">
        <v>770487.37</v>
      </c>
      <c r="D6412">
        <v>0</v>
      </c>
      <c r="E6412" s="65">
        <v>61.24</v>
      </c>
      <c r="F6412" s="8">
        <v>3.889</v>
      </c>
      <c r="G6412" s="66">
        <v>190.9764167</v>
      </c>
      <c r="H6412" s="8">
        <v>8.567</v>
      </c>
      <c r="J6412" s="26"/>
      <c r="K6412"/>
    </row>
    <row r="6413" spans="1:11">
      <c r="A6413">
        <v>45</v>
      </c>
      <c r="B6413" s="64">
        <v>41047</v>
      </c>
      <c r="C6413" s="2">
        <v>800842.28</v>
      </c>
      <c r="D6413">
        <v>0</v>
      </c>
      <c r="E6413" s="65">
        <v>66.3</v>
      </c>
      <c r="F6413" s="8">
        <v>3.848</v>
      </c>
      <c r="G6413" s="66">
        <v>190.9964479</v>
      </c>
      <c r="H6413" s="8">
        <v>8.567</v>
      </c>
      <c r="J6413" s="26"/>
      <c r="K6413"/>
    </row>
    <row r="6414" spans="1:11">
      <c r="A6414">
        <v>45</v>
      </c>
      <c r="B6414" s="64">
        <v>41054</v>
      </c>
      <c r="C6414" s="2">
        <v>817741.17</v>
      </c>
      <c r="D6414">
        <v>0</v>
      </c>
      <c r="E6414" s="65">
        <v>67.21</v>
      </c>
      <c r="F6414" s="8">
        <v>3.798</v>
      </c>
      <c r="G6414" s="66">
        <v>191.0028096</v>
      </c>
      <c r="H6414" s="8">
        <v>8.567</v>
      </c>
      <c r="J6414" s="26"/>
      <c r="K6414"/>
    </row>
    <row r="6415" spans="1:11">
      <c r="A6415">
        <v>45</v>
      </c>
      <c r="B6415" s="64">
        <v>41061</v>
      </c>
      <c r="C6415" s="2">
        <v>837144.63</v>
      </c>
      <c r="D6415">
        <v>0</v>
      </c>
      <c r="E6415" s="65">
        <v>74.48</v>
      </c>
      <c r="F6415" s="8">
        <v>3.742</v>
      </c>
      <c r="G6415" s="66">
        <v>191.0091712</v>
      </c>
      <c r="H6415" s="8">
        <v>8.567</v>
      </c>
      <c r="J6415" s="26"/>
      <c r="K6415"/>
    </row>
    <row r="6416" spans="1:11">
      <c r="A6416">
        <v>45</v>
      </c>
      <c r="B6416" s="64">
        <v>41068</v>
      </c>
      <c r="C6416" s="2">
        <v>795133</v>
      </c>
      <c r="D6416">
        <v>0</v>
      </c>
      <c r="E6416" s="65">
        <v>64.3</v>
      </c>
      <c r="F6416" s="8">
        <v>3.689</v>
      </c>
      <c r="G6416" s="66">
        <v>191.0155329</v>
      </c>
      <c r="H6416" s="8">
        <v>8.567</v>
      </c>
      <c r="J6416" s="26"/>
      <c r="K6416"/>
    </row>
    <row r="6417" spans="1:11">
      <c r="A6417">
        <v>45</v>
      </c>
      <c r="B6417" s="64">
        <v>41075</v>
      </c>
      <c r="C6417" s="2">
        <v>821498.18</v>
      </c>
      <c r="D6417">
        <v>0</v>
      </c>
      <c r="E6417" s="65">
        <v>71.93</v>
      </c>
      <c r="F6417" s="8">
        <v>3.62</v>
      </c>
      <c r="G6417" s="66">
        <v>191.0299731</v>
      </c>
      <c r="H6417" s="8">
        <v>8.567</v>
      </c>
      <c r="J6417" s="26"/>
      <c r="K6417"/>
    </row>
    <row r="6418" spans="1:11">
      <c r="A6418">
        <v>45</v>
      </c>
      <c r="B6418" s="64">
        <v>41082</v>
      </c>
      <c r="C6418" s="2">
        <v>822569.16</v>
      </c>
      <c r="D6418">
        <v>0</v>
      </c>
      <c r="E6418" s="65">
        <v>74.22</v>
      </c>
      <c r="F6418" s="8">
        <v>3.564</v>
      </c>
      <c r="G6418" s="66">
        <v>191.0646096</v>
      </c>
      <c r="H6418" s="8">
        <v>8.567</v>
      </c>
      <c r="J6418" s="26"/>
      <c r="K6418"/>
    </row>
    <row r="6419" spans="1:11">
      <c r="A6419">
        <v>45</v>
      </c>
      <c r="B6419" s="64">
        <v>41089</v>
      </c>
      <c r="C6419" s="2">
        <v>773367.71</v>
      </c>
      <c r="D6419">
        <v>0</v>
      </c>
      <c r="E6419" s="65">
        <v>75.22</v>
      </c>
      <c r="F6419" s="8">
        <v>3.506</v>
      </c>
      <c r="G6419" s="66">
        <v>191.0992462</v>
      </c>
      <c r="H6419" s="8">
        <v>8.567</v>
      </c>
      <c r="J6419" s="26"/>
      <c r="K6419"/>
    </row>
    <row r="6420" spans="1:11">
      <c r="A6420">
        <v>45</v>
      </c>
      <c r="B6420" s="64">
        <v>41096</v>
      </c>
      <c r="C6420" s="2">
        <v>843361.1</v>
      </c>
      <c r="D6420">
        <v>0</v>
      </c>
      <c r="E6420" s="65">
        <v>82.99</v>
      </c>
      <c r="F6420" s="8">
        <v>3.475</v>
      </c>
      <c r="G6420" s="66">
        <v>191.1338827</v>
      </c>
      <c r="H6420" s="8">
        <v>8.684</v>
      </c>
      <c r="J6420" s="26"/>
      <c r="K6420"/>
    </row>
    <row r="6421" spans="1:11">
      <c r="A6421">
        <v>45</v>
      </c>
      <c r="B6421" s="64">
        <v>41103</v>
      </c>
      <c r="C6421" s="2">
        <v>749817.08</v>
      </c>
      <c r="D6421">
        <v>0</v>
      </c>
      <c r="E6421" s="65">
        <v>79.97</v>
      </c>
      <c r="F6421" s="8">
        <v>3.523</v>
      </c>
      <c r="G6421" s="66">
        <v>191.1685192</v>
      </c>
      <c r="H6421" s="8">
        <v>8.684</v>
      </c>
      <c r="J6421" s="26"/>
      <c r="K6421"/>
    </row>
    <row r="6422" spans="1:11">
      <c r="A6422">
        <v>45</v>
      </c>
      <c r="B6422" s="64">
        <v>41110</v>
      </c>
      <c r="C6422" s="2">
        <v>737613.65</v>
      </c>
      <c r="D6422">
        <v>0</v>
      </c>
      <c r="E6422" s="65">
        <v>78.89</v>
      </c>
      <c r="F6422" s="8">
        <v>3.567</v>
      </c>
      <c r="G6422" s="66">
        <v>191.1670428</v>
      </c>
      <c r="H6422" s="8">
        <v>8.684</v>
      </c>
      <c r="J6422" s="26"/>
      <c r="K6422"/>
    </row>
    <row r="6423" spans="1:11">
      <c r="A6423">
        <v>45</v>
      </c>
      <c r="B6423" s="64">
        <v>41117</v>
      </c>
      <c r="C6423" s="2">
        <v>711671.58</v>
      </c>
      <c r="D6423">
        <v>0</v>
      </c>
      <c r="E6423" s="65">
        <v>77.2</v>
      </c>
      <c r="F6423" s="8">
        <v>3.647</v>
      </c>
      <c r="G6423" s="66">
        <v>191.1655664</v>
      </c>
      <c r="H6423" s="8">
        <v>8.684</v>
      </c>
      <c r="J6423" s="26"/>
      <c r="K6423"/>
    </row>
    <row r="6424" spans="1:11">
      <c r="A6424">
        <v>45</v>
      </c>
      <c r="B6424" s="64">
        <v>41124</v>
      </c>
      <c r="C6424" s="2">
        <v>725729.51</v>
      </c>
      <c r="D6424">
        <v>0</v>
      </c>
      <c r="E6424" s="65">
        <v>76.58</v>
      </c>
      <c r="F6424" s="8">
        <v>3.654</v>
      </c>
      <c r="G6424" s="66">
        <v>191.16409</v>
      </c>
      <c r="H6424" s="8">
        <v>8.684</v>
      </c>
      <c r="J6424" s="26"/>
      <c r="K6424"/>
    </row>
    <row r="6425" spans="1:11">
      <c r="A6425">
        <v>45</v>
      </c>
      <c r="B6425" s="64">
        <v>41131</v>
      </c>
      <c r="C6425" s="2">
        <v>733037.32</v>
      </c>
      <c r="D6425">
        <v>0</v>
      </c>
      <c r="E6425" s="65">
        <v>78.65</v>
      </c>
      <c r="F6425" s="8">
        <v>3.722</v>
      </c>
      <c r="G6425" s="66">
        <v>191.1626135</v>
      </c>
      <c r="H6425" s="8">
        <v>8.684</v>
      </c>
      <c r="J6425" s="26"/>
      <c r="K6425"/>
    </row>
    <row r="6426" spans="1:11">
      <c r="A6426">
        <v>45</v>
      </c>
      <c r="B6426" s="64">
        <v>41138</v>
      </c>
      <c r="C6426" s="2">
        <v>722496.93</v>
      </c>
      <c r="D6426">
        <v>0</v>
      </c>
      <c r="E6426" s="65">
        <v>75.71</v>
      </c>
      <c r="F6426" s="8">
        <v>3.807</v>
      </c>
      <c r="G6426" s="66">
        <v>191.2284919</v>
      </c>
      <c r="H6426" s="8">
        <v>8.684</v>
      </c>
      <c r="J6426" s="26"/>
      <c r="K6426"/>
    </row>
    <row r="6427" spans="1:11">
      <c r="A6427">
        <v>45</v>
      </c>
      <c r="B6427" s="64">
        <v>41145</v>
      </c>
      <c r="C6427" s="2">
        <v>718232.26</v>
      </c>
      <c r="D6427">
        <v>0</v>
      </c>
      <c r="E6427" s="65">
        <v>72.62</v>
      </c>
      <c r="F6427" s="8">
        <v>3.834</v>
      </c>
      <c r="G6427" s="66">
        <v>191.3448865</v>
      </c>
      <c r="H6427" s="8">
        <v>8.684</v>
      </c>
      <c r="J6427" s="26"/>
      <c r="K6427"/>
    </row>
    <row r="6428" spans="1:11">
      <c r="A6428">
        <v>45</v>
      </c>
      <c r="B6428" s="64">
        <v>41152</v>
      </c>
      <c r="C6428" s="2">
        <v>734297.87</v>
      </c>
      <c r="D6428">
        <v>0</v>
      </c>
      <c r="E6428" s="65">
        <v>75.09</v>
      </c>
      <c r="F6428" s="8">
        <v>3.867</v>
      </c>
      <c r="G6428" s="66">
        <v>191.461281</v>
      </c>
      <c r="H6428" s="8">
        <v>8.684</v>
      </c>
      <c r="J6428" s="26"/>
      <c r="K6428"/>
    </row>
    <row r="6429" spans="1:11">
      <c r="A6429">
        <v>45</v>
      </c>
      <c r="B6429" s="64">
        <v>41159</v>
      </c>
      <c r="C6429" s="2">
        <v>766512.66</v>
      </c>
      <c r="D6429">
        <v>1</v>
      </c>
      <c r="E6429" s="65">
        <v>75.7</v>
      </c>
      <c r="F6429" s="8">
        <v>3.911</v>
      </c>
      <c r="G6429" s="66">
        <v>191.5776756</v>
      </c>
      <c r="H6429" s="8">
        <v>8.684</v>
      </c>
      <c r="J6429" s="26"/>
      <c r="K6429"/>
    </row>
    <row r="6430" spans="1:11">
      <c r="A6430">
        <v>45</v>
      </c>
      <c r="B6430" s="64">
        <v>41166</v>
      </c>
      <c r="C6430" s="2">
        <v>702238.27</v>
      </c>
      <c r="D6430">
        <v>0</v>
      </c>
      <c r="E6430" s="65">
        <v>67.87</v>
      </c>
      <c r="F6430" s="8">
        <v>3.948</v>
      </c>
      <c r="G6430" s="66">
        <v>191.69985</v>
      </c>
      <c r="H6430" s="8">
        <v>8.684</v>
      </c>
      <c r="J6430" s="26"/>
      <c r="K6430"/>
    </row>
    <row r="6431" spans="1:11">
      <c r="A6431">
        <v>45</v>
      </c>
      <c r="B6431" s="64">
        <v>41173</v>
      </c>
      <c r="C6431" s="2">
        <v>723086.2</v>
      </c>
      <c r="D6431">
        <v>0</v>
      </c>
      <c r="E6431" s="65">
        <v>65.32</v>
      </c>
      <c r="F6431" s="8">
        <v>4.038</v>
      </c>
      <c r="G6431" s="66">
        <v>191.8567038</v>
      </c>
      <c r="H6431" s="8">
        <v>8.684</v>
      </c>
      <c r="J6431" s="26"/>
      <c r="K6431"/>
    </row>
    <row r="6432" spans="1:11">
      <c r="A6432">
        <v>45</v>
      </c>
      <c r="B6432" s="64">
        <v>41180</v>
      </c>
      <c r="C6432" s="2">
        <v>713173.95</v>
      </c>
      <c r="D6432">
        <v>0</v>
      </c>
      <c r="E6432" s="65">
        <v>64.88</v>
      </c>
      <c r="F6432" s="8">
        <v>3.997</v>
      </c>
      <c r="G6432" s="66">
        <v>192.0135577</v>
      </c>
      <c r="H6432" s="8">
        <v>8.684</v>
      </c>
      <c r="J6432" s="26"/>
      <c r="K6432"/>
    </row>
    <row r="6433" spans="1:11">
      <c r="A6433">
        <v>45</v>
      </c>
      <c r="B6433" s="64">
        <v>41187</v>
      </c>
      <c r="C6433" s="2">
        <v>733455.07</v>
      </c>
      <c r="D6433">
        <v>0</v>
      </c>
      <c r="E6433" s="65">
        <v>64.89</v>
      </c>
      <c r="F6433" s="8">
        <v>3.985</v>
      </c>
      <c r="G6433" s="66">
        <v>192.1704115</v>
      </c>
      <c r="H6433" s="8">
        <v>8.667</v>
      </c>
      <c r="J6433" s="26"/>
      <c r="K6433"/>
    </row>
    <row r="6434" spans="1:11">
      <c r="A6434">
        <v>45</v>
      </c>
      <c r="B6434" s="64">
        <v>41194</v>
      </c>
      <c r="C6434" s="2">
        <v>734464.36</v>
      </c>
      <c r="D6434">
        <v>0</v>
      </c>
      <c r="E6434" s="65">
        <v>54.47</v>
      </c>
      <c r="F6434" s="8">
        <v>4</v>
      </c>
      <c r="G6434" s="66">
        <v>192.3272654</v>
      </c>
      <c r="H6434" s="8">
        <v>8.667</v>
      </c>
      <c r="J6434" s="26"/>
      <c r="K6434"/>
    </row>
    <row r="6435" spans="1:11">
      <c r="A6435">
        <v>45</v>
      </c>
      <c r="B6435" s="64">
        <v>41201</v>
      </c>
      <c r="C6435" s="2">
        <v>718125.53</v>
      </c>
      <c r="D6435">
        <v>0</v>
      </c>
      <c r="E6435" s="65">
        <v>56.47</v>
      </c>
      <c r="F6435" s="8">
        <v>3.969</v>
      </c>
      <c r="G6435" s="66">
        <v>192.3308542</v>
      </c>
      <c r="H6435" s="8">
        <v>8.667</v>
      </c>
      <c r="J6435" s="26"/>
      <c r="K6435"/>
    </row>
    <row r="6436" spans="1:11">
      <c r="A6436">
        <v>45</v>
      </c>
      <c r="B6436" s="64">
        <v>41208</v>
      </c>
      <c r="C6436" s="2">
        <v>760281.43</v>
      </c>
      <c r="D6436">
        <v>0</v>
      </c>
      <c r="E6436" s="65">
        <v>58.85</v>
      </c>
      <c r="F6436" s="8">
        <v>3.882</v>
      </c>
      <c r="G6436" s="66">
        <v>192.3088989</v>
      </c>
      <c r="H6436" s="8">
        <v>8.667</v>
      </c>
      <c r="J6436" s="26"/>
      <c r="K6436"/>
    </row>
    <row r="6437" spans="2:8">
      <c r="B6437" s="64"/>
      <c r="C6437" s="2">
        <f>AVERAGE(C1:C6436)</f>
        <v>1046964.87756177</v>
      </c>
      <c r="E6437" s="65"/>
      <c r="F6437" s="8"/>
      <c r="G6437" s="66"/>
      <c r="H6437" s="8"/>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
  <sheetViews>
    <sheetView topLeftCell="A2" workbookViewId="0">
      <selection activeCell="B2" sqref="B2"/>
    </sheetView>
  </sheetViews>
  <sheetFormatPr defaultColWidth="9.14285714285714" defaultRowHeight="15" outlineLevelCol="1"/>
  <cols>
    <col min="1" max="1" width="12.1428571428571"/>
    <col min="2" max="2" width="25.7142857142857"/>
  </cols>
  <sheetData>
    <row r="1" ht="35" customHeight="1" spans="1:2">
      <c r="A1" s="59" t="s">
        <v>9</v>
      </c>
      <c r="B1" s="60"/>
    </row>
    <row r="2" spans="1:2">
      <c r="A2" t="s">
        <v>0</v>
      </c>
      <c r="B2" t="s">
        <v>10</v>
      </c>
    </row>
    <row r="3" spans="1:2">
      <c r="A3">
        <v>20</v>
      </c>
      <c r="B3" s="63">
        <v>2107676.87034965</v>
      </c>
    </row>
    <row r="4" spans="1:2">
      <c r="A4">
        <v>4</v>
      </c>
      <c r="B4" s="63">
        <v>2094712.9606993</v>
      </c>
    </row>
    <row r="5" spans="1:2">
      <c r="A5">
        <v>14</v>
      </c>
      <c r="B5" s="63">
        <v>2020978.40097902</v>
      </c>
    </row>
    <row r="6" spans="1:2">
      <c r="A6">
        <v>13</v>
      </c>
      <c r="B6" s="63">
        <v>2003620.30629371</v>
      </c>
    </row>
    <row r="7" spans="1:2">
      <c r="A7">
        <v>2</v>
      </c>
      <c r="B7" s="63">
        <v>1925751.33552448</v>
      </c>
    </row>
    <row r="8" spans="1:2">
      <c r="A8">
        <v>10</v>
      </c>
      <c r="B8" s="63">
        <v>1899424.57265734</v>
      </c>
    </row>
    <row r="9" spans="1:2">
      <c r="A9">
        <v>27</v>
      </c>
      <c r="B9" s="63">
        <v>1775216.20195804</v>
      </c>
    </row>
    <row r="10" spans="1:2">
      <c r="A10">
        <v>6</v>
      </c>
      <c r="B10" s="63">
        <v>1564728.18629371</v>
      </c>
    </row>
    <row r="11" spans="1:2">
      <c r="A11">
        <v>1</v>
      </c>
      <c r="B11" s="63">
        <v>1555264.39755245</v>
      </c>
    </row>
    <row r="12" spans="1:2">
      <c r="A12">
        <v>39</v>
      </c>
      <c r="B12" s="63">
        <v>1450668.12916084</v>
      </c>
    </row>
    <row r="13" spans="1:2">
      <c r="A13">
        <v>19</v>
      </c>
      <c r="B13" s="63">
        <v>1444999.03566434</v>
      </c>
    </row>
    <row r="14" spans="1:2">
      <c r="A14">
        <v>31</v>
      </c>
      <c r="B14" s="63">
        <v>1395901.43706294</v>
      </c>
    </row>
    <row r="15" spans="1:2">
      <c r="A15">
        <v>23</v>
      </c>
      <c r="B15" s="63">
        <v>1389864.46048951</v>
      </c>
    </row>
    <row r="16" spans="1:2">
      <c r="A16">
        <v>24</v>
      </c>
      <c r="B16" s="63">
        <v>1356755.39356643</v>
      </c>
    </row>
    <row r="17" spans="1:2">
      <c r="A17">
        <v>11</v>
      </c>
      <c r="B17" s="63">
        <v>1356383.12447552</v>
      </c>
    </row>
    <row r="18" spans="1:2">
      <c r="A18">
        <v>28</v>
      </c>
      <c r="B18" s="63">
        <v>1323522.24181818</v>
      </c>
    </row>
    <row r="19" spans="1:2">
      <c r="A19">
        <v>41</v>
      </c>
      <c r="B19" s="63">
        <v>1268125.41881119</v>
      </c>
    </row>
    <row r="20" spans="1:2">
      <c r="A20">
        <v>32</v>
      </c>
      <c r="B20" s="63">
        <v>1166568.15496504</v>
      </c>
    </row>
    <row r="21" spans="1:2">
      <c r="A21">
        <v>18</v>
      </c>
      <c r="B21" s="63">
        <v>1084718.42104895</v>
      </c>
    </row>
    <row r="22" spans="1:2">
      <c r="A22">
        <v>22</v>
      </c>
      <c r="B22" s="63">
        <v>1028501.03895105</v>
      </c>
    </row>
    <row r="23" spans="1:2">
      <c r="A23">
        <v>12</v>
      </c>
      <c r="B23" s="63">
        <v>1009001.60944056</v>
      </c>
    </row>
    <row r="24" spans="1:2">
      <c r="A24">
        <v>26</v>
      </c>
      <c r="B24" s="63">
        <v>1002911.84468532</v>
      </c>
    </row>
    <row r="25" spans="1:2">
      <c r="A25">
        <v>34</v>
      </c>
      <c r="B25" s="63">
        <v>966781.55944056</v>
      </c>
    </row>
    <row r="26" spans="1:2">
      <c r="A26">
        <v>40</v>
      </c>
      <c r="B26" s="63">
        <v>964128.040489511</v>
      </c>
    </row>
    <row r="27" spans="1:2">
      <c r="A27">
        <v>35</v>
      </c>
      <c r="B27" s="63">
        <v>919724.979580419</v>
      </c>
    </row>
    <row r="28" spans="1:2">
      <c r="A28">
        <v>8</v>
      </c>
      <c r="B28" s="63">
        <v>908749.518391608</v>
      </c>
    </row>
    <row r="29" spans="1:2">
      <c r="A29">
        <v>17</v>
      </c>
      <c r="B29" s="63">
        <v>893581.390419581</v>
      </c>
    </row>
    <row r="30" spans="1:2">
      <c r="A30">
        <v>45</v>
      </c>
      <c r="B30" s="63">
        <v>785981.408531469</v>
      </c>
    </row>
    <row r="31" spans="1:2">
      <c r="A31">
        <v>21</v>
      </c>
      <c r="B31" s="63">
        <v>756069.083356643</v>
      </c>
    </row>
    <row r="32" spans="1:2">
      <c r="A32">
        <v>25</v>
      </c>
      <c r="B32" s="63">
        <v>706721.532657343</v>
      </c>
    </row>
    <row r="33" spans="1:2">
      <c r="A33">
        <v>43</v>
      </c>
      <c r="B33" s="63">
        <v>633324.723146853</v>
      </c>
    </row>
    <row r="34" spans="1:2">
      <c r="A34">
        <v>15</v>
      </c>
      <c r="B34" s="63">
        <v>623312.474965035</v>
      </c>
    </row>
    <row r="35" spans="1:2">
      <c r="A35">
        <v>7</v>
      </c>
      <c r="B35" s="63">
        <v>570617.308671329</v>
      </c>
    </row>
    <row r="36" spans="1:2">
      <c r="A36">
        <v>42</v>
      </c>
      <c r="B36" s="63">
        <v>556403.863146853</v>
      </c>
    </row>
    <row r="37" spans="1:2">
      <c r="A37">
        <v>9</v>
      </c>
      <c r="B37" s="63">
        <v>543980.552377622</v>
      </c>
    </row>
    <row r="38" spans="1:2">
      <c r="A38">
        <v>29</v>
      </c>
      <c r="B38" s="63">
        <v>539451.428741259</v>
      </c>
    </row>
    <row r="39" spans="1:2">
      <c r="A39">
        <v>16</v>
      </c>
      <c r="B39" s="63">
        <v>519247.73006993</v>
      </c>
    </row>
    <row r="40" spans="1:2">
      <c r="A40">
        <v>37</v>
      </c>
      <c r="B40" s="63">
        <v>518900.281958042</v>
      </c>
    </row>
    <row r="41" spans="1:2">
      <c r="A41">
        <v>30</v>
      </c>
      <c r="B41" s="63">
        <v>438579.616223776</v>
      </c>
    </row>
    <row r="42" spans="1:2">
      <c r="A42">
        <v>3</v>
      </c>
      <c r="B42" s="63">
        <v>402704.441048951</v>
      </c>
    </row>
    <row r="43" spans="1:2">
      <c r="A43">
        <v>38</v>
      </c>
      <c r="B43" s="63">
        <v>385731.653286713</v>
      </c>
    </row>
    <row r="44" spans="1:2">
      <c r="A44">
        <v>36</v>
      </c>
      <c r="B44" s="63">
        <v>373511.992797203</v>
      </c>
    </row>
    <row r="45" spans="1:2">
      <c r="A45">
        <v>5</v>
      </c>
      <c r="B45" s="63">
        <v>318011.810489511</v>
      </c>
    </row>
    <row r="46" spans="1:2">
      <c r="A46">
        <v>44</v>
      </c>
      <c r="B46" s="63">
        <v>302748.866013986</v>
      </c>
    </row>
    <row r="47" spans="1:2">
      <c r="A47">
        <v>33</v>
      </c>
      <c r="B47" s="63">
        <v>259861.692027972</v>
      </c>
    </row>
    <row r="48" spans="1:2">
      <c r="A48" t="s">
        <v>11</v>
      </c>
      <c r="B48" s="63">
        <v>1046964.87756177</v>
      </c>
    </row>
  </sheetData>
  <mergeCells count="1">
    <mergeCell ref="A1:B1"/>
  </mergeCells>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
  <sheetViews>
    <sheetView topLeftCell="A2" workbookViewId="0">
      <selection activeCell="B2" sqref="B2"/>
    </sheetView>
  </sheetViews>
  <sheetFormatPr defaultColWidth="9.14285714285714" defaultRowHeight="15"/>
  <cols>
    <col min="1" max="1" width="12.1428571428571"/>
    <col min="2" max="2" width="21.8571428571429"/>
  </cols>
  <sheetData>
    <row r="1" ht="36" customHeight="1" spans="1:11">
      <c r="A1" s="59" t="s">
        <v>12</v>
      </c>
      <c r="B1" s="60"/>
      <c r="E1" s="61" t="s">
        <v>13</v>
      </c>
      <c r="F1" s="61"/>
      <c r="G1" s="61"/>
      <c r="H1" s="61"/>
      <c r="I1" s="61"/>
      <c r="J1" s="61"/>
      <c r="K1" s="61"/>
    </row>
    <row r="2" spans="1:11">
      <c r="A2" t="s">
        <v>0</v>
      </c>
      <c r="B2" t="s">
        <v>14</v>
      </c>
      <c r="E2" s="61"/>
      <c r="F2" s="61"/>
      <c r="G2" s="61"/>
      <c r="H2" s="61"/>
      <c r="I2" s="61"/>
      <c r="J2" s="61"/>
      <c r="K2" s="61"/>
    </row>
    <row r="3" spans="1:11">
      <c r="A3">
        <v>20</v>
      </c>
      <c r="B3" s="62">
        <v>301397792.46</v>
      </c>
      <c r="E3" s="61"/>
      <c r="F3" s="61"/>
      <c r="G3" s="61"/>
      <c r="H3" s="61"/>
      <c r="I3" s="61"/>
      <c r="J3" s="61"/>
      <c r="K3" s="61"/>
    </row>
    <row r="4" spans="1:2">
      <c r="A4">
        <v>4</v>
      </c>
      <c r="B4" s="62">
        <v>299543953.38</v>
      </c>
    </row>
    <row r="5" spans="1:2">
      <c r="A5">
        <v>14</v>
      </c>
      <c r="B5" s="62">
        <v>288999911.34</v>
      </c>
    </row>
    <row r="6" spans="1:2">
      <c r="A6">
        <v>13</v>
      </c>
      <c r="B6" s="62">
        <v>286517703.8</v>
      </c>
    </row>
    <row r="7" spans="1:2">
      <c r="A7">
        <v>2</v>
      </c>
      <c r="B7" s="62">
        <v>275382440.98</v>
      </c>
    </row>
    <row r="8" spans="1:2">
      <c r="A8">
        <v>10</v>
      </c>
      <c r="B8" s="62">
        <v>271617713.89</v>
      </c>
    </row>
    <row r="9" spans="1:2">
      <c r="A9">
        <v>27</v>
      </c>
      <c r="B9" s="62">
        <v>253855916.88</v>
      </c>
    </row>
    <row r="10" spans="1:2">
      <c r="A10">
        <v>6</v>
      </c>
      <c r="B10" s="62">
        <v>223756130.64</v>
      </c>
    </row>
    <row r="11" spans="1:2">
      <c r="A11">
        <v>1</v>
      </c>
      <c r="B11" s="62">
        <v>222402808.85</v>
      </c>
    </row>
    <row r="12" spans="1:2">
      <c r="A12">
        <v>39</v>
      </c>
      <c r="B12" s="62">
        <v>207445542.47</v>
      </c>
    </row>
    <row r="13" spans="1:2">
      <c r="A13">
        <v>19</v>
      </c>
      <c r="B13" s="62">
        <v>206634862.1</v>
      </c>
    </row>
    <row r="14" spans="1:2">
      <c r="A14">
        <v>31</v>
      </c>
      <c r="B14" s="62">
        <v>199613905.5</v>
      </c>
    </row>
    <row r="15" spans="1:2">
      <c r="A15">
        <v>23</v>
      </c>
      <c r="B15" s="62">
        <v>198750617.85</v>
      </c>
    </row>
    <row r="16" spans="1:2">
      <c r="A16">
        <v>24</v>
      </c>
      <c r="B16" s="62">
        <v>194016021.28</v>
      </c>
    </row>
    <row r="17" spans="1:2">
      <c r="A17">
        <v>11</v>
      </c>
      <c r="B17" s="62">
        <v>193962786.8</v>
      </c>
    </row>
    <row r="18" spans="1:2">
      <c r="A18">
        <v>28</v>
      </c>
      <c r="B18" s="62">
        <v>189263680.58</v>
      </c>
    </row>
    <row r="19" spans="1:2">
      <c r="A19">
        <v>41</v>
      </c>
      <c r="B19" s="62">
        <v>181341934.89</v>
      </c>
    </row>
    <row r="20" spans="1:2">
      <c r="A20">
        <v>32</v>
      </c>
      <c r="B20" s="62">
        <v>166819246.16</v>
      </c>
    </row>
    <row r="21" spans="1:2">
      <c r="A21">
        <v>18</v>
      </c>
      <c r="B21" s="62">
        <v>155114734.21</v>
      </c>
    </row>
    <row r="22" spans="1:2">
      <c r="A22">
        <v>22</v>
      </c>
      <c r="B22" s="62">
        <v>147075648.57</v>
      </c>
    </row>
    <row r="23" spans="1:2">
      <c r="A23">
        <v>12</v>
      </c>
      <c r="B23" s="62">
        <v>144287230.15</v>
      </c>
    </row>
    <row r="24" spans="1:2">
      <c r="A24">
        <v>26</v>
      </c>
      <c r="B24" s="62">
        <v>143416393.79</v>
      </c>
    </row>
    <row r="25" spans="1:2">
      <c r="A25">
        <v>34</v>
      </c>
      <c r="B25" s="62">
        <v>138249763</v>
      </c>
    </row>
    <row r="26" spans="1:2">
      <c r="A26">
        <v>40</v>
      </c>
      <c r="B26" s="62">
        <v>137870309.79</v>
      </c>
    </row>
    <row r="27" spans="1:2">
      <c r="A27">
        <v>35</v>
      </c>
      <c r="B27" s="62">
        <v>131520672.08</v>
      </c>
    </row>
    <row r="28" spans="1:2">
      <c r="A28">
        <v>8</v>
      </c>
      <c r="B28" s="62">
        <v>129951181.13</v>
      </c>
    </row>
    <row r="29" spans="1:2">
      <c r="A29">
        <v>17</v>
      </c>
      <c r="B29" s="62">
        <v>127782138.83</v>
      </c>
    </row>
    <row r="30" spans="1:2">
      <c r="A30">
        <v>45</v>
      </c>
      <c r="B30" s="62">
        <v>112395341.42</v>
      </c>
    </row>
    <row r="31" spans="1:2">
      <c r="A31">
        <v>21</v>
      </c>
      <c r="B31" s="62">
        <v>108117878.92</v>
      </c>
    </row>
    <row r="32" spans="1:2">
      <c r="A32">
        <v>25</v>
      </c>
      <c r="B32" s="62">
        <v>101061179.17</v>
      </c>
    </row>
    <row r="33" spans="1:2">
      <c r="A33">
        <v>43</v>
      </c>
      <c r="B33" s="62">
        <v>90565435.41</v>
      </c>
    </row>
    <row r="34" spans="1:2">
      <c r="A34">
        <v>15</v>
      </c>
      <c r="B34" s="62">
        <v>89133683.92</v>
      </c>
    </row>
    <row r="35" spans="1:2">
      <c r="A35">
        <v>7</v>
      </c>
      <c r="B35" s="62">
        <v>81598275.14</v>
      </c>
    </row>
    <row r="36" spans="1:2">
      <c r="A36">
        <v>42</v>
      </c>
      <c r="B36" s="62">
        <v>79565752.43</v>
      </c>
    </row>
    <row r="37" spans="1:2">
      <c r="A37">
        <v>9</v>
      </c>
      <c r="B37" s="62">
        <v>77789218.99</v>
      </c>
    </row>
    <row r="38" spans="1:2">
      <c r="A38">
        <v>29</v>
      </c>
      <c r="B38" s="62">
        <v>77141554.31</v>
      </c>
    </row>
    <row r="39" spans="1:2">
      <c r="A39">
        <v>16</v>
      </c>
      <c r="B39" s="62">
        <v>74252425.4</v>
      </c>
    </row>
    <row r="40" spans="1:2">
      <c r="A40">
        <v>37</v>
      </c>
      <c r="B40" s="62">
        <v>74202740.32</v>
      </c>
    </row>
    <row r="41" spans="1:2">
      <c r="A41">
        <v>30</v>
      </c>
      <c r="B41" s="62">
        <v>62716885.12</v>
      </c>
    </row>
    <row r="42" spans="1:2">
      <c r="A42">
        <v>3</v>
      </c>
      <c r="B42" s="62">
        <v>57586735.07</v>
      </c>
    </row>
    <row r="43" spans="1:2">
      <c r="A43">
        <v>38</v>
      </c>
      <c r="B43" s="62">
        <v>55159626.42</v>
      </c>
    </row>
    <row r="44" spans="1:2">
      <c r="A44">
        <v>36</v>
      </c>
      <c r="B44" s="62">
        <v>53412214.97</v>
      </c>
    </row>
    <row r="45" spans="1:2">
      <c r="A45">
        <v>5</v>
      </c>
      <c r="B45" s="62">
        <v>45475688.9</v>
      </c>
    </row>
    <row r="46" spans="1:2">
      <c r="A46">
        <v>44</v>
      </c>
      <c r="B46" s="62">
        <v>43293087.84</v>
      </c>
    </row>
    <row r="47" spans="1:2">
      <c r="A47">
        <v>33</v>
      </c>
      <c r="B47" s="62">
        <v>37160221.96</v>
      </c>
    </row>
    <row r="48" spans="1:2">
      <c r="A48" t="s">
        <v>11</v>
      </c>
      <c r="B48" s="62">
        <v>6737218987.11</v>
      </c>
    </row>
  </sheetData>
  <mergeCells count="2">
    <mergeCell ref="A1:B1"/>
    <mergeCell ref="E1:K3"/>
  </mergeCells>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6"/>
  <sheetViews>
    <sheetView workbookViewId="0">
      <selection activeCell="D7" sqref="D7:E7"/>
    </sheetView>
  </sheetViews>
  <sheetFormatPr defaultColWidth="9.14285714285714" defaultRowHeight="33" customHeight="1"/>
  <cols>
    <col min="2" max="2" width="21.1428571428571" customWidth="1"/>
    <col min="9" max="9" width="16.1428571428571" customWidth="1"/>
    <col min="10" max="10" width="10.8571428571429"/>
  </cols>
  <sheetData>
    <row r="1" ht="51" customHeight="1" spans="1:12">
      <c r="A1" s="32" t="s">
        <v>0</v>
      </c>
      <c r="B1" s="33" t="s">
        <v>15</v>
      </c>
      <c r="D1" s="34" t="s">
        <v>16</v>
      </c>
      <c r="E1" s="35"/>
      <c r="F1" s="34"/>
      <c r="G1" s="34"/>
      <c r="H1" s="34"/>
      <c r="I1" s="34"/>
      <c r="J1" s="34"/>
      <c r="K1" s="34"/>
      <c r="L1" s="34"/>
    </row>
    <row r="2" customHeight="1" spans="1:12">
      <c r="A2">
        <f>Average_weeklysales_per_store!A3</f>
        <v>20</v>
      </c>
      <c r="B2" t="str">
        <f>IF(Average_weeklysales_per_store!B3&gt;=Average_weeklysales_per_store!$B$48,"High weekly sales","Low weekly sales")</f>
        <v>High weekly sales</v>
      </c>
      <c r="D2" s="34"/>
      <c r="E2" s="36"/>
      <c r="F2" s="34"/>
      <c r="G2" s="34"/>
      <c r="H2" s="34"/>
      <c r="I2" s="34"/>
      <c r="J2" s="34"/>
      <c r="K2" s="34"/>
      <c r="L2" s="34"/>
    </row>
    <row r="3" customHeight="1" spans="1:12">
      <c r="A3">
        <f>Average_weeklysales_per_store!A4</f>
        <v>4</v>
      </c>
      <c r="B3" t="str">
        <f>IF(Average_weeklysales_per_store!B4&gt;=Average_weeklysales_per_store!$B$48,"High weekly sales","Low weekly sales")</f>
        <v>High weekly sales</v>
      </c>
      <c r="D3" s="34"/>
      <c r="E3" s="36"/>
      <c r="F3" s="34"/>
      <c r="G3" s="34"/>
      <c r="H3" s="34"/>
      <c r="I3" s="34"/>
      <c r="J3" s="34"/>
      <c r="K3" s="34"/>
      <c r="L3" s="34"/>
    </row>
    <row r="4" customHeight="1" spans="1:12">
      <c r="A4">
        <f>Average_weeklysales_per_store!A5</f>
        <v>14</v>
      </c>
      <c r="B4" t="str">
        <f>IF(Average_weeklysales_per_store!B5&gt;=Average_weeklysales_per_store!$B$48,"High weekly sales","Low weekly sales")</f>
        <v>High weekly sales</v>
      </c>
      <c r="D4" s="34"/>
      <c r="E4" s="36"/>
      <c r="F4" s="34"/>
      <c r="G4" s="34"/>
      <c r="H4" s="34"/>
      <c r="I4" s="34"/>
      <c r="J4" s="34"/>
      <c r="K4" s="34"/>
      <c r="L4" s="34"/>
    </row>
    <row r="5" customHeight="1" spans="1:12">
      <c r="A5">
        <f>Average_weeklysales_per_store!A6</f>
        <v>13</v>
      </c>
      <c r="B5" t="str">
        <f>IF(Average_weeklysales_per_store!B6&gt;=Average_weeklysales_per_store!$B$48,"High weekly sales","Low weekly sales")</f>
        <v>High weekly sales</v>
      </c>
      <c r="D5" s="37"/>
      <c r="E5" s="38"/>
      <c r="F5" s="39"/>
      <c r="G5" s="38"/>
      <c r="H5" s="40"/>
      <c r="I5" s="38"/>
      <c r="J5" s="38"/>
      <c r="K5" s="40"/>
      <c r="L5" s="40"/>
    </row>
    <row r="6" customHeight="1" spans="1:13">
      <c r="A6">
        <f>Average_weeklysales_per_store!A7</f>
        <v>2</v>
      </c>
      <c r="B6" t="str">
        <f>IF(Average_weeklysales_per_store!B7&gt;=Average_weeklysales_per_store!$B$48,"High weekly sales","Low weekly sales")</f>
        <v>High weekly sales</v>
      </c>
      <c r="D6" s="41" t="s">
        <v>17</v>
      </c>
      <c r="E6" s="41"/>
      <c r="F6" s="42" t="s">
        <v>18</v>
      </c>
      <c r="G6" s="42"/>
      <c r="H6" s="43"/>
      <c r="I6" s="52"/>
      <c r="J6" s="52"/>
      <c r="K6" s="43"/>
      <c r="L6" s="43"/>
      <c r="M6" s="53"/>
    </row>
    <row r="7" customHeight="1" spans="1:12">
      <c r="A7">
        <f>Average_weeklysales_per_store!A8</f>
        <v>10</v>
      </c>
      <c r="B7" t="str">
        <f>IF(Average_weeklysales_per_store!B8&gt;=Average_weeklysales_per_store!$B$48,"High weekly sales","Low weekly sales")</f>
        <v>High weekly sales</v>
      </c>
      <c r="D7" s="44"/>
      <c r="E7" s="44"/>
      <c r="F7" s="45"/>
      <c r="G7" s="46"/>
      <c r="H7" s="47"/>
      <c r="I7" s="49"/>
      <c r="J7" s="49"/>
      <c r="K7" s="47"/>
      <c r="L7" s="47"/>
    </row>
    <row r="8" customHeight="1" spans="1:12">
      <c r="A8">
        <f>Average_weeklysales_per_store!A9</f>
        <v>27</v>
      </c>
      <c r="B8" t="str">
        <f>IF(Average_weeklysales_per_store!B9&gt;=Average_weeklysales_per_store!$B$48,"High weekly sales","Low weekly sales")</f>
        <v>High weekly sales</v>
      </c>
      <c r="D8" s="48"/>
      <c r="E8" s="49"/>
      <c r="F8" s="50"/>
      <c r="G8" s="49"/>
      <c r="H8" s="47"/>
      <c r="I8" s="49"/>
      <c r="J8" s="49"/>
      <c r="K8" s="47"/>
      <c r="L8" s="47"/>
    </row>
    <row r="9" customHeight="1" spans="1:12">
      <c r="A9">
        <f>Average_weeklysales_per_store!A10</f>
        <v>6</v>
      </c>
      <c r="B9" t="str">
        <f>IF(Average_weeklysales_per_store!B10&gt;=Average_weeklysales_per_store!$B$48,"High weekly sales","Low weekly sales")</f>
        <v>High weekly sales</v>
      </c>
      <c r="D9" s="48"/>
      <c r="E9" s="49"/>
      <c r="F9" s="50"/>
      <c r="G9" s="49"/>
      <c r="H9" s="47"/>
      <c r="I9" s="49"/>
      <c r="J9" s="49"/>
      <c r="K9" s="47"/>
      <c r="L9" s="47"/>
    </row>
    <row r="10" customHeight="1" spans="1:2">
      <c r="A10">
        <f>Average_weeklysales_per_store!A11</f>
        <v>1</v>
      </c>
      <c r="B10" t="str">
        <f>IF(Average_weeklysales_per_store!B11&gt;=Average_weeklysales_per_store!$B$48,"High weekly sales","Low weekly sales")</f>
        <v>High weekly sales</v>
      </c>
    </row>
    <row r="11" customHeight="1" spans="1:2">
      <c r="A11">
        <f>Average_weeklysales_per_store!A12</f>
        <v>39</v>
      </c>
      <c r="B11" t="str">
        <f>IF(Average_weeklysales_per_store!B12&gt;=Average_weeklysales_per_store!$B$48,"High weekly sales","Low weekly sales")</f>
        <v>High weekly sales</v>
      </c>
    </row>
    <row r="12" customHeight="1" spans="1:2">
      <c r="A12">
        <f>Average_weeklysales_per_store!A13</f>
        <v>19</v>
      </c>
      <c r="B12" t="str">
        <f>IF(Average_weeklysales_per_store!B13&gt;=Average_weeklysales_per_store!$B$48,"High weekly sales","Low weekly sales")</f>
        <v>High weekly sales</v>
      </c>
    </row>
    <row r="13" customHeight="1" spans="1:2">
      <c r="A13">
        <f>Average_weeklysales_per_store!A14</f>
        <v>31</v>
      </c>
      <c r="B13" t="str">
        <f>IF(Average_weeklysales_per_store!B14&gt;=Average_weeklysales_per_store!$B$48,"High weekly sales","Low weekly sales")</f>
        <v>High weekly sales</v>
      </c>
    </row>
    <row r="14" customHeight="1" spans="1:2">
      <c r="A14">
        <f>Average_weeklysales_per_store!A15</f>
        <v>23</v>
      </c>
      <c r="B14" t="str">
        <f>IF(Average_weeklysales_per_store!B15&gt;=Average_weeklysales_per_store!$B$48,"High weekly sales","Low weekly sales")</f>
        <v>High weekly sales</v>
      </c>
    </row>
    <row r="15" customHeight="1" spans="1:2">
      <c r="A15">
        <f>Average_weeklysales_per_store!A16</f>
        <v>24</v>
      </c>
      <c r="B15" t="str">
        <f>IF(Average_weeklysales_per_store!B16&gt;=Average_weeklysales_per_store!$B$48,"High weekly sales","Low weekly sales")</f>
        <v>High weekly sales</v>
      </c>
    </row>
    <row r="16" customHeight="1" spans="1:2">
      <c r="A16">
        <f>Average_weeklysales_per_store!A17</f>
        <v>11</v>
      </c>
      <c r="B16" t="str">
        <f>IF(Average_weeklysales_per_store!B17&gt;=Average_weeklysales_per_store!$B$48,"High weekly sales","Low weekly sales")</f>
        <v>High weekly sales</v>
      </c>
    </row>
    <row r="17" customHeight="1" spans="1:2">
      <c r="A17">
        <f>Average_weeklysales_per_store!A18</f>
        <v>28</v>
      </c>
      <c r="B17" t="str">
        <f>IF(Average_weeklysales_per_store!B18&gt;=Average_weeklysales_per_store!$B$48,"High weekly sales","Low weekly sales")</f>
        <v>High weekly sales</v>
      </c>
    </row>
    <row r="18" customHeight="1" spans="1:2">
      <c r="A18">
        <f>Average_weeklysales_per_store!A19</f>
        <v>41</v>
      </c>
      <c r="B18" t="str">
        <f>IF(Average_weeklysales_per_store!B19&gt;=Average_weeklysales_per_store!$B$48,"High weekly sales","Low weekly sales")</f>
        <v>High weekly sales</v>
      </c>
    </row>
    <row r="19" customHeight="1" spans="1:2">
      <c r="A19">
        <f>Average_weeklysales_per_store!A20</f>
        <v>32</v>
      </c>
      <c r="B19" t="str">
        <f>IF(Average_weeklysales_per_store!B20&gt;=Average_weeklysales_per_store!$B$48,"High weekly sales","Low weekly sales")</f>
        <v>High weekly sales</v>
      </c>
    </row>
    <row r="20" customHeight="1" spans="1:2">
      <c r="A20">
        <f>Average_weeklysales_per_store!A21</f>
        <v>18</v>
      </c>
      <c r="B20" t="str">
        <f>IF(Average_weeklysales_per_store!B21&gt;=Average_weeklysales_per_store!$B$48,"High weekly sales","Low weekly sales")</f>
        <v>High weekly sales</v>
      </c>
    </row>
    <row r="21" customHeight="1" spans="1:2">
      <c r="A21">
        <f>Average_weeklysales_per_store!A22</f>
        <v>22</v>
      </c>
      <c r="B21" t="str">
        <f>IF(Average_weeklysales_per_store!B22&gt;=Average_weeklysales_per_store!$B$48,"High weekly sales","Low weekly sales")</f>
        <v>Low weekly sales</v>
      </c>
    </row>
    <row r="22" customHeight="1" spans="1:2">
      <c r="A22">
        <f>Average_weeklysales_per_store!A23</f>
        <v>12</v>
      </c>
      <c r="B22" t="str">
        <f>IF(Average_weeklysales_per_store!B23&gt;=Average_weeklysales_per_store!$B$48,"High weekly sales","Low weekly sales")</f>
        <v>Low weekly sales</v>
      </c>
    </row>
    <row r="23" customHeight="1" spans="1:2">
      <c r="A23">
        <f>Average_weeklysales_per_store!A24</f>
        <v>26</v>
      </c>
      <c r="B23" t="str">
        <f>IF(Average_weeklysales_per_store!B24&gt;=Average_weeklysales_per_store!$B$48,"High weekly sales","Low weekly sales")</f>
        <v>Low weekly sales</v>
      </c>
    </row>
    <row r="24" customHeight="1" spans="1:2">
      <c r="A24">
        <f>Average_weeklysales_per_store!A25</f>
        <v>34</v>
      </c>
      <c r="B24" t="str">
        <f>IF(Average_weeklysales_per_store!B25&gt;=Average_weeklysales_per_store!$B$48,"High weekly sales","Low weekly sales")</f>
        <v>Low weekly sales</v>
      </c>
    </row>
    <row r="25" customHeight="1" spans="1:2">
      <c r="A25">
        <f>Average_weeklysales_per_store!A26</f>
        <v>40</v>
      </c>
      <c r="B25" t="str">
        <f>IF(Average_weeklysales_per_store!B26&gt;=Average_weeklysales_per_store!$B$48,"High weekly sales","Low weekly sales")</f>
        <v>Low weekly sales</v>
      </c>
    </row>
    <row r="26" customHeight="1" spans="1:2">
      <c r="A26">
        <f>Average_weeklysales_per_store!A27</f>
        <v>35</v>
      </c>
      <c r="B26" t="str">
        <f>IF(Average_weeklysales_per_store!B27&gt;=Average_weeklysales_per_store!$B$48,"High weekly sales","Low weekly sales")</f>
        <v>Low weekly sales</v>
      </c>
    </row>
    <row r="27" customHeight="1" spans="1:2">
      <c r="A27">
        <f>Average_weeklysales_per_store!A28</f>
        <v>8</v>
      </c>
      <c r="B27" t="str">
        <f>IF(Average_weeklysales_per_store!B28&gt;=Average_weeklysales_per_store!$B$48,"High weekly sales","Low weekly sales")</f>
        <v>Low weekly sales</v>
      </c>
    </row>
    <row r="28" customHeight="1" spans="1:2">
      <c r="A28">
        <f>Average_weeklysales_per_store!A29</f>
        <v>17</v>
      </c>
      <c r="B28" t="str">
        <f>IF(Average_weeklysales_per_store!B29&gt;=Average_weeklysales_per_store!$B$48,"High weekly sales","Low weekly sales")</f>
        <v>Low weekly sales</v>
      </c>
    </row>
    <row r="29" customHeight="1" spans="1:2">
      <c r="A29">
        <f>Average_weeklysales_per_store!A30</f>
        <v>45</v>
      </c>
      <c r="B29" t="str">
        <f>IF(Average_weeklysales_per_store!B30&gt;=Average_weeklysales_per_store!$B$48,"High weekly sales","Low weekly sales")</f>
        <v>Low weekly sales</v>
      </c>
    </row>
    <row r="30" customHeight="1" spans="1:2">
      <c r="A30">
        <f>Average_weeklysales_per_store!A31</f>
        <v>21</v>
      </c>
      <c r="B30" t="str">
        <f>IF(Average_weeklysales_per_store!B31&gt;=Average_weeklysales_per_store!$B$48,"High weekly sales","Low weekly sales")</f>
        <v>Low weekly sales</v>
      </c>
    </row>
    <row r="31" customHeight="1" spans="1:2">
      <c r="A31">
        <f>Average_weeklysales_per_store!A32</f>
        <v>25</v>
      </c>
      <c r="B31" t="str">
        <f>IF(Average_weeklysales_per_store!B32&gt;=Average_weeklysales_per_store!$B$48,"High weekly sales","Low weekly sales")</f>
        <v>Low weekly sales</v>
      </c>
    </row>
    <row r="32" customHeight="1" spans="1:2">
      <c r="A32">
        <f>Average_weeklysales_per_store!A33</f>
        <v>43</v>
      </c>
      <c r="B32" t="str">
        <f>IF(Average_weeklysales_per_store!B33&gt;=Average_weeklysales_per_store!$B$48,"High weekly sales","Low weekly sales")</f>
        <v>Low weekly sales</v>
      </c>
    </row>
    <row r="33" customHeight="1" spans="1:2">
      <c r="A33">
        <f>Average_weeklysales_per_store!A34</f>
        <v>15</v>
      </c>
      <c r="B33" t="str">
        <f>IF(Average_weeklysales_per_store!B34&gt;=Average_weeklysales_per_store!$B$48,"High weekly sales","Low weekly sales")</f>
        <v>Low weekly sales</v>
      </c>
    </row>
    <row r="34" customHeight="1" spans="1:2">
      <c r="A34">
        <f>Average_weeklysales_per_store!A35</f>
        <v>7</v>
      </c>
      <c r="B34" t="str">
        <f>IF(Average_weeklysales_per_store!B35&gt;=Average_weeklysales_per_store!$B$48,"High weekly sales","Low weekly sales")</f>
        <v>Low weekly sales</v>
      </c>
    </row>
    <row r="35" customHeight="1" spans="1:2">
      <c r="A35">
        <f>Average_weeklysales_per_store!A36</f>
        <v>42</v>
      </c>
      <c r="B35" t="str">
        <f>IF(Average_weeklysales_per_store!B36&gt;=Average_weeklysales_per_store!$B$48,"High weekly sales","Low weekly sales")</f>
        <v>Low weekly sales</v>
      </c>
    </row>
    <row r="36" customHeight="1" spans="1:2">
      <c r="A36">
        <f>Average_weeklysales_per_store!A37</f>
        <v>9</v>
      </c>
      <c r="B36" t="str">
        <f>IF(Average_weeklysales_per_store!B37&gt;=Average_weeklysales_per_store!$B$48,"High weekly sales","Low weekly sales")</f>
        <v>Low weekly sales</v>
      </c>
    </row>
    <row r="37" customHeight="1" spans="1:2">
      <c r="A37">
        <f>Average_weeklysales_per_store!A38</f>
        <v>29</v>
      </c>
      <c r="B37" t="str">
        <f>IF(Average_weeklysales_per_store!B38&gt;=Average_weeklysales_per_store!$B$48,"High weekly sales","Low weekly sales")</f>
        <v>Low weekly sales</v>
      </c>
    </row>
    <row r="38" customHeight="1" spans="1:2">
      <c r="A38">
        <f>Average_weeklysales_per_store!A39</f>
        <v>16</v>
      </c>
      <c r="B38" t="str">
        <f>IF(Average_weeklysales_per_store!B39&gt;=Average_weeklysales_per_store!$B$48,"High weekly sales","Low weekly sales")</f>
        <v>Low weekly sales</v>
      </c>
    </row>
    <row r="39" customHeight="1" spans="1:2">
      <c r="A39">
        <f>Average_weeklysales_per_store!A40</f>
        <v>37</v>
      </c>
      <c r="B39" t="str">
        <f>IF(Average_weeklysales_per_store!B40&gt;=Average_weeklysales_per_store!$B$48,"High weekly sales","Low weekly sales")</f>
        <v>Low weekly sales</v>
      </c>
    </row>
    <row r="40" customHeight="1" spans="1:2">
      <c r="A40">
        <f>Average_weeklysales_per_store!A41</f>
        <v>30</v>
      </c>
      <c r="B40" t="str">
        <f>IF(Average_weeklysales_per_store!B41&gt;=Average_weeklysales_per_store!$B$48,"High weekly sales","Low weekly sales")</f>
        <v>Low weekly sales</v>
      </c>
    </row>
    <row r="41" customHeight="1" spans="1:2">
      <c r="A41">
        <f>Average_weeklysales_per_store!A42</f>
        <v>3</v>
      </c>
      <c r="B41" t="str">
        <f>IF(Average_weeklysales_per_store!B42&gt;=Average_weeklysales_per_store!$B$48,"High weekly sales","Low weekly sales")</f>
        <v>Low weekly sales</v>
      </c>
    </row>
    <row r="42" customHeight="1" spans="1:2">
      <c r="A42">
        <f>Average_weeklysales_per_store!A43</f>
        <v>38</v>
      </c>
      <c r="B42" t="str">
        <f>IF(Average_weeklysales_per_store!B43&gt;=Average_weeklysales_per_store!$B$48,"High weekly sales","Low weekly sales")</f>
        <v>Low weekly sales</v>
      </c>
    </row>
    <row r="43" customHeight="1" spans="1:2">
      <c r="A43">
        <f>Average_weeklysales_per_store!A44</f>
        <v>36</v>
      </c>
      <c r="B43" t="str">
        <f>IF(Average_weeklysales_per_store!B44&gt;=Average_weeklysales_per_store!$B$48,"High weekly sales","Low weekly sales")</f>
        <v>Low weekly sales</v>
      </c>
    </row>
    <row r="44" customHeight="1" spans="1:2">
      <c r="A44">
        <f>Average_weeklysales_per_store!A45</f>
        <v>5</v>
      </c>
      <c r="B44" t="str">
        <f>IF(Average_weeklysales_per_store!B45&gt;=Average_weeklysales_per_store!$B$48,"High weekly sales","Low weekly sales")</f>
        <v>Low weekly sales</v>
      </c>
    </row>
    <row r="45" customHeight="1" spans="1:2">
      <c r="A45">
        <f>Average_weeklysales_per_store!A46</f>
        <v>44</v>
      </c>
      <c r="B45" t="str">
        <f>IF(Average_weeklysales_per_store!B46&gt;=Average_weeklysales_per_store!$B$48,"High weekly sales","Low weekly sales")</f>
        <v>Low weekly sales</v>
      </c>
    </row>
    <row r="46" customHeight="1" spans="1:2">
      <c r="A46">
        <f>Average_weeklysales_per_store!A47</f>
        <v>33</v>
      </c>
      <c r="B46" t="str">
        <f>IF(Average_weeklysales_per_store!B47&gt;=Average_weeklysales_per_store!$B$48,"High weekly sales","Low weekly sales")</f>
        <v>Low weekly sales</v>
      </c>
    </row>
    <row r="59" customHeight="1" spans="6:11">
      <c r="F59" s="51" cm="1">
        <f t="array" ref="F59:F77">_xlfn._xlws.FILTER($A$2:$A$46,$B$2:$B$46="High weekly sales")</f>
        <v>20</v>
      </c>
      <c r="G59" s="51" cm="1">
        <f t="array" ref="G59:G84">_xlfn._xlws.FILTER($A$2:$A$46,$B$2:$B$46="Low weekly sales")</f>
        <v>22</v>
      </c>
      <c r="H59" s="51"/>
      <c r="I59" s="54" t="str" cm="1">
        <f t="array" ref="I59:I77">_xlfn._xlws.FILTER(B2:B46,$B$2:$B$46="High weekly sales")</f>
        <v>High weekly sales</v>
      </c>
      <c r="J59" s="54" t="str" cm="1">
        <f t="array" ref="J59:J84">_xlfn._xlws.FILTER(B2:B46,$B$2:$B$46="Low weekly sales")</f>
        <v>Low weekly sales</v>
      </c>
      <c r="K59" s="51"/>
    </row>
    <row r="60" customHeight="1" spans="6:11">
      <c r="F60" s="51">
        <v>4</v>
      </c>
      <c r="G60" s="51">
        <v>12</v>
      </c>
      <c r="H60" s="51"/>
      <c r="I60" s="54" t="str">
        <v>High weekly sales</v>
      </c>
      <c r="J60" s="54" t="str">
        <v>Low weekly sales</v>
      </c>
      <c r="K60" s="51"/>
    </row>
    <row r="61" customHeight="1" spans="6:11">
      <c r="F61" s="51">
        <v>14</v>
      </c>
      <c r="G61" s="51">
        <v>26</v>
      </c>
      <c r="H61" s="51"/>
      <c r="I61" s="54" t="str">
        <v>High weekly sales</v>
      </c>
      <c r="J61" s="54" t="str">
        <v>Low weekly sales</v>
      </c>
      <c r="K61" s="51"/>
    </row>
    <row r="62" customHeight="1" spans="6:11">
      <c r="F62" s="51">
        <v>13</v>
      </c>
      <c r="G62" s="51">
        <v>34</v>
      </c>
      <c r="H62" s="51"/>
      <c r="I62" s="54" t="str">
        <v>High weekly sales</v>
      </c>
      <c r="J62" s="54" t="str">
        <v>Low weekly sales</v>
      </c>
      <c r="K62" s="51"/>
    </row>
    <row r="63" customHeight="1" spans="6:11">
      <c r="F63" s="51">
        <v>2</v>
      </c>
      <c r="G63" s="51">
        <v>40</v>
      </c>
      <c r="H63" s="51"/>
      <c r="I63" s="54" t="str">
        <v>High weekly sales</v>
      </c>
      <c r="J63" s="54" t="str">
        <v>Low weekly sales</v>
      </c>
      <c r="K63" s="51"/>
    </row>
    <row r="64" customHeight="1" spans="6:11">
      <c r="F64" s="51">
        <v>10</v>
      </c>
      <c r="G64" s="51">
        <v>35</v>
      </c>
      <c r="H64" s="51"/>
      <c r="I64" s="54" t="str">
        <v>High weekly sales</v>
      </c>
      <c r="J64" s="54" t="str">
        <v>Low weekly sales</v>
      </c>
      <c r="K64" s="51"/>
    </row>
    <row r="65" customHeight="1" spans="6:11">
      <c r="F65" s="51">
        <v>27</v>
      </c>
      <c r="G65" s="51">
        <v>8</v>
      </c>
      <c r="H65" s="51"/>
      <c r="I65" s="54" t="str">
        <v>High weekly sales</v>
      </c>
      <c r="J65" s="54" t="str">
        <v>Low weekly sales</v>
      </c>
      <c r="K65" s="51"/>
    </row>
    <row r="66" customHeight="1" spans="6:11">
      <c r="F66" s="51">
        <v>6</v>
      </c>
      <c r="G66" s="51">
        <v>17</v>
      </c>
      <c r="H66" s="51"/>
      <c r="I66" s="54" t="str">
        <v>High weekly sales</v>
      </c>
      <c r="J66" s="54" t="str">
        <v>Low weekly sales</v>
      </c>
      <c r="K66" s="51"/>
    </row>
    <row r="67" customHeight="1" spans="6:11">
      <c r="F67" s="51">
        <v>1</v>
      </c>
      <c r="G67" s="51">
        <v>45</v>
      </c>
      <c r="H67" s="51"/>
      <c r="I67" s="54" t="str">
        <v>High weekly sales</v>
      </c>
      <c r="J67" s="54" t="str">
        <v>Low weekly sales</v>
      </c>
      <c r="K67" s="51"/>
    </row>
    <row r="68" customHeight="1" spans="6:11">
      <c r="F68" s="51">
        <v>39</v>
      </c>
      <c r="G68" s="51">
        <v>21</v>
      </c>
      <c r="H68" s="51"/>
      <c r="I68" s="54" t="str">
        <v>High weekly sales</v>
      </c>
      <c r="J68" s="54" t="str">
        <v>Low weekly sales</v>
      </c>
      <c r="K68" s="51"/>
    </row>
    <row r="69" customHeight="1" spans="6:11">
      <c r="F69" s="51">
        <v>19</v>
      </c>
      <c r="G69" s="51">
        <v>25</v>
      </c>
      <c r="H69" s="51"/>
      <c r="I69" s="54" t="str">
        <v>High weekly sales</v>
      </c>
      <c r="J69" s="54" t="str">
        <v>Low weekly sales</v>
      </c>
      <c r="K69" s="51"/>
    </row>
    <row r="70" customHeight="1" spans="6:11">
      <c r="F70" s="51">
        <v>31</v>
      </c>
      <c r="G70" s="51">
        <v>43</v>
      </c>
      <c r="H70" s="51"/>
      <c r="I70" s="54" t="str">
        <v>High weekly sales</v>
      </c>
      <c r="J70" s="54" t="str">
        <v>Low weekly sales</v>
      </c>
      <c r="K70" s="51"/>
    </row>
    <row r="71" customHeight="1" spans="6:11">
      <c r="F71" s="51">
        <v>23</v>
      </c>
      <c r="G71" s="51">
        <v>15</v>
      </c>
      <c r="H71" s="51"/>
      <c r="I71" s="54" t="str">
        <v>High weekly sales</v>
      </c>
      <c r="J71" s="54" t="str">
        <v>Low weekly sales</v>
      </c>
      <c r="K71" s="51"/>
    </row>
    <row r="72" customHeight="1" spans="6:11">
      <c r="F72" s="51">
        <v>24</v>
      </c>
      <c r="G72" s="51">
        <v>7</v>
      </c>
      <c r="H72" s="51"/>
      <c r="I72" s="54" t="str">
        <v>High weekly sales</v>
      </c>
      <c r="J72" s="54" t="str">
        <v>Low weekly sales</v>
      </c>
      <c r="K72" s="51"/>
    </row>
    <row r="73" customHeight="1" spans="6:11">
      <c r="F73" s="51">
        <v>11</v>
      </c>
      <c r="G73" s="51">
        <v>42</v>
      </c>
      <c r="H73" s="51"/>
      <c r="I73" s="54" t="str">
        <v>High weekly sales</v>
      </c>
      <c r="J73" s="54" t="str">
        <v>Low weekly sales</v>
      </c>
      <c r="K73" s="51"/>
    </row>
    <row r="74" customHeight="1" spans="6:11">
      <c r="F74" s="51">
        <v>28</v>
      </c>
      <c r="G74" s="51">
        <v>9</v>
      </c>
      <c r="H74" s="51"/>
      <c r="I74" s="54" t="str">
        <v>High weekly sales</v>
      </c>
      <c r="J74" s="54" t="str">
        <v>Low weekly sales</v>
      </c>
      <c r="K74" s="51"/>
    </row>
    <row r="75" customHeight="1" spans="6:11">
      <c r="F75" s="51">
        <v>41</v>
      </c>
      <c r="G75" s="51">
        <v>29</v>
      </c>
      <c r="H75" s="51"/>
      <c r="I75" s="54" t="str">
        <v>High weekly sales</v>
      </c>
      <c r="J75" s="54" t="str">
        <v>Low weekly sales</v>
      </c>
      <c r="K75" s="51"/>
    </row>
    <row r="76" customHeight="1" spans="6:11">
      <c r="F76" s="51">
        <v>32</v>
      </c>
      <c r="G76" s="51">
        <v>16</v>
      </c>
      <c r="H76" s="51"/>
      <c r="I76" s="54" t="str">
        <v>High weekly sales</v>
      </c>
      <c r="J76" s="54" t="str">
        <v>Low weekly sales</v>
      </c>
      <c r="K76" s="51"/>
    </row>
    <row r="77" customHeight="1" spans="6:11">
      <c r="F77" s="51">
        <v>18</v>
      </c>
      <c r="G77" s="51">
        <v>37</v>
      </c>
      <c r="H77" s="51"/>
      <c r="I77" s="54" t="str">
        <v>High weekly sales</v>
      </c>
      <c r="J77" s="54" t="str">
        <v>Low weekly sales</v>
      </c>
      <c r="K77" s="51"/>
    </row>
    <row r="78" customHeight="1" spans="6:11">
      <c r="F78" s="51"/>
      <c r="G78" s="51">
        <v>30</v>
      </c>
      <c r="H78" s="51"/>
      <c r="J78" s="54" t="str">
        <v>Low weekly sales</v>
      </c>
      <c r="K78" s="51"/>
    </row>
    <row r="79" customHeight="1" spans="6:11">
      <c r="F79" s="51"/>
      <c r="G79" s="51">
        <v>3</v>
      </c>
      <c r="H79" s="51"/>
      <c r="I79" s="56">
        <f>(COUNTA(_xlfn.ANCHORARRAY(I59)))</f>
        <v>19</v>
      </c>
      <c r="J79" s="54" t="str">
        <v>Low weekly sales</v>
      </c>
      <c r="K79" s="51"/>
    </row>
    <row r="80" customHeight="1" spans="6:11">
      <c r="F80" s="51"/>
      <c r="G80" s="51">
        <v>38</v>
      </c>
      <c r="H80" s="51"/>
      <c r="I80" s="51"/>
      <c r="J80" s="54" t="str">
        <v>Low weekly sales</v>
      </c>
      <c r="K80" s="51"/>
    </row>
    <row r="81" customHeight="1" spans="5:11">
      <c r="E81" t="s">
        <v>19</v>
      </c>
      <c r="F81" s="54" t="s">
        <v>20</v>
      </c>
      <c r="G81" s="51">
        <v>36</v>
      </c>
      <c r="H81" s="51"/>
      <c r="I81" s="51"/>
      <c r="J81" s="54" t="str">
        <v>Low weekly sales</v>
      </c>
      <c r="K81" s="51"/>
    </row>
    <row r="82" customHeight="1" spans="5:11">
      <c r="E82" s="14">
        <f>COUNTA(_xlfn.ANCHORARRAY(J59))/(COUNTA(_xlfn.ANCHORARRAY(I59))+COUNTA(_xlfn.ANCHORARRAY(J59)))*360/360</f>
        <v>0.577777777777778</v>
      </c>
      <c r="F82" s="55">
        <f>(COUNTA(_xlfn.ANCHORARRAY(I59))/(COUNTA(_xlfn.ANCHORARRAY(I59))+COUNTA(_xlfn.ANCHORARRAY(J59)))*360/360)</f>
        <v>0.422222222222222</v>
      </c>
      <c r="G82" s="51">
        <v>5</v>
      </c>
      <c r="H82" s="51"/>
      <c r="I82" s="51"/>
      <c r="J82" s="54" t="str">
        <v>Low weekly sales</v>
      </c>
      <c r="K82" s="51"/>
    </row>
    <row r="83" customHeight="1" spans="6:11">
      <c r="F83" s="51"/>
      <c r="G83" s="51">
        <v>44</v>
      </c>
      <c r="H83" s="51"/>
      <c r="I83" s="51"/>
      <c r="J83" s="54" t="str">
        <v>Low weekly sales</v>
      </c>
      <c r="K83" s="51"/>
    </row>
    <row r="84" customHeight="1" spans="6:11">
      <c r="F84" s="51"/>
      <c r="G84" s="51">
        <v>33</v>
      </c>
      <c r="H84" s="51"/>
      <c r="I84" s="51"/>
      <c r="J84" s="54" t="str">
        <v>Low weekly sales</v>
      </c>
      <c r="K84" s="51"/>
    </row>
    <row r="85" customHeight="1" spans="10:10">
      <c r="J85" s="57">
        <f>COUNTA(_xlfn.ANCHORARRAY(J59))</f>
        <v>26</v>
      </c>
    </row>
    <row r="86" customHeight="1" spans="10:10">
      <c r="J86" s="58"/>
    </row>
  </sheetData>
  <mergeCells count="5">
    <mergeCell ref="D6:E6"/>
    <mergeCell ref="F6:G6"/>
    <mergeCell ref="D7:E7"/>
    <mergeCell ref="F7:G7"/>
    <mergeCell ref="D1:L4"/>
  </mergeCells>
  <dataValidations count="2">
    <dataValidation type="list" allowBlank="1" showInputMessage="1" showErrorMessage="1" prompt="Click to reveal" sqref="D7:E7">
      <formula1>_xlfn.ANCHORARRAY(F59)</formula1>
    </dataValidation>
    <dataValidation type="list" allowBlank="1" showInputMessage="1" showErrorMessage="1" sqref="F7:G7">
      <formula1>_xlfn.ANCHORARRAY(G59)</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7"/>
  <sheetViews>
    <sheetView topLeftCell="A5" workbookViewId="0">
      <selection activeCell="S24" sqref="S24"/>
    </sheetView>
  </sheetViews>
  <sheetFormatPr defaultColWidth="9.14285714285714" defaultRowHeight="15"/>
  <sheetData>
    <row r="1" ht="60" spans="1:15">
      <c r="A1" t="str">
        <f>list_of_stores!A1</f>
        <v>Store</v>
      </c>
      <c r="B1" s="27" t="s">
        <v>21</v>
      </c>
      <c r="C1" s="27" t="s">
        <v>22</v>
      </c>
      <c r="F1" s="28" t="s">
        <v>23</v>
      </c>
      <c r="G1" s="28"/>
      <c r="H1" s="28"/>
      <c r="I1" s="28"/>
      <c r="J1" s="28"/>
      <c r="K1" s="28"/>
      <c r="L1" s="28"/>
      <c r="M1" s="28"/>
      <c r="N1" s="28"/>
      <c r="O1" s="28"/>
    </row>
    <row r="2" spans="1:15">
      <c r="A2">
        <f>list_of_stores!A2</f>
        <v>1</v>
      </c>
      <c r="B2">
        <f>COUNTIFS(Walmart_Sales_raw_data!A2:A6437,A2,sales_level!C2:C6437,"Low")</f>
        <v>0</v>
      </c>
      <c r="C2">
        <f>COUNTIFS(Walmart_Sales_raw_data!A2:A6437,A2,sales_level!C2:C6437,"High")</f>
        <v>143</v>
      </c>
      <c r="F2" s="28"/>
      <c r="G2" s="28"/>
      <c r="H2" s="28"/>
      <c r="I2" s="28"/>
      <c r="J2" s="28"/>
      <c r="K2" s="28"/>
      <c r="L2" s="28"/>
      <c r="M2" s="28"/>
      <c r="N2" s="28"/>
      <c r="O2" s="28"/>
    </row>
    <row r="3" spans="1:15">
      <c r="A3">
        <f>list_of_stores!A3</f>
        <v>2</v>
      </c>
      <c r="B3">
        <f>COUNTIFS(Walmart_Sales_raw_data!A3:A6438,A3,sales_level!C3:C6438,"Low")</f>
        <v>0</v>
      </c>
      <c r="C3">
        <f>COUNTIFS(Walmart_Sales_raw_data!A3:A6438,A3,sales_level!C3:C6438,"High")</f>
        <v>143</v>
      </c>
      <c r="F3" s="28"/>
      <c r="G3" s="28"/>
      <c r="H3" s="28"/>
      <c r="I3" s="28"/>
      <c r="J3" s="28"/>
      <c r="K3" s="28"/>
      <c r="L3" s="28"/>
      <c r="M3" s="28"/>
      <c r="N3" s="28"/>
      <c r="O3" s="28"/>
    </row>
    <row r="4" spans="1:15">
      <c r="A4">
        <f>list_of_stores!A5</f>
        <v>4</v>
      </c>
      <c r="B4">
        <f>COUNTIFS(Walmart_Sales_raw_data!A4:A6439,A4,sales_level!C4:C6439,"Low")</f>
        <v>0</v>
      </c>
      <c r="C4">
        <f>COUNTIFS(Walmart_Sales_raw_data!A4:A6439,A4,sales_level!C4:C6439,"High")</f>
        <v>143</v>
      </c>
      <c r="F4" s="28"/>
      <c r="G4" s="28"/>
      <c r="H4" s="28"/>
      <c r="I4" s="28"/>
      <c r="J4" s="28"/>
      <c r="K4" s="28"/>
      <c r="L4" s="28"/>
      <c r="M4" s="28"/>
      <c r="N4" s="28"/>
      <c r="O4" s="28"/>
    </row>
    <row r="5" spans="1:15">
      <c r="A5">
        <f>list_of_stores!A7</f>
        <v>6</v>
      </c>
      <c r="B5">
        <f>COUNTIFS(Walmart_Sales_raw_data!A5:A6440,A5,sales_level!C5:C6440,"Low")</f>
        <v>0</v>
      </c>
      <c r="C5">
        <f>COUNTIFS(Walmart_Sales_raw_data!A5:A6440,A5,sales_level!C5:C6440,"High")</f>
        <v>143</v>
      </c>
      <c r="F5" s="28"/>
      <c r="G5" s="28"/>
      <c r="H5" s="28"/>
      <c r="I5" s="28"/>
      <c r="J5" s="28"/>
      <c r="K5" s="28"/>
      <c r="L5" s="28"/>
      <c r="M5" s="28"/>
      <c r="N5" s="28"/>
      <c r="O5" s="28"/>
    </row>
    <row r="6" spans="1:15">
      <c r="A6">
        <f>list_of_stores!A11</f>
        <v>10</v>
      </c>
      <c r="B6">
        <f>COUNTIFS(Walmart_Sales_raw_data!A6:A6441,A6,sales_level!C6:C6441,"Low")</f>
        <v>0</v>
      </c>
      <c r="C6">
        <f>COUNTIFS(Walmart_Sales_raw_data!A6:A6441,A6,sales_level!C6:C6441,"High")</f>
        <v>143</v>
      </c>
      <c r="F6" s="28"/>
      <c r="G6" s="28"/>
      <c r="H6" s="28"/>
      <c r="I6" s="28"/>
      <c r="J6" s="28"/>
      <c r="K6" s="28"/>
      <c r="L6" s="28"/>
      <c r="M6" s="28"/>
      <c r="N6" s="28"/>
      <c r="O6" s="28"/>
    </row>
    <row r="7" spans="1:3">
      <c r="A7">
        <f>list_of_stores!A12</f>
        <v>11</v>
      </c>
      <c r="B7">
        <f>COUNTIFS(Walmart_Sales_raw_data!A7:A6442,A7,sales_level!C7:C6442,"Low")</f>
        <v>0</v>
      </c>
      <c r="C7">
        <f>COUNTIFS(Walmart_Sales_raw_data!A7:A6442,A7,sales_level!C7:C6442,"High")</f>
        <v>143</v>
      </c>
    </row>
    <row r="8" spans="1:16">
      <c r="A8">
        <f>list_of_stores!A14</f>
        <v>13</v>
      </c>
      <c r="B8">
        <f>COUNTIFS(Walmart_Sales_raw_data!A8:A6443,A8,sales_level!C8:C6443,"Low")</f>
        <v>0</v>
      </c>
      <c r="C8">
        <f>COUNTIFS(Walmart_Sales_raw_data!A8:A6443,A8,sales_level!C8:C6443,"High")</f>
        <v>143</v>
      </c>
      <c r="E8" s="29" t="s">
        <v>24</v>
      </c>
      <c r="F8" s="29"/>
      <c r="G8" s="29"/>
      <c r="H8" s="29" t="s">
        <v>25</v>
      </c>
      <c r="I8" s="29"/>
      <c r="J8" s="29"/>
      <c r="K8" s="29" t="s">
        <v>26</v>
      </c>
      <c r="L8" s="29"/>
      <c r="M8" s="29"/>
      <c r="N8" s="29" t="s">
        <v>27</v>
      </c>
      <c r="O8" s="29"/>
      <c r="P8" s="29"/>
    </row>
    <row r="9" spans="1:16">
      <c r="A9">
        <f>list_of_stores!A15</f>
        <v>14</v>
      </c>
      <c r="B9">
        <f>COUNTIFS(Walmart_Sales_raw_data!A9:A6444,A9,sales_level!C9:C6444,"Low")</f>
        <v>0</v>
      </c>
      <c r="C9">
        <f>COUNTIFS(Walmart_Sales_raw_data!A9:A6444,A9,sales_level!C9:C6444,"High")</f>
        <v>143</v>
      </c>
      <c r="E9" s="29"/>
      <c r="F9" s="29"/>
      <c r="G9" s="29"/>
      <c r="H9" s="29"/>
      <c r="I9" s="29"/>
      <c r="J9" s="29"/>
      <c r="K9" s="29"/>
      <c r="L9" s="29"/>
      <c r="M9" s="29"/>
      <c r="N9" s="29"/>
      <c r="O9" s="29"/>
      <c r="P9" s="29"/>
    </row>
    <row r="10" spans="1:16">
      <c r="A10">
        <f>list_of_stores!A20</f>
        <v>19</v>
      </c>
      <c r="B10">
        <f>COUNTIFS(Walmart_Sales_raw_data!A10:A6445,A10,sales_level!C10:C6445,"Low")</f>
        <v>0</v>
      </c>
      <c r="C10">
        <f>COUNTIFS(Walmart_Sales_raw_data!A10:A6445,A10,sales_level!C10:C6445,"High")</f>
        <v>143</v>
      </c>
      <c r="E10" s="29"/>
      <c r="F10" s="29"/>
      <c r="G10" s="29"/>
      <c r="H10" s="29"/>
      <c r="I10" s="29"/>
      <c r="J10" s="29"/>
      <c r="K10" s="29"/>
      <c r="L10" s="29"/>
      <c r="M10" s="29"/>
      <c r="N10" s="29"/>
      <c r="O10" s="29"/>
      <c r="P10" s="29"/>
    </row>
    <row r="11" spans="1:16">
      <c r="A11">
        <f>list_of_stores!A21</f>
        <v>20</v>
      </c>
      <c r="B11">
        <f>COUNTIFS(Walmart_Sales_raw_data!A11:A6446,A11,sales_level!C11:C6446,"Low")</f>
        <v>0</v>
      </c>
      <c r="C11">
        <f>COUNTIFS(Walmart_Sales_raw_data!A11:A6446,A11,sales_level!C11:C6446,"High")</f>
        <v>143</v>
      </c>
      <c r="E11" s="29"/>
      <c r="F11" s="29"/>
      <c r="G11" s="29"/>
      <c r="H11" s="29"/>
      <c r="I11" s="29"/>
      <c r="J11" s="29"/>
      <c r="K11" s="29"/>
      <c r="L11" s="29"/>
      <c r="M11" s="29"/>
      <c r="N11" s="29"/>
      <c r="O11" s="29"/>
      <c r="P11" s="29"/>
    </row>
    <row r="12" spans="1:16">
      <c r="A12">
        <f>list_of_stores!A25</f>
        <v>24</v>
      </c>
      <c r="B12">
        <f>COUNTIFS(Walmart_Sales_raw_data!A12:A6447,A12,sales_level!C12:C6447,"Low")</f>
        <v>0</v>
      </c>
      <c r="C12">
        <f>COUNTIFS(Walmart_Sales_raw_data!A12:A6447,A12,sales_level!C12:C6447,"High")</f>
        <v>143</v>
      </c>
      <c r="E12" s="30">
        <v>1</v>
      </c>
      <c r="F12" s="30"/>
      <c r="G12" s="30"/>
      <c r="H12" s="31">
        <v>23</v>
      </c>
      <c r="I12" s="31"/>
      <c r="J12" s="31"/>
      <c r="K12" s="30"/>
      <c r="L12" s="30"/>
      <c r="M12" s="30"/>
      <c r="N12" s="31">
        <v>18</v>
      </c>
      <c r="O12" s="31"/>
      <c r="P12" s="31"/>
    </row>
    <row r="13" spans="1:3">
      <c r="A13">
        <f>list_of_stores!A28</f>
        <v>27</v>
      </c>
      <c r="B13">
        <f>COUNTIFS(Walmart_Sales_raw_data!A13:A6448,A13,sales_level!C13:C6448,"Low")</f>
        <v>0</v>
      </c>
      <c r="C13">
        <f>COUNTIFS(Walmart_Sales_raw_data!A13:A6448,A13,sales_level!C13:C6448,"High")</f>
        <v>143</v>
      </c>
    </row>
    <row r="14" spans="1:3">
      <c r="A14">
        <f>list_of_stores!A29</f>
        <v>28</v>
      </c>
      <c r="B14">
        <f>COUNTIFS(Walmart_Sales_raw_data!A14:A6449,A14,sales_level!C14:C6449,"Low")</f>
        <v>0</v>
      </c>
      <c r="C14">
        <f>COUNTIFS(Walmart_Sales_raw_data!A14:A6449,A14,sales_level!C14:C6449,"High")</f>
        <v>143</v>
      </c>
    </row>
    <row r="15" spans="1:3">
      <c r="A15">
        <f>list_of_stores!A32</f>
        <v>31</v>
      </c>
      <c r="B15">
        <f>COUNTIFS(Walmart_Sales_raw_data!A15:A6450,A15,sales_level!C15:C6450,"Low")</f>
        <v>0</v>
      </c>
      <c r="C15">
        <f>COUNTIFS(Walmart_Sales_raw_data!A15:A6450,A15,sales_level!C15:C6450,"High")</f>
        <v>143</v>
      </c>
    </row>
    <row r="16" spans="1:3">
      <c r="A16">
        <f>list_of_stores!A40</f>
        <v>39</v>
      </c>
      <c r="B16">
        <f>COUNTIFS(Walmart_Sales_raw_data!A16:A6451,A16,sales_level!C16:C6451,"Low")</f>
        <v>0</v>
      </c>
      <c r="C16">
        <f>COUNTIFS(Walmart_Sales_raw_data!A16:A6451,A16,sales_level!C16:C6451,"High")</f>
        <v>143</v>
      </c>
    </row>
    <row r="17" spans="1:3">
      <c r="A17">
        <f>list_of_stores!A24</f>
        <v>23</v>
      </c>
      <c r="B17">
        <f>COUNTIFS(Walmart_Sales_raw_data!A17:A6452,A17,sales_level!C17:C6452,"Low")</f>
        <v>4</v>
      </c>
      <c r="C17">
        <f>COUNTIFS(Walmart_Sales_raw_data!A17:A6452,A17,sales_level!C17:C6452,"High")</f>
        <v>139</v>
      </c>
    </row>
    <row r="18" spans="1:3">
      <c r="A18">
        <f>list_of_stores!A33</f>
        <v>32</v>
      </c>
      <c r="B18">
        <f>COUNTIFS(Walmart_Sales_raw_data!A18:A6453,A18,sales_level!C18:C6453,"Low")</f>
        <v>6</v>
      </c>
      <c r="C18">
        <f>COUNTIFS(Walmart_Sales_raw_data!A18:A6453,A18,sales_level!C18:C6453,"High")</f>
        <v>137</v>
      </c>
    </row>
    <row r="19" spans="1:3">
      <c r="A19">
        <f>list_of_stores!A42</f>
        <v>41</v>
      </c>
      <c r="B19">
        <f>COUNTIFS(Walmart_Sales_raw_data!A19:A6454,A19,sales_level!C19:C6454,"Low")</f>
        <v>7</v>
      </c>
      <c r="C19">
        <f>COUNTIFS(Walmart_Sales_raw_data!A19:A6454,A19,sales_level!C19:C6454,"High")</f>
        <v>136</v>
      </c>
    </row>
    <row r="20" spans="1:3">
      <c r="A20">
        <f>list_of_stores!A19</f>
        <v>18</v>
      </c>
      <c r="B20">
        <f>COUNTIFS(Walmart_Sales_raw_data!A20:A6455,A20,sales_level!C20:C6455,"Low")</f>
        <v>57</v>
      </c>
      <c r="C20">
        <f>COUNTIFS(Walmart_Sales_raw_data!A20:A6455,A20,sales_level!C20:C6455,"High")</f>
        <v>86</v>
      </c>
    </row>
    <row r="21" spans="1:3">
      <c r="A21">
        <f>list_of_stores!A27</f>
        <v>26</v>
      </c>
      <c r="B21">
        <f>COUNTIFS(Walmart_Sales_raw_data!A21:A6456,A21,sales_level!C21:C6456,"Low")</f>
        <v>103</v>
      </c>
      <c r="C21">
        <f>COUNTIFS(Walmart_Sales_raw_data!A21:A6456,A21,sales_level!C21:C6456,"High")</f>
        <v>40</v>
      </c>
    </row>
    <row r="22" spans="1:3">
      <c r="A22">
        <f>list_of_stores!A23</f>
        <v>22</v>
      </c>
      <c r="B22">
        <f>COUNTIFS(Walmart_Sales_raw_data!A22:A6457,A22,sales_level!C22:C6457,"Low")</f>
        <v>104</v>
      </c>
      <c r="C22">
        <f>COUNTIFS(Walmart_Sales_raw_data!A22:A6457,A22,sales_level!C22:C6457,"High")</f>
        <v>39</v>
      </c>
    </row>
    <row r="23" spans="1:3">
      <c r="A23">
        <f>list_of_stores!A13</f>
        <v>12</v>
      </c>
      <c r="B23">
        <f>COUNTIFS(Walmart_Sales_raw_data!A23:A6458,A23,sales_level!C23:C6458,"Low")</f>
        <v>106</v>
      </c>
      <c r="C23">
        <f>COUNTIFS(Walmart_Sales_raw_data!A23:A6458,A23,sales_level!C23:C6458,"High")</f>
        <v>37</v>
      </c>
    </row>
    <row r="24" spans="1:3">
      <c r="A24">
        <f>list_of_stores!A36</f>
        <v>35</v>
      </c>
      <c r="B24">
        <f>COUNTIFS(Walmart_Sales_raw_data!A24:A6459,A24,sales_level!C24:C6459,"Low")</f>
        <v>109</v>
      </c>
      <c r="C24">
        <f>COUNTIFS(Walmart_Sales_raw_data!A24:A6459,A24,sales_level!C24:C6459,"High")</f>
        <v>34</v>
      </c>
    </row>
    <row r="25" spans="1:3">
      <c r="A25">
        <f>list_of_stores!A41</f>
        <v>40</v>
      </c>
      <c r="B25">
        <f>COUNTIFS(Walmart_Sales_raw_data!A25:A6460,A25,sales_level!C25:C6460,"Low")</f>
        <v>119</v>
      </c>
      <c r="C25">
        <f>COUNTIFS(Walmart_Sales_raw_data!A25:A6460,A25,sales_level!C25:C6460,"High")</f>
        <v>24</v>
      </c>
    </row>
    <row r="26" spans="1:3">
      <c r="A26">
        <f>list_of_stores!A18</f>
        <v>17</v>
      </c>
      <c r="B26">
        <f>COUNTIFS(Walmart_Sales_raw_data!A26:A6461,A26,sales_level!C26:C6461,"Low")</f>
        <v>129</v>
      </c>
      <c r="C26">
        <f>COUNTIFS(Walmart_Sales_raw_data!A26:A6461,A26,sales_level!C26:C6461,"High")</f>
        <v>14</v>
      </c>
    </row>
    <row r="27" spans="1:3">
      <c r="A27">
        <f>list_of_stores!A35</f>
        <v>34</v>
      </c>
      <c r="B27">
        <f>COUNTIFS(Walmart_Sales_raw_data!A27:A6462,A27,sales_level!C27:C6462,"Low")</f>
        <v>130</v>
      </c>
      <c r="C27">
        <f>COUNTIFS(Walmart_Sales_raw_data!A27:A6462,A27,sales_level!C27:C6462,"High")</f>
        <v>13</v>
      </c>
    </row>
    <row r="28" spans="1:3">
      <c r="A28">
        <f>list_of_stores!A9</f>
        <v>8</v>
      </c>
      <c r="B28">
        <f>COUNTIFS(Walmart_Sales_raw_data!A28:A6463,A28,sales_level!C28:C6463,"Low")</f>
        <v>133</v>
      </c>
      <c r="C28">
        <f>COUNTIFS(Walmart_Sales_raw_data!A28:A6463,A28,sales_level!C28:C6463,"High")</f>
        <v>10</v>
      </c>
    </row>
    <row r="29" spans="1:3">
      <c r="A29">
        <f>list_of_stores!A46</f>
        <v>45</v>
      </c>
      <c r="B29">
        <f>COUNTIFS(Walmart_Sales_raw_data!A29:A6464,A29,sales_level!C29:C6464,"Low")</f>
        <v>137</v>
      </c>
      <c r="C29">
        <f>COUNTIFS(Walmart_Sales_raw_data!A29:A6464,A29,sales_level!C29:C6464,"High")</f>
        <v>6</v>
      </c>
    </row>
    <row r="30" spans="1:3">
      <c r="A30">
        <f>list_of_stores!A22</f>
        <v>21</v>
      </c>
      <c r="B30">
        <f>COUNTIFS(Walmart_Sales_raw_data!A30:A6465,A30,sales_level!C30:C6465,"Low")</f>
        <v>138</v>
      </c>
      <c r="C30">
        <f>COUNTIFS(Walmart_Sales_raw_data!A30:A6465,A30,sales_level!C30:C6465,"High")</f>
        <v>5</v>
      </c>
    </row>
    <row r="31" spans="1:3">
      <c r="A31">
        <f>list_of_stores!A26</f>
        <v>25</v>
      </c>
      <c r="B31">
        <f>COUNTIFS(Walmart_Sales_raw_data!A31:A6466,A31,sales_level!C31:C6466,"Low")</f>
        <v>138</v>
      </c>
      <c r="C31">
        <f>COUNTIFS(Walmart_Sales_raw_data!A31:A6466,A31,sales_level!C31:C6466,"High")</f>
        <v>5</v>
      </c>
    </row>
    <row r="32" spans="1:3">
      <c r="A32">
        <f>list_of_stores!A16</f>
        <v>15</v>
      </c>
      <c r="B32">
        <f>COUNTIFS(Walmart_Sales_raw_data!A32:A6467,A32,sales_level!C32:C6467,"Low")</f>
        <v>139</v>
      </c>
      <c r="C32">
        <f>COUNTIFS(Walmart_Sales_raw_data!A32:A6467,A32,sales_level!C32:C6467,"High")</f>
        <v>4</v>
      </c>
    </row>
    <row r="33" spans="1:3">
      <c r="A33">
        <f>list_of_stores!A8</f>
        <v>7</v>
      </c>
      <c r="B33">
        <f>COUNTIFS(Walmart_Sales_raw_data!A33:A6468,A33,sales_level!C33:C6468,"Low")</f>
        <v>142</v>
      </c>
      <c r="C33">
        <f>COUNTIFS(Walmart_Sales_raw_data!A33:A6468,A33,sales_level!C33:C6468,"High")</f>
        <v>1</v>
      </c>
    </row>
    <row r="34" spans="1:3">
      <c r="A34">
        <f>list_of_stores!A30</f>
        <v>29</v>
      </c>
      <c r="B34">
        <f>COUNTIFS(Walmart_Sales_raw_data!A34:A6469,A34,sales_level!C34:C6469,"Low")</f>
        <v>142</v>
      </c>
      <c r="C34">
        <f>COUNTIFS(Walmart_Sales_raw_data!A34:A6469,A34,sales_level!C34:C6469,"High")</f>
        <v>1</v>
      </c>
    </row>
    <row r="35" spans="1:3">
      <c r="A35">
        <f>list_of_stores!A4</f>
        <v>3</v>
      </c>
      <c r="B35">
        <f>COUNTIFS(Walmart_Sales_raw_data!A35:A6470,A35,sales_level!C35:C6470,"Low")</f>
        <v>143</v>
      </c>
      <c r="C35">
        <f>COUNTIFS(Walmart_Sales_raw_data!A35:A6470,A35,sales_level!C35:C6470,"High")</f>
        <v>0</v>
      </c>
    </row>
    <row r="36" spans="1:3">
      <c r="A36">
        <f>list_of_stores!A6</f>
        <v>5</v>
      </c>
      <c r="B36">
        <f>COUNTIFS(Walmart_Sales_raw_data!A36:A6471,A36,sales_level!C36:C6471,"Low")</f>
        <v>143</v>
      </c>
      <c r="C36">
        <f>COUNTIFS(Walmart_Sales_raw_data!A36:A6471,A36,sales_level!C36:C6471,"High")</f>
        <v>0</v>
      </c>
    </row>
    <row r="37" spans="1:3">
      <c r="A37">
        <f>list_of_stores!A10</f>
        <v>9</v>
      </c>
      <c r="B37">
        <f>COUNTIFS(Walmart_Sales_raw_data!A37:A6472,A37,sales_level!C37:C6472,"Low")</f>
        <v>143</v>
      </c>
      <c r="C37">
        <f>COUNTIFS(Walmart_Sales_raw_data!A37:A6472,A37,sales_level!C37:C6472,"High")</f>
        <v>0</v>
      </c>
    </row>
    <row r="38" spans="1:3">
      <c r="A38">
        <f>list_of_stores!A17</f>
        <v>16</v>
      </c>
      <c r="B38">
        <f>COUNTIFS(Walmart_Sales_raw_data!A38:A6473,A38,sales_level!C38:C6473,"Low")</f>
        <v>143</v>
      </c>
      <c r="C38">
        <f>COUNTIFS(Walmart_Sales_raw_data!A38:A6473,A38,sales_level!C38:C6473,"High")</f>
        <v>0</v>
      </c>
    </row>
    <row r="39" spans="1:3">
      <c r="A39">
        <f>list_of_stores!A31</f>
        <v>30</v>
      </c>
      <c r="B39">
        <f>COUNTIFS(Walmart_Sales_raw_data!A39:A6474,A39,sales_level!C39:C6474,"Low")</f>
        <v>143</v>
      </c>
      <c r="C39">
        <f>COUNTIFS(Walmart_Sales_raw_data!A39:A6474,A39,sales_level!C39:C6474,"High")</f>
        <v>0</v>
      </c>
    </row>
    <row r="40" spans="1:3">
      <c r="A40">
        <f>list_of_stores!A34</f>
        <v>33</v>
      </c>
      <c r="B40">
        <f>COUNTIFS(Walmart_Sales_raw_data!A40:A6475,A40,sales_level!C40:C6475,"Low")</f>
        <v>143</v>
      </c>
      <c r="C40">
        <f>COUNTIFS(Walmart_Sales_raw_data!A40:A6475,A40,sales_level!C40:C6475,"High")</f>
        <v>0</v>
      </c>
    </row>
    <row r="41" spans="1:3">
      <c r="A41">
        <f>list_of_stores!A37</f>
        <v>36</v>
      </c>
      <c r="B41">
        <f>COUNTIFS(Walmart_Sales_raw_data!A41:A6476,A41,sales_level!C41:C6476,"Low")</f>
        <v>143</v>
      </c>
      <c r="C41">
        <f>COUNTIFS(Walmart_Sales_raw_data!A41:A6476,A41,sales_level!C41:C6476,"High")</f>
        <v>0</v>
      </c>
    </row>
    <row r="42" spans="1:3">
      <c r="A42">
        <f>list_of_stores!A38</f>
        <v>37</v>
      </c>
      <c r="B42">
        <f>COUNTIFS(Walmart_Sales_raw_data!A42:A6477,A42,sales_level!C42:C6477,"Low")</f>
        <v>143</v>
      </c>
      <c r="C42">
        <f>COUNTIFS(Walmart_Sales_raw_data!A42:A6477,A42,sales_level!C42:C6477,"High")</f>
        <v>0</v>
      </c>
    </row>
    <row r="43" spans="1:3">
      <c r="A43">
        <f>list_of_stores!A39</f>
        <v>38</v>
      </c>
      <c r="B43">
        <f>COUNTIFS(Walmart_Sales_raw_data!A43:A6478,A43,sales_level!C43:C6478,"Low")</f>
        <v>143</v>
      </c>
      <c r="C43">
        <f>COUNTIFS(Walmart_Sales_raw_data!A43:A6478,A43,sales_level!C43:C6478,"High")</f>
        <v>0</v>
      </c>
    </row>
    <row r="44" spans="1:3">
      <c r="A44">
        <f>list_of_stores!A43</f>
        <v>42</v>
      </c>
      <c r="B44">
        <f>COUNTIFS(Walmart_Sales_raw_data!A44:A6479,A44,sales_level!C44:C6479,"Low")</f>
        <v>143</v>
      </c>
      <c r="C44">
        <f>COUNTIFS(Walmart_Sales_raw_data!A44:A6479,A44,sales_level!C44:C6479,"High")</f>
        <v>0</v>
      </c>
    </row>
    <row r="45" spans="1:3">
      <c r="A45">
        <f>list_of_stores!A44</f>
        <v>43</v>
      </c>
      <c r="B45">
        <f>COUNTIFS(Walmart_Sales_raw_data!A45:A6480,A45,sales_level!C45:C6480,"Low")</f>
        <v>143</v>
      </c>
      <c r="C45">
        <f>COUNTIFS(Walmart_Sales_raw_data!A45:A6480,A45,sales_level!C45:C6480,"High")</f>
        <v>0</v>
      </c>
    </row>
    <row r="46" spans="1:3">
      <c r="A46">
        <f>list_of_stores!A45</f>
        <v>44</v>
      </c>
      <c r="B46">
        <f>COUNTIFS(Walmart_Sales_raw_data!A46:A6481,A46,sales_level!C46:C6481,"Low")</f>
        <v>143</v>
      </c>
      <c r="C46">
        <f>COUNTIFS(Walmart_Sales_raw_data!A46:A6481,A46,sales_level!C46:C6481,"High")</f>
        <v>0</v>
      </c>
    </row>
    <row r="47" spans="1:3">
      <c r="A47">
        <f>list_of_stores!A46</f>
        <v>45</v>
      </c>
      <c r="B47">
        <f>COUNTIFS(Walmart_Sales_raw_data!A47:A6482,A47,sales_level!C47:C6482,"Low")</f>
        <v>137</v>
      </c>
      <c r="C47">
        <f>COUNTIFS(Walmart_Sales_raw_data!A47:A6482,A47,sales_level!C47:C6482,"High")</f>
        <v>6</v>
      </c>
    </row>
    <row r="61" spans="4:7">
      <c r="D61" cm="1">
        <f t="array" ref="D61:D75">_xlfn._xlws.FILTER(A2:A46,C2:C46=143)</f>
        <v>1</v>
      </c>
      <c r="E61" cm="1">
        <f t="array" ref="E61:E63">_xlfn._xlws.FILTER(A2:A46,(C2:C46&lt;143)*(C2:C46&gt;100))</f>
        <v>23</v>
      </c>
      <c r="F61" cm="1">
        <f t="array" ref="F61">_xlfn._xlws.FILTER(A2:A46,(C2:C46&lt;=100)*(C2:C46&gt;75))</f>
        <v>18</v>
      </c>
      <c r="G61" cm="1">
        <f t="array" ref="G61:G87">_xlfn._xlws.FILTER(A2:A46,(C2:C46&lt;100))</f>
        <v>18</v>
      </c>
    </row>
    <row r="62" spans="4:7">
      <c r="D62">
        <v>2</v>
      </c>
      <c r="E62">
        <v>32</v>
      </c>
      <c r="G62">
        <v>26</v>
      </c>
    </row>
    <row r="63" spans="4:7">
      <c r="D63">
        <v>4</v>
      </c>
      <c r="E63">
        <v>41</v>
      </c>
      <c r="G63">
        <v>22</v>
      </c>
    </row>
    <row r="64" spans="4:7">
      <c r="D64">
        <v>6</v>
      </c>
      <c r="G64">
        <v>12</v>
      </c>
    </row>
    <row r="65" spans="4:7">
      <c r="D65">
        <v>10</v>
      </c>
      <c r="G65">
        <v>35</v>
      </c>
    </row>
    <row r="66" spans="4:7">
      <c r="D66">
        <v>11</v>
      </c>
      <c r="G66">
        <v>40</v>
      </c>
    </row>
    <row r="67" spans="4:7">
      <c r="D67">
        <v>13</v>
      </c>
      <c r="G67">
        <v>17</v>
      </c>
    </row>
    <row r="68" spans="4:7">
      <c r="D68">
        <v>14</v>
      </c>
      <c r="G68">
        <v>34</v>
      </c>
    </row>
    <row r="69" spans="4:7">
      <c r="D69">
        <v>19</v>
      </c>
      <c r="G69">
        <v>8</v>
      </c>
    </row>
    <row r="70" spans="4:7">
      <c r="D70">
        <v>20</v>
      </c>
      <c r="G70">
        <v>45</v>
      </c>
    </row>
    <row r="71" spans="4:7">
      <c r="D71">
        <v>24</v>
      </c>
      <c r="G71">
        <v>21</v>
      </c>
    </row>
    <row r="72" spans="4:7">
      <c r="D72">
        <v>27</v>
      </c>
      <c r="G72">
        <v>25</v>
      </c>
    </row>
    <row r="73" spans="4:7">
      <c r="D73">
        <v>28</v>
      </c>
      <c r="G73">
        <v>15</v>
      </c>
    </row>
    <row r="74" spans="4:7">
      <c r="D74">
        <v>31</v>
      </c>
      <c r="G74">
        <v>7</v>
      </c>
    </row>
    <row r="75" spans="4:7">
      <c r="D75">
        <v>39</v>
      </c>
      <c r="G75">
        <v>29</v>
      </c>
    </row>
    <row r="76" spans="7:7">
      <c r="G76">
        <v>3</v>
      </c>
    </row>
    <row r="77" spans="7:7">
      <c r="G77">
        <v>5</v>
      </c>
    </row>
    <row r="78" spans="7:7">
      <c r="G78">
        <v>9</v>
      </c>
    </row>
    <row r="79" spans="7:7">
      <c r="G79">
        <v>16</v>
      </c>
    </row>
    <row r="80" spans="7:7">
      <c r="G80">
        <v>30</v>
      </c>
    </row>
    <row r="81" spans="7:7">
      <c r="G81">
        <v>33</v>
      </c>
    </row>
    <row r="82" spans="7:7">
      <c r="G82">
        <v>36</v>
      </c>
    </row>
    <row r="83" spans="7:7">
      <c r="G83">
        <v>37</v>
      </c>
    </row>
    <row r="84" spans="7:7">
      <c r="G84">
        <v>38</v>
      </c>
    </row>
    <row r="85" spans="7:7">
      <c r="G85">
        <v>42</v>
      </c>
    </row>
    <row r="86" spans="7:7">
      <c r="G86">
        <v>43</v>
      </c>
    </row>
    <row r="87" spans="7:7">
      <c r="G87">
        <v>44</v>
      </c>
    </row>
  </sheetData>
  <sortState ref="A2:C47">
    <sortCondition ref="C2" descending="1"/>
  </sortState>
  <mergeCells count="9">
    <mergeCell ref="E12:G12"/>
    <mergeCell ref="H12:J12"/>
    <mergeCell ref="K12:M12"/>
    <mergeCell ref="N12:P12"/>
    <mergeCell ref="F1:O6"/>
    <mergeCell ref="E8:G11"/>
    <mergeCell ref="H8:J11"/>
    <mergeCell ref="K8:M11"/>
    <mergeCell ref="N8:P11"/>
  </mergeCells>
  <dataValidations count="4">
    <dataValidation type="list" allowBlank="1" showInputMessage="1" showErrorMessage="1" sqref="E12:G12">
      <formula1>_xlfn.ANCHORARRAY(D61)</formula1>
    </dataValidation>
    <dataValidation type="list" allowBlank="1" showInputMessage="1" showErrorMessage="1" sqref="H12:J12">
      <formula1>_xlfn.ANCHORARRAY(E61)</formula1>
    </dataValidation>
    <dataValidation type="list" allowBlank="1" showInputMessage="1" showErrorMessage="1" sqref="K12:M12">
      <formula1>_xlfn.ANCHORARRAY(F61)</formula1>
    </dataValidation>
    <dataValidation type="list" allowBlank="1" showInputMessage="1" showErrorMessage="1" sqref="N12:P12">
      <formula1>_xlfn.ANCHORARRAY(G61)</formula1>
    </dataValidation>
  </dataValidation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I3" sqref="I3"/>
    </sheetView>
  </sheetViews>
  <sheetFormatPr defaultColWidth="9.14285714285714" defaultRowHeight="15" outlineLevelRow="5"/>
  <cols>
    <col min="3" max="3" width="14"/>
    <col min="4" max="4" width="17" customWidth="1"/>
    <col min="6" max="6" width="12.8571428571429"/>
  </cols>
  <sheetData>
    <row r="1" spans="1:4">
      <c r="A1" s="20" t="s">
        <v>28</v>
      </c>
      <c r="B1" s="20"/>
      <c r="C1" s="20"/>
      <c r="D1" s="21" t="s">
        <v>29</v>
      </c>
    </row>
    <row r="2" ht="67" customHeight="1" spans="1:9">
      <c r="A2" s="20"/>
      <c r="B2" s="20"/>
      <c r="C2" s="20"/>
      <c r="D2" s="21"/>
      <c r="F2" s="22" t="s">
        <v>30</v>
      </c>
      <c r="G2" s="22"/>
      <c r="H2" s="23"/>
      <c r="I2" s="23"/>
    </row>
    <row r="3" ht="33" customHeight="1" spans="1:9">
      <c r="A3" s="17" t="s">
        <v>4</v>
      </c>
      <c r="B3" s="17"/>
      <c r="C3" cm="1">
        <f t="array" ref="C3">CORREL(Walmart_Sales_raw_data!C2:C6437,Walmart_Sales_raw_data!E2:E6437)</f>
        <v>-0.0638100131794696</v>
      </c>
      <c r="D3" s="24" t="str" cm="1">
        <f t="array" ref="D3">_xlfn.IFS(AND(C3&gt;=-0.19,C3&lt;0),"very weak negative correlation",AND(C3&lt;=-0.2,C3&gt;=-0.39),"weak negative correlation",AND(C3&lt;=-0.4,C3&gt;=-0.59),"moderate negative correlation",AND(C3&lt;=-0.6,C3&gt;=-0.79),"strong negative correlation",AND(C3&lt;=-0.8,C3&gt;=-1),"very strong negative correlation",AND(C3&lt;=0.19,C3&gt;0),"very weak postive correlation",AND(C3&gt;=0.2,C3&lt;=0.39),"weak postive correlation",AND(C3&gt;=0.4,C3&lt;=0.59),"moderate postive correlation",AND(C3&gt;=0.6,C3&lt;=0.79),"strong postive correlation",AND(C3&gt;=0.8,C3&lt;=1),"very weak postive correlation")</f>
        <v>very weak negative correlation</v>
      </c>
      <c r="F3" s="17" t="str" cm="1">
        <f t="array" ref="F3">_xlfn.XLOOKUP(MIN(ABS(ABS(C:C)-1)),ABS(ABS(C:C)-1),A:A)</f>
        <v>unemployment rate</v>
      </c>
      <c r="G3" s="25"/>
      <c r="H3" s="23"/>
      <c r="I3" s="23"/>
    </row>
    <row r="4" ht="30" spans="1:9">
      <c r="A4" s="17" t="s">
        <v>31</v>
      </c>
      <c r="B4" s="17"/>
      <c r="C4" cm="1">
        <f t="array" ref="C4">CORREL(Walmart_Sales_raw_data!C2:C6437,Walmart_Sales_raw_data!F2:F6437)</f>
        <v>0.00946378631447516</v>
      </c>
      <c r="D4" s="24" t="str" cm="1">
        <f t="array" ref="D4">_xlfn.IFS(AND(C4&gt;=-0.19,C4&lt;0),"very weak negative correlation",AND(C4&lt;=-0.2,C4&gt;=-0.39),"weak negative correlation",AND(C4&lt;=-0.4,C4&gt;=-0.59),"moderate negative correlation",AND(C4&lt;=-0.6,C4&gt;=-0.79),"strong negative correlation",AND(C4&lt;=-0.8,C4&gt;=-1),"very strong negative correlation",AND(C4&lt;=0.19,C4&gt;0),"very weak postive correlation",AND(C4&gt;=0.2,C4&lt;=0.39),"weak postive correlation",AND(C4&gt;=0.4,C4&lt;=0.59),"moderate postive correlation",AND(C4&gt;=0.6,C4&lt;=0.79),"strong postive correlation",AND(C4&gt;=0.8,C4&lt;=1),"very weak postive correlation")</f>
        <v>very weak postive correlation</v>
      </c>
      <c r="F4" s="26" t="str">
        <f>_xlfn.XLOOKUP(F3,A:A,D:D)</f>
        <v>very weak negative correlation</v>
      </c>
      <c r="G4" s="26"/>
      <c r="H4" s="26"/>
      <c r="I4" s="26"/>
    </row>
    <row r="5" ht="45" spans="1:9">
      <c r="A5" t="s">
        <v>32</v>
      </c>
      <c r="C5" cm="1">
        <f t="array" ref="C5">CORREL(Walmart_Sales_raw_data!C2:C6437,Walmart_Sales_raw_data!H2:H6437)</f>
        <v>-0.106176089657954</v>
      </c>
      <c r="D5" s="24" t="str" cm="1">
        <f t="array" ref="D5">_xlfn.IFS(AND(C5&gt;=-0.19,C5&lt;0),"very weak negative correlation",AND(C5&lt;=-0.2,C5&gt;=-0.39),"weak negative correlation",AND(C5&lt;=-0.4,C5&gt;=-0.59),"moderate negative correlation",AND(C5&lt;=-0.6,C5&gt;=-0.79),"strong negative correlation",AND(C5&lt;=-0.8,C5&gt;=-1),"very strong negative correlation",AND(C5&lt;=0.19,C5&gt;0),"very weak postive correlation",AND(C5&gt;=0.2,C5&lt;=0.39),"weak postive correlation",AND(C5&gt;=0.4,C5&lt;=0.59),"moderate postive correlation",AND(C5&gt;=0.6,C5&lt;=0.79),"strong postive correlation",AND(C5&gt;=0.8,C5&lt;=1),"very weak postive correlation")</f>
        <v>very weak negative correlation</v>
      </c>
      <c r="G5" s="26"/>
      <c r="H5" s="26"/>
      <c r="I5" s="26"/>
    </row>
    <row r="6" ht="75" spans="1:4">
      <c r="A6" s="17" t="s">
        <v>33</v>
      </c>
      <c r="B6" s="17"/>
      <c r="C6" cm="1">
        <f t="array" ref="C6">CORREL(Walmart_Sales_raw_data!C2:C6437,Walmart_Sales_raw_data!E2:E6437)</f>
        <v>-0.0638100131794696</v>
      </c>
      <c r="D6" s="24" t="str" cm="1">
        <f t="array" ref="D6">_xlfn.IFS(AND(C6&gt;=-0.19,C6&lt;0),"very weak negative correlation",AND(C6&lt;=-0.2,C6&gt;=-0.39),"weak negative correlation",AND(C6&lt;=-0.4,C6&gt;=-0.59),"moderate negative correlation",AND(C6&lt;=-0.6,C6&gt;=-0.79),"strong negative correlation",AND(C6&lt;=-0.8,C6&gt;=-1),"very strong negative correlation",AND(C6&lt;=0.19,C6&gt;0),"very weak postive correlation",AND(C6&gt;=0.2,C6&lt;=0.39),"weak postive correlation",AND(C6&gt;=0.4,C6&lt;=0.59),"moderate postive correlation",AND(C6&gt;=0.6,C6&lt;=0.79),"strong postive correlation",AND(C6&gt;=0.8,C6&lt;=1),"very weak postive correlation")</f>
        <v>very weak negative correlation</v>
      </c>
    </row>
  </sheetData>
  <mergeCells count="7">
    <mergeCell ref="F2:G2"/>
    <mergeCell ref="A3:B3"/>
    <mergeCell ref="F3:G3"/>
    <mergeCell ref="A4:B4"/>
    <mergeCell ref="A6:B6"/>
    <mergeCell ref="D1:D2"/>
    <mergeCell ref="A1:C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3"/>
  <sheetViews>
    <sheetView workbookViewId="0">
      <selection activeCell="A1" sqref="A1:F9"/>
    </sheetView>
  </sheetViews>
  <sheetFormatPr defaultColWidth="9.14285714285714" defaultRowHeight="15" outlineLevelCol="6"/>
  <cols>
    <col min="2" max="2" width="26.1428571428571" customWidth="1"/>
    <col min="3" max="3" width="25.1428571428571" customWidth="1"/>
    <col min="4" max="4" width="20.2857142857143" customWidth="1"/>
    <col min="5" max="5" width="22.4285714285714" customWidth="1"/>
    <col min="6" max="6" width="29.1428571428571" customWidth="1"/>
    <col min="7" max="7" width="12.8571428571429"/>
  </cols>
  <sheetData>
    <row r="1" spans="1:6">
      <c r="A1" s="9" t="s">
        <v>34</v>
      </c>
      <c r="B1" s="10"/>
      <c r="C1" s="10"/>
      <c r="D1" s="10"/>
      <c r="E1" s="10"/>
      <c r="F1" s="10"/>
    </row>
    <row r="2" spans="1:6">
      <c r="A2" s="10"/>
      <c r="B2" s="10"/>
      <c r="C2" s="10"/>
      <c r="D2" s="10"/>
      <c r="E2" s="10"/>
      <c r="F2" s="10"/>
    </row>
    <row r="3" spans="1:6">
      <c r="A3" s="10"/>
      <c r="B3" s="10"/>
      <c r="C3" s="10"/>
      <c r="D3" s="10"/>
      <c r="E3" s="10"/>
      <c r="F3" s="10"/>
    </row>
    <row r="4" spans="1:6">
      <c r="A4" s="10"/>
      <c r="B4" s="10"/>
      <c r="C4" s="10"/>
      <c r="D4" s="10"/>
      <c r="E4" s="10"/>
      <c r="F4" s="10"/>
    </row>
    <row r="5" spans="1:6">
      <c r="A5" s="10"/>
      <c r="B5" s="10"/>
      <c r="C5" s="10"/>
      <c r="D5" s="10"/>
      <c r="E5" s="10"/>
      <c r="F5" s="10"/>
    </row>
    <row r="6" spans="1:6">
      <c r="A6" s="10"/>
      <c r="B6" s="10"/>
      <c r="C6" s="10"/>
      <c r="D6" s="10"/>
      <c r="E6" s="10"/>
      <c r="F6" s="10"/>
    </row>
    <row r="7" spans="1:6">
      <c r="A7" s="10"/>
      <c r="B7" s="10"/>
      <c r="C7" s="10"/>
      <c r="D7" s="10"/>
      <c r="E7" s="10"/>
      <c r="F7" s="10"/>
    </row>
    <row r="8" spans="1:6">
      <c r="A8" s="10"/>
      <c r="B8" s="10"/>
      <c r="C8" s="10"/>
      <c r="D8" s="10"/>
      <c r="E8" s="10"/>
      <c r="F8" s="10"/>
    </row>
    <row r="9" spans="1:6">
      <c r="A9" s="10"/>
      <c r="B9" s="10"/>
      <c r="C9" s="10"/>
      <c r="D9" s="10"/>
      <c r="E9" s="10"/>
      <c r="F9" s="10"/>
    </row>
    <row r="11" spans="1:6">
      <c r="A11" s="11" t="str">
        <f>list_of_stores!A1</f>
        <v>Store</v>
      </c>
      <c r="B11" s="11" t="s">
        <v>35</v>
      </c>
      <c r="C11" s="11" t="s">
        <v>36</v>
      </c>
      <c r="D11" s="11" t="s">
        <v>37</v>
      </c>
      <c r="E11" s="12" t="s">
        <v>38</v>
      </c>
      <c r="F11" s="12" t="s">
        <v>39</v>
      </c>
    </row>
    <row r="12" spans="1:6">
      <c r="A12">
        <f>list_of_stores!A2</f>
        <v>1</v>
      </c>
      <c r="B12" s="13">
        <f>AVERAGEIFS(Walmart_Sales_raw_data!$C:$C,Walmart_Sales_raw_data!$A:$A,A12,Walmart_Sales_raw_data!$D:$D,0)</f>
        <v>1546957.3856391</v>
      </c>
      <c r="C12" s="13">
        <f>AVERAGEIFS(Walmart_Sales_raw_data!$C:$C,Walmart_Sales_raw_data!$A:$A,A12,Walmart_Sales_raw_data!$D:$D,1)</f>
        <v>1665747.656</v>
      </c>
      <c r="D12" s="14">
        <f>(C12-B12)/B12</f>
        <v>0.0767896203629589</v>
      </c>
      <c r="E12" s="12"/>
      <c r="F12" s="12"/>
    </row>
    <row r="13" spans="1:6">
      <c r="A13">
        <f>list_of_stores!A3</f>
        <v>2</v>
      </c>
      <c r="B13" s="13">
        <f>AVERAGEIFS(Walmart_Sales_raw_data!$C:$C,Walmart_Sales_raw_data!$A:$A,A13,Walmart_Sales_raw_data!$D:$D,0)</f>
        <v>1914208.8118797</v>
      </c>
      <c r="C13" s="13">
        <f>AVERAGEIFS(Walmart_Sales_raw_data!$C:$C,Walmart_Sales_raw_data!$A:$A,A13,Walmart_Sales_raw_data!$D:$D,1)</f>
        <v>2079266.9</v>
      </c>
      <c r="D13" s="14">
        <f t="shared" ref="D13:D57" si="0">(C13-B13)/B13</f>
        <v>0.086227838413417</v>
      </c>
      <c r="E13" s="12"/>
      <c r="F13" s="12"/>
    </row>
    <row r="14" spans="1:4">
      <c r="A14">
        <f>list_of_stores!A4</f>
        <v>3</v>
      </c>
      <c r="B14" s="13">
        <f>AVERAGEIFS(Walmart_Sales_raw_data!$C:$C,Walmart_Sales_raw_data!$A:$A,A14,Walmart_Sales_raw_data!$D:$D,0)</f>
        <v>400064.846390977</v>
      </c>
      <c r="C14" s="13">
        <f>AVERAGEIFS(Walmart_Sales_raw_data!$C:$C,Walmart_Sales_raw_data!$A:$A,A14,Walmart_Sales_raw_data!$D:$D,1)</f>
        <v>437811.05</v>
      </c>
      <c r="D14" s="14">
        <f t="shared" si="0"/>
        <v>0.0943502133454978</v>
      </c>
    </row>
    <row r="15" spans="1:6">
      <c r="A15">
        <f>list_of_stores!A5</f>
        <v>4</v>
      </c>
      <c r="B15" s="13">
        <f>AVERAGEIFS(Walmart_Sales_raw_data!$C:$C,Walmart_Sales_raw_data!$A:$A,A15,Walmart_Sales_raw_data!$D:$D,0)</f>
        <v>2083555.84315789</v>
      </c>
      <c r="C15" s="13">
        <f>AVERAGEIFS(Walmart_Sales_raw_data!$C:$C,Walmart_Sales_raw_data!$A:$A,A15,Walmart_Sales_raw_data!$D:$D,1)</f>
        <v>2243102.624</v>
      </c>
      <c r="D15" s="14">
        <f t="shared" si="0"/>
        <v>0.0765742763103926</v>
      </c>
      <c r="E15" s="15" t="s">
        <v>40</v>
      </c>
      <c r="F15" s="16" t="s">
        <v>41</v>
      </c>
    </row>
    <row r="16" spans="1:6">
      <c r="A16">
        <f>list_of_stores!A6</f>
        <v>5</v>
      </c>
      <c r="B16" s="13">
        <f>AVERAGEIFS(Walmart_Sales_raw_data!$C:$C,Walmart_Sales_raw_data!$A:$A,A16,Walmart_Sales_raw_data!$D:$D,0)</f>
        <v>314892.276917293</v>
      </c>
      <c r="C16" s="13">
        <f>AVERAGEIFS(Walmart_Sales_raw_data!$C:$C,Walmart_Sales_raw_data!$A:$A,A16,Walmart_Sales_raw_data!$D:$D,1)</f>
        <v>359501.607</v>
      </c>
      <c r="D16" s="14">
        <f t="shared" si="0"/>
        <v>0.14166536734219</v>
      </c>
      <c r="E16" s="16"/>
      <c r="F16" s="16"/>
    </row>
    <row r="17" spans="1:6">
      <c r="A17">
        <f>list_of_stores!A7</f>
        <v>6</v>
      </c>
      <c r="B17" s="13">
        <f>AVERAGEIFS(Walmart_Sales_raw_data!$C:$C,Walmart_Sales_raw_data!$A:$A,A17,Walmart_Sales_raw_data!$D:$D,0)</f>
        <v>1555992.86744361</v>
      </c>
      <c r="C17" s="13">
        <f>AVERAGEIFS(Walmart_Sales_raw_data!$C:$C,Walmart_Sales_raw_data!$A:$A,A17,Walmart_Sales_raw_data!$D:$D,1)</f>
        <v>1680907.927</v>
      </c>
      <c r="D17" s="14">
        <f t="shared" si="0"/>
        <v>0.0802799692530838</v>
      </c>
      <c r="E17" s="16"/>
      <c r="F17" s="16"/>
    </row>
    <row r="18" spans="1:6">
      <c r="A18">
        <f>list_of_stores!A8</f>
        <v>7</v>
      </c>
      <c r="B18" s="13">
        <f>AVERAGEIFS(Walmart_Sales_raw_data!$C:$C,Walmart_Sales_raw_data!$A:$A,A18,Walmart_Sales_raw_data!$D:$D,0)</f>
        <v>562964.45481203</v>
      </c>
      <c r="C18" s="13">
        <f>AVERAGEIFS(Walmart_Sales_raw_data!$C:$C,Walmart_Sales_raw_data!$A:$A,A18,Walmart_Sales_raw_data!$D:$D,1)</f>
        <v>672400.265</v>
      </c>
      <c r="D18" s="14">
        <f t="shared" si="0"/>
        <v>0.194392042432784</v>
      </c>
      <c r="E18" s="17">
        <f>_xlfn.XLOOKUP(MAX(D12:D56),D12:D56,A12:A56)</f>
        <v>7</v>
      </c>
      <c r="F18" s="17">
        <f>_xlfn.XLOOKUP(MIN(D12:D56),D12:D56,A12:A56)</f>
        <v>44</v>
      </c>
    </row>
    <row r="19" spans="1:6">
      <c r="A19">
        <f>list_of_stores!A9</f>
        <v>8</v>
      </c>
      <c r="B19" s="13">
        <f>AVERAGEIFS(Walmart_Sales_raw_data!$C:$C,Walmart_Sales_raw_data!$A:$A,A19,Walmart_Sales_raw_data!$D:$D,0)</f>
        <v>903743.402481203</v>
      </c>
      <c r="C19" s="13">
        <f>AVERAGEIFS(Walmart_Sales_raw_data!$C:$C,Walmart_Sales_raw_data!$A:$A,A19,Walmart_Sales_raw_data!$D:$D,1)</f>
        <v>975330.86</v>
      </c>
      <c r="D19" s="14">
        <f t="shared" si="0"/>
        <v>0.0792121495130761</v>
      </c>
      <c r="E19" s="17"/>
      <c r="F19" s="17"/>
    </row>
    <row r="20" spans="1:4">
      <c r="A20">
        <f>list_of_stores!A10</f>
        <v>9</v>
      </c>
      <c r="B20" s="13">
        <f>AVERAGEIFS(Walmart_Sales_raw_data!$C:$C,Walmart_Sales_raw_data!$A:$A,A20,Walmart_Sales_raw_data!$D:$D,0)</f>
        <v>540599.329172932</v>
      </c>
      <c r="C20" s="13">
        <f>AVERAGEIFS(Walmart_Sales_raw_data!$C:$C,Walmart_Sales_raw_data!$A:$A,A20,Walmart_Sales_raw_data!$D:$D,1)</f>
        <v>588950.821</v>
      </c>
      <c r="D20" s="14">
        <f t="shared" si="0"/>
        <v>0.0894405324198997</v>
      </c>
    </row>
    <row r="21" spans="1:4">
      <c r="A21">
        <f>list_of_stores!A11</f>
        <v>10</v>
      </c>
      <c r="B21" s="13">
        <f>AVERAGEIFS(Walmart_Sales_raw_data!$C:$C,Walmart_Sales_raw_data!$A:$A,A21,Walmart_Sales_raw_data!$D:$D,0)</f>
        <v>1883309.43157895</v>
      </c>
      <c r="C21" s="13">
        <f>AVERAGEIFS(Walmart_Sales_raw_data!$C:$C,Walmart_Sales_raw_data!$A:$A,A21,Walmart_Sales_raw_data!$D:$D,1)</f>
        <v>2113755.949</v>
      </c>
      <c r="D21" s="14">
        <f t="shared" si="0"/>
        <v>0.122362535628492</v>
      </c>
    </row>
    <row r="22" spans="1:4">
      <c r="A22">
        <f>list_of_stores!A12</f>
        <v>11</v>
      </c>
      <c r="B22" s="13">
        <f>AVERAGEIFS(Walmart_Sales_raw_data!$C:$C,Walmart_Sales_raw_data!$A:$A,A22,Walmart_Sales_raw_data!$D:$D,0)</f>
        <v>1349464.97706767</v>
      </c>
      <c r="C22" s="13">
        <f>AVERAGEIFS(Walmart_Sales_raw_data!$C:$C,Walmart_Sales_raw_data!$A:$A,A22,Walmart_Sales_raw_data!$D:$D,1)</f>
        <v>1448394.485</v>
      </c>
      <c r="D22" s="14">
        <f t="shared" si="0"/>
        <v>0.0733101707813873</v>
      </c>
    </row>
    <row r="23" spans="1:4">
      <c r="A23">
        <f>list_of_stores!A13</f>
        <v>12</v>
      </c>
      <c r="B23" s="13">
        <f>AVERAGEIFS(Walmart_Sales_raw_data!$C:$C,Walmart_Sales_raw_data!$A:$A,A23,Walmart_Sales_raw_data!$D:$D,0)</f>
        <v>999291.92443609</v>
      </c>
      <c r="C23" s="13">
        <f>AVERAGEIFS(Walmart_Sales_raw_data!$C:$C,Walmart_Sales_raw_data!$A:$A,A23,Walmart_Sales_raw_data!$D:$D,1)</f>
        <v>1138140.42</v>
      </c>
      <c r="D23" s="14">
        <f t="shared" si="0"/>
        <v>0.138946880454641</v>
      </c>
    </row>
    <row r="24" spans="1:4">
      <c r="A24">
        <f>list_of_stores!A14</f>
        <v>13</v>
      </c>
      <c r="B24" s="13">
        <f>AVERAGEIFS(Walmart_Sales_raw_data!$C:$C,Walmart_Sales_raw_data!$A:$A,A24,Walmart_Sales_raw_data!$D:$D,0)</f>
        <v>1995392.97548872</v>
      </c>
      <c r="C24" s="13">
        <f>AVERAGEIFS(Walmart_Sales_raw_data!$C:$C,Walmart_Sales_raw_data!$A:$A,A24,Walmart_Sales_raw_data!$D:$D,1)</f>
        <v>2113043.806</v>
      </c>
      <c r="D24" s="14">
        <f t="shared" si="0"/>
        <v>0.0589612331788738</v>
      </c>
    </row>
    <row r="25" spans="1:4">
      <c r="A25">
        <f>list_of_stores!A15</f>
        <v>14</v>
      </c>
      <c r="B25" s="13">
        <f>AVERAGEIFS(Walmart_Sales_raw_data!$C:$C,Walmart_Sales_raw_data!$A:$A,A25,Walmart_Sales_raw_data!$D:$D,0)</f>
        <v>2013489.33353383</v>
      </c>
      <c r="C25" s="13">
        <f>AVERAGEIFS(Walmart_Sales_raw_data!$C:$C,Walmart_Sales_raw_data!$A:$A,A25,Walmart_Sales_raw_data!$D:$D,1)</f>
        <v>2120582.998</v>
      </c>
      <c r="D25" s="14">
        <f t="shared" si="0"/>
        <v>0.0531880962479234</v>
      </c>
    </row>
    <row r="26" spans="1:4">
      <c r="A26">
        <f>list_of_stores!A16</f>
        <v>15</v>
      </c>
      <c r="B26" s="13">
        <f>AVERAGEIFS(Walmart_Sales_raw_data!$C:$C,Walmart_Sales_raw_data!$A:$A,A26,Walmart_Sales_raw_data!$D:$D,0)</f>
        <v>617064.840150376</v>
      </c>
      <c r="C26" s="13">
        <f>AVERAGEIFS(Walmart_Sales_raw_data!$C:$C,Walmart_Sales_raw_data!$A:$A,A26,Walmart_Sales_raw_data!$D:$D,1)</f>
        <v>706406.018</v>
      </c>
      <c r="D26" s="14">
        <f t="shared" si="0"/>
        <v>0.144784100529617</v>
      </c>
    </row>
    <row r="27" spans="1:4">
      <c r="A27">
        <f>list_of_stores!A17</f>
        <v>16</v>
      </c>
      <c r="B27" s="13">
        <f>AVERAGEIFS(Walmart_Sales_raw_data!$C:$C,Walmart_Sales_raw_data!$A:$A,A27,Walmart_Sales_raw_data!$D:$D,0)</f>
        <v>515677.360451128</v>
      </c>
      <c r="C27" s="13">
        <f>AVERAGEIFS(Walmart_Sales_raw_data!$C:$C,Walmart_Sales_raw_data!$A:$A,A27,Walmart_Sales_raw_data!$D:$D,1)</f>
        <v>566733.646</v>
      </c>
      <c r="D27" s="14">
        <f t="shared" si="0"/>
        <v>0.0990081967224752</v>
      </c>
    </row>
    <row r="28" spans="1:4">
      <c r="A28">
        <f>list_of_stores!A18</f>
        <v>17</v>
      </c>
      <c r="B28" s="13">
        <f>AVERAGEIFS(Walmart_Sales_raw_data!$C:$C,Walmart_Sales_raw_data!$A:$A,A28,Walmart_Sales_raw_data!$D:$D,0)</f>
        <v>887099.01593985</v>
      </c>
      <c r="C28" s="13">
        <f>AVERAGEIFS(Walmart_Sales_raw_data!$C:$C,Walmart_Sales_raw_data!$A:$A,A28,Walmart_Sales_raw_data!$D:$D,1)</f>
        <v>979796.971</v>
      </c>
      <c r="D28" s="14">
        <f t="shared" si="0"/>
        <v>0.104495612546633</v>
      </c>
    </row>
    <row r="29" spans="1:4">
      <c r="A29">
        <f>list_of_stores!A19</f>
        <v>18</v>
      </c>
      <c r="B29" s="13">
        <f>AVERAGEIFS(Walmart_Sales_raw_data!$C:$C,Walmart_Sales_raw_data!$A:$A,A29,Walmart_Sales_raw_data!$D:$D,0)</f>
        <v>1078349.71879699</v>
      </c>
      <c r="C29" s="13">
        <f>AVERAGEIFS(Walmart_Sales_raw_data!$C:$C,Walmart_Sales_raw_data!$A:$A,A29,Walmart_Sales_raw_data!$D:$D,1)</f>
        <v>1169422.161</v>
      </c>
      <c r="D29" s="14">
        <f t="shared" si="0"/>
        <v>0.084455386425665</v>
      </c>
    </row>
    <row r="30" spans="1:4">
      <c r="A30">
        <f>list_of_stores!A20</f>
        <v>19</v>
      </c>
      <c r="B30" s="13">
        <f>AVERAGEIFS(Walmart_Sales_raw_data!$C:$C,Walmart_Sales_raw_data!$A:$A,A30,Walmart_Sales_raw_data!$D:$D,0)</f>
        <v>1435070.63729323</v>
      </c>
      <c r="C30" s="13">
        <f>AVERAGEIFS(Walmart_Sales_raw_data!$C:$C,Walmart_Sales_raw_data!$A:$A,A30,Walmart_Sales_raw_data!$D:$D,1)</f>
        <v>1577046.734</v>
      </c>
      <c r="D30" s="14">
        <f t="shared" si="0"/>
        <v>0.0989331765400452</v>
      </c>
    </row>
    <row r="31" spans="1:4">
      <c r="A31">
        <f>list_of_stores!A21</f>
        <v>20</v>
      </c>
      <c r="B31" s="13">
        <f>AVERAGEIFS(Walmart_Sales_raw_data!$C:$C,Walmart_Sales_raw_data!$A:$A,A31,Walmart_Sales_raw_data!$D:$D,0)</f>
        <v>2097048.43345865</v>
      </c>
      <c r="C31" s="13">
        <f>AVERAGEIFS(Walmart_Sales_raw_data!$C:$C,Walmart_Sales_raw_data!$A:$A,A31,Walmart_Sales_raw_data!$D:$D,1)</f>
        <v>2249035.081</v>
      </c>
      <c r="D31" s="14">
        <f t="shared" si="0"/>
        <v>0.0724764603031525</v>
      </c>
    </row>
    <row r="32" spans="1:4">
      <c r="A32">
        <f>list_of_stores!A22</f>
        <v>21</v>
      </c>
      <c r="B32" s="13">
        <f>AVERAGEIFS(Walmart_Sales_raw_data!$C:$C,Walmart_Sales_raw_data!$A:$A,A32,Walmart_Sales_raw_data!$D:$D,0)</f>
        <v>750774.179172932</v>
      </c>
      <c r="C32" s="13">
        <f>AVERAGEIFS(Walmart_Sales_raw_data!$C:$C,Walmart_Sales_raw_data!$A:$A,A32,Walmart_Sales_raw_data!$D:$D,1)</f>
        <v>826491.309</v>
      </c>
      <c r="D32" s="14">
        <f t="shared" si="0"/>
        <v>0.100852069673573</v>
      </c>
    </row>
    <row r="33" spans="1:4">
      <c r="A33">
        <f>list_of_stores!A23</f>
        <v>22</v>
      </c>
      <c r="B33" s="13">
        <f>AVERAGEIFS(Walmart_Sales_raw_data!$C:$C,Walmart_Sales_raw_data!$A:$A,A33,Walmart_Sales_raw_data!$D:$D,0)</f>
        <v>1024262.42112782</v>
      </c>
      <c r="C33" s="13">
        <f>AVERAGEIFS(Walmart_Sales_raw_data!$C:$C,Walmart_Sales_raw_data!$A:$A,A33,Walmart_Sales_raw_data!$D:$D,1)</f>
        <v>1084874.656</v>
      </c>
      <c r="D33" s="14">
        <f t="shared" si="0"/>
        <v>0.0591764704258506</v>
      </c>
    </row>
    <row r="34" spans="1:4">
      <c r="A34">
        <f>list_of_stores!A24</f>
        <v>23</v>
      </c>
      <c r="B34" s="13">
        <f>AVERAGEIFS(Walmart_Sales_raw_data!$C:$C,Walmart_Sales_raw_data!$A:$A,A34,Walmart_Sales_raw_data!$D:$D,0)</f>
        <v>1384399.96172932</v>
      </c>
      <c r="C34" s="13">
        <f>AVERAGEIFS(Walmart_Sales_raw_data!$C:$C,Walmart_Sales_raw_data!$A:$A,A34,Walmart_Sales_raw_data!$D:$D,1)</f>
        <v>1462542.294</v>
      </c>
      <c r="D34" s="14">
        <f t="shared" si="0"/>
        <v>0.0564449107417381</v>
      </c>
    </row>
    <row r="35" spans="1:4">
      <c r="A35">
        <f>list_of_stores!A25</f>
        <v>24</v>
      </c>
      <c r="B35" s="13">
        <f>AVERAGEIFS(Walmart_Sales_raw_data!$C:$C,Walmart_Sales_raw_data!$A:$A,A35,Walmart_Sales_raw_data!$D:$D,0)</f>
        <v>1347857.4343609</v>
      </c>
      <c r="C35" s="13">
        <f>AVERAGEIFS(Walmart_Sales_raw_data!$C:$C,Walmart_Sales_raw_data!$A:$A,A35,Walmart_Sales_raw_data!$D:$D,1)</f>
        <v>1475098.251</v>
      </c>
      <c r="D35" s="14">
        <f t="shared" si="0"/>
        <v>0.0944022812764546</v>
      </c>
    </row>
    <row r="36" spans="1:4">
      <c r="A36">
        <f>list_of_stores!A26</f>
        <v>25</v>
      </c>
      <c r="B36" s="13">
        <f>AVERAGEIFS(Walmart_Sales_raw_data!$C:$C,Walmart_Sales_raw_data!$A:$A,A36,Walmart_Sales_raw_data!$D:$D,0)</f>
        <v>704243.689849624</v>
      </c>
      <c r="C36" s="13">
        <f>AVERAGEIFS(Walmart_Sales_raw_data!$C:$C,Walmart_Sales_raw_data!$A:$A,A36,Walmart_Sales_raw_data!$D:$D,1)</f>
        <v>739676.842</v>
      </c>
      <c r="D36" s="14">
        <f t="shared" si="0"/>
        <v>0.0503137659038764</v>
      </c>
    </row>
    <row r="37" spans="1:4">
      <c r="A37">
        <f>list_of_stores!A27</f>
        <v>26</v>
      </c>
      <c r="B37" s="13">
        <f>AVERAGEIFS(Walmart_Sales_raw_data!$C:$C,Walmart_Sales_raw_data!$A:$A,A37,Walmart_Sales_raw_data!$D:$D,0)</f>
        <v>997713.724060151</v>
      </c>
      <c r="C37" s="13">
        <f>AVERAGEIFS(Walmart_Sales_raw_data!$C:$C,Walmart_Sales_raw_data!$A:$A,A37,Walmart_Sales_raw_data!$D:$D,1)</f>
        <v>1072046.849</v>
      </c>
      <c r="D37" s="14">
        <f t="shared" si="0"/>
        <v>0.0745034604088172</v>
      </c>
    </row>
    <row r="38" spans="1:4">
      <c r="A38">
        <f>list_of_stores!A28</f>
        <v>27</v>
      </c>
      <c r="B38" s="13">
        <f>AVERAGEIFS(Walmart_Sales_raw_data!$C:$C,Walmart_Sales_raw_data!$A:$A,A38,Walmart_Sales_raw_data!$D:$D,0)</f>
        <v>1766412.9631579</v>
      </c>
      <c r="C38" s="13">
        <f>AVERAGEIFS(Walmart_Sales_raw_data!$C:$C,Walmart_Sales_raw_data!$A:$A,A38,Walmart_Sales_raw_data!$D:$D,1)</f>
        <v>1892299.278</v>
      </c>
      <c r="D38" s="14">
        <f t="shared" si="0"/>
        <v>0.0712666389274297</v>
      </c>
    </row>
    <row r="39" spans="1:4">
      <c r="A39">
        <f>list_of_stores!A29</f>
        <v>28</v>
      </c>
      <c r="B39" s="13">
        <f>AVERAGEIFS(Walmart_Sales_raw_data!$C:$C,Walmart_Sales_raw_data!$A:$A,A39,Walmart_Sales_raw_data!$D:$D,0)</f>
        <v>1311888.98142857</v>
      </c>
      <c r="C39" s="13">
        <f>AVERAGEIFS(Walmart_Sales_raw_data!$C:$C,Walmart_Sales_raw_data!$A:$A,A39,Walmart_Sales_raw_data!$D:$D,1)</f>
        <v>1478244.605</v>
      </c>
      <c r="D39" s="14">
        <f t="shared" si="0"/>
        <v>0.126806174856563</v>
      </c>
    </row>
    <row r="40" spans="1:4">
      <c r="A40">
        <f>list_of_stores!A30</f>
        <v>29</v>
      </c>
      <c r="B40" s="13">
        <f>AVERAGEIFS(Walmart_Sales_raw_data!$C:$C,Walmart_Sales_raw_data!$A:$A,A40,Walmart_Sales_raw_data!$D:$D,0)</f>
        <v>534375.755037594</v>
      </c>
      <c r="C40" s="13">
        <f>AVERAGEIFS(Walmart_Sales_raw_data!$C:$C,Walmart_Sales_raw_data!$A:$A,A40,Walmart_Sales_raw_data!$D:$D,1)</f>
        <v>606957.889</v>
      </c>
      <c r="D40" s="14">
        <f t="shared" si="0"/>
        <v>0.135826023688705</v>
      </c>
    </row>
    <row r="41" spans="1:4">
      <c r="A41">
        <f>list_of_stores!A31</f>
        <v>30</v>
      </c>
      <c r="B41" s="13">
        <f>AVERAGEIFS(Walmart_Sales_raw_data!$C:$C,Walmart_Sales_raw_data!$A:$A,A41,Walmart_Sales_raw_data!$D:$D,0)</f>
        <v>438708.962781955</v>
      </c>
      <c r="C41" s="13">
        <f>AVERAGEIFS(Walmart_Sales_raw_data!$C:$C,Walmart_Sales_raw_data!$A:$A,A41,Walmart_Sales_raw_data!$D:$D,1)</f>
        <v>436859.307</v>
      </c>
      <c r="D41" s="14">
        <f t="shared" si="0"/>
        <v>-0.00421613401792806</v>
      </c>
    </row>
    <row r="42" spans="1:4">
      <c r="A42">
        <f>list_of_stores!A32</f>
        <v>31</v>
      </c>
      <c r="B42" s="13">
        <f>AVERAGEIFS(Walmart_Sales_raw_data!$C:$C,Walmart_Sales_raw_data!$A:$A,A42,Walmart_Sales_raw_data!$D:$D,0)</f>
        <v>1388072.52030075</v>
      </c>
      <c r="C42" s="13">
        <f>AVERAGEIFS(Walmart_Sales_raw_data!$C:$C,Walmart_Sales_raw_data!$A:$A,A42,Walmart_Sales_raw_data!$D:$D,1)</f>
        <v>1500026.03</v>
      </c>
      <c r="D42" s="14">
        <f t="shared" si="0"/>
        <v>0.0806539341870924</v>
      </c>
    </row>
    <row r="43" spans="1:4">
      <c r="A43">
        <f>list_of_stores!A33</f>
        <v>32</v>
      </c>
      <c r="B43" s="13">
        <f>AVERAGEIFS(Walmart_Sales_raw_data!$C:$C,Walmart_Sales_raw_data!$A:$A,A43,Walmart_Sales_raw_data!$D:$D,0)</f>
        <v>1163769.96488722</v>
      </c>
      <c r="C43" s="13">
        <f>AVERAGEIFS(Walmart_Sales_raw_data!$C:$C,Walmart_Sales_raw_data!$A:$A,A43,Walmart_Sales_raw_data!$D:$D,1)</f>
        <v>1203784.083</v>
      </c>
      <c r="D43" s="14">
        <f t="shared" si="0"/>
        <v>0.0343831850967724</v>
      </c>
    </row>
    <row r="44" spans="1:4">
      <c r="A44">
        <f>list_of_stores!A34</f>
        <v>33</v>
      </c>
      <c r="B44" s="13">
        <f>AVERAGEIFS(Walmart_Sales_raw_data!$C:$C,Walmart_Sales_raw_data!$A:$A,A44,Walmart_Sales_raw_data!$D:$D,0)</f>
        <v>259656.216315789</v>
      </c>
      <c r="C44" s="13">
        <f>AVERAGEIFS(Walmart_Sales_raw_data!$C:$C,Walmart_Sales_raw_data!$A:$A,A44,Walmart_Sales_raw_data!$D:$D,1)</f>
        <v>262594.519</v>
      </c>
      <c r="D44" s="14">
        <f t="shared" si="0"/>
        <v>0.0113161268615153</v>
      </c>
    </row>
    <row r="45" spans="1:4">
      <c r="A45">
        <f>list_of_stores!A35</f>
        <v>34</v>
      </c>
      <c r="B45" s="13">
        <f>AVERAGEIFS(Walmart_Sales_raw_data!$C:$C,Walmart_Sales_raw_data!$A:$A,A45,Walmart_Sales_raw_data!$D:$D,0)</f>
        <v>961127.685037595</v>
      </c>
      <c r="C45" s="13">
        <f>AVERAGEIFS(Walmart_Sales_raw_data!$C:$C,Walmart_Sales_raw_data!$A:$A,A45,Walmart_Sales_raw_data!$D:$D,1)</f>
        <v>1041978.089</v>
      </c>
      <c r="D45" s="14">
        <f t="shared" si="0"/>
        <v>0.0841203569734265</v>
      </c>
    </row>
    <row r="46" spans="1:4">
      <c r="A46">
        <f>list_of_stores!A36</f>
        <v>35</v>
      </c>
      <c r="B46" s="13">
        <f>AVERAGEIFS(Walmart_Sales_raw_data!$C:$C,Walmart_Sales_raw_data!$A:$A,A46,Walmart_Sales_raw_data!$D:$D,0)</f>
        <v>908099.154210526</v>
      </c>
      <c r="C46" s="13">
        <f>AVERAGEIFS(Walmart_Sales_raw_data!$C:$C,Walmart_Sales_raw_data!$A:$A,A46,Walmart_Sales_raw_data!$D:$D,1)</f>
        <v>1074348.457</v>
      </c>
      <c r="D46" s="14">
        <f t="shared" si="0"/>
        <v>0.183073954004512</v>
      </c>
    </row>
    <row r="47" spans="1:4">
      <c r="A47">
        <f>list_of_stores!A37</f>
        <v>36</v>
      </c>
      <c r="B47" s="13">
        <f>AVERAGEIFS(Walmart_Sales_raw_data!$C:$C,Walmart_Sales_raw_data!$A:$A,A47,Walmart_Sales_raw_data!$D:$D,0)</f>
        <v>373953.448646616</v>
      </c>
      <c r="C47" s="13">
        <f>AVERAGEIFS(Walmart_Sales_raw_data!$C:$C,Walmart_Sales_raw_data!$A:$A,A47,Walmart_Sales_raw_data!$D:$D,1)</f>
        <v>367640.63</v>
      </c>
      <c r="D47" s="14">
        <f t="shared" si="0"/>
        <v>-0.0168812954378769</v>
      </c>
    </row>
    <row r="48" spans="1:4">
      <c r="A48">
        <f>list_of_stores!A38</f>
        <v>37</v>
      </c>
      <c r="B48" s="13">
        <f>AVERAGEIFS(Walmart_Sales_raw_data!$C:$C,Walmart_Sales_raw_data!$A:$A,A48,Walmart_Sales_raw_data!$D:$D,0)</f>
        <v>519755.562556391</v>
      </c>
      <c r="C48" s="13">
        <f>AVERAGEIFS(Walmart_Sales_raw_data!$C:$C,Walmart_Sales_raw_data!$A:$A,A48,Walmart_Sales_raw_data!$D:$D,1)</f>
        <v>507525.05</v>
      </c>
      <c r="D48" s="14">
        <f t="shared" si="0"/>
        <v>-0.023531277849603</v>
      </c>
    </row>
    <row r="49" spans="1:4">
      <c r="A49">
        <f>list_of_stores!A39</f>
        <v>38</v>
      </c>
      <c r="B49" s="13">
        <f>AVERAGEIFS(Walmart_Sales_raw_data!$C:$C,Walmart_Sales_raw_data!$A:$A,A49,Walmart_Sales_raw_data!$D:$D,0)</f>
        <v>386049.08</v>
      </c>
      <c r="C49" s="13">
        <f>AVERAGEIFS(Walmart_Sales_raw_data!$C:$C,Walmart_Sales_raw_data!$A:$A,A49,Walmart_Sales_raw_data!$D:$D,1)</f>
        <v>381509.878</v>
      </c>
      <c r="D49" s="14">
        <f t="shared" si="0"/>
        <v>-0.0117580956286701</v>
      </c>
    </row>
    <row r="50" spans="1:4">
      <c r="A50">
        <f>list_of_stores!A40</f>
        <v>39</v>
      </c>
      <c r="B50" s="13">
        <f>AVERAGEIFS(Walmart_Sales_raw_data!$C:$C,Walmart_Sales_raw_data!$A:$A,A50,Walmart_Sales_raw_data!$D:$D,0)</f>
        <v>1443114.79451128</v>
      </c>
      <c r="C50" s="13">
        <f>AVERAGEIFS(Walmart_Sales_raw_data!$C:$C,Walmart_Sales_raw_data!$A:$A,A50,Walmart_Sales_raw_data!$D:$D,1)</f>
        <v>1551127.48</v>
      </c>
      <c r="D50" s="14">
        <f t="shared" si="0"/>
        <v>0.0748469116244503</v>
      </c>
    </row>
    <row r="51" spans="1:4">
      <c r="A51">
        <f>list_of_stores!A41</f>
        <v>40</v>
      </c>
      <c r="B51" s="13">
        <f>AVERAGEIFS(Walmart_Sales_raw_data!$C:$C,Walmart_Sales_raw_data!$A:$A,A51,Walmart_Sales_raw_data!$D:$D,0)</f>
        <v>960826.834887218</v>
      </c>
      <c r="C51" s="13">
        <f>AVERAGEIFS(Walmart_Sales_raw_data!$C:$C,Walmart_Sales_raw_data!$A:$A,A51,Walmart_Sales_raw_data!$D:$D,1)</f>
        <v>1008034.075</v>
      </c>
      <c r="D51" s="14">
        <f t="shared" si="0"/>
        <v>0.0491318918234863</v>
      </c>
    </row>
    <row r="52" spans="1:4">
      <c r="A52">
        <f>list_of_stores!A42</f>
        <v>41</v>
      </c>
      <c r="B52" s="13">
        <f>AVERAGEIFS(Walmart_Sales_raw_data!$C:$C,Walmart_Sales_raw_data!$A:$A,A52,Walmart_Sales_raw_data!$D:$D,0)</f>
        <v>1263101.17541353</v>
      </c>
      <c r="C52" s="13">
        <f>AVERAGEIFS(Walmart_Sales_raw_data!$C:$C,Walmart_Sales_raw_data!$A:$A,A52,Walmart_Sales_raw_data!$D:$D,1)</f>
        <v>1334947.856</v>
      </c>
      <c r="D52" s="14">
        <f t="shared" si="0"/>
        <v>0.0568811762548984</v>
      </c>
    </row>
    <row r="53" spans="1:4">
      <c r="A53">
        <f>list_of_stores!A43</f>
        <v>42</v>
      </c>
      <c r="B53" s="13">
        <f>AVERAGEIFS(Walmart_Sales_raw_data!$C:$C,Walmart_Sales_raw_data!$A:$A,A53,Walmart_Sales_raw_data!$D:$D,0)</f>
        <v>555554.968796992</v>
      </c>
      <c r="C53" s="13">
        <f>AVERAGEIFS(Walmart_Sales_raw_data!$C:$C,Walmart_Sales_raw_data!$A:$A,A53,Walmart_Sales_raw_data!$D:$D,1)</f>
        <v>567694.158</v>
      </c>
      <c r="D53" s="14">
        <f t="shared" si="0"/>
        <v>0.0218505636432235</v>
      </c>
    </row>
    <row r="54" spans="1:4">
      <c r="A54">
        <f>list_of_stores!A44</f>
        <v>43</v>
      </c>
      <c r="B54" s="13">
        <f>AVERAGEIFS(Walmart_Sales_raw_data!$C:$C,Walmart_Sales_raw_data!$A:$A,A54,Walmart_Sales_raw_data!$D:$D,0)</f>
        <v>633127.613759399</v>
      </c>
      <c r="C54" s="13">
        <f>AVERAGEIFS(Walmart_Sales_raw_data!$C:$C,Walmart_Sales_raw_data!$A:$A,A54,Walmart_Sales_raw_data!$D:$D,1)</f>
        <v>635946.278</v>
      </c>
      <c r="D54" s="14">
        <f t="shared" si="0"/>
        <v>0.00445196857528376</v>
      </c>
    </row>
    <row r="55" spans="1:4">
      <c r="A55">
        <f>list_of_stores!A45</f>
        <v>44</v>
      </c>
      <c r="B55" s="13">
        <f>AVERAGEIFS(Walmart_Sales_raw_data!$C:$C,Walmart_Sales_raw_data!$A:$A,A55,Walmart_Sales_raw_data!$D:$D,0)</f>
        <v>303253.622781955</v>
      </c>
      <c r="C55" s="13">
        <f>AVERAGEIFS(Walmart_Sales_raw_data!$C:$C,Walmart_Sales_raw_data!$A:$A,A55,Walmart_Sales_raw_data!$D:$D,1)</f>
        <v>296035.601</v>
      </c>
      <c r="D55" s="14">
        <f t="shared" si="0"/>
        <v>-0.0238019309241517</v>
      </c>
    </row>
    <row r="56" spans="1:4">
      <c r="A56">
        <f>list_of_stores!A46</f>
        <v>45</v>
      </c>
      <c r="B56" s="13">
        <f>AVERAGEIFS(Walmart_Sales_raw_data!$C:$C,Walmart_Sales_raw_data!$A:$A,A56,Walmart_Sales_raw_data!$D:$D,0)</f>
        <v>782198.528496241</v>
      </c>
      <c r="C56" s="13">
        <f>AVERAGEIFS(Walmart_Sales_raw_data!$C:$C,Walmart_Sales_raw_data!$A:$A,A56,Walmart_Sales_raw_data!$D:$D,1)</f>
        <v>836293.713</v>
      </c>
      <c r="D56" s="14">
        <f t="shared" si="0"/>
        <v>0.0691578704549036</v>
      </c>
    </row>
    <row r="57" spans="1:4">
      <c r="A57" s="18" t="s">
        <v>42</v>
      </c>
      <c r="B57" s="13" t="e">
        <f>AVERAGEIFS(Walmart_Sales_raw_data!$C:$C,Walmart_Sales_raw_data!$A:$A,A57,Walmart_Sales_raw_data!$D:$D,0)</f>
        <v>#DIV/0!</v>
      </c>
      <c r="C57" s="19"/>
      <c r="D57" s="14" t="e">
        <f t="shared" si="0"/>
        <v>#DIV/0!</v>
      </c>
    </row>
    <row r="74" spans="6:7">
      <c r="F74" cm="1">
        <f t="array" ref="F74:F113">_xlfn._xlws.FILTER(A12:A56,C12:C56-B12:B56&gt;0)</f>
        <v>1</v>
      </c>
      <c r="G74" cm="1">
        <f t="array" ref="G74:G78">_xlfn._xlws.FILTER(A12:A56,C12:C56-B12:B56&lt;0)</f>
        <v>30</v>
      </c>
    </row>
    <row r="75" spans="6:7">
      <c r="F75">
        <v>2</v>
      </c>
      <c r="G75">
        <v>36</v>
      </c>
    </row>
    <row r="76" spans="6:7">
      <c r="F76">
        <v>3</v>
      </c>
      <c r="G76">
        <v>37</v>
      </c>
    </row>
    <row r="77" spans="6:7">
      <c r="F77">
        <v>4</v>
      </c>
      <c r="G77">
        <v>38</v>
      </c>
    </row>
    <row r="78" spans="6:7">
      <c r="F78">
        <v>5</v>
      </c>
      <c r="G78">
        <v>44</v>
      </c>
    </row>
    <row r="79" spans="6:6">
      <c r="F79">
        <v>6</v>
      </c>
    </row>
    <row r="80" spans="6:6">
      <c r="F80">
        <v>7</v>
      </c>
    </row>
    <row r="81" spans="6:6">
      <c r="F81">
        <v>8</v>
      </c>
    </row>
    <row r="82" spans="6:6">
      <c r="F82">
        <v>9</v>
      </c>
    </row>
    <row r="83" spans="6:6">
      <c r="F83">
        <v>10</v>
      </c>
    </row>
    <row r="84" spans="6:6">
      <c r="F84">
        <v>11</v>
      </c>
    </row>
    <row r="85" spans="6:6">
      <c r="F85">
        <v>12</v>
      </c>
    </row>
    <row r="86" spans="6:6">
      <c r="F86">
        <v>13</v>
      </c>
    </row>
    <row r="87" spans="6:6">
      <c r="F87">
        <v>14</v>
      </c>
    </row>
    <row r="88" spans="6:6">
      <c r="F88">
        <v>15</v>
      </c>
    </row>
    <row r="89" spans="6:6">
      <c r="F89">
        <v>16</v>
      </c>
    </row>
    <row r="90" spans="6:6">
      <c r="F90">
        <v>17</v>
      </c>
    </row>
    <row r="91" spans="6:6">
      <c r="F91">
        <v>18</v>
      </c>
    </row>
    <row r="92" spans="6:6">
      <c r="F92">
        <v>19</v>
      </c>
    </row>
    <row r="93" spans="6:6">
      <c r="F93">
        <v>20</v>
      </c>
    </row>
    <row r="94" spans="6:6">
      <c r="F94">
        <v>21</v>
      </c>
    </row>
    <row r="95" spans="6:6">
      <c r="F95">
        <v>22</v>
      </c>
    </row>
    <row r="96" spans="6:6">
      <c r="F96">
        <v>23</v>
      </c>
    </row>
    <row r="97" spans="6:6">
      <c r="F97">
        <v>24</v>
      </c>
    </row>
    <row r="98" spans="6:6">
      <c r="F98">
        <v>25</v>
      </c>
    </row>
    <row r="99" spans="6:6">
      <c r="F99">
        <v>26</v>
      </c>
    </row>
    <row r="100" spans="6:6">
      <c r="F100">
        <v>27</v>
      </c>
    </row>
    <row r="101" spans="6:6">
      <c r="F101">
        <v>28</v>
      </c>
    </row>
    <row r="102" spans="6:6">
      <c r="F102">
        <v>29</v>
      </c>
    </row>
    <row r="103" spans="6:6">
      <c r="F103">
        <v>31</v>
      </c>
    </row>
    <row r="104" spans="6:6">
      <c r="F104">
        <v>32</v>
      </c>
    </row>
    <row r="105" spans="6:6">
      <c r="F105">
        <v>33</v>
      </c>
    </row>
    <row r="106" spans="6:6">
      <c r="F106">
        <v>34</v>
      </c>
    </row>
    <row r="107" spans="6:6">
      <c r="F107">
        <v>35</v>
      </c>
    </row>
    <row r="108" spans="6:6">
      <c r="F108">
        <v>39</v>
      </c>
    </row>
    <row r="109" spans="6:6">
      <c r="F109">
        <v>40</v>
      </c>
    </row>
    <row r="110" spans="6:6">
      <c r="F110">
        <v>41</v>
      </c>
    </row>
    <row r="111" spans="6:6">
      <c r="F111">
        <v>42</v>
      </c>
    </row>
    <row r="112" spans="6:6">
      <c r="F112">
        <v>43</v>
      </c>
    </row>
    <row r="113" spans="6:6">
      <c r="F113">
        <v>45</v>
      </c>
    </row>
  </sheetData>
  <mergeCells count="7">
    <mergeCell ref="E11:E13"/>
    <mergeCell ref="E15:E17"/>
    <mergeCell ref="E18:E19"/>
    <mergeCell ref="F11:F13"/>
    <mergeCell ref="F15:F17"/>
    <mergeCell ref="F18:F19"/>
    <mergeCell ref="A1:F9"/>
  </mergeCells>
  <dataValidations count="1">
    <dataValidation type="list" allowBlank="1" showInputMessage="1" showErrorMessage="1" sqref="E14 F14">
      <formula1>_xlfn.ANCHORARRAY(F74)</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B2" sqref="B2"/>
    </sheetView>
  </sheetViews>
  <sheetFormatPr defaultColWidth="9.14285714285714" defaultRowHeight="15" outlineLevelRow="3" outlineLevelCol="1"/>
  <cols>
    <col min="1" max="1" width="15.1428571428571"/>
    <col min="2" max="2" width="25.7142857142857"/>
  </cols>
  <sheetData>
    <row r="1" spans="1:2">
      <c r="A1" t="s">
        <v>3</v>
      </c>
      <c r="B1" t="s">
        <v>10</v>
      </c>
    </row>
    <row r="2" spans="1:2">
      <c r="A2" t="s">
        <v>43</v>
      </c>
      <c r="B2" s="8">
        <v>1041256.38020886</v>
      </c>
    </row>
    <row r="3" spans="1:2">
      <c r="A3" t="s">
        <v>44</v>
      </c>
      <c r="B3" s="8">
        <v>1122887.89235556</v>
      </c>
    </row>
    <row r="4" spans="1:2">
      <c r="A4" t="s">
        <v>11</v>
      </c>
      <c r="B4">
        <v>1046964.87756177</v>
      </c>
    </row>
  </sheetData>
  <pageMargins left="0.75" right="0.75" top="1" bottom="1" header="0.5" footer="0.5"/>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workbookViewId="0">
      <selection activeCell="A2" sqref="A2"/>
    </sheetView>
  </sheetViews>
  <sheetFormatPr defaultColWidth="9.14285714285714" defaultRowHeight="15"/>
  <sheetData>
    <row r="1" spans="1:1">
      <c r="A1" s="5" t="s">
        <v>0</v>
      </c>
    </row>
    <row r="2" spans="1:1">
      <c r="A2">
        <v>1</v>
      </c>
    </row>
    <row r="3" spans="1:1">
      <c r="A3">
        <v>2</v>
      </c>
    </row>
    <row r="4" spans="1:1">
      <c r="A4">
        <v>3</v>
      </c>
    </row>
    <row r="5" spans="1:1">
      <c r="A5">
        <v>4</v>
      </c>
    </row>
    <row r="6" spans="1:1">
      <c r="A6">
        <v>5</v>
      </c>
    </row>
    <row r="7" spans="1:1">
      <c r="A7">
        <v>6</v>
      </c>
    </row>
    <row r="8" spans="1:1">
      <c r="A8">
        <v>7</v>
      </c>
    </row>
    <row r="9" spans="1:1">
      <c r="A9">
        <v>8</v>
      </c>
    </row>
    <row r="10" spans="1:1">
      <c r="A10">
        <v>9</v>
      </c>
    </row>
    <row r="11" spans="1:1">
      <c r="A11">
        <v>10</v>
      </c>
    </row>
    <row r="12" spans="1:1">
      <c r="A12">
        <v>11</v>
      </c>
    </row>
    <row r="13" spans="1:1">
      <c r="A13">
        <v>12</v>
      </c>
    </row>
    <row r="14" spans="1:1">
      <c r="A14">
        <v>13</v>
      </c>
    </row>
    <row r="15" spans="1:1">
      <c r="A15">
        <v>14</v>
      </c>
    </row>
    <row r="16" spans="1:1">
      <c r="A16">
        <v>15</v>
      </c>
    </row>
    <row r="17" spans="1:1">
      <c r="A17">
        <v>16</v>
      </c>
    </row>
    <row r="18" spans="1:1">
      <c r="A18">
        <v>17</v>
      </c>
    </row>
    <row r="19" spans="1:1">
      <c r="A19">
        <v>18</v>
      </c>
    </row>
    <row r="20" spans="1:1">
      <c r="A20">
        <v>19</v>
      </c>
    </row>
    <row r="21" spans="1:1">
      <c r="A21">
        <v>20</v>
      </c>
    </row>
    <row r="22" spans="1:1">
      <c r="A22">
        <v>21</v>
      </c>
    </row>
    <row r="23" spans="1:1">
      <c r="A23">
        <v>22</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s="6">
        <v>45</v>
      </c>
    </row>
    <row r="47" spans="1:1">
      <c r="A47" s="7" t="s">
        <v>11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436"/>
  <sheetViews>
    <sheetView tabSelected="1" workbookViewId="0">
      <selection activeCell="C1" sqref="C1"/>
    </sheetView>
  </sheetViews>
  <sheetFormatPr defaultColWidth="9.14285714285714" defaultRowHeight="15" outlineLevelCol="2"/>
  <cols>
    <col min="2" max="2" width="10.5714285714286"/>
  </cols>
  <sheetData>
    <row r="1" spans="1:3">
      <c r="A1" t="s">
        <v>0</v>
      </c>
      <c r="B1" t="s">
        <v>45</v>
      </c>
      <c r="C1" t="s">
        <v>46</v>
      </c>
    </row>
    <row r="2" spans="1:3">
      <c r="A2" s="1">
        <v>1</v>
      </c>
      <c r="B2" s="2">
        <f>Walmart_Sales_raw_data!C2</f>
        <v>1643690.9</v>
      </c>
      <c r="C2" t="str">
        <f>IF(B2&gt;=Walmart_Sales_raw_data!$C$6437,"High","low")</f>
        <v>High</v>
      </c>
    </row>
    <row r="3" spans="1:3">
      <c r="A3" s="3">
        <v>1</v>
      </c>
      <c r="B3" s="2">
        <f>Walmart_Sales_raw_data!C3</f>
        <v>1641957.44</v>
      </c>
      <c r="C3" t="str">
        <f>IF(B3&gt;=Walmart_Sales_raw_data!$C$6437,"High","low")</f>
        <v>High</v>
      </c>
    </row>
    <row r="4" spans="1:3">
      <c r="A4" s="1">
        <v>1</v>
      </c>
      <c r="B4" s="2">
        <f>Walmart_Sales_raw_data!C4</f>
        <v>1611968.17</v>
      </c>
      <c r="C4" t="str">
        <f>IF(B4&gt;=Walmart_Sales_raw_data!$C$6437,"High","low")</f>
        <v>High</v>
      </c>
    </row>
    <row r="5" spans="1:3">
      <c r="A5" s="3">
        <v>1</v>
      </c>
      <c r="B5" s="2">
        <f>Walmart_Sales_raw_data!C5</f>
        <v>1409727.59</v>
      </c>
      <c r="C5" t="str">
        <f>IF(B5&gt;=Walmart_Sales_raw_data!$C$6437,"High","low")</f>
        <v>High</v>
      </c>
    </row>
    <row r="6" spans="1:3">
      <c r="A6" s="1">
        <v>1</v>
      </c>
      <c r="B6" s="2">
        <f>Walmart_Sales_raw_data!C6</f>
        <v>1554806.68</v>
      </c>
      <c r="C6" t="str">
        <f>IF(B6&gt;=Walmart_Sales_raw_data!$C$6437,"High","low")</f>
        <v>High</v>
      </c>
    </row>
    <row r="7" spans="1:3">
      <c r="A7" s="3">
        <v>1</v>
      </c>
      <c r="B7" s="2">
        <f>Walmart_Sales_raw_data!C7</f>
        <v>1439541.59</v>
      </c>
      <c r="C7" t="str">
        <f>IF(B7&gt;=Walmart_Sales_raw_data!$C$6437,"High","low")</f>
        <v>High</v>
      </c>
    </row>
    <row r="8" spans="1:3">
      <c r="A8" s="1">
        <v>1</v>
      </c>
      <c r="B8" s="2">
        <f>Walmart_Sales_raw_data!C8</f>
        <v>1472515.79</v>
      </c>
      <c r="C8" t="str">
        <f>IF(B8&gt;=Walmart_Sales_raw_data!$C$6437,"High","low")</f>
        <v>High</v>
      </c>
    </row>
    <row r="9" spans="1:3">
      <c r="A9" s="3">
        <v>1</v>
      </c>
      <c r="B9" s="2">
        <f>Walmart_Sales_raw_data!C9</f>
        <v>1404429.92</v>
      </c>
      <c r="C9" t="str">
        <f>IF(B9&gt;=Walmart_Sales_raw_data!$C$6437,"High","low")</f>
        <v>High</v>
      </c>
    </row>
    <row r="10" spans="1:3">
      <c r="A10" s="1">
        <v>1</v>
      </c>
      <c r="B10" s="2">
        <f>Walmart_Sales_raw_data!C10</f>
        <v>1594968.28</v>
      </c>
      <c r="C10" t="str">
        <f>IF(B10&gt;=Walmart_Sales_raw_data!$C$6437,"High","low")</f>
        <v>High</v>
      </c>
    </row>
    <row r="11" spans="1:3">
      <c r="A11" s="3">
        <v>1</v>
      </c>
      <c r="B11" s="2">
        <f>Walmart_Sales_raw_data!C11</f>
        <v>1545418.53</v>
      </c>
      <c r="C11" t="str">
        <f>IF(B11&gt;=Walmart_Sales_raw_data!$C$6437,"High","low")</f>
        <v>High</v>
      </c>
    </row>
    <row r="12" spans="1:3">
      <c r="A12" s="1">
        <v>1</v>
      </c>
      <c r="B12" s="2">
        <f>Walmart_Sales_raw_data!C12</f>
        <v>1466058.28</v>
      </c>
      <c r="C12" t="str">
        <f>IF(B12&gt;=Walmart_Sales_raw_data!$C$6437,"High","low")</f>
        <v>High</v>
      </c>
    </row>
    <row r="13" spans="1:3">
      <c r="A13" s="3">
        <v>1</v>
      </c>
      <c r="B13" s="2">
        <f>Walmart_Sales_raw_data!C13</f>
        <v>1391256.12</v>
      </c>
      <c r="C13" t="str">
        <f>IF(B13&gt;=Walmart_Sales_raw_data!$C$6437,"High","low")</f>
        <v>High</v>
      </c>
    </row>
    <row r="14" spans="1:3">
      <c r="A14" s="1">
        <v>1</v>
      </c>
      <c r="B14" s="2">
        <f>Walmart_Sales_raw_data!C14</f>
        <v>1425100.71</v>
      </c>
      <c r="C14" t="str">
        <f>IF(B14&gt;=Walmart_Sales_raw_data!$C$6437,"High","low")</f>
        <v>High</v>
      </c>
    </row>
    <row r="15" spans="1:3">
      <c r="A15" s="3">
        <v>1</v>
      </c>
      <c r="B15" s="2">
        <f>Walmart_Sales_raw_data!C15</f>
        <v>1603955.12</v>
      </c>
      <c r="C15" t="str">
        <f>IF(B15&gt;=Walmart_Sales_raw_data!$C$6437,"High","low")</f>
        <v>High</v>
      </c>
    </row>
    <row r="16" spans="1:3">
      <c r="A16" s="1">
        <v>1</v>
      </c>
      <c r="B16" s="2">
        <f>Walmart_Sales_raw_data!C16</f>
        <v>1494251.5</v>
      </c>
      <c r="C16" t="str">
        <f>IF(B16&gt;=Walmart_Sales_raw_data!$C$6437,"High","low")</f>
        <v>High</v>
      </c>
    </row>
    <row r="17" spans="1:3">
      <c r="A17" s="3">
        <v>1</v>
      </c>
      <c r="B17" s="2">
        <f>Walmart_Sales_raw_data!C17</f>
        <v>1399662.07</v>
      </c>
      <c r="C17" t="str">
        <f>IF(B17&gt;=Walmart_Sales_raw_data!$C$6437,"High","low")</f>
        <v>High</v>
      </c>
    </row>
    <row r="18" spans="1:3">
      <c r="A18" s="1">
        <v>1</v>
      </c>
      <c r="B18" s="2">
        <f>Walmart_Sales_raw_data!C18</f>
        <v>1432069.95</v>
      </c>
      <c r="C18" t="str">
        <f>IF(B18&gt;=Walmart_Sales_raw_data!$C$6437,"High","low")</f>
        <v>High</v>
      </c>
    </row>
    <row r="19" spans="1:3">
      <c r="A19" s="3">
        <v>1</v>
      </c>
      <c r="B19" s="2">
        <f>Walmart_Sales_raw_data!C19</f>
        <v>1615524.71</v>
      </c>
      <c r="C19" t="str">
        <f>IF(B19&gt;=Walmart_Sales_raw_data!$C$6437,"High","low")</f>
        <v>High</v>
      </c>
    </row>
    <row r="20" spans="1:3">
      <c r="A20" s="1">
        <v>1</v>
      </c>
      <c r="B20" s="2">
        <f>Walmart_Sales_raw_data!C20</f>
        <v>1542561.09</v>
      </c>
      <c r="C20" t="str">
        <f>IF(B20&gt;=Walmart_Sales_raw_data!$C$6437,"High","low")</f>
        <v>High</v>
      </c>
    </row>
    <row r="21" spans="1:3">
      <c r="A21" s="3">
        <v>1</v>
      </c>
      <c r="B21" s="2">
        <f>Walmart_Sales_raw_data!C21</f>
        <v>1503284.06</v>
      </c>
      <c r="C21" t="str">
        <f>IF(B21&gt;=Walmart_Sales_raw_data!$C$6437,"High","low")</f>
        <v>High</v>
      </c>
    </row>
    <row r="22" spans="1:3">
      <c r="A22" s="1">
        <v>1</v>
      </c>
      <c r="B22" s="2">
        <f>Walmart_Sales_raw_data!C22</f>
        <v>1422711.6</v>
      </c>
      <c r="C22" t="str">
        <f>IF(B22&gt;=Walmart_Sales_raw_data!$C$6437,"High","low")</f>
        <v>High</v>
      </c>
    </row>
    <row r="23" spans="1:3">
      <c r="A23" s="3">
        <v>1</v>
      </c>
      <c r="B23" s="2">
        <f>Walmart_Sales_raw_data!C23</f>
        <v>1492418.14</v>
      </c>
      <c r="C23" t="str">
        <f>IF(B23&gt;=Walmart_Sales_raw_data!$C$6437,"High","low")</f>
        <v>High</v>
      </c>
    </row>
    <row r="24" spans="1:3">
      <c r="A24" s="1">
        <v>1</v>
      </c>
      <c r="B24" s="2">
        <f>Walmart_Sales_raw_data!C24</f>
        <v>1546074.18</v>
      </c>
      <c r="C24" t="str">
        <f>IF(B24&gt;=Walmart_Sales_raw_data!$C$6437,"High","low")</f>
        <v>High</v>
      </c>
    </row>
    <row r="25" spans="1:3">
      <c r="A25" s="3">
        <v>1</v>
      </c>
      <c r="B25" s="2">
        <f>Walmart_Sales_raw_data!C25</f>
        <v>1448938.92</v>
      </c>
      <c r="C25" t="str">
        <f>IF(B25&gt;=Walmart_Sales_raw_data!$C$6437,"High","low")</f>
        <v>High</v>
      </c>
    </row>
    <row r="26" spans="1:3">
      <c r="A26" s="1">
        <v>1</v>
      </c>
      <c r="B26" s="2">
        <f>Walmart_Sales_raw_data!C26</f>
        <v>1385065.2</v>
      </c>
      <c r="C26" t="str">
        <f>IF(B26&gt;=Walmart_Sales_raw_data!$C$6437,"High","low")</f>
        <v>High</v>
      </c>
    </row>
    <row r="27" spans="1:3">
      <c r="A27" s="3">
        <v>1</v>
      </c>
      <c r="B27" s="2">
        <f>Walmart_Sales_raw_data!C27</f>
        <v>1371986.6</v>
      </c>
      <c r="C27" t="str">
        <f>IF(B27&gt;=Walmart_Sales_raw_data!$C$6437,"High","low")</f>
        <v>High</v>
      </c>
    </row>
    <row r="28" spans="1:3">
      <c r="A28" s="1">
        <v>1</v>
      </c>
      <c r="B28" s="2">
        <f>Walmart_Sales_raw_data!C28</f>
        <v>1605491.78</v>
      </c>
      <c r="C28" t="str">
        <f>IF(B28&gt;=Walmart_Sales_raw_data!$C$6437,"High","low")</f>
        <v>High</v>
      </c>
    </row>
    <row r="29" spans="1:3">
      <c r="A29" s="3">
        <v>1</v>
      </c>
      <c r="B29" s="2">
        <f>Walmart_Sales_raw_data!C29</f>
        <v>1508237.76</v>
      </c>
      <c r="C29" t="str">
        <f>IF(B29&gt;=Walmart_Sales_raw_data!$C$6437,"High","low")</f>
        <v>High</v>
      </c>
    </row>
    <row r="30" spans="1:3">
      <c r="A30" s="1">
        <v>1</v>
      </c>
      <c r="B30" s="2">
        <f>Walmart_Sales_raw_data!C30</f>
        <v>1513080.49</v>
      </c>
      <c r="C30" t="str">
        <f>IF(B30&gt;=Walmart_Sales_raw_data!$C$6437,"High","low")</f>
        <v>High</v>
      </c>
    </row>
    <row r="31" spans="1:3">
      <c r="A31" s="3">
        <v>1</v>
      </c>
      <c r="B31" s="2">
        <f>Walmart_Sales_raw_data!C31</f>
        <v>1449142.92</v>
      </c>
      <c r="C31" t="str">
        <f>IF(B31&gt;=Walmart_Sales_raw_data!$C$6437,"High","low")</f>
        <v>High</v>
      </c>
    </row>
    <row r="32" spans="1:3">
      <c r="A32" s="1">
        <v>1</v>
      </c>
      <c r="B32" s="2">
        <f>Walmart_Sales_raw_data!C32</f>
        <v>1540163.53</v>
      </c>
      <c r="C32" t="str">
        <f>IF(B32&gt;=Walmart_Sales_raw_data!$C$6437,"High","low")</f>
        <v>High</v>
      </c>
    </row>
    <row r="33" spans="1:3">
      <c r="A33" s="3">
        <v>1</v>
      </c>
      <c r="B33" s="2">
        <f>Walmart_Sales_raw_data!C33</f>
        <v>1507460.69</v>
      </c>
      <c r="C33" t="str">
        <f>IF(B33&gt;=Walmart_Sales_raw_data!$C$6437,"High","low")</f>
        <v>High</v>
      </c>
    </row>
    <row r="34" spans="1:3">
      <c r="A34" s="1">
        <v>1</v>
      </c>
      <c r="B34" s="2">
        <f>Walmart_Sales_raw_data!C34</f>
        <v>1430378.67</v>
      </c>
      <c r="C34" t="str">
        <f>IF(B34&gt;=Walmart_Sales_raw_data!$C$6437,"High","low")</f>
        <v>High</v>
      </c>
    </row>
    <row r="35" spans="1:3">
      <c r="A35" s="3">
        <v>1</v>
      </c>
      <c r="B35" s="2">
        <f>Walmart_Sales_raw_data!C35</f>
        <v>1351791.03</v>
      </c>
      <c r="C35" t="str">
        <f>IF(B35&gt;=Walmart_Sales_raw_data!$C$6437,"High","low")</f>
        <v>High</v>
      </c>
    </row>
    <row r="36" spans="1:3">
      <c r="A36" s="1">
        <v>1</v>
      </c>
      <c r="B36" s="2">
        <f>Walmart_Sales_raw_data!C36</f>
        <v>1453329.5</v>
      </c>
      <c r="C36" t="str">
        <f>IF(B36&gt;=Walmart_Sales_raw_data!$C$6437,"High","low")</f>
        <v>High</v>
      </c>
    </row>
    <row r="37" spans="1:3">
      <c r="A37" s="3">
        <v>1</v>
      </c>
      <c r="B37" s="2">
        <f>Walmart_Sales_raw_data!C37</f>
        <v>1508239.93</v>
      </c>
      <c r="C37" t="str">
        <f>IF(B37&gt;=Walmart_Sales_raw_data!$C$6437,"High","low")</f>
        <v>High</v>
      </c>
    </row>
    <row r="38" spans="1:3">
      <c r="A38" s="1">
        <v>1</v>
      </c>
      <c r="B38" s="2">
        <f>Walmart_Sales_raw_data!C38</f>
        <v>1459409.1</v>
      </c>
      <c r="C38" t="str">
        <f>IF(B38&gt;=Walmart_Sales_raw_data!$C$6437,"High","low")</f>
        <v>High</v>
      </c>
    </row>
    <row r="39" spans="1:3">
      <c r="A39" s="3">
        <v>1</v>
      </c>
      <c r="B39" s="2">
        <f>Walmart_Sales_raw_data!C39</f>
        <v>1345454</v>
      </c>
      <c r="C39" t="str">
        <f>IF(B39&gt;=Walmart_Sales_raw_data!$C$6437,"High","low")</f>
        <v>High</v>
      </c>
    </row>
    <row r="40" spans="1:3">
      <c r="A40" s="1">
        <v>1</v>
      </c>
      <c r="B40" s="2">
        <f>Walmart_Sales_raw_data!C40</f>
        <v>1384209.22</v>
      </c>
      <c r="C40" t="str">
        <f>IF(B40&gt;=Walmart_Sales_raw_data!$C$6437,"High","low")</f>
        <v>High</v>
      </c>
    </row>
    <row r="41" spans="1:3">
      <c r="A41" s="3">
        <v>1</v>
      </c>
      <c r="B41" s="2">
        <f>Walmart_Sales_raw_data!C41</f>
        <v>1551659.28</v>
      </c>
      <c r="C41" t="str">
        <f>IF(B41&gt;=Walmart_Sales_raw_data!$C$6437,"High","low")</f>
        <v>High</v>
      </c>
    </row>
    <row r="42" spans="1:3">
      <c r="A42" s="1">
        <v>1</v>
      </c>
      <c r="B42" s="2">
        <f>Walmart_Sales_raw_data!C42</f>
        <v>1494479.49</v>
      </c>
      <c r="C42" t="str">
        <f>IF(B42&gt;=Walmart_Sales_raw_data!$C$6437,"High","low")</f>
        <v>High</v>
      </c>
    </row>
    <row r="43" spans="1:3">
      <c r="A43" s="3">
        <v>1</v>
      </c>
      <c r="B43" s="2">
        <f>Walmart_Sales_raw_data!C43</f>
        <v>1483784.18</v>
      </c>
      <c r="C43" t="str">
        <f>IF(B43&gt;=Walmart_Sales_raw_data!$C$6437,"High","low")</f>
        <v>High</v>
      </c>
    </row>
    <row r="44" spans="1:3">
      <c r="A44" s="1">
        <v>1</v>
      </c>
      <c r="B44" s="2">
        <f>Walmart_Sales_raw_data!C44</f>
        <v>1955624.11</v>
      </c>
      <c r="C44" t="str">
        <f>IF(B44&gt;=Walmart_Sales_raw_data!$C$6437,"High","low")</f>
        <v>High</v>
      </c>
    </row>
    <row r="45" spans="1:3">
      <c r="A45" s="3">
        <v>1</v>
      </c>
      <c r="B45" s="2">
        <f>Walmart_Sales_raw_data!C45</f>
        <v>1548033.78</v>
      </c>
      <c r="C45" t="str">
        <f>IF(B45&gt;=Walmart_Sales_raw_data!$C$6437,"High","low")</f>
        <v>High</v>
      </c>
    </row>
    <row r="46" spans="1:3">
      <c r="A46" s="1">
        <v>1</v>
      </c>
      <c r="B46" s="2">
        <f>Walmart_Sales_raw_data!C46</f>
        <v>1682614.26</v>
      </c>
      <c r="C46" t="str">
        <f>IF(B46&gt;=Walmart_Sales_raw_data!$C$6437,"High","low")</f>
        <v>High</v>
      </c>
    </row>
    <row r="47" spans="1:3">
      <c r="A47" s="3">
        <v>1</v>
      </c>
      <c r="B47" s="2">
        <f>Walmart_Sales_raw_data!C47</f>
        <v>1891034.93</v>
      </c>
      <c r="C47" t="str">
        <f>IF(B47&gt;=Walmart_Sales_raw_data!$C$6437,"High","low")</f>
        <v>High</v>
      </c>
    </row>
    <row r="48" spans="1:3">
      <c r="A48" s="1">
        <v>1</v>
      </c>
      <c r="B48" s="2">
        <f>Walmart_Sales_raw_data!C48</f>
        <v>2387950.2</v>
      </c>
      <c r="C48" t="str">
        <f>IF(B48&gt;=Walmart_Sales_raw_data!$C$6437,"High","low")</f>
        <v>High</v>
      </c>
    </row>
    <row r="49" spans="1:3">
      <c r="A49" s="3">
        <v>1</v>
      </c>
      <c r="B49" s="2">
        <f>Walmart_Sales_raw_data!C49</f>
        <v>1367320.01</v>
      </c>
      <c r="C49" t="str">
        <f>IF(B49&gt;=Walmart_Sales_raw_data!$C$6437,"High","low")</f>
        <v>High</v>
      </c>
    </row>
    <row r="50" spans="1:3">
      <c r="A50" s="1">
        <v>1</v>
      </c>
      <c r="B50" s="2">
        <f>Walmart_Sales_raw_data!C50</f>
        <v>1444732.28</v>
      </c>
      <c r="C50" t="str">
        <f>IF(B50&gt;=Walmart_Sales_raw_data!$C$6437,"High","low")</f>
        <v>High</v>
      </c>
    </row>
    <row r="51" spans="1:3">
      <c r="A51" s="3">
        <v>1</v>
      </c>
      <c r="B51" s="2">
        <f>Walmart_Sales_raw_data!C51</f>
        <v>1391013.96</v>
      </c>
      <c r="C51" t="str">
        <f>IF(B51&gt;=Walmart_Sales_raw_data!$C$6437,"High","low")</f>
        <v>High</v>
      </c>
    </row>
    <row r="52" spans="1:3">
      <c r="A52" s="1">
        <v>1</v>
      </c>
      <c r="B52" s="2">
        <f>Walmart_Sales_raw_data!C52</f>
        <v>1327405.42</v>
      </c>
      <c r="C52" t="str">
        <f>IF(B52&gt;=Walmart_Sales_raw_data!$C$6437,"High","low")</f>
        <v>High</v>
      </c>
    </row>
    <row r="53" spans="1:3">
      <c r="A53" s="3">
        <v>1</v>
      </c>
      <c r="B53" s="2">
        <f>Walmart_Sales_raw_data!C53</f>
        <v>1316899.31</v>
      </c>
      <c r="C53" t="str">
        <f>IF(B53&gt;=Walmart_Sales_raw_data!$C$6437,"High","low")</f>
        <v>High</v>
      </c>
    </row>
    <row r="54" spans="1:3">
      <c r="A54" s="1">
        <v>1</v>
      </c>
      <c r="B54" s="2">
        <f>Walmart_Sales_raw_data!C54</f>
        <v>1606629.58</v>
      </c>
      <c r="C54" t="str">
        <f>IF(B54&gt;=Walmart_Sales_raw_data!$C$6437,"High","low")</f>
        <v>High</v>
      </c>
    </row>
    <row r="55" spans="1:3">
      <c r="A55" s="3">
        <v>1</v>
      </c>
      <c r="B55" s="2">
        <f>Walmart_Sales_raw_data!C55</f>
        <v>1649614.93</v>
      </c>
      <c r="C55" t="str">
        <f>IF(B55&gt;=Walmart_Sales_raw_data!$C$6437,"High","low")</f>
        <v>High</v>
      </c>
    </row>
    <row r="56" spans="1:3">
      <c r="A56" s="1">
        <v>1</v>
      </c>
      <c r="B56" s="2">
        <f>Walmart_Sales_raw_data!C56</f>
        <v>1686842.78</v>
      </c>
      <c r="C56" t="str">
        <f>IF(B56&gt;=Walmart_Sales_raw_data!$C$6437,"High","low")</f>
        <v>High</v>
      </c>
    </row>
    <row r="57" spans="1:3">
      <c r="A57" s="3">
        <v>1</v>
      </c>
      <c r="B57" s="2">
        <f>Walmart_Sales_raw_data!C57</f>
        <v>1456800.28</v>
      </c>
      <c r="C57" t="str">
        <f>IF(B57&gt;=Walmart_Sales_raw_data!$C$6437,"High","low")</f>
        <v>High</v>
      </c>
    </row>
    <row r="58" spans="1:3">
      <c r="A58" s="1">
        <v>1</v>
      </c>
      <c r="B58" s="2">
        <f>Walmart_Sales_raw_data!C58</f>
        <v>1636263.41</v>
      </c>
      <c r="C58" t="str">
        <f>IF(B58&gt;=Walmart_Sales_raw_data!$C$6437,"High","low")</f>
        <v>High</v>
      </c>
    </row>
    <row r="59" spans="1:3">
      <c r="A59" s="3">
        <v>1</v>
      </c>
      <c r="B59" s="2">
        <f>Walmart_Sales_raw_data!C59</f>
        <v>1553191.63</v>
      </c>
      <c r="C59" t="str">
        <f>IF(B59&gt;=Walmart_Sales_raw_data!$C$6437,"High","low")</f>
        <v>High</v>
      </c>
    </row>
    <row r="60" spans="1:3">
      <c r="A60" s="1">
        <v>1</v>
      </c>
      <c r="B60" s="2">
        <f>Walmart_Sales_raw_data!C60</f>
        <v>1576818.06</v>
      </c>
      <c r="C60" t="str">
        <f>IF(B60&gt;=Walmart_Sales_raw_data!$C$6437,"High","low")</f>
        <v>High</v>
      </c>
    </row>
    <row r="61" spans="1:3">
      <c r="A61" s="3">
        <v>1</v>
      </c>
      <c r="B61" s="2">
        <f>Walmart_Sales_raw_data!C61</f>
        <v>1541102.38</v>
      </c>
      <c r="C61" t="str">
        <f>IF(B61&gt;=Walmart_Sales_raw_data!$C$6437,"High","low")</f>
        <v>High</v>
      </c>
    </row>
    <row r="62" spans="1:3">
      <c r="A62" s="1">
        <v>1</v>
      </c>
      <c r="B62" s="2">
        <f>Walmart_Sales_raw_data!C62</f>
        <v>1495064.75</v>
      </c>
      <c r="C62" t="str">
        <f>IF(B62&gt;=Walmart_Sales_raw_data!$C$6437,"High","low")</f>
        <v>High</v>
      </c>
    </row>
    <row r="63" spans="1:3">
      <c r="A63" s="3">
        <v>1</v>
      </c>
      <c r="B63" s="2">
        <f>Walmart_Sales_raw_data!C63</f>
        <v>1614259.35</v>
      </c>
      <c r="C63" t="str">
        <f>IF(B63&gt;=Walmart_Sales_raw_data!$C$6437,"High","low")</f>
        <v>High</v>
      </c>
    </row>
    <row r="64" spans="1:3">
      <c r="A64" s="1">
        <v>1</v>
      </c>
      <c r="B64" s="2">
        <f>Walmart_Sales_raw_data!C64</f>
        <v>1559889</v>
      </c>
      <c r="C64" t="str">
        <f>IF(B64&gt;=Walmart_Sales_raw_data!$C$6437,"High","low")</f>
        <v>High</v>
      </c>
    </row>
    <row r="65" spans="1:3">
      <c r="A65" s="3">
        <v>1</v>
      </c>
      <c r="B65" s="2">
        <f>Walmart_Sales_raw_data!C65</f>
        <v>1564819.81</v>
      </c>
      <c r="C65" t="str">
        <f>IF(B65&gt;=Walmart_Sales_raw_data!$C$6437,"High","low")</f>
        <v>High</v>
      </c>
    </row>
    <row r="66" spans="1:3">
      <c r="A66" s="1">
        <v>1</v>
      </c>
      <c r="B66" s="2">
        <f>Walmart_Sales_raw_data!C66</f>
        <v>1455090.69</v>
      </c>
      <c r="C66" t="str">
        <f>IF(B66&gt;=Walmart_Sales_raw_data!$C$6437,"High","low")</f>
        <v>High</v>
      </c>
    </row>
    <row r="67" spans="1:3">
      <c r="A67" s="3">
        <v>1</v>
      </c>
      <c r="B67" s="2">
        <f>Walmart_Sales_raw_data!C67</f>
        <v>1629391.28</v>
      </c>
      <c r="C67" t="str">
        <f>IF(B67&gt;=Walmart_Sales_raw_data!$C$6437,"High","low")</f>
        <v>High</v>
      </c>
    </row>
    <row r="68" spans="1:3">
      <c r="A68" s="1">
        <v>1</v>
      </c>
      <c r="B68" s="2">
        <f>Walmart_Sales_raw_data!C68</f>
        <v>1604775.58</v>
      </c>
      <c r="C68" t="str">
        <f>IF(B68&gt;=Walmart_Sales_raw_data!$C$6437,"High","low")</f>
        <v>High</v>
      </c>
    </row>
    <row r="69" spans="1:3">
      <c r="A69" s="3">
        <v>1</v>
      </c>
      <c r="B69" s="2">
        <f>Walmart_Sales_raw_data!C69</f>
        <v>1428218.27</v>
      </c>
      <c r="C69" t="str">
        <f>IF(B69&gt;=Walmart_Sales_raw_data!$C$6437,"High","low")</f>
        <v>High</v>
      </c>
    </row>
    <row r="70" spans="1:3">
      <c r="A70" s="1">
        <v>1</v>
      </c>
      <c r="B70" s="2">
        <f>Walmart_Sales_raw_data!C70</f>
        <v>1466046.67</v>
      </c>
      <c r="C70" t="str">
        <f>IF(B70&gt;=Walmart_Sales_raw_data!$C$6437,"High","low")</f>
        <v>High</v>
      </c>
    </row>
    <row r="71" spans="1:3">
      <c r="A71" s="3">
        <v>1</v>
      </c>
      <c r="B71" s="2">
        <f>Walmart_Sales_raw_data!C71</f>
        <v>1635078.41</v>
      </c>
      <c r="C71" t="str">
        <f>IF(B71&gt;=Walmart_Sales_raw_data!$C$6437,"High","low")</f>
        <v>High</v>
      </c>
    </row>
    <row r="72" spans="1:3">
      <c r="A72" s="1">
        <v>1</v>
      </c>
      <c r="B72" s="2">
        <f>Walmart_Sales_raw_data!C72</f>
        <v>1588948.32</v>
      </c>
      <c r="C72" t="str">
        <f>IF(B72&gt;=Walmart_Sales_raw_data!$C$6437,"High","low")</f>
        <v>High</v>
      </c>
    </row>
    <row r="73" spans="1:3">
      <c r="A73" s="3">
        <v>1</v>
      </c>
      <c r="B73" s="2">
        <f>Walmart_Sales_raw_data!C73</f>
        <v>1532114.86</v>
      </c>
      <c r="C73" t="str">
        <f>IF(B73&gt;=Walmart_Sales_raw_data!$C$6437,"High","low")</f>
        <v>High</v>
      </c>
    </row>
    <row r="74" spans="1:3">
      <c r="A74" s="1">
        <v>1</v>
      </c>
      <c r="B74" s="2">
        <f>Walmart_Sales_raw_data!C74</f>
        <v>1438830.15</v>
      </c>
      <c r="C74" t="str">
        <f>IF(B74&gt;=Walmart_Sales_raw_data!$C$6437,"High","low")</f>
        <v>High</v>
      </c>
    </row>
    <row r="75" spans="1:3">
      <c r="A75" s="3">
        <v>1</v>
      </c>
      <c r="B75" s="2">
        <f>Walmart_Sales_raw_data!C75</f>
        <v>1488538.09</v>
      </c>
      <c r="C75" t="str">
        <f>IF(B75&gt;=Walmart_Sales_raw_data!$C$6437,"High","low")</f>
        <v>High</v>
      </c>
    </row>
    <row r="76" spans="1:3">
      <c r="A76" s="1">
        <v>1</v>
      </c>
      <c r="B76" s="2">
        <f>Walmart_Sales_raw_data!C76</f>
        <v>1534849.64</v>
      </c>
      <c r="C76" t="str">
        <f>IF(B76&gt;=Walmart_Sales_raw_data!$C$6437,"High","low")</f>
        <v>High</v>
      </c>
    </row>
    <row r="77" spans="1:3">
      <c r="A77" s="3">
        <v>1</v>
      </c>
      <c r="B77" s="2">
        <f>Walmart_Sales_raw_data!C77</f>
        <v>1455119.97</v>
      </c>
      <c r="C77" t="str">
        <f>IF(B77&gt;=Walmart_Sales_raw_data!$C$6437,"High","low")</f>
        <v>High</v>
      </c>
    </row>
    <row r="78" spans="1:3">
      <c r="A78" s="1">
        <v>1</v>
      </c>
      <c r="B78" s="2">
        <f>Walmart_Sales_raw_data!C78</f>
        <v>1396926.82</v>
      </c>
      <c r="C78" t="str">
        <f>IF(B78&gt;=Walmart_Sales_raw_data!$C$6437,"High","low")</f>
        <v>High</v>
      </c>
    </row>
    <row r="79" spans="1:3">
      <c r="A79" s="3">
        <v>1</v>
      </c>
      <c r="B79" s="2">
        <f>Walmart_Sales_raw_data!C79</f>
        <v>1352219.79</v>
      </c>
      <c r="C79" t="str">
        <f>IF(B79&gt;=Walmart_Sales_raw_data!$C$6437,"High","low")</f>
        <v>High</v>
      </c>
    </row>
    <row r="80" spans="1:3">
      <c r="A80" s="1">
        <v>1</v>
      </c>
      <c r="B80" s="2">
        <f>Walmart_Sales_raw_data!C80</f>
        <v>1624383.75</v>
      </c>
      <c r="C80" t="str">
        <f>IF(B80&gt;=Walmart_Sales_raw_data!$C$6437,"High","low")</f>
        <v>High</v>
      </c>
    </row>
    <row r="81" spans="1:3">
      <c r="A81" s="3">
        <v>1</v>
      </c>
      <c r="B81" s="2">
        <f>Walmart_Sales_raw_data!C81</f>
        <v>1525147.09</v>
      </c>
      <c r="C81" t="str">
        <f>IF(B81&gt;=Walmart_Sales_raw_data!$C$6437,"High","low")</f>
        <v>High</v>
      </c>
    </row>
    <row r="82" spans="1:3">
      <c r="A82" s="1">
        <v>1</v>
      </c>
      <c r="B82" s="2">
        <f>Walmart_Sales_raw_data!C82</f>
        <v>1530761.43</v>
      </c>
      <c r="C82" t="str">
        <f>IF(B82&gt;=Walmart_Sales_raw_data!$C$6437,"High","low")</f>
        <v>High</v>
      </c>
    </row>
    <row r="83" spans="1:3">
      <c r="A83" s="3">
        <v>1</v>
      </c>
      <c r="B83" s="2">
        <f>Walmart_Sales_raw_data!C83</f>
        <v>1464693.46</v>
      </c>
      <c r="C83" t="str">
        <f>IF(B83&gt;=Walmart_Sales_raw_data!$C$6437,"High","low")</f>
        <v>High</v>
      </c>
    </row>
    <row r="84" spans="1:3">
      <c r="A84" s="1">
        <v>1</v>
      </c>
      <c r="B84" s="2">
        <f>Walmart_Sales_raw_data!C84</f>
        <v>1550229.22</v>
      </c>
      <c r="C84" t="str">
        <f>IF(B84&gt;=Walmart_Sales_raw_data!$C$6437,"High","low")</f>
        <v>High</v>
      </c>
    </row>
    <row r="85" spans="1:3">
      <c r="A85" s="3">
        <v>1</v>
      </c>
      <c r="B85" s="2">
        <f>Walmart_Sales_raw_data!C85</f>
        <v>1540471.24</v>
      </c>
      <c r="C85" t="str">
        <f>IF(B85&gt;=Walmart_Sales_raw_data!$C$6437,"High","low")</f>
        <v>High</v>
      </c>
    </row>
    <row r="86" spans="1:3">
      <c r="A86" s="1">
        <v>1</v>
      </c>
      <c r="B86" s="2">
        <f>Walmart_Sales_raw_data!C86</f>
        <v>1514259.78</v>
      </c>
      <c r="C86" t="str">
        <f>IF(B86&gt;=Walmart_Sales_raw_data!$C$6437,"High","low")</f>
        <v>High</v>
      </c>
    </row>
    <row r="87" spans="1:3">
      <c r="A87" s="3">
        <v>1</v>
      </c>
      <c r="B87" s="2">
        <f>Walmart_Sales_raw_data!C87</f>
        <v>1380020.27</v>
      </c>
      <c r="C87" t="str">
        <f>IF(B87&gt;=Walmart_Sales_raw_data!$C$6437,"High","low")</f>
        <v>High</v>
      </c>
    </row>
    <row r="88" spans="1:3">
      <c r="A88" s="1">
        <v>1</v>
      </c>
      <c r="B88" s="2">
        <f>Walmart_Sales_raw_data!C88</f>
        <v>1394561.83</v>
      </c>
      <c r="C88" t="str">
        <f>IF(B88&gt;=Walmart_Sales_raw_data!$C$6437,"High","low")</f>
        <v>High</v>
      </c>
    </row>
    <row r="89" spans="1:3">
      <c r="A89" s="3">
        <v>1</v>
      </c>
      <c r="B89" s="2">
        <f>Walmart_Sales_raw_data!C89</f>
        <v>1630989.95</v>
      </c>
      <c r="C89" t="str">
        <f>IF(B89&gt;=Walmart_Sales_raw_data!$C$6437,"High","low")</f>
        <v>High</v>
      </c>
    </row>
    <row r="90" spans="1:3">
      <c r="A90" s="1">
        <v>1</v>
      </c>
      <c r="B90" s="2">
        <f>Walmart_Sales_raw_data!C90</f>
        <v>1493525.93</v>
      </c>
      <c r="C90" t="str">
        <f>IF(B90&gt;=Walmart_Sales_raw_data!$C$6437,"High","low")</f>
        <v>High</v>
      </c>
    </row>
    <row r="91" spans="1:3">
      <c r="A91" s="3">
        <v>1</v>
      </c>
      <c r="B91" s="2">
        <f>Walmart_Sales_raw_data!C91</f>
        <v>1502562.78</v>
      </c>
      <c r="C91" t="str">
        <f>IF(B91&gt;=Walmart_Sales_raw_data!$C$6437,"High","low")</f>
        <v>High</v>
      </c>
    </row>
    <row r="92" spans="1:3">
      <c r="A92" s="1">
        <v>1</v>
      </c>
      <c r="B92" s="2">
        <f>Walmart_Sales_raw_data!C92</f>
        <v>1445249.09</v>
      </c>
      <c r="C92" t="str">
        <f>IF(B92&gt;=Walmart_Sales_raw_data!$C$6437,"High","low")</f>
        <v>High</v>
      </c>
    </row>
    <row r="93" spans="1:3">
      <c r="A93" s="3">
        <v>1</v>
      </c>
      <c r="B93" s="2">
        <f>Walmart_Sales_raw_data!C93</f>
        <v>1697229.58</v>
      </c>
      <c r="C93" t="str">
        <f>IF(B93&gt;=Walmart_Sales_raw_data!$C$6437,"High","low")</f>
        <v>High</v>
      </c>
    </row>
    <row r="94" spans="1:3">
      <c r="A94" s="1">
        <v>1</v>
      </c>
      <c r="B94" s="2">
        <f>Walmart_Sales_raw_data!C94</f>
        <v>1594938.89</v>
      </c>
      <c r="C94" t="str">
        <f>IF(B94&gt;=Walmart_Sales_raw_data!$C$6437,"High","low")</f>
        <v>High</v>
      </c>
    </row>
    <row r="95" spans="1:3">
      <c r="A95" s="3">
        <v>1</v>
      </c>
      <c r="B95" s="2">
        <f>Walmart_Sales_raw_data!C95</f>
        <v>1539483.7</v>
      </c>
      <c r="C95" t="str">
        <f>IF(B95&gt;=Walmart_Sales_raw_data!$C$6437,"High","low")</f>
        <v>High</v>
      </c>
    </row>
    <row r="96" spans="1:3">
      <c r="A96" s="1">
        <v>1</v>
      </c>
      <c r="B96" s="2">
        <f>Walmart_Sales_raw_data!C96</f>
        <v>2033320.66</v>
      </c>
      <c r="C96" t="str">
        <f>IF(B96&gt;=Walmart_Sales_raw_data!$C$6437,"High","low")</f>
        <v>High</v>
      </c>
    </row>
    <row r="97" spans="1:3">
      <c r="A97" s="3">
        <v>1</v>
      </c>
      <c r="B97" s="2">
        <f>Walmart_Sales_raw_data!C97</f>
        <v>1584083.95</v>
      </c>
      <c r="C97" t="str">
        <f>IF(B97&gt;=Walmart_Sales_raw_data!$C$6437,"High","low")</f>
        <v>High</v>
      </c>
    </row>
    <row r="98" spans="1:3">
      <c r="A98" s="1">
        <v>1</v>
      </c>
      <c r="B98" s="2">
        <f>Walmart_Sales_raw_data!C98</f>
        <v>1799682.38</v>
      </c>
      <c r="C98" t="str">
        <f>IF(B98&gt;=Walmart_Sales_raw_data!$C$6437,"High","low")</f>
        <v>High</v>
      </c>
    </row>
    <row r="99" spans="1:3">
      <c r="A99" s="3">
        <v>1</v>
      </c>
      <c r="B99" s="2">
        <f>Walmart_Sales_raw_data!C99</f>
        <v>1881176.67</v>
      </c>
      <c r="C99" t="str">
        <f>IF(B99&gt;=Walmart_Sales_raw_data!$C$6437,"High","low")</f>
        <v>High</v>
      </c>
    </row>
    <row r="100" spans="1:3">
      <c r="A100" s="1">
        <v>1</v>
      </c>
      <c r="B100" s="2">
        <f>Walmart_Sales_raw_data!C100</f>
        <v>2270188.99</v>
      </c>
      <c r="C100" t="str">
        <f>IF(B100&gt;=Walmart_Sales_raw_data!$C$6437,"High","low")</f>
        <v>High</v>
      </c>
    </row>
    <row r="101" spans="1:3">
      <c r="A101" s="3">
        <v>1</v>
      </c>
      <c r="B101" s="2">
        <f>Walmart_Sales_raw_data!C101</f>
        <v>1497462.72</v>
      </c>
      <c r="C101" t="str">
        <f>IF(B101&gt;=Walmart_Sales_raw_data!$C$6437,"High","low")</f>
        <v>High</v>
      </c>
    </row>
    <row r="102" spans="1:3">
      <c r="A102" s="1">
        <v>1</v>
      </c>
      <c r="B102" s="2">
        <f>Walmart_Sales_raw_data!C102</f>
        <v>1550369.92</v>
      </c>
      <c r="C102" t="str">
        <f>IF(B102&gt;=Walmart_Sales_raw_data!$C$6437,"High","low")</f>
        <v>High</v>
      </c>
    </row>
    <row r="103" spans="1:3">
      <c r="A103" s="3">
        <v>1</v>
      </c>
      <c r="B103" s="2">
        <f>Walmart_Sales_raw_data!C103</f>
        <v>1459601.17</v>
      </c>
      <c r="C103" t="str">
        <f>IF(B103&gt;=Walmart_Sales_raw_data!$C$6437,"High","low")</f>
        <v>High</v>
      </c>
    </row>
    <row r="104" spans="1:3">
      <c r="A104" s="1">
        <v>1</v>
      </c>
      <c r="B104" s="2">
        <f>Walmart_Sales_raw_data!C104</f>
        <v>1394393.84</v>
      </c>
      <c r="C104" t="str">
        <f>IF(B104&gt;=Walmart_Sales_raw_data!$C$6437,"High","low")</f>
        <v>High</v>
      </c>
    </row>
    <row r="105" spans="1:3">
      <c r="A105" s="3">
        <v>1</v>
      </c>
      <c r="B105" s="2">
        <f>Walmart_Sales_raw_data!C105</f>
        <v>1319325.59</v>
      </c>
      <c r="C105" t="str">
        <f>IF(B105&gt;=Walmart_Sales_raw_data!$C$6437,"High","low")</f>
        <v>High</v>
      </c>
    </row>
    <row r="106" spans="1:3">
      <c r="A106" s="1">
        <v>1</v>
      </c>
      <c r="B106" s="2">
        <f>Walmart_Sales_raw_data!C106</f>
        <v>1636339.65</v>
      </c>
      <c r="C106" t="str">
        <f>IF(B106&gt;=Walmart_Sales_raw_data!$C$6437,"High","low")</f>
        <v>High</v>
      </c>
    </row>
    <row r="107" spans="1:3">
      <c r="A107" s="3">
        <v>1</v>
      </c>
      <c r="B107" s="2">
        <f>Walmart_Sales_raw_data!C107</f>
        <v>1802477.43</v>
      </c>
      <c r="C107" t="str">
        <f>IF(B107&gt;=Walmart_Sales_raw_data!$C$6437,"High","low")</f>
        <v>High</v>
      </c>
    </row>
    <row r="108" spans="1:3">
      <c r="A108" s="1">
        <v>1</v>
      </c>
      <c r="B108" s="2">
        <f>Walmart_Sales_raw_data!C108</f>
        <v>1819870</v>
      </c>
      <c r="C108" t="str">
        <f>IF(B108&gt;=Walmart_Sales_raw_data!$C$6437,"High","low")</f>
        <v>High</v>
      </c>
    </row>
    <row r="109" spans="1:3">
      <c r="A109" s="3">
        <v>1</v>
      </c>
      <c r="B109" s="2">
        <f>Walmart_Sales_raw_data!C109</f>
        <v>1539387.83</v>
      </c>
      <c r="C109" t="str">
        <f>IF(B109&gt;=Walmart_Sales_raw_data!$C$6437,"High","low")</f>
        <v>High</v>
      </c>
    </row>
    <row r="110" spans="1:3">
      <c r="A110" s="1">
        <v>1</v>
      </c>
      <c r="B110" s="2">
        <f>Walmart_Sales_raw_data!C110</f>
        <v>1688420.76</v>
      </c>
      <c r="C110" t="str">
        <f>IF(B110&gt;=Walmart_Sales_raw_data!$C$6437,"High","low")</f>
        <v>High</v>
      </c>
    </row>
    <row r="111" spans="1:3">
      <c r="A111" s="3">
        <v>1</v>
      </c>
      <c r="B111" s="2">
        <f>Walmart_Sales_raw_data!C111</f>
        <v>1675431.16</v>
      </c>
      <c r="C111" t="str">
        <f>IF(B111&gt;=Walmart_Sales_raw_data!$C$6437,"High","low")</f>
        <v>High</v>
      </c>
    </row>
    <row r="112" spans="1:3">
      <c r="A112" s="1">
        <v>1</v>
      </c>
      <c r="B112" s="2">
        <f>Walmart_Sales_raw_data!C112</f>
        <v>1677472.78</v>
      </c>
      <c r="C112" t="str">
        <f>IF(B112&gt;=Walmart_Sales_raw_data!$C$6437,"High","low")</f>
        <v>High</v>
      </c>
    </row>
    <row r="113" spans="1:3">
      <c r="A113" s="3">
        <v>1</v>
      </c>
      <c r="B113" s="2">
        <f>Walmart_Sales_raw_data!C113</f>
        <v>1511068.07</v>
      </c>
      <c r="C113" t="str">
        <f>IF(B113&gt;=Walmart_Sales_raw_data!$C$6437,"High","low")</f>
        <v>High</v>
      </c>
    </row>
    <row r="114" spans="1:3">
      <c r="A114" s="1">
        <v>1</v>
      </c>
      <c r="B114" s="2">
        <f>Walmart_Sales_raw_data!C114</f>
        <v>1649604.63</v>
      </c>
      <c r="C114" t="str">
        <f>IF(B114&gt;=Walmart_Sales_raw_data!$C$6437,"High","low")</f>
        <v>High</v>
      </c>
    </row>
    <row r="115" spans="1:3">
      <c r="A115" s="3">
        <v>1</v>
      </c>
      <c r="B115" s="2">
        <f>Walmart_Sales_raw_data!C115</f>
        <v>1899676.88</v>
      </c>
      <c r="C115" t="str">
        <f>IF(B115&gt;=Walmart_Sales_raw_data!$C$6437,"High","low")</f>
        <v>High</v>
      </c>
    </row>
    <row r="116" spans="1:3">
      <c r="A116" s="1">
        <v>1</v>
      </c>
      <c r="B116" s="2">
        <f>Walmart_Sales_raw_data!C116</f>
        <v>1621031.7</v>
      </c>
      <c r="C116" t="str">
        <f>IF(B116&gt;=Walmart_Sales_raw_data!$C$6437,"High","low")</f>
        <v>High</v>
      </c>
    </row>
    <row r="117" spans="1:3">
      <c r="A117" s="3">
        <v>1</v>
      </c>
      <c r="B117" s="2">
        <f>Walmart_Sales_raw_data!C117</f>
        <v>1521577.87</v>
      </c>
      <c r="C117" t="str">
        <f>IF(B117&gt;=Walmart_Sales_raw_data!$C$6437,"High","low")</f>
        <v>High</v>
      </c>
    </row>
    <row r="118" spans="1:3">
      <c r="A118" s="1">
        <v>1</v>
      </c>
      <c r="B118" s="2">
        <f>Walmart_Sales_raw_data!C118</f>
        <v>1468928.37</v>
      </c>
      <c r="C118" t="str">
        <f>IF(B118&gt;=Walmart_Sales_raw_data!$C$6437,"High","low")</f>
        <v>High</v>
      </c>
    </row>
    <row r="119" spans="1:3">
      <c r="A119" s="3">
        <v>1</v>
      </c>
      <c r="B119" s="2">
        <f>Walmart_Sales_raw_data!C119</f>
        <v>1684519.99</v>
      </c>
      <c r="C119" t="str">
        <f>IF(B119&gt;=Walmart_Sales_raw_data!$C$6437,"High","low")</f>
        <v>High</v>
      </c>
    </row>
    <row r="120" spans="1:3">
      <c r="A120" s="1">
        <v>1</v>
      </c>
      <c r="B120" s="2">
        <f>Walmart_Sales_raw_data!C120</f>
        <v>1611096.05</v>
      </c>
      <c r="C120" t="str">
        <f>IF(B120&gt;=Walmart_Sales_raw_data!$C$6437,"High","low")</f>
        <v>High</v>
      </c>
    </row>
    <row r="121" spans="1:3">
      <c r="A121" s="3">
        <v>1</v>
      </c>
      <c r="B121" s="2">
        <f>Walmart_Sales_raw_data!C121</f>
        <v>1595901.87</v>
      </c>
      <c r="C121" t="str">
        <f>IF(B121&gt;=Walmart_Sales_raw_data!$C$6437,"High","low")</f>
        <v>High</v>
      </c>
    </row>
    <row r="122" spans="1:3">
      <c r="A122" s="1">
        <v>1</v>
      </c>
      <c r="B122" s="2">
        <f>Walmart_Sales_raw_data!C122</f>
        <v>1555444.55</v>
      </c>
      <c r="C122" t="str">
        <f>IF(B122&gt;=Walmart_Sales_raw_data!$C$6437,"High","low")</f>
        <v>High</v>
      </c>
    </row>
    <row r="123" spans="1:3">
      <c r="A123" s="3">
        <v>1</v>
      </c>
      <c r="B123" s="2">
        <f>Walmart_Sales_raw_data!C123</f>
        <v>1624477.58</v>
      </c>
      <c r="C123" t="str">
        <f>IF(B123&gt;=Walmart_Sales_raw_data!$C$6437,"High","low")</f>
        <v>High</v>
      </c>
    </row>
    <row r="124" spans="1:3">
      <c r="A124" s="1">
        <v>1</v>
      </c>
      <c r="B124" s="2">
        <f>Walmart_Sales_raw_data!C124</f>
        <v>1697230.96</v>
      </c>
      <c r="C124" t="str">
        <f>IF(B124&gt;=Walmart_Sales_raw_data!$C$6437,"High","low")</f>
        <v>High</v>
      </c>
    </row>
    <row r="125" spans="1:3">
      <c r="A125" s="3">
        <v>1</v>
      </c>
      <c r="B125" s="2">
        <f>Walmart_Sales_raw_data!C125</f>
        <v>1630607</v>
      </c>
      <c r="C125" t="str">
        <f>IF(B125&gt;=Walmart_Sales_raw_data!$C$6437,"High","low")</f>
        <v>High</v>
      </c>
    </row>
    <row r="126" spans="1:3">
      <c r="A126" s="1">
        <v>1</v>
      </c>
      <c r="B126" s="2">
        <f>Walmart_Sales_raw_data!C126</f>
        <v>1527845.81</v>
      </c>
      <c r="C126" t="str">
        <f>IF(B126&gt;=Walmart_Sales_raw_data!$C$6437,"High","low")</f>
        <v>High</v>
      </c>
    </row>
    <row r="127" spans="1:3">
      <c r="A127" s="3">
        <v>1</v>
      </c>
      <c r="B127" s="2">
        <f>Walmart_Sales_raw_data!C127</f>
        <v>1540421.49</v>
      </c>
      <c r="C127" t="str">
        <f>IF(B127&gt;=Walmart_Sales_raw_data!$C$6437,"High","low")</f>
        <v>High</v>
      </c>
    </row>
    <row r="128" spans="1:3">
      <c r="A128" s="1">
        <v>1</v>
      </c>
      <c r="B128" s="2">
        <f>Walmart_Sales_raw_data!C128</f>
        <v>1769854.16</v>
      </c>
      <c r="C128" t="str">
        <f>IF(B128&gt;=Walmart_Sales_raw_data!$C$6437,"High","low")</f>
        <v>High</v>
      </c>
    </row>
    <row r="129" spans="1:3">
      <c r="A129" s="3">
        <v>1</v>
      </c>
      <c r="B129" s="2">
        <f>Walmart_Sales_raw_data!C129</f>
        <v>1527014.04</v>
      </c>
      <c r="C129" t="str">
        <f>IF(B129&gt;=Walmart_Sales_raw_data!$C$6437,"High","low")</f>
        <v>High</v>
      </c>
    </row>
    <row r="130" spans="1:3">
      <c r="A130" s="1">
        <v>1</v>
      </c>
      <c r="B130" s="2">
        <f>Walmart_Sales_raw_data!C130</f>
        <v>1497954.76</v>
      </c>
      <c r="C130" t="str">
        <f>IF(B130&gt;=Walmart_Sales_raw_data!$C$6437,"High","low")</f>
        <v>High</v>
      </c>
    </row>
    <row r="131" spans="1:3">
      <c r="A131" s="3">
        <v>1</v>
      </c>
      <c r="B131" s="2">
        <f>Walmart_Sales_raw_data!C131</f>
        <v>1439123.71</v>
      </c>
      <c r="C131" t="str">
        <f>IF(B131&gt;=Walmart_Sales_raw_data!$C$6437,"High","low")</f>
        <v>High</v>
      </c>
    </row>
    <row r="132" spans="1:3">
      <c r="A132" s="1">
        <v>1</v>
      </c>
      <c r="B132" s="2">
        <f>Walmart_Sales_raw_data!C132</f>
        <v>1631135.79</v>
      </c>
      <c r="C132" t="str">
        <f>IF(B132&gt;=Walmart_Sales_raw_data!$C$6437,"High","low")</f>
        <v>High</v>
      </c>
    </row>
    <row r="133" spans="1:3">
      <c r="A133" s="3">
        <v>1</v>
      </c>
      <c r="B133" s="2">
        <f>Walmart_Sales_raw_data!C133</f>
        <v>1592409.97</v>
      </c>
      <c r="C133" t="str">
        <f>IF(B133&gt;=Walmart_Sales_raw_data!$C$6437,"High","low")</f>
        <v>High</v>
      </c>
    </row>
    <row r="134" spans="1:3">
      <c r="A134" s="1">
        <v>1</v>
      </c>
      <c r="B134" s="2">
        <f>Walmart_Sales_raw_data!C134</f>
        <v>1597868.05</v>
      </c>
      <c r="C134" t="str">
        <f>IF(B134&gt;=Walmart_Sales_raw_data!$C$6437,"High","low")</f>
        <v>High</v>
      </c>
    </row>
    <row r="135" spans="1:3">
      <c r="A135" s="3">
        <v>1</v>
      </c>
      <c r="B135" s="2">
        <f>Walmart_Sales_raw_data!C135</f>
        <v>1494122.38</v>
      </c>
      <c r="C135" t="str">
        <f>IF(B135&gt;=Walmart_Sales_raw_data!$C$6437,"High","low")</f>
        <v>High</v>
      </c>
    </row>
    <row r="136" spans="1:3">
      <c r="A136" s="1">
        <v>1</v>
      </c>
      <c r="B136" s="2">
        <f>Walmart_Sales_raw_data!C136</f>
        <v>1582083.4</v>
      </c>
      <c r="C136" t="str">
        <f>IF(B136&gt;=Walmart_Sales_raw_data!$C$6437,"High","low")</f>
        <v>High</v>
      </c>
    </row>
    <row r="137" spans="1:3">
      <c r="A137" s="3">
        <v>1</v>
      </c>
      <c r="B137" s="2">
        <f>Walmart_Sales_raw_data!C137</f>
        <v>1661767.33</v>
      </c>
      <c r="C137" t="str">
        <f>IF(B137&gt;=Walmart_Sales_raw_data!$C$6437,"High","low")</f>
        <v>High</v>
      </c>
    </row>
    <row r="138" spans="1:3">
      <c r="A138" s="1">
        <v>1</v>
      </c>
      <c r="B138" s="2">
        <f>Walmart_Sales_raw_data!C138</f>
        <v>1517428.87</v>
      </c>
      <c r="C138" t="str">
        <f>IF(B138&gt;=Walmart_Sales_raw_data!$C$6437,"High","low")</f>
        <v>High</v>
      </c>
    </row>
    <row r="139" spans="1:3">
      <c r="A139" s="3">
        <v>1</v>
      </c>
      <c r="B139" s="2">
        <f>Walmart_Sales_raw_data!C139</f>
        <v>1506126.06</v>
      </c>
      <c r="C139" t="str">
        <f>IF(B139&gt;=Walmart_Sales_raw_data!$C$6437,"High","low")</f>
        <v>High</v>
      </c>
    </row>
    <row r="140" spans="1:3">
      <c r="A140" s="1">
        <v>1</v>
      </c>
      <c r="B140" s="2">
        <f>Walmart_Sales_raw_data!C140</f>
        <v>1437059.26</v>
      </c>
      <c r="C140" t="str">
        <f>IF(B140&gt;=Walmart_Sales_raw_data!$C$6437,"High","low")</f>
        <v>High</v>
      </c>
    </row>
    <row r="141" spans="1:3">
      <c r="A141" s="3">
        <v>1</v>
      </c>
      <c r="B141" s="2">
        <f>Walmart_Sales_raw_data!C141</f>
        <v>1670785.97</v>
      </c>
      <c r="C141" t="str">
        <f>IF(B141&gt;=Walmart_Sales_raw_data!$C$6437,"High","low")</f>
        <v>High</v>
      </c>
    </row>
    <row r="142" spans="1:3">
      <c r="A142" s="1">
        <v>1</v>
      </c>
      <c r="B142" s="2">
        <f>Walmart_Sales_raw_data!C142</f>
        <v>1573072.81</v>
      </c>
      <c r="C142" t="str">
        <f>IF(B142&gt;=Walmart_Sales_raw_data!$C$6437,"High","low")</f>
        <v>High</v>
      </c>
    </row>
    <row r="143" spans="1:3">
      <c r="A143" s="3">
        <v>1</v>
      </c>
      <c r="B143" s="2">
        <f>Walmart_Sales_raw_data!C143</f>
        <v>1508068.77</v>
      </c>
      <c r="C143" t="str">
        <f>IF(B143&gt;=Walmart_Sales_raw_data!$C$6437,"High","low")</f>
        <v>High</v>
      </c>
    </row>
    <row r="144" spans="1:3">
      <c r="A144" s="1">
        <v>1</v>
      </c>
      <c r="B144" s="2">
        <f>Walmart_Sales_raw_data!C144</f>
        <v>1493659.74</v>
      </c>
      <c r="C144" t="str">
        <f>IF(B144&gt;=Walmart_Sales_raw_data!$C$6437,"High","low")</f>
        <v>High</v>
      </c>
    </row>
    <row r="145" spans="1:3">
      <c r="A145" s="3">
        <v>2</v>
      </c>
      <c r="B145" s="2">
        <f>Walmart_Sales_raw_data!C145</f>
        <v>2136989.46</v>
      </c>
      <c r="C145" t="str">
        <f>IF(B145&gt;=Walmart_Sales_raw_data!$C$6437,"High","low")</f>
        <v>High</v>
      </c>
    </row>
    <row r="146" spans="1:3">
      <c r="A146" s="1">
        <v>2</v>
      </c>
      <c r="B146" s="2">
        <f>Walmart_Sales_raw_data!C146</f>
        <v>2137809.5</v>
      </c>
      <c r="C146" t="str">
        <f>IF(B146&gt;=Walmart_Sales_raw_data!$C$6437,"High","low")</f>
        <v>High</v>
      </c>
    </row>
    <row r="147" spans="1:3">
      <c r="A147" s="3">
        <v>2</v>
      </c>
      <c r="B147" s="2">
        <f>Walmart_Sales_raw_data!C147</f>
        <v>2124451.54</v>
      </c>
      <c r="C147" t="str">
        <f>IF(B147&gt;=Walmart_Sales_raw_data!$C$6437,"High","low")</f>
        <v>High</v>
      </c>
    </row>
    <row r="148" spans="1:3">
      <c r="A148" s="1">
        <v>2</v>
      </c>
      <c r="B148" s="2">
        <f>Walmart_Sales_raw_data!C148</f>
        <v>1865097.27</v>
      </c>
      <c r="C148" t="str">
        <f>IF(B148&gt;=Walmart_Sales_raw_data!$C$6437,"High","low")</f>
        <v>High</v>
      </c>
    </row>
    <row r="149" spans="1:3">
      <c r="A149" s="3">
        <v>2</v>
      </c>
      <c r="B149" s="2">
        <f>Walmart_Sales_raw_data!C149</f>
        <v>1991013.13</v>
      </c>
      <c r="C149" t="str">
        <f>IF(B149&gt;=Walmart_Sales_raw_data!$C$6437,"High","low")</f>
        <v>High</v>
      </c>
    </row>
    <row r="150" spans="1:3">
      <c r="A150" s="1">
        <v>2</v>
      </c>
      <c r="B150" s="2">
        <f>Walmart_Sales_raw_data!C150</f>
        <v>1990483.78</v>
      </c>
      <c r="C150" t="str">
        <f>IF(B150&gt;=Walmart_Sales_raw_data!$C$6437,"High","low")</f>
        <v>High</v>
      </c>
    </row>
    <row r="151" spans="1:3">
      <c r="A151" s="3">
        <v>2</v>
      </c>
      <c r="B151" s="2">
        <f>Walmart_Sales_raw_data!C151</f>
        <v>1946070.88</v>
      </c>
      <c r="C151" t="str">
        <f>IF(B151&gt;=Walmart_Sales_raw_data!$C$6437,"High","low")</f>
        <v>High</v>
      </c>
    </row>
    <row r="152" spans="1:3">
      <c r="A152" s="1">
        <v>2</v>
      </c>
      <c r="B152" s="2">
        <f>Walmart_Sales_raw_data!C152</f>
        <v>1750197.81</v>
      </c>
      <c r="C152" t="str">
        <f>IF(B152&gt;=Walmart_Sales_raw_data!$C$6437,"High","low")</f>
        <v>High</v>
      </c>
    </row>
    <row r="153" spans="1:3">
      <c r="A153" s="3">
        <v>2</v>
      </c>
      <c r="B153" s="2">
        <f>Walmart_Sales_raw_data!C153</f>
        <v>2066187.72</v>
      </c>
      <c r="C153" t="str">
        <f>IF(B153&gt;=Walmart_Sales_raw_data!$C$6437,"High","low")</f>
        <v>High</v>
      </c>
    </row>
    <row r="154" spans="1:3">
      <c r="A154" s="1">
        <v>2</v>
      </c>
      <c r="B154" s="2">
        <f>Walmart_Sales_raw_data!C154</f>
        <v>1954689.21</v>
      </c>
      <c r="C154" t="str">
        <f>IF(B154&gt;=Walmart_Sales_raw_data!$C$6437,"High","low")</f>
        <v>High</v>
      </c>
    </row>
    <row r="155" spans="1:3">
      <c r="A155" s="3">
        <v>2</v>
      </c>
      <c r="B155" s="2">
        <f>Walmart_Sales_raw_data!C155</f>
        <v>1874957.94</v>
      </c>
      <c r="C155" t="str">
        <f>IF(B155&gt;=Walmart_Sales_raw_data!$C$6437,"High","low")</f>
        <v>High</v>
      </c>
    </row>
    <row r="156" spans="1:3">
      <c r="A156" s="1">
        <v>2</v>
      </c>
      <c r="B156" s="2">
        <f>Walmart_Sales_raw_data!C156</f>
        <v>1821990.93</v>
      </c>
      <c r="C156" t="str">
        <f>IF(B156&gt;=Walmart_Sales_raw_data!$C$6437,"High","low")</f>
        <v>High</v>
      </c>
    </row>
    <row r="157" spans="1:3">
      <c r="A157" s="3">
        <v>2</v>
      </c>
      <c r="B157" s="2">
        <f>Walmart_Sales_raw_data!C157</f>
        <v>1802450.29</v>
      </c>
      <c r="C157" t="str">
        <f>IF(B157&gt;=Walmart_Sales_raw_data!$C$6437,"High","low")</f>
        <v>High</v>
      </c>
    </row>
    <row r="158" spans="1:3">
      <c r="A158" s="1">
        <v>2</v>
      </c>
      <c r="B158" s="2">
        <f>Walmart_Sales_raw_data!C158</f>
        <v>2042581.71</v>
      </c>
      <c r="C158" t="str">
        <f>IF(B158&gt;=Walmart_Sales_raw_data!$C$6437,"High","low")</f>
        <v>High</v>
      </c>
    </row>
    <row r="159" spans="1:3">
      <c r="A159" s="3">
        <v>2</v>
      </c>
      <c r="B159" s="2">
        <f>Walmart_Sales_raw_data!C159</f>
        <v>1880752.36</v>
      </c>
      <c r="C159" t="str">
        <f>IF(B159&gt;=Walmart_Sales_raw_data!$C$6437,"High","low")</f>
        <v>High</v>
      </c>
    </row>
    <row r="160" spans="1:3">
      <c r="A160" s="1">
        <v>2</v>
      </c>
      <c r="B160" s="2">
        <f>Walmart_Sales_raw_data!C160</f>
        <v>1896937.1</v>
      </c>
      <c r="C160" t="str">
        <f>IF(B160&gt;=Walmart_Sales_raw_data!$C$6437,"High","low")</f>
        <v>High</v>
      </c>
    </row>
    <row r="161" spans="1:3">
      <c r="A161" s="3">
        <v>2</v>
      </c>
      <c r="B161" s="2">
        <f>Walmart_Sales_raw_data!C161</f>
        <v>1957113.89</v>
      </c>
      <c r="C161" t="str">
        <f>IF(B161&gt;=Walmart_Sales_raw_data!$C$6437,"High","low")</f>
        <v>High</v>
      </c>
    </row>
    <row r="162" spans="1:3">
      <c r="A162" s="1">
        <v>2</v>
      </c>
      <c r="B162" s="2">
        <f>Walmart_Sales_raw_data!C162</f>
        <v>2102539.93</v>
      </c>
      <c r="C162" t="str">
        <f>IF(B162&gt;=Walmart_Sales_raw_data!$C$6437,"High","low")</f>
        <v>High</v>
      </c>
    </row>
    <row r="163" spans="1:3">
      <c r="A163" s="3">
        <v>2</v>
      </c>
      <c r="B163" s="2">
        <f>Walmart_Sales_raw_data!C163</f>
        <v>2025538.76</v>
      </c>
      <c r="C163" t="str">
        <f>IF(B163&gt;=Walmart_Sales_raw_data!$C$6437,"High","low")</f>
        <v>High</v>
      </c>
    </row>
    <row r="164" spans="1:3">
      <c r="A164" s="1">
        <v>2</v>
      </c>
      <c r="B164" s="2">
        <f>Walmart_Sales_raw_data!C164</f>
        <v>2001636.96</v>
      </c>
      <c r="C164" t="str">
        <f>IF(B164&gt;=Walmart_Sales_raw_data!$C$6437,"High","low")</f>
        <v>High</v>
      </c>
    </row>
    <row r="165" spans="1:3">
      <c r="A165" s="3">
        <v>2</v>
      </c>
      <c r="B165" s="2">
        <f>Walmart_Sales_raw_data!C165</f>
        <v>1939927.09</v>
      </c>
      <c r="C165" t="str">
        <f>IF(B165&gt;=Walmart_Sales_raw_data!$C$6437,"High","low")</f>
        <v>High</v>
      </c>
    </row>
    <row r="166" spans="1:3">
      <c r="A166" s="1">
        <v>2</v>
      </c>
      <c r="B166" s="2">
        <f>Walmart_Sales_raw_data!C166</f>
        <v>2003940.64</v>
      </c>
      <c r="C166" t="str">
        <f>IF(B166&gt;=Walmart_Sales_raw_data!$C$6437,"High","low")</f>
        <v>High</v>
      </c>
    </row>
    <row r="167" spans="1:3">
      <c r="A167" s="3">
        <v>2</v>
      </c>
      <c r="B167" s="2">
        <f>Walmart_Sales_raw_data!C167</f>
        <v>1880902.62</v>
      </c>
      <c r="C167" t="str">
        <f>IF(B167&gt;=Walmart_Sales_raw_data!$C$6437,"High","low")</f>
        <v>High</v>
      </c>
    </row>
    <row r="168" spans="1:3">
      <c r="A168" s="1">
        <v>2</v>
      </c>
      <c r="B168" s="2">
        <f>Walmart_Sales_raw_data!C168</f>
        <v>1845879.79</v>
      </c>
      <c r="C168" t="str">
        <f>IF(B168&gt;=Walmart_Sales_raw_data!$C$6437,"High","low")</f>
        <v>High</v>
      </c>
    </row>
    <row r="169" spans="1:3">
      <c r="A169" s="3">
        <v>2</v>
      </c>
      <c r="B169" s="2">
        <f>Walmart_Sales_raw_data!C169</f>
        <v>1781717.71</v>
      </c>
      <c r="C169" t="str">
        <f>IF(B169&gt;=Walmart_Sales_raw_data!$C$6437,"High","low")</f>
        <v>High</v>
      </c>
    </row>
    <row r="170" spans="1:3">
      <c r="A170" s="1">
        <v>2</v>
      </c>
      <c r="B170" s="2">
        <f>Walmart_Sales_raw_data!C170</f>
        <v>1804246.16</v>
      </c>
      <c r="C170" t="str">
        <f>IF(B170&gt;=Walmart_Sales_raw_data!$C$6437,"High","low")</f>
        <v>High</v>
      </c>
    </row>
    <row r="171" spans="1:3">
      <c r="A171" s="3">
        <v>2</v>
      </c>
      <c r="B171" s="2">
        <f>Walmart_Sales_raw_data!C171</f>
        <v>1991909.98</v>
      </c>
      <c r="C171" t="str">
        <f>IF(B171&gt;=Walmart_Sales_raw_data!$C$6437,"High","low")</f>
        <v>High</v>
      </c>
    </row>
    <row r="172" spans="1:3">
      <c r="A172" s="1">
        <v>2</v>
      </c>
      <c r="B172" s="2">
        <f>Walmart_Sales_raw_data!C172</f>
        <v>1895601.05</v>
      </c>
      <c r="C172" t="str">
        <f>IF(B172&gt;=Walmart_Sales_raw_data!$C$6437,"High","low")</f>
        <v>High</v>
      </c>
    </row>
    <row r="173" spans="1:3">
      <c r="A173" s="3">
        <v>2</v>
      </c>
      <c r="B173" s="2">
        <f>Walmart_Sales_raw_data!C173</f>
        <v>1964335.23</v>
      </c>
      <c r="C173" t="str">
        <f>IF(B173&gt;=Walmart_Sales_raw_data!$C$6437,"High","low")</f>
        <v>High</v>
      </c>
    </row>
    <row r="174" spans="1:3">
      <c r="A174" s="1">
        <v>2</v>
      </c>
      <c r="B174" s="2">
        <f>Walmart_Sales_raw_data!C174</f>
        <v>1863840.49</v>
      </c>
      <c r="C174" t="str">
        <f>IF(B174&gt;=Walmart_Sales_raw_data!$C$6437,"High","low")</f>
        <v>High</v>
      </c>
    </row>
    <row r="175" spans="1:3">
      <c r="A175" s="3">
        <v>2</v>
      </c>
      <c r="B175" s="2">
        <f>Walmart_Sales_raw_data!C175</f>
        <v>1904608.09</v>
      </c>
      <c r="C175" t="str">
        <f>IF(B175&gt;=Walmart_Sales_raw_data!$C$6437,"High","low")</f>
        <v>High</v>
      </c>
    </row>
    <row r="176" spans="1:3">
      <c r="A176" s="1">
        <v>2</v>
      </c>
      <c r="B176" s="2">
        <f>Walmart_Sales_raw_data!C176</f>
        <v>1839128.83</v>
      </c>
      <c r="C176" t="str">
        <f>IF(B176&gt;=Walmart_Sales_raw_data!$C$6437,"High","low")</f>
        <v>High</v>
      </c>
    </row>
    <row r="177" spans="1:3">
      <c r="A177" s="3">
        <v>2</v>
      </c>
      <c r="B177" s="2">
        <f>Walmart_Sales_raw_data!C177</f>
        <v>1793903.6</v>
      </c>
      <c r="C177" t="str">
        <f>IF(B177&gt;=Walmart_Sales_raw_data!$C$6437,"High","low")</f>
        <v>High</v>
      </c>
    </row>
    <row r="178" spans="1:3">
      <c r="A178" s="1">
        <v>2</v>
      </c>
      <c r="B178" s="2">
        <f>Walmart_Sales_raw_data!C178</f>
        <v>1724557.22</v>
      </c>
      <c r="C178" t="str">
        <f>IF(B178&gt;=Walmart_Sales_raw_data!$C$6437,"High","low")</f>
        <v>High</v>
      </c>
    </row>
    <row r="179" spans="1:3">
      <c r="A179" s="3">
        <v>2</v>
      </c>
      <c r="B179" s="2">
        <f>Walmart_Sales_raw_data!C179</f>
        <v>1827440.43</v>
      </c>
      <c r="C179" t="str">
        <f>IF(B179&gt;=Walmart_Sales_raw_data!$C$6437,"High","low")</f>
        <v>High</v>
      </c>
    </row>
    <row r="180" spans="1:3">
      <c r="A180" s="1">
        <v>2</v>
      </c>
      <c r="B180" s="2">
        <f>Walmart_Sales_raw_data!C180</f>
        <v>1849921.44</v>
      </c>
      <c r="C180" t="str">
        <f>IF(B180&gt;=Walmart_Sales_raw_data!$C$6437,"High","low")</f>
        <v>High</v>
      </c>
    </row>
    <row r="181" spans="1:3">
      <c r="A181" s="3">
        <v>2</v>
      </c>
      <c r="B181" s="2">
        <f>Walmart_Sales_raw_data!C181</f>
        <v>1794355.49</v>
      </c>
      <c r="C181" t="str">
        <f>IF(B181&gt;=Walmart_Sales_raw_data!$C$6437,"High","low")</f>
        <v>High</v>
      </c>
    </row>
    <row r="182" spans="1:3">
      <c r="A182" s="1">
        <v>2</v>
      </c>
      <c r="B182" s="2">
        <f>Walmart_Sales_raw_data!C182</f>
        <v>1737947.64</v>
      </c>
      <c r="C182" t="str">
        <f>IF(B182&gt;=Walmart_Sales_raw_data!$C$6437,"High","low")</f>
        <v>High</v>
      </c>
    </row>
    <row r="183" spans="1:3">
      <c r="A183" s="3">
        <v>2</v>
      </c>
      <c r="B183" s="2">
        <f>Walmart_Sales_raw_data!C183</f>
        <v>1802755.11</v>
      </c>
      <c r="C183" t="str">
        <f>IF(B183&gt;=Walmart_Sales_raw_data!$C$6437,"High","low")</f>
        <v>High</v>
      </c>
    </row>
    <row r="184" spans="1:3">
      <c r="A184" s="1">
        <v>2</v>
      </c>
      <c r="B184" s="2">
        <f>Walmart_Sales_raw_data!C184</f>
        <v>1939061.41</v>
      </c>
      <c r="C184" t="str">
        <f>IF(B184&gt;=Walmart_Sales_raw_data!$C$6437,"High","low")</f>
        <v>High</v>
      </c>
    </row>
    <row r="185" spans="1:3">
      <c r="A185" s="3">
        <v>2</v>
      </c>
      <c r="B185" s="2">
        <f>Walmart_Sales_raw_data!C185</f>
        <v>1916812.74</v>
      </c>
      <c r="C185" t="str">
        <f>IF(B185&gt;=Walmart_Sales_raw_data!$C$6437,"High","low")</f>
        <v>High</v>
      </c>
    </row>
    <row r="186" spans="1:3">
      <c r="A186" s="1">
        <v>2</v>
      </c>
      <c r="B186" s="2">
        <f>Walmart_Sales_raw_data!C186</f>
        <v>1956739.17</v>
      </c>
      <c r="C186" t="str">
        <f>IF(B186&gt;=Walmart_Sales_raw_data!$C$6437,"High","low")</f>
        <v>High</v>
      </c>
    </row>
    <row r="187" spans="1:3">
      <c r="A187" s="3">
        <v>2</v>
      </c>
      <c r="B187" s="2">
        <f>Walmart_Sales_raw_data!C187</f>
        <v>2658725.29</v>
      </c>
      <c r="C187" t="str">
        <f>IF(B187&gt;=Walmart_Sales_raw_data!$C$6437,"High","low")</f>
        <v>High</v>
      </c>
    </row>
    <row r="188" spans="1:3">
      <c r="A188" s="1">
        <v>2</v>
      </c>
      <c r="B188" s="2">
        <f>Walmart_Sales_raw_data!C188</f>
        <v>2015781.27</v>
      </c>
      <c r="C188" t="str">
        <f>IF(B188&gt;=Walmart_Sales_raw_data!$C$6437,"High","low")</f>
        <v>High</v>
      </c>
    </row>
    <row r="189" spans="1:3">
      <c r="A189" s="3">
        <v>2</v>
      </c>
      <c r="B189" s="2">
        <f>Walmart_Sales_raw_data!C189</f>
        <v>2378726.55</v>
      </c>
      <c r="C189" t="str">
        <f>IF(B189&gt;=Walmart_Sales_raw_data!$C$6437,"High","low")</f>
        <v>High</v>
      </c>
    </row>
    <row r="190" spans="1:3">
      <c r="A190" s="1">
        <v>2</v>
      </c>
      <c r="B190" s="2">
        <f>Walmart_Sales_raw_data!C190</f>
        <v>2609166.75</v>
      </c>
      <c r="C190" t="str">
        <f>IF(B190&gt;=Walmart_Sales_raw_data!$C$6437,"High","low")</f>
        <v>High</v>
      </c>
    </row>
    <row r="191" spans="1:3">
      <c r="A191" s="3">
        <v>2</v>
      </c>
      <c r="B191" s="2">
        <f>Walmart_Sales_raw_data!C191</f>
        <v>3436007.68</v>
      </c>
      <c r="C191" t="str">
        <f>IF(B191&gt;=Walmart_Sales_raw_data!$C$6437,"High","low")</f>
        <v>High</v>
      </c>
    </row>
    <row r="192" spans="1:3">
      <c r="A192" s="1">
        <v>2</v>
      </c>
      <c r="B192" s="2">
        <f>Walmart_Sales_raw_data!C192</f>
        <v>1750434.55</v>
      </c>
      <c r="C192" t="str">
        <f>IF(B192&gt;=Walmart_Sales_raw_data!$C$6437,"High","low")</f>
        <v>High</v>
      </c>
    </row>
    <row r="193" spans="1:3">
      <c r="A193" s="3">
        <v>2</v>
      </c>
      <c r="B193" s="2">
        <f>Walmart_Sales_raw_data!C193</f>
        <v>1758050.79</v>
      </c>
      <c r="C193" t="str">
        <f>IF(B193&gt;=Walmart_Sales_raw_data!$C$6437,"High","low")</f>
        <v>High</v>
      </c>
    </row>
    <row r="194" spans="1:3">
      <c r="A194" s="1">
        <v>2</v>
      </c>
      <c r="B194" s="2">
        <f>Walmart_Sales_raw_data!C194</f>
        <v>1744193.58</v>
      </c>
      <c r="C194" t="str">
        <f>IF(B194&gt;=Walmart_Sales_raw_data!$C$6437,"High","low")</f>
        <v>High</v>
      </c>
    </row>
    <row r="195" spans="1:3">
      <c r="A195" s="3">
        <v>2</v>
      </c>
      <c r="B195" s="2">
        <f>Walmart_Sales_raw_data!C195</f>
        <v>1751384.9</v>
      </c>
      <c r="C195" t="str">
        <f>IF(B195&gt;=Walmart_Sales_raw_data!$C$6437,"High","low")</f>
        <v>High</v>
      </c>
    </row>
    <row r="196" spans="1:3">
      <c r="A196" s="1">
        <v>2</v>
      </c>
      <c r="B196" s="2">
        <f>Walmart_Sales_raw_data!C196</f>
        <v>1695371.68</v>
      </c>
      <c r="C196" t="str">
        <f>IF(B196&gt;=Walmart_Sales_raw_data!$C$6437,"High","low")</f>
        <v>High</v>
      </c>
    </row>
    <row r="197" spans="1:3">
      <c r="A197" s="3">
        <v>2</v>
      </c>
      <c r="B197" s="2">
        <f>Walmart_Sales_raw_data!C197</f>
        <v>1929346.23</v>
      </c>
      <c r="C197" t="str">
        <f>IF(B197&gt;=Walmart_Sales_raw_data!$C$6437,"High","low")</f>
        <v>High</v>
      </c>
    </row>
    <row r="198" spans="1:3">
      <c r="A198" s="1">
        <v>2</v>
      </c>
      <c r="B198" s="2">
        <f>Walmart_Sales_raw_data!C198</f>
        <v>2168041.61</v>
      </c>
      <c r="C198" t="str">
        <f>IF(B198&gt;=Walmart_Sales_raw_data!$C$6437,"High","low")</f>
        <v>High</v>
      </c>
    </row>
    <row r="199" spans="1:3">
      <c r="A199" s="3">
        <v>2</v>
      </c>
      <c r="B199" s="2">
        <f>Walmart_Sales_raw_data!C199</f>
        <v>2080884.82</v>
      </c>
      <c r="C199" t="str">
        <f>IF(B199&gt;=Walmart_Sales_raw_data!$C$6437,"High","low")</f>
        <v>High</v>
      </c>
    </row>
    <row r="200" spans="1:3">
      <c r="A200" s="1">
        <v>2</v>
      </c>
      <c r="B200" s="2">
        <f>Walmart_Sales_raw_data!C200</f>
        <v>1833511.08</v>
      </c>
      <c r="C200" t="str">
        <f>IF(B200&gt;=Walmart_Sales_raw_data!$C$6437,"High","low")</f>
        <v>High</v>
      </c>
    </row>
    <row r="201" spans="1:3">
      <c r="A201" s="3">
        <v>2</v>
      </c>
      <c r="B201" s="2">
        <f>Walmart_Sales_raw_data!C201</f>
        <v>1981607.78</v>
      </c>
      <c r="C201" t="str">
        <f>IF(B201&gt;=Walmart_Sales_raw_data!$C$6437,"High","low")</f>
        <v>High</v>
      </c>
    </row>
    <row r="202" spans="1:3">
      <c r="A202" s="1">
        <v>2</v>
      </c>
      <c r="B202" s="2">
        <f>Walmart_Sales_raw_data!C202</f>
        <v>1879107.31</v>
      </c>
      <c r="C202" t="str">
        <f>IF(B202&gt;=Walmart_Sales_raw_data!$C$6437,"High","low")</f>
        <v>High</v>
      </c>
    </row>
    <row r="203" spans="1:3">
      <c r="A203" s="3">
        <v>2</v>
      </c>
      <c r="B203" s="2">
        <f>Walmart_Sales_raw_data!C203</f>
        <v>1902557.66</v>
      </c>
      <c r="C203" t="str">
        <f>IF(B203&gt;=Walmart_Sales_raw_data!$C$6437,"High","low")</f>
        <v>High</v>
      </c>
    </row>
    <row r="204" spans="1:3">
      <c r="A204" s="1">
        <v>2</v>
      </c>
      <c r="B204" s="2">
        <f>Walmart_Sales_raw_data!C204</f>
        <v>1766162.05</v>
      </c>
      <c r="C204" t="str">
        <f>IF(B204&gt;=Walmart_Sales_raw_data!$C$6437,"High","low")</f>
        <v>High</v>
      </c>
    </row>
    <row r="205" spans="1:3">
      <c r="A205" s="3">
        <v>2</v>
      </c>
      <c r="B205" s="2">
        <f>Walmart_Sales_raw_data!C205</f>
        <v>1800171.36</v>
      </c>
      <c r="C205" t="str">
        <f>IF(B205&gt;=Walmart_Sales_raw_data!$C$6437,"High","low")</f>
        <v>High</v>
      </c>
    </row>
    <row r="206" spans="1:3">
      <c r="A206" s="1">
        <v>2</v>
      </c>
      <c r="B206" s="2">
        <f>Walmart_Sales_raw_data!C206</f>
        <v>1847552.61</v>
      </c>
      <c r="C206" t="str">
        <f>IF(B206&gt;=Walmart_Sales_raw_data!$C$6437,"High","low")</f>
        <v>High</v>
      </c>
    </row>
    <row r="207" spans="1:3">
      <c r="A207" s="3">
        <v>2</v>
      </c>
      <c r="B207" s="2">
        <f>Walmart_Sales_raw_data!C207</f>
        <v>1856467.84</v>
      </c>
      <c r="C207" t="str">
        <f>IF(B207&gt;=Walmart_Sales_raw_data!$C$6437,"High","low")</f>
        <v>High</v>
      </c>
    </row>
    <row r="208" spans="1:3">
      <c r="A208" s="1">
        <v>2</v>
      </c>
      <c r="B208" s="2">
        <f>Walmart_Sales_raw_data!C208</f>
        <v>1886339.6</v>
      </c>
      <c r="C208" t="str">
        <f>IF(B208&gt;=Walmart_Sales_raw_data!$C$6437,"High","low")</f>
        <v>High</v>
      </c>
    </row>
    <row r="209" spans="1:3">
      <c r="A209" s="3">
        <v>2</v>
      </c>
      <c r="B209" s="2">
        <f>Walmart_Sales_raw_data!C209</f>
        <v>1745545.28</v>
      </c>
      <c r="C209" t="str">
        <f>IF(B209&gt;=Walmart_Sales_raw_data!$C$6437,"High","low")</f>
        <v>High</v>
      </c>
    </row>
    <row r="210" spans="1:3">
      <c r="A210" s="1">
        <v>2</v>
      </c>
      <c r="B210" s="2">
        <f>Walmart_Sales_raw_data!C210</f>
        <v>1837743.6</v>
      </c>
      <c r="C210" t="str">
        <f>IF(B210&gt;=Walmart_Sales_raw_data!$C$6437,"High","low")</f>
        <v>High</v>
      </c>
    </row>
    <row r="211" spans="1:3">
      <c r="A211" s="3">
        <v>2</v>
      </c>
      <c r="B211" s="2">
        <f>Walmart_Sales_raw_data!C211</f>
        <v>1838513.07</v>
      </c>
      <c r="C211" t="str">
        <f>IF(B211&gt;=Walmart_Sales_raw_data!$C$6437,"High","low")</f>
        <v>High</v>
      </c>
    </row>
    <row r="212" spans="1:3">
      <c r="A212" s="1">
        <v>2</v>
      </c>
      <c r="B212" s="2">
        <f>Walmart_Sales_raw_data!C212</f>
        <v>1688281.86</v>
      </c>
      <c r="C212" t="str">
        <f>IF(B212&gt;=Walmart_Sales_raw_data!$C$6437,"High","low")</f>
        <v>High</v>
      </c>
    </row>
    <row r="213" spans="1:3">
      <c r="A213" s="3">
        <v>2</v>
      </c>
      <c r="B213" s="2">
        <f>Walmart_Sales_raw_data!C213</f>
        <v>1797732.56</v>
      </c>
      <c r="C213" t="str">
        <f>IF(B213&gt;=Walmart_Sales_raw_data!$C$6437,"High","low")</f>
        <v>High</v>
      </c>
    </row>
    <row r="214" spans="1:3">
      <c r="A214" s="1">
        <v>2</v>
      </c>
      <c r="B214" s="2">
        <f>Walmart_Sales_raw_data!C214</f>
        <v>1933756.21</v>
      </c>
      <c r="C214" t="str">
        <f>IF(B214&gt;=Walmart_Sales_raw_data!$C$6437,"High","low")</f>
        <v>High</v>
      </c>
    </row>
    <row r="215" spans="1:3">
      <c r="A215" s="3">
        <v>2</v>
      </c>
      <c r="B215" s="2">
        <f>Walmart_Sales_raw_data!C215</f>
        <v>1929153.16</v>
      </c>
      <c r="C215" t="str">
        <f>IF(B215&gt;=Walmart_Sales_raw_data!$C$6437,"High","low")</f>
        <v>High</v>
      </c>
    </row>
    <row r="216" spans="1:3">
      <c r="A216" s="1">
        <v>2</v>
      </c>
      <c r="B216" s="2">
        <f>Walmart_Sales_raw_data!C216</f>
        <v>1953771.99</v>
      </c>
      <c r="C216" t="str">
        <f>IF(B216&gt;=Walmart_Sales_raw_data!$C$6437,"High","low")</f>
        <v>High</v>
      </c>
    </row>
    <row r="217" spans="1:3">
      <c r="A217" s="3">
        <v>2</v>
      </c>
      <c r="B217" s="2">
        <f>Walmart_Sales_raw_data!C217</f>
        <v>1790925.8</v>
      </c>
      <c r="C217" t="str">
        <f>IF(B217&gt;=Walmart_Sales_raw_data!$C$6437,"High","low")</f>
        <v>High</v>
      </c>
    </row>
    <row r="218" spans="1:3">
      <c r="A218" s="1">
        <v>2</v>
      </c>
      <c r="B218" s="2">
        <f>Walmart_Sales_raw_data!C218</f>
        <v>1866243</v>
      </c>
      <c r="C218" t="str">
        <f>IF(B218&gt;=Walmart_Sales_raw_data!$C$6437,"High","low")</f>
        <v>High</v>
      </c>
    </row>
    <row r="219" spans="1:3">
      <c r="A219" s="3">
        <v>2</v>
      </c>
      <c r="B219" s="2">
        <f>Walmart_Sales_raw_data!C219</f>
        <v>1853161.99</v>
      </c>
      <c r="C219" t="str">
        <f>IF(B219&gt;=Walmart_Sales_raw_data!$C$6437,"High","low")</f>
        <v>High</v>
      </c>
    </row>
    <row r="220" spans="1:3">
      <c r="A220" s="1">
        <v>2</v>
      </c>
      <c r="B220" s="2">
        <f>Walmart_Sales_raw_data!C220</f>
        <v>1785187.29</v>
      </c>
      <c r="C220" t="str">
        <f>IF(B220&gt;=Walmart_Sales_raw_data!$C$6437,"High","low")</f>
        <v>High</v>
      </c>
    </row>
    <row r="221" spans="1:3">
      <c r="A221" s="3">
        <v>2</v>
      </c>
      <c r="B221" s="2">
        <f>Walmart_Sales_raw_data!C221</f>
        <v>1743816.41</v>
      </c>
      <c r="C221" t="str">
        <f>IF(B221&gt;=Walmart_Sales_raw_data!$C$6437,"High","low")</f>
        <v>High</v>
      </c>
    </row>
    <row r="222" spans="1:3">
      <c r="A222" s="1">
        <v>2</v>
      </c>
      <c r="B222" s="2">
        <f>Walmart_Sales_raw_data!C222</f>
        <v>1680693.06</v>
      </c>
      <c r="C222" t="str">
        <f>IF(B222&gt;=Walmart_Sales_raw_data!$C$6437,"High","low")</f>
        <v>High</v>
      </c>
    </row>
    <row r="223" spans="1:3">
      <c r="A223" s="3">
        <v>2</v>
      </c>
      <c r="B223" s="2">
        <f>Walmart_Sales_raw_data!C223</f>
        <v>1876704.26</v>
      </c>
      <c r="C223" t="str">
        <f>IF(B223&gt;=Walmart_Sales_raw_data!$C$6437,"High","low")</f>
        <v>High</v>
      </c>
    </row>
    <row r="224" spans="1:3">
      <c r="A224" s="1">
        <v>2</v>
      </c>
      <c r="B224" s="2">
        <f>Walmart_Sales_raw_data!C224</f>
        <v>1812768.26</v>
      </c>
      <c r="C224" t="str">
        <f>IF(B224&gt;=Walmart_Sales_raw_data!$C$6437,"High","low")</f>
        <v>High</v>
      </c>
    </row>
    <row r="225" spans="1:3">
      <c r="A225" s="3">
        <v>2</v>
      </c>
      <c r="B225" s="2">
        <f>Walmart_Sales_raw_data!C225</f>
        <v>1844094.59</v>
      </c>
      <c r="C225" t="str">
        <f>IF(B225&gt;=Walmart_Sales_raw_data!$C$6437,"High","low")</f>
        <v>High</v>
      </c>
    </row>
    <row r="226" spans="1:3">
      <c r="A226" s="1">
        <v>2</v>
      </c>
      <c r="B226" s="2">
        <f>Walmart_Sales_raw_data!C226</f>
        <v>1821139.91</v>
      </c>
      <c r="C226" t="str">
        <f>IF(B226&gt;=Walmart_Sales_raw_data!$C$6437,"High","low")</f>
        <v>High</v>
      </c>
    </row>
    <row r="227" spans="1:3">
      <c r="A227" s="3">
        <v>2</v>
      </c>
      <c r="B227" s="2">
        <f>Walmart_Sales_raw_data!C227</f>
        <v>1809119.7</v>
      </c>
      <c r="C227" t="str">
        <f>IF(B227&gt;=Walmart_Sales_raw_data!$C$6437,"High","low")</f>
        <v>High</v>
      </c>
    </row>
    <row r="228" spans="1:3">
      <c r="A228" s="1">
        <v>2</v>
      </c>
      <c r="B228" s="2">
        <f>Walmart_Sales_raw_data!C228</f>
        <v>1748000.65</v>
      </c>
      <c r="C228" t="str">
        <f>IF(B228&gt;=Walmart_Sales_raw_data!$C$6437,"High","low")</f>
        <v>High</v>
      </c>
    </row>
    <row r="229" spans="1:3">
      <c r="A229" s="3">
        <v>2</v>
      </c>
      <c r="B229" s="2">
        <f>Walmart_Sales_raw_data!C229</f>
        <v>1691439.52</v>
      </c>
      <c r="C229" t="str">
        <f>IF(B229&gt;=Walmart_Sales_raw_data!$C$6437,"High","low")</f>
        <v>High</v>
      </c>
    </row>
    <row r="230" spans="1:3">
      <c r="A230" s="1">
        <v>2</v>
      </c>
      <c r="B230" s="2">
        <f>Walmart_Sales_raw_data!C230</f>
        <v>1669299.78</v>
      </c>
      <c r="C230" t="str">
        <f>IF(B230&gt;=Walmart_Sales_raw_data!$C$6437,"High","low")</f>
        <v>High</v>
      </c>
    </row>
    <row r="231" spans="1:3">
      <c r="A231" s="3">
        <v>2</v>
      </c>
      <c r="B231" s="2">
        <f>Walmart_Sales_raw_data!C231</f>
        <v>1650394.44</v>
      </c>
      <c r="C231" t="str">
        <f>IF(B231&gt;=Walmart_Sales_raw_data!$C$6437,"High","low")</f>
        <v>High</v>
      </c>
    </row>
    <row r="232" spans="1:3">
      <c r="A232" s="1">
        <v>2</v>
      </c>
      <c r="B232" s="2">
        <f>Walmart_Sales_raw_data!C232</f>
        <v>1837553.43</v>
      </c>
      <c r="C232" t="str">
        <f>IF(B232&gt;=Walmart_Sales_raw_data!$C$6437,"High","low")</f>
        <v>High</v>
      </c>
    </row>
    <row r="233" spans="1:3">
      <c r="A233" s="3">
        <v>2</v>
      </c>
      <c r="B233" s="2">
        <f>Walmart_Sales_raw_data!C233</f>
        <v>1743882.19</v>
      </c>
      <c r="C233" t="str">
        <f>IF(B233&gt;=Walmart_Sales_raw_data!$C$6437,"High","low")</f>
        <v>High</v>
      </c>
    </row>
    <row r="234" spans="1:3">
      <c r="A234" s="1">
        <v>2</v>
      </c>
      <c r="B234" s="2">
        <f>Walmart_Sales_raw_data!C234</f>
        <v>1834680.25</v>
      </c>
      <c r="C234" t="str">
        <f>IF(B234&gt;=Walmart_Sales_raw_data!$C$6437,"High","low")</f>
        <v>High</v>
      </c>
    </row>
    <row r="235" spans="1:3">
      <c r="A235" s="3">
        <v>2</v>
      </c>
      <c r="B235" s="2">
        <f>Walmart_Sales_raw_data!C235</f>
        <v>1769296.25</v>
      </c>
      <c r="C235" t="str">
        <f>IF(B235&gt;=Walmart_Sales_raw_data!$C$6437,"High","low")</f>
        <v>High</v>
      </c>
    </row>
    <row r="236" spans="1:3">
      <c r="A236" s="1">
        <v>2</v>
      </c>
      <c r="B236" s="2">
        <f>Walmart_Sales_raw_data!C236</f>
        <v>1959707.9</v>
      </c>
      <c r="C236" t="str">
        <f>IF(B236&gt;=Walmart_Sales_raw_data!$C$6437,"High","low")</f>
        <v>High</v>
      </c>
    </row>
    <row r="237" spans="1:3">
      <c r="A237" s="3">
        <v>2</v>
      </c>
      <c r="B237" s="2">
        <f>Walmart_Sales_raw_data!C237</f>
        <v>1920725.15</v>
      </c>
      <c r="C237" t="str">
        <f>IF(B237&gt;=Walmart_Sales_raw_data!$C$6437,"High","low")</f>
        <v>High</v>
      </c>
    </row>
    <row r="238" spans="1:3">
      <c r="A238" s="1">
        <v>2</v>
      </c>
      <c r="B238" s="2">
        <f>Walmart_Sales_raw_data!C238</f>
        <v>1902762.5</v>
      </c>
      <c r="C238" t="str">
        <f>IF(B238&gt;=Walmart_Sales_raw_data!$C$6437,"High","low")</f>
        <v>High</v>
      </c>
    </row>
    <row r="239" spans="1:3">
      <c r="A239" s="3">
        <v>2</v>
      </c>
      <c r="B239" s="2">
        <f>Walmart_Sales_raw_data!C239</f>
        <v>2614202.3</v>
      </c>
      <c r="C239" t="str">
        <f>IF(B239&gt;=Walmart_Sales_raw_data!$C$6437,"High","low")</f>
        <v>High</v>
      </c>
    </row>
    <row r="240" spans="1:3">
      <c r="A240" s="1">
        <v>2</v>
      </c>
      <c r="B240" s="2">
        <f>Walmart_Sales_raw_data!C240</f>
        <v>1954952</v>
      </c>
      <c r="C240" t="str">
        <f>IF(B240&gt;=Walmart_Sales_raw_data!$C$6437,"High","low")</f>
        <v>High</v>
      </c>
    </row>
    <row r="241" spans="1:3">
      <c r="A241" s="3">
        <v>2</v>
      </c>
      <c r="B241" s="2">
        <f>Walmart_Sales_raw_data!C241</f>
        <v>2290549.32</v>
      </c>
      <c r="C241" t="str">
        <f>IF(B241&gt;=Walmart_Sales_raw_data!$C$6437,"High","low")</f>
        <v>High</v>
      </c>
    </row>
    <row r="242" spans="1:3">
      <c r="A242" s="1">
        <v>2</v>
      </c>
      <c r="B242" s="2">
        <f>Walmart_Sales_raw_data!C242</f>
        <v>2432736.52</v>
      </c>
      <c r="C242" t="str">
        <f>IF(B242&gt;=Walmart_Sales_raw_data!$C$6437,"High","low")</f>
        <v>High</v>
      </c>
    </row>
    <row r="243" spans="1:3">
      <c r="A243" s="3">
        <v>2</v>
      </c>
      <c r="B243" s="2">
        <f>Walmart_Sales_raw_data!C243</f>
        <v>3224369.8</v>
      </c>
      <c r="C243" t="str">
        <f>IF(B243&gt;=Walmart_Sales_raw_data!$C$6437,"High","low")</f>
        <v>High</v>
      </c>
    </row>
    <row r="244" spans="1:3">
      <c r="A244" s="1">
        <v>2</v>
      </c>
      <c r="B244" s="2">
        <f>Walmart_Sales_raw_data!C244</f>
        <v>1874226.52</v>
      </c>
      <c r="C244" t="str">
        <f>IF(B244&gt;=Walmart_Sales_raw_data!$C$6437,"High","low")</f>
        <v>High</v>
      </c>
    </row>
    <row r="245" spans="1:3">
      <c r="A245" s="3">
        <v>2</v>
      </c>
      <c r="B245" s="2">
        <f>Walmart_Sales_raw_data!C245</f>
        <v>1799520.14</v>
      </c>
      <c r="C245" t="str">
        <f>IF(B245&gt;=Walmart_Sales_raw_data!$C$6437,"High","low")</f>
        <v>High</v>
      </c>
    </row>
    <row r="246" spans="1:3">
      <c r="A246" s="1">
        <v>2</v>
      </c>
      <c r="B246" s="2">
        <f>Walmart_Sales_raw_data!C246</f>
        <v>1744725.48</v>
      </c>
      <c r="C246" t="str">
        <f>IF(B246&gt;=Walmart_Sales_raw_data!$C$6437,"High","low")</f>
        <v>High</v>
      </c>
    </row>
    <row r="247" spans="1:3">
      <c r="A247" s="3">
        <v>2</v>
      </c>
      <c r="B247" s="2">
        <f>Walmart_Sales_raw_data!C247</f>
        <v>1711769.11</v>
      </c>
      <c r="C247" t="str">
        <f>IF(B247&gt;=Walmart_Sales_raw_data!$C$6437,"High","low")</f>
        <v>High</v>
      </c>
    </row>
    <row r="248" spans="1:3">
      <c r="A248" s="1">
        <v>2</v>
      </c>
      <c r="B248" s="2">
        <f>Walmart_Sales_raw_data!C248</f>
        <v>1660906.14</v>
      </c>
      <c r="C248" t="str">
        <f>IF(B248&gt;=Walmart_Sales_raw_data!$C$6437,"High","low")</f>
        <v>High</v>
      </c>
    </row>
    <row r="249" spans="1:3">
      <c r="A249" s="3">
        <v>2</v>
      </c>
      <c r="B249" s="2">
        <f>Walmart_Sales_raw_data!C249</f>
        <v>1935299.94</v>
      </c>
      <c r="C249" t="str">
        <f>IF(B249&gt;=Walmart_Sales_raw_data!$C$6437,"High","low")</f>
        <v>High</v>
      </c>
    </row>
    <row r="250" spans="1:3">
      <c r="A250" s="1">
        <v>2</v>
      </c>
      <c r="B250" s="2">
        <f>Walmart_Sales_raw_data!C250</f>
        <v>2103322.68</v>
      </c>
      <c r="C250" t="str">
        <f>IF(B250&gt;=Walmart_Sales_raw_data!$C$6437,"High","low")</f>
        <v>High</v>
      </c>
    </row>
    <row r="251" spans="1:3">
      <c r="A251" s="3">
        <v>2</v>
      </c>
      <c r="B251" s="2">
        <f>Walmart_Sales_raw_data!C251</f>
        <v>2196688.46</v>
      </c>
      <c r="C251" t="str">
        <f>IF(B251&gt;=Walmart_Sales_raw_data!$C$6437,"High","low")</f>
        <v>High</v>
      </c>
    </row>
    <row r="252" spans="1:3">
      <c r="A252" s="1">
        <v>2</v>
      </c>
      <c r="B252" s="2">
        <f>Walmart_Sales_raw_data!C252</f>
        <v>1861802.7</v>
      </c>
      <c r="C252" t="str">
        <f>IF(B252&gt;=Walmart_Sales_raw_data!$C$6437,"High","low")</f>
        <v>High</v>
      </c>
    </row>
    <row r="253" spans="1:3">
      <c r="A253" s="3">
        <v>2</v>
      </c>
      <c r="B253" s="2">
        <f>Walmart_Sales_raw_data!C253</f>
        <v>1952555.66</v>
      </c>
      <c r="C253" t="str">
        <f>IF(B253&gt;=Walmart_Sales_raw_data!$C$6437,"High","low")</f>
        <v>High</v>
      </c>
    </row>
    <row r="254" spans="1:3">
      <c r="A254" s="1">
        <v>2</v>
      </c>
      <c r="B254" s="2">
        <f>Walmart_Sales_raw_data!C254</f>
        <v>1937628.26</v>
      </c>
      <c r="C254" t="str">
        <f>IF(B254&gt;=Walmart_Sales_raw_data!$C$6437,"High","low")</f>
        <v>High</v>
      </c>
    </row>
    <row r="255" spans="1:3">
      <c r="A255" s="3">
        <v>2</v>
      </c>
      <c r="B255" s="2">
        <f>Walmart_Sales_raw_data!C255</f>
        <v>1976082.13</v>
      </c>
      <c r="C255" t="str">
        <f>IF(B255&gt;=Walmart_Sales_raw_data!$C$6437,"High","low")</f>
        <v>High</v>
      </c>
    </row>
    <row r="256" spans="1:3">
      <c r="A256" s="1">
        <v>2</v>
      </c>
      <c r="B256" s="2">
        <f>Walmart_Sales_raw_data!C256</f>
        <v>1790439.16</v>
      </c>
      <c r="C256" t="str">
        <f>IF(B256&gt;=Walmart_Sales_raw_data!$C$6437,"High","low")</f>
        <v>High</v>
      </c>
    </row>
    <row r="257" spans="1:3">
      <c r="A257" s="3">
        <v>2</v>
      </c>
      <c r="B257" s="2">
        <f>Walmart_Sales_raw_data!C257</f>
        <v>1857480.84</v>
      </c>
      <c r="C257" t="str">
        <f>IF(B257&gt;=Walmart_Sales_raw_data!$C$6437,"High","low")</f>
        <v>High</v>
      </c>
    </row>
    <row r="258" spans="1:3">
      <c r="A258" s="1">
        <v>2</v>
      </c>
      <c r="B258" s="2">
        <f>Walmart_Sales_raw_data!C258</f>
        <v>2129035.91</v>
      </c>
      <c r="C258" t="str">
        <f>IF(B258&gt;=Walmart_Sales_raw_data!$C$6437,"High","low")</f>
        <v>High</v>
      </c>
    </row>
    <row r="259" spans="1:3">
      <c r="A259" s="3">
        <v>2</v>
      </c>
      <c r="B259" s="2">
        <f>Walmart_Sales_raw_data!C259</f>
        <v>1935869.1</v>
      </c>
      <c r="C259" t="str">
        <f>IF(B259&gt;=Walmart_Sales_raw_data!$C$6437,"High","low")</f>
        <v>High</v>
      </c>
    </row>
    <row r="260" spans="1:3">
      <c r="A260" s="1">
        <v>2</v>
      </c>
      <c r="B260" s="2">
        <f>Walmart_Sales_raw_data!C260</f>
        <v>1847344.45</v>
      </c>
      <c r="C260" t="str">
        <f>IF(B260&gt;=Walmart_Sales_raw_data!$C$6437,"High","low")</f>
        <v>High</v>
      </c>
    </row>
    <row r="261" spans="1:3">
      <c r="A261" s="3">
        <v>2</v>
      </c>
      <c r="B261" s="2">
        <f>Walmart_Sales_raw_data!C261</f>
        <v>1764133.09</v>
      </c>
      <c r="C261" t="str">
        <f>IF(B261&gt;=Walmart_Sales_raw_data!$C$6437,"High","low")</f>
        <v>High</v>
      </c>
    </row>
    <row r="262" spans="1:3">
      <c r="A262" s="1">
        <v>2</v>
      </c>
      <c r="B262" s="2">
        <f>Walmart_Sales_raw_data!C262</f>
        <v>1923957.09</v>
      </c>
      <c r="C262" t="str">
        <f>IF(B262&gt;=Walmart_Sales_raw_data!$C$6437,"High","low")</f>
        <v>High</v>
      </c>
    </row>
    <row r="263" spans="1:3">
      <c r="A263" s="3">
        <v>2</v>
      </c>
      <c r="B263" s="2">
        <f>Walmart_Sales_raw_data!C263</f>
        <v>1917520.99</v>
      </c>
      <c r="C263" t="str">
        <f>IF(B263&gt;=Walmart_Sales_raw_data!$C$6437,"High","low")</f>
        <v>High</v>
      </c>
    </row>
    <row r="264" spans="1:3">
      <c r="A264" s="1">
        <v>2</v>
      </c>
      <c r="B264" s="2">
        <f>Walmart_Sales_raw_data!C264</f>
        <v>2000940.67</v>
      </c>
      <c r="C264" t="str">
        <f>IF(B264&gt;=Walmart_Sales_raw_data!$C$6437,"High","low")</f>
        <v>High</v>
      </c>
    </row>
    <row r="265" spans="1:3">
      <c r="A265" s="3">
        <v>2</v>
      </c>
      <c r="B265" s="2">
        <f>Walmart_Sales_raw_data!C265</f>
        <v>1912791.09</v>
      </c>
      <c r="C265" t="str">
        <f>IF(B265&gt;=Walmart_Sales_raw_data!$C$6437,"High","low")</f>
        <v>High</v>
      </c>
    </row>
    <row r="266" spans="1:3">
      <c r="A266" s="1">
        <v>2</v>
      </c>
      <c r="B266" s="2">
        <f>Walmart_Sales_raw_data!C266</f>
        <v>1910092.37</v>
      </c>
      <c r="C266" t="str">
        <f>IF(B266&gt;=Walmart_Sales_raw_data!$C$6437,"High","low")</f>
        <v>High</v>
      </c>
    </row>
    <row r="267" spans="1:3">
      <c r="A267" s="3">
        <v>2</v>
      </c>
      <c r="B267" s="2">
        <f>Walmart_Sales_raw_data!C267</f>
        <v>2010216.49</v>
      </c>
      <c r="C267" t="str">
        <f>IF(B267&gt;=Walmart_Sales_raw_data!$C$6437,"High","low")</f>
        <v>High</v>
      </c>
    </row>
    <row r="268" spans="1:3">
      <c r="A268" s="1">
        <v>2</v>
      </c>
      <c r="B268" s="2">
        <f>Walmart_Sales_raw_data!C268</f>
        <v>1962924.3</v>
      </c>
      <c r="C268" t="str">
        <f>IF(B268&gt;=Walmart_Sales_raw_data!$C$6437,"High","low")</f>
        <v>High</v>
      </c>
    </row>
    <row r="269" spans="1:3">
      <c r="A269" s="3">
        <v>2</v>
      </c>
      <c r="B269" s="2">
        <f>Walmart_Sales_raw_data!C269</f>
        <v>1887733.21</v>
      </c>
      <c r="C269" t="str">
        <f>IF(B269&gt;=Walmart_Sales_raw_data!$C$6437,"High","low")</f>
        <v>High</v>
      </c>
    </row>
    <row r="270" spans="1:3">
      <c r="A270" s="1">
        <v>2</v>
      </c>
      <c r="B270" s="2">
        <f>Walmart_Sales_raw_data!C270</f>
        <v>1881046.12</v>
      </c>
      <c r="C270" t="str">
        <f>IF(B270&gt;=Walmart_Sales_raw_data!$C$6437,"High","low")</f>
        <v>High</v>
      </c>
    </row>
    <row r="271" spans="1:3">
      <c r="A271" s="3">
        <v>2</v>
      </c>
      <c r="B271" s="2">
        <f>Walmart_Sales_raw_data!C271</f>
        <v>2041507.4</v>
      </c>
      <c r="C271" t="str">
        <f>IF(B271&gt;=Walmart_Sales_raw_data!$C$6437,"High","low")</f>
        <v>High</v>
      </c>
    </row>
    <row r="272" spans="1:3">
      <c r="A272" s="1">
        <v>2</v>
      </c>
      <c r="B272" s="2">
        <f>Walmart_Sales_raw_data!C272</f>
        <v>1830075.13</v>
      </c>
      <c r="C272" t="str">
        <f>IF(B272&gt;=Walmart_Sales_raw_data!$C$6437,"High","low")</f>
        <v>High</v>
      </c>
    </row>
    <row r="273" spans="1:3">
      <c r="A273" s="3">
        <v>2</v>
      </c>
      <c r="B273" s="2">
        <f>Walmart_Sales_raw_data!C273</f>
        <v>1819666.46</v>
      </c>
      <c r="C273" t="str">
        <f>IF(B273&gt;=Walmart_Sales_raw_data!$C$6437,"High","low")</f>
        <v>High</v>
      </c>
    </row>
    <row r="274" spans="1:3">
      <c r="A274" s="1">
        <v>2</v>
      </c>
      <c r="B274" s="2">
        <f>Walmart_Sales_raw_data!C274</f>
        <v>1757923.88</v>
      </c>
      <c r="C274" t="str">
        <f>IF(B274&gt;=Walmart_Sales_raw_data!$C$6437,"High","low")</f>
        <v>High</v>
      </c>
    </row>
    <row r="275" spans="1:3">
      <c r="A275" s="3">
        <v>2</v>
      </c>
      <c r="B275" s="2">
        <f>Walmart_Sales_raw_data!C275</f>
        <v>1946104.64</v>
      </c>
      <c r="C275" t="str">
        <f>IF(B275&gt;=Walmart_Sales_raw_data!$C$6437,"High","low")</f>
        <v>High</v>
      </c>
    </row>
    <row r="276" spans="1:3">
      <c r="A276" s="1">
        <v>2</v>
      </c>
      <c r="B276" s="2">
        <f>Walmart_Sales_raw_data!C276</f>
        <v>1866719.96</v>
      </c>
      <c r="C276" t="str">
        <f>IF(B276&gt;=Walmart_Sales_raw_data!$C$6437,"High","low")</f>
        <v>High</v>
      </c>
    </row>
    <row r="277" spans="1:3">
      <c r="A277" s="3">
        <v>2</v>
      </c>
      <c r="B277" s="2">
        <f>Walmart_Sales_raw_data!C277</f>
        <v>1928016.01</v>
      </c>
      <c r="C277" t="str">
        <f>IF(B277&gt;=Walmart_Sales_raw_data!$C$6437,"High","low")</f>
        <v>High</v>
      </c>
    </row>
    <row r="278" spans="1:3">
      <c r="A278" s="1">
        <v>2</v>
      </c>
      <c r="B278" s="2">
        <f>Walmart_Sales_raw_data!C278</f>
        <v>1876788.15</v>
      </c>
      <c r="C278" t="str">
        <f>IF(B278&gt;=Walmart_Sales_raw_data!$C$6437,"High","low")</f>
        <v>High</v>
      </c>
    </row>
    <row r="279" spans="1:3">
      <c r="A279" s="3">
        <v>2</v>
      </c>
      <c r="B279" s="2">
        <f>Walmart_Sales_raw_data!C279</f>
        <v>1947083.3</v>
      </c>
      <c r="C279" t="str">
        <f>IF(B279&gt;=Walmart_Sales_raw_data!$C$6437,"High","low")</f>
        <v>High</v>
      </c>
    </row>
    <row r="280" spans="1:3">
      <c r="A280" s="1">
        <v>2</v>
      </c>
      <c r="B280" s="2">
        <f>Walmart_Sales_raw_data!C280</f>
        <v>1898777.07</v>
      </c>
      <c r="C280" t="str">
        <f>IF(B280&gt;=Walmart_Sales_raw_data!$C$6437,"High","low")</f>
        <v>High</v>
      </c>
    </row>
    <row r="281" spans="1:3">
      <c r="A281" s="3">
        <v>2</v>
      </c>
      <c r="B281" s="2">
        <f>Walmart_Sales_raw_data!C281</f>
        <v>1814806.63</v>
      </c>
      <c r="C281" t="str">
        <f>IF(B281&gt;=Walmart_Sales_raw_data!$C$6437,"High","low")</f>
        <v>High</v>
      </c>
    </row>
    <row r="282" spans="1:3">
      <c r="A282" s="1">
        <v>2</v>
      </c>
      <c r="B282" s="2">
        <f>Walmart_Sales_raw_data!C282</f>
        <v>1829415.67</v>
      </c>
      <c r="C282" t="str">
        <f>IF(B282&gt;=Walmart_Sales_raw_data!$C$6437,"High","low")</f>
        <v>High</v>
      </c>
    </row>
    <row r="283" spans="1:3">
      <c r="A283" s="3">
        <v>2</v>
      </c>
      <c r="B283" s="2">
        <f>Walmart_Sales_raw_data!C283</f>
        <v>1746470.56</v>
      </c>
      <c r="C283" t="str">
        <f>IF(B283&gt;=Walmart_Sales_raw_data!$C$6437,"High","low")</f>
        <v>High</v>
      </c>
    </row>
    <row r="284" spans="1:3">
      <c r="A284" s="1">
        <v>2</v>
      </c>
      <c r="B284" s="2">
        <f>Walmart_Sales_raw_data!C284</f>
        <v>1998321.04</v>
      </c>
      <c r="C284" t="str">
        <f>IF(B284&gt;=Walmart_Sales_raw_data!$C$6437,"High","low")</f>
        <v>High</v>
      </c>
    </row>
    <row r="285" spans="1:3">
      <c r="A285" s="3">
        <v>2</v>
      </c>
      <c r="B285" s="2">
        <f>Walmart_Sales_raw_data!C285</f>
        <v>1900745.13</v>
      </c>
      <c r="C285" t="str">
        <f>IF(B285&gt;=Walmart_Sales_raw_data!$C$6437,"High","low")</f>
        <v>High</v>
      </c>
    </row>
    <row r="286" spans="1:3">
      <c r="A286" s="1">
        <v>2</v>
      </c>
      <c r="B286" s="2">
        <f>Walmart_Sales_raw_data!C286</f>
        <v>1847990.41</v>
      </c>
      <c r="C286" t="str">
        <f>IF(B286&gt;=Walmart_Sales_raw_data!$C$6437,"High","low")</f>
        <v>High</v>
      </c>
    </row>
    <row r="287" spans="1:3">
      <c r="A287" s="3">
        <v>2</v>
      </c>
      <c r="B287" s="2">
        <f>Walmart_Sales_raw_data!C287</f>
        <v>1834458.35</v>
      </c>
      <c r="C287" t="str">
        <f>IF(B287&gt;=Walmart_Sales_raw_data!$C$6437,"High","low")</f>
        <v>High</v>
      </c>
    </row>
    <row r="288" spans="1:3">
      <c r="A288" s="1">
        <v>3</v>
      </c>
      <c r="B288" s="2">
        <f>Walmart_Sales_raw_data!C288</f>
        <v>461622.22</v>
      </c>
      <c r="C288" t="str">
        <f>IF(B288&gt;=Walmart_Sales_raw_data!$C$6437,"High","low")</f>
        <v>low</v>
      </c>
    </row>
    <row r="289" spans="1:3">
      <c r="A289" s="3">
        <v>3</v>
      </c>
      <c r="B289" s="2">
        <f>Walmart_Sales_raw_data!C289</f>
        <v>420728.96</v>
      </c>
      <c r="C289" t="str">
        <f>IF(B289&gt;=Walmart_Sales_raw_data!$C$6437,"High","low")</f>
        <v>low</v>
      </c>
    </row>
    <row r="290" spans="1:3">
      <c r="A290" s="1">
        <v>3</v>
      </c>
      <c r="B290" s="2">
        <f>Walmart_Sales_raw_data!C290</f>
        <v>421642.19</v>
      </c>
      <c r="C290" t="str">
        <f>IF(B290&gt;=Walmart_Sales_raw_data!$C$6437,"High","low")</f>
        <v>low</v>
      </c>
    </row>
    <row r="291" spans="1:3">
      <c r="A291" s="3">
        <v>3</v>
      </c>
      <c r="B291" s="2">
        <f>Walmart_Sales_raw_data!C291</f>
        <v>407204.86</v>
      </c>
      <c r="C291" t="str">
        <f>IF(B291&gt;=Walmart_Sales_raw_data!$C$6437,"High","low")</f>
        <v>low</v>
      </c>
    </row>
    <row r="292" spans="1:3">
      <c r="A292" s="1">
        <v>3</v>
      </c>
      <c r="B292" s="2">
        <f>Walmart_Sales_raw_data!C292</f>
        <v>415202.04</v>
      </c>
      <c r="C292" t="str">
        <f>IF(B292&gt;=Walmart_Sales_raw_data!$C$6437,"High","low")</f>
        <v>low</v>
      </c>
    </row>
    <row r="293" spans="1:3">
      <c r="A293" s="3">
        <v>3</v>
      </c>
      <c r="B293" s="2">
        <f>Walmart_Sales_raw_data!C293</f>
        <v>384200.69</v>
      </c>
      <c r="C293" t="str">
        <f>IF(B293&gt;=Walmart_Sales_raw_data!$C$6437,"High","low")</f>
        <v>low</v>
      </c>
    </row>
    <row r="294" spans="1:3">
      <c r="A294" s="1">
        <v>3</v>
      </c>
      <c r="B294" s="2">
        <f>Walmart_Sales_raw_data!C294</f>
        <v>375328.59</v>
      </c>
      <c r="C294" t="str">
        <f>IF(B294&gt;=Walmart_Sales_raw_data!$C$6437,"High","low")</f>
        <v>low</v>
      </c>
    </row>
    <row r="295" spans="1:3">
      <c r="A295" s="3">
        <v>3</v>
      </c>
      <c r="B295" s="2">
        <f>Walmart_Sales_raw_data!C295</f>
        <v>359949.27</v>
      </c>
      <c r="C295" t="str">
        <f>IF(B295&gt;=Walmart_Sales_raw_data!$C$6437,"High","low")</f>
        <v>low</v>
      </c>
    </row>
    <row r="296" spans="1:3">
      <c r="A296" s="1">
        <v>3</v>
      </c>
      <c r="B296" s="2">
        <f>Walmart_Sales_raw_data!C296</f>
        <v>423294.4</v>
      </c>
      <c r="C296" t="str">
        <f>IF(B296&gt;=Walmart_Sales_raw_data!$C$6437,"High","low")</f>
        <v>low</v>
      </c>
    </row>
    <row r="297" spans="1:3">
      <c r="A297" s="3">
        <v>3</v>
      </c>
      <c r="B297" s="2">
        <f>Walmart_Sales_raw_data!C297</f>
        <v>415870.28</v>
      </c>
      <c r="C297" t="str">
        <f>IF(B297&gt;=Walmart_Sales_raw_data!$C$6437,"High","low")</f>
        <v>low</v>
      </c>
    </row>
    <row r="298" spans="1:3">
      <c r="A298" s="1">
        <v>3</v>
      </c>
      <c r="B298" s="2">
        <f>Walmart_Sales_raw_data!C298</f>
        <v>354993.26</v>
      </c>
      <c r="C298" t="str">
        <f>IF(B298&gt;=Walmart_Sales_raw_data!$C$6437,"High","low")</f>
        <v>low</v>
      </c>
    </row>
    <row r="299" spans="1:3">
      <c r="A299" s="3">
        <v>3</v>
      </c>
      <c r="B299" s="2">
        <f>Walmart_Sales_raw_data!C299</f>
        <v>339976.65</v>
      </c>
      <c r="C299" t="str">
        <f>IF(B299&gt;=Walmart_Sales_raw_data!$C$6437,"High","low")</f>
        <v>low</v>
      </c>
    </row>
    <row r="300" spans="1:3">
      <c r="A300" s="1">
        <v>3</v>
      </c>
      <c r="B300" s="2">
        <f>Walmart_Sales_raw_data!C300</f>
        <v>361248.39</v>
      </c>
      <c r="C300" t="str">
        <f>IF(B300&gt;=Walmart_Sales_raw_data!$C$6437,"High","low")</f>
        <v>low</v>
      </c>
    </row>
    <row r="301" spans="1:3">
      <c r="A301" s="3">
        <v>3</v>
      </c>
      <c r="B301" s="2">
        <f>Walmart_Sales_raw_data!C301</f>
        <v>399323.86</v>
      </c>
      <c r="C301" t="str">
        <f>IF(B301&gt;=Walmart_Sales_raw_data!$C$6437,"High","low")</f>
        <v>low</v>
      </c>
    </row>
    <row r="302" spans="1:3">
      <c r="A302" s="1">
        <v>3</v>
      </c>
      <c r="B302" s="2">
        <f>Walmart_Sales_raw_data!C302</f>
        <v>384357.94</v>
      </c>
      <c r="C302" t="str">
        <f>IF(B302&gt;=Walmart_Sales_raw_data!$C$6437,"High","low")</f>
        <v>low</v>
      </c>
    </row>
    <row r="303" spans="1:3">
      <c r="A303" s="3">
        <v>3</v>
      </c>
      <c r="B303" s="2">
        <f>Walmart_Sales_raw_data!C303</f>
        <v>343763.17</v>
      </c>
      <c r="C303" t="str">
        <f>IF(B303&gt;=Walmart_Sales_raw_data!$C$6437,"High","low")</f>
        <v>low</v>
      </c>
    </row>
    <row r="304" spans="1:3">
      <c r="A304" s="1">
        <v>3</v>
      </c>
      <c r="B304" s="2">
        <f>Walmart_Sales_raw_data!C304</f>
        <v>350089.23</v>
      </c>
      <c r="C304" t="str">
        <f>IF(B304&gt;=Walmart_Sales_raw_data!$C$6437,"High","low")</f>
        <v>low</v>
      </c>
    </row>
    <row r="305" spans="1:3">
      <c r="A305" s="3">
        <v>3</v>
      </c>
      <c r="B305" s="2">
        <f>Walmart_Sales_raw_data!C305</f>
        <v>396968.8</v>
      </c>
      <c r="C305" t="str">
        <f>IF(B305&gt;=Walmart_Sales_raw_data!$C$6437,"High","low")</f>
        <v>low</v>
      </c>
    </row>
    <row r="306" spans="1:3">
      <c r="A306" s="1">
        <v>3</v>
      </c>
      <c r="B306" s="2">
        <f>Walmart_Sales_raw_data!C306</f>
        <v>355017.09</v>
      </c>
      <c r="C306" t="str">
        <f>IF(B306&gt;=Walmart_Sales_raw_data!$C$6437,"High","low")</f>
        <v>low</v>
      </c>
    </row>
    <row r="307" spans="1:3">
      <c r="A307" s="3">
        <v>3</v>
      </c>
      <c r="B307" s="2">
        <f>Walmart_Sales_raw_data!C307</f>
        <v>364076.85</v>
      </c>
      <c r="C307" t="str">
        <f>IF(B307&gt;=Walmart_Sales_raw_data!$C$6437,"High","low")</f>
        <v>low</v>
      </c>
    </row>
    <row r="308" spans="1:3">
      <c r="A308" s="1">
        <v>3</v>
      </c>
      <c r="B308" s="2">
        <f>Walmart_Sales_raw_data!C308</f>
        <v>357346.48</v>
      </c>
      <c r="C308" t="str">
        <f>IF(B308&gt;=Walmart_Sales_raw_data!$C$6437,"High","low")</f>
        <v>low</v>
      </c>
    </row>
    <row r="309" spans="1:3">
      <c r="A309" s="3">
        <v>3</v>
      </c>
      <c r="B309" s="2">
        <f>Walmart_Sales_raw_data!C309</f>
        <v>381151.72</v>
      </c>
      <c r="C309" t="str">
        <f>IF(B309&gt;=Walmart_Sales_raw_data!$C$6437,"High","low")</f>
        <v>low</v>
      </c>
    </row>
    <row r="310" spans="1:3">
      <c r="A310" s="1">
        <v>3</v>
      </c>
      <c r="B310" s="2">
        <f>Walmart_Sales_raw_data!C310</f>
        <v>349214.18</v>
      </c>
      <c r="C310" t="str">
        <f>IF(B310&gt;=Walmart_Sales_raw_data!$C$6437,"High","low")</f>
        <v>low</v>
      </c>
    </row>
    <row r="311" spans="1:3">
      <c r="A311" s="3">
        <v>3</v>
      </c>
      <c r="B311" s="2">
        <f>Walmart_Sales_raw_data!C311</f>
        <v>352728.78</v>
      </c>
      <c r="C311" t="str">
        <f>IF(B311&gt;=Walmart_Sales_raw_data!$C$6437,"High","low")</f>
        <v>low</v>
      </c>
    </row>
    <row r="312" spans="1:3">
      <c r="A312" s="1">
        <v>3</v>
      </c>
      <c r="B312" s="2">
        <f>Walmart_Sales_raw_data!C312</f>
        <v>352864.49</v>
      </c>
      <c r="C312" t="str">
        <f>IF(B312&gt;=Walmart_Sales_raw_data!$C$6437,"High","low")</f>
        <v>low</v>
      </c>
    </row>
    <row r="313" spans="1:3">
      <c r="A313" s="3">
        <v>3</v>
      </c>
      <c r="B313" s="2">
        <f>Walmart_Sales_raw_data!C313</f>
        <v>347955.05</v>
      </c>
      <c r="C313" t="str">
        <f>IF(B313&gt;=Walmart_Sales_raw_data!$C$6437,"High","low")</f>
        <v>low</v>
      </c>
    </row>
    <row r="314" spans="1:3">
      <c r="A314" s="1">
        <v>3</v>
      </c>
      <c r="B314" s="2">
        <f>Walmart_Sales_raw_data!C314</f>
        <v>402635.76</v>
      </c>
      <c r="C314" t="str">
        <f>IF(B314&gt;=Walmart_Sales_raw_data!$C$6437,"High","low")</f>
        <v>low</v>
      </c>
    </row>
    <row r="315" spans="1:3">
      <c r="A315" s="3">
        <v>3</v>
      </c>
      <c r="B315" s="2">
        <f>Walmart_Sales_raw_data!C315</f>
        <v>339597.38</v>
      </c>
      <c r="C315" t="str">
        <f>IF(B315&gt;=Walmart_Sales_raw_data!$C$6437,"High","low")</f>
        <v>low</v>
      </c>
    </row>
    <row r="316" spans="1:3">
      <c r="A316" s="1">
        <v>3</v>
      </c>
      <c r="B316" s="2">
        <f>Walmart_Sales_raw_data!C316</f>
        <v>351728.21</v>
      </c>
      <c r="C316" t="str">
        <f>IF(B316&gt;=Walmart_Sales_raw_data!$C$6437,"High","low")</f>
        <v>low</v>
      </c>
    </row>
    <row r="317" spans="1:3">
      <c r="A317" s="3">
        <v>3</v>
      </c>
      <c r="B317" s="2">
        <f>Walmart_Sales_raw_data!C317</f>
        <v>362134.09</v>
      </c>
      <c r="C317" t="str">
        <f>IF(B317&gt;=Walmart_Sales_raw_data!$C$6437,"High","low")</f>
        <v>low</v>
      </c>
    </row>
    <row r="318" spans="1:3">
      <c r="A318" s="1">
        <v>3</v>
      </c>
      <c r="B318" s="2">
        <f>Walmart_Sales_raw_data!C318</f>
        <v>366473.97</v>
      </c>
      <c r="C318" t="str">
        <f>IF(B318&gt;=Walmart_Sales_raw_data!$C$6437,"High","low")</f>
        <v>low</v>
      </c>
    </row>
    <row r="319" spans="1:3">
      <c r="A319" s="3">
        <v>3</v>
      </c>
      <c r="B319" s="2">
        <f>Walmart_Sales_raw_data!C319</f>
        <v>352260.97</v>
      </c>
      <c r="C319" t="str">
        <f>IF(B319&gt;=Walmart_Sales_raw_data!$C$6437,"High","low")</f>
        <v>low</v>
      </c>
    </row>
    <row r="320" spans="1:3">
      <c r="A320" s="1">
        <v>3</v>
      </c>
      <c r="B320" s="2">
        <f>Walmart_Sales_raw_data!C320</f>
        <v>363064.64</v>
      </c>
      <c r="C320" t="str">
        <f>IF(B320&gt;=Walmart_Sales_raw_data!$C$6437,"High","low")</f>
        <v>low</v>
      </c>
    </row>
    <row r="321" spans="1:3">
      <c r="A321" s="3">
        <v>3</v>
      </c>
      <c r="B321" s="2">
        <f>Walmart_Sales_raw_data!C321</f>
        <v>355626.87</v>
      </c>
      <c r="C321" t="str">
        <f>IF(B321&gt;=Walmart_Sales_raw_data!$C$6437,"High","low")</f>
        <v>low</v>
      </c>
    </row>
    <row r="322" spans="1:3">
      <c r="A322" s="1">
        <v>3</v>
      </c>
      <c r="B322" s="2">
        <f>Walmart_Sales_raw_data!C322</f>
        <v>358784.1</v>
      </c>
      <c r="C322" t="str">
        <f>IF(B322&gt;=Walmart_Sales_raw_data!$C$6437,"High","low")</f>
        <v>low</v>
      </c>
    </row>
    <row r="323" spans="1:3">
      <c r="A323" s="3">
        <v>3</v>
      </c>
      <c r="B323" s="2">
        <f>Walmart_Sales_raw_data!C323</f>
        <v>395107.35</v>
      </c>
      <c r="C323" t="str">
        <f>IF(B323&gt;=Walmart_Sales_raw_data!$C$6437,"High","low")</f>
        <v>low</v>
      </c>
    </row>
    <row r="324" spans="1:3">
      <c r="A324" s="1">
        <v>3</v>
      </c>
      <c r="B324" s="2">
        <f>Walmart_Sales_raw_data!C324</f>
        <v>345584.39</v>
      </c>
      <c r="C324" t="str">
        <f>IF(B324&gt;=Walmart_Sales_raw_data!$C$6437,"High","low")</f>
        <v>low</v>
      </c>
    </row>
    <row r="325" spans="1:3">
      <c r="A325" s="3">
        <v>3</v>
      </c>
      <c r="B325" s="2">
        <f>Walmart_Sales_raw_data!C325</f>
        <v>348895.98</v>
      </c>
      <c r="C325" t="str">
        <f>IF(B325&gt;=Walmart_Sales_raw_data!$C$6437,"High","low")</f>
        <v>low</v>
      </c>
    </row>
    <row r="326" spans="1:3">
      <c r="A326" s="1">
        <v>3</v>
      </c>
      <c r="B326" s="2">
        <f>Walmart_Sales_raw_data!C326</f>
        <v>348591.74</v>
      </c>
      <c r="C326" t="str">
        <f>IF(B326&gt;=Walmart_Sales_raw_data!$C$6437,"High","low")</f>
        <v>low</v>
      </c>
    </row>
    <row r="327" spans="1:3">
      <c r="A327" s="3">
        <v>3</v>
      </c>
      <c r="B327" s="2">
        <f>Walmart_Sales_raw_data!C327</f>
        <v>423175.56</v>
      </c>
      <c r="C327" t="str">
        <f>IF(B327&gt;=Walmart_Sales_raw_data!$C$6437,"High","low")</f>
        <v>low</v>
      </c>
    </row>
    <row r="328" spans="1:3">
      <c r="A328" s="1">
        <v>3</v>
      </c>
      <c r="B328" s="2">
        <f>Walmart_Sales_raw_data!C328</f>
        <v>386635.03</v>
      </c>
      <c r="C328" t="str">
        <f>IF(B328&gt;=Walmart_Sales_raw_data!$C$6437,"High","low")</f>
        <v>low</v>
      </c>
    </row>
    <row r="329" spans="1:3">
      <c r="A329" s="3">
        <v>3</v>
      </c>
      <c r="B329" s="2">
        <f>Walmart_Sales_raw_data!C329</f>
        <v>372545.32</v>
      </c>
      <c r="C329" t="str">
        <f>IF(B329&gt;=Walmart_Sales_raw_data!$C$6437,"High","low")</f>
        <v>low</v>
      </c>
    </row>
    <row r="330" spans="1:3">
      <c r="A330" s="1">
        <v>3</v>
      </c>
      <c r="B330" s="2">
        <f>Walmart_Sales_raw_data!C330</f>
        <v>565567.84</v>
      </c>
      <c r="C330" t="str">
        <f>IF(B330&gt;=Walmart_Sales_raw_data!$C$6437,"High","low")</f>
        <v>low</v>
      </c>
    </row>
    <row r="331" spans="1:3">
      <c r="A331" s="3">
        <v>3</v>
      </c>
      <c r="B331" s="2">
        <f>Walmart_Sales_raw_data!C331</f>
        <v>476420.77</v>
      </c>
      <c r="C331" t="str">
        <f>IF(B331&gt;=Walmart_Sales_raw_data!$C$6437,"High","low")</f>
        <v>low</v>
      </c>
    </row>
    <row r="332" spans="1:3">
      <c r="A332" s="1">
        <v>3</v>
      </c>
      <c r="B332" s="2">
        <f>Walmart_Sales_raw_data!C332</f>
        <v>467642.03</v>
      </c>
      <c r="C332" t="str">
        <f>IF(B332&gt;=Walmart_Sales_raw_data!$C$6437,"High","low")</f>
        <v>low</v>
      </c>
    </row>
    <row r="333" spans="1:3">
      <c r="A333" s="3">
        <v>3</v>
      </c>
      <c r="B333" s="2">
        <f>Walmart_Sales_raw_data!C333</f>
        <v>498159.39</v>
      </c>
      <c r="C333" t="str">
        <f>IF(B333&gt;=Walmart_Sales_raw_data!$C$6437,"High","low")</f>
        <v>low</v>
      </c>
    </row>
    <row r="334" spans="1:3">
      <c r="A334" s="1">
        <v>3</v>
      </c>
      <c r="B334" s="2">
        <f>Walmart_Sales_raw_data!C334</f>
        <v>605990.41</v>
      </c>
      <c r="C334" t="str">
        <f>IF(B334&gt;=Walmart_Sales_raw_data!$C$6437,"High","low")</f>
        <v>low</v>
      </c>
    </row>
    <row r="335" spans="1:3">
      <c r="A335" s="3">
        <v>3</v>
      </c>
      <c r="B335" s="2">
        <f>Walmart_Sales_raw_data!C335</f>
        <v>382677.76</v>
      </c>
      <c r="C335" t="str">
        <f>IF(B335&gt;=Walmart_Sales_raw_data!$C$6437,"High","low")</f>
        <v>low</v>
      </c>
    </row>
    <row r="336" spans="1:3">
      <c r="A336" s="1">
        <v>3</v>
      </c>
      <c r="B336" s="2">
        <f>Walmart_Sales_raw_data!C336</f>
        <v>378241.34</v>
      </c>
      <c r="C336" t="str">
        <f>IF(B336&gt;=Walmart_Sales_raw_data!$C$6437,"High","low")</f>
        <v>low</v>
      </c>
    </row>
    <row r="337" spans="1:3">
      <c r="A337" s="3">
        <v>3</v>
      </c>
      <c r="B337" s="2">
        <f>Walmart_Sales_raw_data!C337</f>
        <v>381061.1</v>
      </c>
      <c r="C337" t="str">
        <f>IF(B337&gt;=Walmart_Sales_raw_data!$C$6437,"High","low")</f>
        <v>low</v>
      </c>
    </row>
    <row r="338" spans="1:3">
      <c r="A338" s="1">
        <v>3</v>
      </c>
      <c r="B338" s="2">
        <f>Walmart_Sales_raw_data!C338</f>
        <v>350876.7</v>
      </c>
      <c r="C338" t="str">
        <f>IF(B338&gt;=Walmart_Sales_raw_data!$C$6437,"High","low")</f>
        <v>low</v>
      </c>
    </row>
    <row r="339" spans="1:3">
      <c r="A339" s="3">
        <v>3</v>
      </c>
      <c r="B339" s="2">
        <f>Walmart_Sales_raw_data!C339</f>
        <v>364866.24</v>
      </c>
      <c r="C339" t="str">
        <f>IF(B339&gt;=Walmart_Sales_raw_data!$C$6437,"High","low")</f>
        <v>low</v>
      </c>
    </row>
    <row r="340" spans="1:3">
      <c r="A340" s="1">
        <v>3</v>
      </c>
      <c r="B340" s="2">
        <f>Walmart_Sales_raw_data!C340</f>
        <v>438516.53</v>
      </c>
      <c r="C340" t="str">
        <f>IF(B340&gt;=Walmart_Sales_raw_data!$C$6437,"High","low")</f>
        <v>low</v>
      </c>
    </row>
    <row r="341" spans="1:3">
      <c r="A341" s="3">
        <v>3</v>
      </c>
      <c r="B341" s="2">
        <f>Walmart_Sales_raw_data!C341</f>
        <v>430526.21</v>
      </c>
      <c r="C341" t="str">
        <f>IF(B341&gt;=Walmart_Sales_raw_data!$C$6437,"High","low")</f>
        <v>low</v>
      </c>
    </row>
    <row r="342" spans="1:3">
      <c r="A342" s="1">
        <v>3</v>
      </c>
      <c r="B342" s="2">
        <f>Walmart_Sales_raw_data!C342</f>
        <v>432782.1</v>
      </c>
      <c r="C342" t="str">
        <f>IF(B342&gt;=Walmart_Sales_raw_data!$C$6437,"High","low")</f>
        <v>low</v>
      </c>
    </row>
    <row r="343" spans="1:3">
      <c r="A343" s="3">
        <v>3</v>
      </c>
      <c r="B343" s="2">
        <f>Walmart_Sales_raw_data!C343</f>
        <v>397211.19</v>
      </c>
      <c r="C343" t="str">
        <f>IF(B343&gt;=Walmart_Sales_raw_data!$C$6437,"High","low")</f>
        <v>low</v>
      </c>
    </row>
    <row r="344" spans="1:3">
      <c r="A344" s="1">
        <v>3</v>
      </c>
      <c r="B344" s="2">
        <f>Walmart_Sales_raw_data!C344</f>
        <v>437084.51</v>
      </c>
      <c r="C344" t="str">
        <f>IF(B344&gt;=Walmart_Sales_raw_data!$C$6437,"High","low")</f>
        <v>low</v>
      </c>
    </row>
    <row r="345" spans="1:3">
      <c r="A345" s="3">
        <v>3</v>
      </c>
      <c r="B345" s="2">
        <f>Walmart_Sales_raw_data!C345</f>
        <v>404753.3</v>
      </c>
      <c r="C345" t="str">
        <f>IF(B345&gt;=Walmart_Sales_raw_data!$C$6437,"High","low")</f>
        <v>low</v>
      </c>
    </row>
    <row r="346" spans="1:3">
      <c r="A346" s="1">
        <v>3</v>
      </c>
      <c r="B346" s="2">
        <f>Walmart_Sales_raw_data!C346</f>
        <v>392109.51</v>
      </c>
      <c r="C346" t="str">
        <f>IF(B346&gt;=Walmart_Sales_raw_data!$C$6437,"High","low")</f>
        <v>low</v>
      </c>
    </row>
    <row r="347" spans="1:3">
      <c r="A347" s="3">
        <v>3</v>
      </c>
      <c r="B347" s="2">
        <f>Walmart_Sales_raw_data!C347</f>
        <v>380683.67</v>
      </c>
      <c r="C347" t="str">
        <f>IF(B347&gt;=Walmart_Sales_raw_data!$C$6437,"High","low")</f>
        <v>low</v>
      </c>
    </row>
    <row r="348" spans="1:3">
      <c r="A348" s="1">
        <v>3</v>
      </c>
      <c r="B348" s="2">
        <f>Walmart_Sales_raw_data!C348</f>
        <v>374556.08</v>
      </c>
      <c r="C348" t="str">
        <f>IF(B348&gt;=Walmart_Sales_raw_data!$C$6437,"High","low")</f>
        <v>low</v>
      </c>
    </row>
    <row r="349" spans="1:3">
      <c r="A349" s="3">
        <v>3</v>
      </c>
      <c r="B349" s="2">
        <f>Walmart_Sales_raw_data!C349</f>
        <v>384075.31</v>
      </c>
      <c r="C349" t="str">
        <f>IF(B349&gt;=Walmart_Sales_raw_data!$C$6437,"High","low")</f>
        <v>low</v>
      </c>
    </row>
    <row r="350" spans="1:3">
      <c r="A350" s="1">
        <v>3</v>
      </c>
      <c r="B350" s="2">
        <f>Walmart_Sales_raw_data!C350</f>
        <v>366250.69</v>
      </c>
      <c r="C350" t="str">
        <f>IF(B350&gt;=Walmart_Sales_raw_data!$C$6437,"High","low")</f>
        <v>low</v>
      </c>
    </row>
    <row r="351" spans="1:3">
      <c r="A351" s="3">
        <v>3</v>
      </c>
      <c r="B351" s="2">
        <f>Walmart_Sales_raw_data!C351</f>
        <v>391860.04</v>
      </c>
      <c r="C351" t="str">
        <f>IF(B351&gt;=Walmart_Sales_raw_data!$C$6437,"High","low")</f>
        <v>low</v>
      </c>
    </row>
    <row r="352" spans="1:3">
      <c r="A352" s="1">
        <v>3</v>
      </c>
      <c r="B352" s="2">
        <f>Walmart_Sales_raw_data!C352</f>
        <v>367405.4</v>
      </c>
      <c r="C352" t="str">
        <f>IF(B352&gt;=Walmart_Sales_raw_data!$C$6437,"High","low")</f>
        <v>low</v>
      </c>
    </row>
    <row r="353" spans="1:3">
      <c r="A353" s="3">
        <v>3</v>
      </c>
      <c r="B353" s="2">
        <f>Walmart_Sales_raw_data!C353</f>
        <v>413042.12</v>
      </c>
      <c r="C353" t="str">
        <f>IF(B353&gt;=Walmart_Sales_raw_data!$C$6437,"High","low")</f>
        <v>low</v>
      </c>
    </row>
    <row r="354" spans="1:3">
      <c r="A354" s="1">
        <v>3</v>
      </c>
      <c r="B354" s="2">
        <f>Walmart_Sales_raw_data!C354</f>
        <v>386312.68</v>
      </c>
      <c r="C354" t="str">
        <f>IF(B354&gt;=Walmart_Sales_raw_data!$C$6437,"High","low")</f>
        <v>low</v>
      </c>
    </row>
    <row r="355" spans="1:3">
      <c r="A355" s="3">
        <v>3</v>
      </c>
      <c r="B355" s="2">
        <f>Walmart_Sales_raw_data!C355</f>
        <v>364603.13</v>
      </c>
      <c r="C355" t="str">
        <f>IF(B355&gt;=Walmart_Sales_raw_data!$C$6437,"High","low")</f>
        <v>low</v>
      </c>
    </row>
    <row r="356" spans="1:3">
      <c r="A356" s="1">
        <v>3</v>
      </c>
      <c r="B356" s="2">
        <f>Walmart_Sales_raw_data!C356</f>
        <v>369350.6</v>
      </c>
      <c r="C356" t="str">
        <f>IF(B356&gt;=Walmart_Sales_raw_data!$C$6437,"High","low")</f>
        <v>low</v>
      </c>
    </row>
    <row r="357" spans="1:3">
      <c r="A357" s="3">
        <v>3</v>
      </c>
      <c r="B357" s="2">
        <f>Walmart_Sales_raw_data!C357</f>
        <v>394507.84</v>
      </c>
      <c r="C357" t="str">
        <f>IF(B357&gt;=Walmart_Sales_raw_data!$C$6437,"High","low")</f>
        <v>low</v>
      </c>
    </row>
    <row r="358" spans="1:3">
      <c r="A358" s="1">
        <v>3</v>
      </c>
      <c r="B358" s="2">
        <f>Walmart_Sales_raw_data!C358</f>
        <v>391638.75</v>
      </c>
      <c r="C358" t="str">
        <f>IF(B358&gt;=Walmart_Sales_raw_data!$C$6437,"High","low")</f>
        <v>low</v>
      </c>
    </row>
    <row r="359" spans="1:3">
      <c r="A359" s="3">
        <v>3</v>
      </c>
      <c r="B359" s="2">
        <f>Walmart_Sales_raw_data!C359</f>
        <v>403423.34</v>
      </c>
      <c r="C359" t="str">
        <f>IF(B359&gt;=Walmart_Sales_raw_data!$C$6437,"High","low")</f>
        <v>low</v>
      </c>
    </row>
    <row r="360" spans="1:3">
      <c r="A360" s="1">
        <v>3</v>
      </c>
      <c r="B360" s="2">
        <f>Walmart_Sales_raw_data!C360</f>
        <v>385520.71</v>
      </c>
      <c r="C360" t="str">
        <f>IF(B360&gt;=Walmart_Sales_raw_data!$C$6437,"High","low")</f>
        <v>low</v>
      </c>
    </row>
    <row r="361" spans="1:3">
      <c r="A361" s="3">
        <v>3</v>
      </c>
      <c r="B361" s="2">
        <f>Walmart_Sales_raw_data!C361</f>
        <v>368962.72</v>
      </c>
      <c r="C361" t="str">
        <f>IF(B361&gt;=Walmart_Sales_raw_data!$C$6437,"High","low")</f>
        <v>low</v>
      </c>
    </row>
    <row r="362" spans="1:3">
      <c r="A362" s="1">
        <v>3</v>
      </c>
      <c r="B362" s="2">
        <f>Walmart_Sales_raw_data!C362</f>
        <v>395146.24</v>
      </c>
      <c r="C362" t="str">
        <f>IF(B362&gt;=Walmart_Sales_raw_data!$C$6437,"High","low")</f>
        <v>low</v>
      </c>
    </row>
    <row r="363" spans="1:3">
      <c r="A363" s="3">
        <v>3</v>
      </c>
      <c r="B363" s="2">
        <f>Walmart_Sales_raw_data!C363</f>
        <v>373454.33</v>
      </c>
      <c r="C363" t="str">
        <f>IF(B363&gt;=Walmart_Sales_raw_data!$C$6437,"High","low")</f>
        <v>low</v>
      </c>
    </row>
    <row r="364" spans="1:3">
      <c r="A364" s="1">
        <v>3</v>
      </c>
      <c r="B364" s="2">
        <f>Walmart_Sales_raw_data!C364</f>
        <v>360617.37</v>
      </c>
      <c r="C364" t="str">
        <f>IF(B364&gt;=Walmart_Sales_raw_data!$C$6437,"High","low")</f>
        <v>low</v>
      </c>
    </row>
    <row r="365" spans="1:3">
      <c r="A365" s="3">
        <v>3</v>
      </c>
      <c r="B365" s="2">
        <f>Walmart_Sales_raw_data!C365</f>
        <v>345381.29</v>
      </c>
      <c r="C365" t="str">
        <f>IF(B365&gt;=Walmart_Sales_raw_data!$C$6437,"High","low")</f>
        <v>low</v>
      </c>
    </row>
    <row r="366" spans="1:3">
      <c r="A366" s="1">
        <v>3</v>
      </c>
      <c r="B366" s="2">
        <f>Walmart_Sales_raw_data!C366</f>
        <v>409981.25</v>
      </c>
      <c r="C366" t="str">
        <f>IF(B366&gt;=Walmart_Sales_raw_data!$C$6437,"High","low")</f>
        <v>low</v>
      </c>
    </row>
    <row r="367" spans="1:3">
      <c r="A367" s="3">
        <v>3</v>
      </c>
      <c r="B367" s="2">
        <f>Walmart_Sales_raw_data!C367</f>
        <v>380376.85</v>
      </c>
      <c r="C367" t="str">
        <f>IF(B367&gt;=Walmart_Sales_raw_data!$C$6437,"High","low")</f>
        <v>low</v>
      </c>
    </row>
    <row r="368" spans="1:3">
      <c r="A368" s="1">
        <v>3</v>
      </c>
      <c r="B368" s="2">
        <f>Walmart_Sales_raw_data!C368</f>
        <v>379716.91</v>
      </c>
      <c r="C368" t="str">
        <f>IF(B368&gt;=Walmart_Sales_raw_data!$C$6437,"High","low")</f>
        <v>low</v>
      </c>
    </row>
    <row r="369" spans="1:3">
      <c r="A369" s="3">
        <v>3</v>
      </c>
      <c r="B369" s="2">
        <f>Walmart_Sales_raw_data!C369</f>
        <v>366367.55</v>
      </c>
      <c r="C369" t="str">
        <f>IF(B369&gt;=Walmart_Sales_raw_data!$C$6437,"High","low")</f>
        <v>low</v>
      </c>
    </row>
    <row r="370" spans="1:3">
      <c r="A370" s="1">
        <v>3</v>
      </c>
      <c r="B370" s="2">
        <f>Walmart_Sales_raw_data!C370</f>
        <v>375988.69</v>
      </c>
      <c r="C370" t="str">
        <f>IF(B370&gt;=Walmart_Sales_raw_data!$C$6437,"High","low")</f>
        <v>low</v>
      </c>
    </row>
    <row r="371" spans="1:3">
      <c r="A371" s="3">
        <v>3</v>
      </c>
      <c r="B371" s="2">
        <f>Walmart_Sales_raw_data!C371</f>
        <v>377347.49</v>
      </c>
      <c r="C371" t="str">
        <f>IF(B371&gt;=Walmart_Sales_raw_data!$C$6437,"High","low")</f>
        <v>low</v>
      </c>
    </row>
    <row r="372" spans="1:3">
      <c r="A372" s="1">
        <v>3</v>
      </c>
      <c r="B372" s="2">
        <f>Walmart_Sales_raw_data!C372</f>
        <v>375629.51</v>
      </c>
      <c r="C372" t="str">
        <f>IF(B372&gt;=Walmart_Sales_raw_data!$C$6437,"High","low")</f>
        <v>low</v>
      </c>
    </row>
    <row r="373" spans="1:3">
      <c r="A373" s="3">
        <v>3</v>
      </c>
      <c r="B373" s="2">
        <f>Walmart_Sales_raw_data!C373</f>
        <v>365248.94</v>
      </c>
      <c r="C373" t="str">
        <f>IF(B373&gt;=Walmart_Sales_raw_data!$C$6437,"High","low")</f>
        <v>low</v>
      </c>
    </row>
    <row r="374" spans="1:3">
      <c r="A374" s="1">
        <v>3</v>
      </c>
      <c r="B374" s="2">
        <f>Walmart_Sales_raw_data!C374</f>
        <v>368477.93</v>
      </c>
      <c r="C374" t="str">
        <f>IF(B374&gt;=Walmart_Sales_raw_data!$C$6437,"High","low")</f>
        <v>low</v>
      </c>
    </row>
    <row r="375" spans="1:3">
      <c r="A375" s="3">
        <v>3</v>
      </c>
      <c r="B375" s="2">
        <f>Walmart_Sales_raw_data!C375</f>
        <v>403342.4</v>
      </c>
      <c r="C375" t="str">
        <f>IF(B375&gt;=Walmart_Sales_raw_data!$C$6437,"High","low")</f>
        <v>low</v>
      </c>
    </row>
    <row r="376" spans="1:3">
      <c r="A376" s="1">
        <v>3</v>
      </c>
      <c r="B376" s="2">
        <f>Walmart_Sales_raw_data!C376</f>
        <v>368282.57</v>
      </c>
      <c r="C376" t="str">
        <f>IF(B376&gt;=Walmart_Sales_raw_data!$C$6437,"High","low")</f>
        <v>low</v>
      </c>
    </row>
    <row r="377" spans="1:3">
      <c r="A377" s="3">
        <v>3</v>
      </c>
      <c r="B377" s="2">
        <f>Walmart_Sales_raw_data!C377</f>
        <v>394976.36</v>
      </c>
      <c r="C377" t="str">
        <f>IF(B377&gt;=Walmart_Sales_raw_data!$C$6437,"High","low")</f>
        <v>low</v>
      </c>
    </row>
    <row r="378" spans="1:3">
      <c r="A378" s="1">
        <v>3</v>
      </c>
      <c r="B378" s="2">
        <f>Walmart_Sales_raw_data!C378</f>
        <v>389540.62</v>
      </c>
      <c r="C378" t="str">
        <f>IF(B378&gt;=Walmart_Sales_raw_data!$C$6437,"High","low")</f>
        <v>low</v>
      </c>
    </row>
    <row r="379" spans="1:3">
      <c r="A379" s="3">
        <v>3</v>
      </c>
      <c r="B379" s="2">
        <f>Walmart_Sales_raw_data!C379</f>
        <v>459443.22</v>
      </c>
      <c r="C379" t="str">
        <f>IF(B379&gt;=Walmart_Sales_raw_data!$C$6437,"High","low")</f>
        <v>low</v>
      </c>
    </row>
    <row r="380" spans="1:3">
      <c r="A380" s="1">
        <v>3</v>
      </c>
      <c r="B380" s="2">
        <f>Walmart_Sales_raw_data!C380</f>
        <v>407764.25</v>
      </c>
      <c r="C380" t="str">
        <f>IF(B380&gt;=Walmart_Sales_raw_data!$C$6437,"High","low")</f>
        <v>low</v>
      </c>
    </row>
    <row r="381" spans="1:3">
      <c r="A381" s="3">
        <v>3</v>
      </c>
      <c r="B381" s="2">
        <f>Walmart_Sales_raw_data!C381</f>
        <v>398838.97</v>
      </c>
      <c r="C381" t="str">
        <f>IF(B381&gt;=Walmart_Sales_raw_data!$C$6437,"High","low")</f>
        <v>low</v>
      </c>
    </row>
    <row r="382" spans="1:3">
      <c r="A382" s="1">
        <v>3</v>
      </c>
      <c r="B382" s="2">
        <f>Walmart_Sales_raw_data!C382</f>
        <v>556925.19</v>
      </c>
      <c r="C382" t="str">
        <f>IF(B382&gt;=Walmart_Sales_raw_data!$C$6437,"High","low")</f>
        <v>low</v>
      </c>
    </row>
    <row r="383" spans="1:3">
      <c r="A383" s="3">
        <v>3</v>
      </c>
      <c r="B383" s="2">
        <f>Walmart_Sales_raw_data!C383</f>
        <v>472511.32</v>
      </c>
      <c r="C383" t="str">
        <f>IF(B383&gt;=Walmart_Sales_raw_data!$C$6437,"High","low")</f>
        <v>low</v>
      </c>
    </row>
    <row r="384" spans="1:3">
      <c r="A384" s="1">
        <v>3</v>
      </c>
      <c r="B384" s="2">
        <f>Walmart_Sales_raw_data!C384</f>
        <v>468772.8</v>
      </c>
      <c r="C384" t="str">
        <f>IF(B384&gt;=Walmart_Sales_raw_data!$C$6437,"High","low")</f>
        <v>low</v>
      </c>
    </row>
    <row r="385" spans="1:3">
      <c r="A385" s="3">
        <v>3</v>
      </c>
      <c r="B385" s="2">
        <f>Walmart_Sales_raw_data!C385</f>
        <v>510747.62</v>
      </c>
      <c r="C385" t="str">
        <f>IF(B385&gt;=Walmart_Sales_raw_data!$C$6437,"High","low")</f>
        <v>low</v>
      </c>
    </row>
    <row r="386" spans="1:3">
      <c r="A386" s="1">
        <v>3</v>
      </c>
      <c r="B386" s="2">
        <f>Walmart_Sales_raw_data!C386</f>
        <v>551221.21</v>
      </c>
      <c r="C386" t="str">
        <f>IF(B386&gt;=Walmart_Sales_raw_data!$C$6437,"High","low")</f>
        <v>low</v>
      </c>
    </row>
    <row r="387" spans="1:3">
      <c r="A387" s="3">
        <v>3</v>
      </c>
      <c r="B387" s="2">
        <f>Walmart_Sales_raw_data!C387</f>
        <v>410553.88</v>
      </c>
      <c r="C387" t="str">
        <f>IF(B387&gt;=Walmart_Sales_raw_data!$C$6437,"High","low")</f>
        <v>low</v>
      </c>
    </row>
    <row r="388" spans="1:3">
      <c r="A388" s="1">
        <v>3</v>
      </c>
      <c r="B388" s="2">
        <f>Walmart_Sales_raw_data!C388</f>
        <v>398178.21</v>
      </c>
      <c r="C388" t="str">
        <f>IF(B388&gt;=Walmart_Sales_raw_data!$C$6437,"High","low")</f>
        <v>low</v>
      </c>
    </row>
    <row r="389" spans="1:3">
      <c r="A389" s="3">
        <v>3</v>
      </c>
      <c r="B389" s="2">
        <f>Walmart_Sales_raw_data!C389</f>
        <v>367438.62</v>
      </c>
      <c r="C389" t="str">
        <f>IF(B389&gt;=Walmart_Sales_raw_data!$C$6437,"High","low")</f>
        <v>low</v>
      </c>
    </row>
    <row r="390" spans="1:3">
      <c r="A390" s="1">
        <v>3</v>
      </c>
      <c r="B390" s="2">
        <f>Walmart_Sales_raw_data!C390</f>
        <v>365818.61</v>
      </c>
      <c r="C390" t="str">
        <f>IF(B390&gt;=Walmart_Sales_raw_data!$C$6437,"High","low")</f>
        <v>low</v>
      </c>
    </row>
    <row r="391" spans="1:3">
      <c r="A391" s="3">
        <v>3</v>
      </c>
      <c r="B391" s="2">
        <f>Walmart_Sales_raw_data!C391</f>
        <v>349518.1</v>
      </c>
      <c r="C391" t="str">
        <f>IF(B391&gt;=Walmart_Sales_raw_data!$C$6437,"High","low")</f>
        <v>low</v>
      </c>
    </row>
    <row r="392" spans="1:3">
      <c r="A392" s="1">
        <v>3</v>
      </c>
      <c r="B392" s="2">
        <f>Walmart_Sales_raw_data!C392</f>
        <v>424960.66</v>
      </c>
      <c r="C392" t="str">
        <f>IF(B392&gt;=Walmart_Sales_raw_data!$C$6437,"High","low")</f>
        <v>low</v>
      </c>
    </row>
    <row r="393" spans="1:3">
      <c r="A393" s="3">
        <v>3</v>
      </c>
      <c r="B393" s="2">
        <f>Walmart_Sales_raw_data!C393</f>
        <v>473292.47</v>
      </c>
      <c r="C393" t="str">
        <f>IF(B393&gt;=Walmart_Sales_raw_data!$C$6437,"High","low")</f>
        <v>low</v>
      </c>
    </row>
    <row r="394" spans="1:3">
      <c r="A394" s="1">
        <v>3</v>
      </c>
      <c r="B394" s="2">
        <f>Walmart_Sales_raw_data!C394</f>
        <v>475591.08</v>
      </c>
      <c r="C394" t="str">
        <f>IF(B394&gt;=Walmart_Sales_raw_data!$C$6437,"High","low")</f>
        <v>low</v>
      </c>
    </row>
    <row r="395" spans="1:3">
      <c r="A395" s="3">
        <v>3</v>
      </c>
      <c r="B395" s="2">
        <f>Walmart_Sales_raw_data!C395</f>
        <v>418925.47</v>
      </c>
      <c r="C395" t="str">
        <f>IF(B395&gt;=Walmart_Sales_raw_data!$C$6437,"High","low")</f>
        <v>low</v>
      </c>
    </row>
    <row r="396" spans="1:3">
      <c r="A396" s="1">
        <v>3</v>
      </c>
      <c r="B396" s="2">
        <f>Walmart_Sales_raw_data!C396</f>
        <v>469752.56</v>
      </c>
      <c r="C396" t="str">
        <f>IF(B396&gt;=Walmart_Sales_raw_data!$C$6437,"High","low")</f>
        <v>low</v>
      </c>
    </row>
    <row r="397" spans="1:3">
      <c r="A397" s="3">
        <v>3</v>
      </c>
      <c r="B397" s="2">
        <f>Walmart_Sales_raw_data!C397</f>
        <v>445162.05</v>
      </c>
      <c r="C397" t="str">
        <f>IF(B397&gt;=Walmart_Sales_raw_data!$C$6437,"High","low")</f>
        <v>low</v>
      </c>
    </row>
    <row r="398" spans="1:3">
      <c r="A398" s="1">
        <v>3</v>
      </c>
      <c r="B398" s="2">
        <f>Walmart_Sales_raw_data!C398</f>
        <v>411775.8</v>
      </c>
      <c r="C398" t="str">
        <f>IF(B398&gt;=Walmart_Sales_raw_data!$C$6437,"High","low")</f>
        <v>low</v>
      </c>
    </row>
    <row r="399" spans="1:3">
      <c r="A399" s="3">
        <v>3</v>
      </c>
      <c r="B399" s="2">
        <f>Walmart_Sales_raw_data!C399</f>
        <v>413907.25</v>
      </c>
      <c r="C399" t="str">
        <f>IF(B399&gt;=Walmart_Sales_raw_data!$C$6437,"High","low")</f>
        <v>low</v>
      </c>
    </row>
    <row r="400" spans="1:3">
      <c r="A400" s="1">
        <v>3</v>
      </c>
      <c r="B400" s="2">
        <f>Walmart_Sales_raw_data!C400</f>
        <v>407488.84</v>
      </c>
      <c r="C400" t="str">
        <f>IF(B400&gt;=Walmart_Sales_raw_data!$C$6437,"High","low")</f>
        <v>low</v>
      </c>
    </row>
    <row r="401" spans="1:3">
      <c r="A401" s="3">
        <v>3</v>
      </c>
      <c r="B401" s="2">
        <f>Walmart_Sales_raw_data!C401</f>
        <v>503232.13</v>
      </c>
      <c r="C401" t="str">
        <f>IF(B401&gt;=Walmart_Sales_raw_data!$C$6437,"High","low")</f>
        <v>low</v>
      </c>
    </row>
    <row r="402" spans="1:3">
      <c r="A402" s="1">
        <v>3</v>
      </c>
      <c r="B402" s="2">
        <f>Walmart_Sales_raw_data!C402</f>
        <v>420789.74</v>
      </c>
      <c r="C402" t="str">
        <f>IF(B402&gt;=Walmart_Sales_raw_data!$C$6437,"High","low")</f>
        <v>low</v>
      </c>
    </row>
    <row r="403" spans="1:3">
      <c r="A403" s="3">
        <v>3</v>
      </c>
      <c r="B403" s="2">
        <f>Walmart_Sales_raw_data!C403</f>
        <v>434822.13</v>
      </c>
      <c r="C403" t="str">
        <f>IF(B403&gt;=Walmart_Sales_raw_data!$C$6437,"High","low")</f>
        <v>low</v>
      </c>
    </row>
    <row r="404" spans="1:3">
      <c r="A404" s="1">
        <v>3</v>
      </c>
      <c r="B404" s="2">
        <f>Walmart_Sales_raw_data!C404</f>
        <v>394616.11</v>
      </c>
      <c r="C404" t="str">
        <f>IF(B404&gt;=Walmart_Sales_raw_data!$C$6437,"High","low")</f>
        <v>low</v>
      </c>
    </row>
    <row r="405" spans="1:3">
      <c r="A405" s="3">
        <v>3</v>
      </c>
      <c r="B405" s="2">
        <f>Walmart_Sales_raw_data!C405</f>
        <v>439913.57</v>
      </c>
      <c r="C405" t="str">
        <f>IF(B405&gt;=Walmart_Sales_raw_data!$C$6437,"High","low")</f>
        <v>low</v>
      </c>
    </row>
    <row r="406" spans="1:3">
      <c r="A406" s="1">
        <v>3</v>
      </c>
      <c r="B406" s="2">
        <f>Walmart_Sales_raw_data!C406</f>
        <v>431985.36</v>
      </c>
      <c r="C406" t="str">
        <f>IF(B406&gt;=Walmart_Sales_raw_data!$C$6437,"High","low")</f>
        <v>low</v>
      </c>
    </row>
    <row r="407" spans="1:3">
      <c r="A407" s="3">
        <v>3</v>
      </c>
      <c r="B407" s="2">
        <f>Walmart_Sales_raw_data!C407</f>
        <v>418112.76</v>
      </c>
      <c r="C407" t="str">
        <f>IF(B407&gt;=Walmart_Sales_raw_data!$C$6437,"High","low")</f>
        <v>low</v>
      </c>
    </row>
    <row r="408" spans="1:3">
      <c r="A408" s="1">
        <v>3</v>
      </c>
      <c r="B408" s="2">
        <f>Walmart_Sales_raw_data!C408</f>
        <v>413701.29</v>
      </c>
      <c r="C408" t="str">
        <f>IF(B408&gt;=Walmart_Sales_raw_data!$C$6437,"High","low")</f>
        <v>low</v>
      </c>
    </row>
    <row r="409" spans="1:3">
      <c r="A409" s="3">
        <v>3</v>
      </c>
      <c r="B409" s="2">
        <f>Walmart_Sales_raw_data!C409</f>
        <v>432268.53</v>
      </c>
      <c r="C409" t="str">
        <f>IF(B409&gt;=Walmart_Sales_raw_data!$C$6437,"High","low")</f>
        <v>low</v>
      </c>
    </row>
    <row r="410" spans="1:3">
      <c r="A410" s="1">
        <v>3</v>
      </c>
      <c r="B410" s="2">
        <f>Walmart_Sales_raw_data!C410</f>
        <v>446336.8</v>
      </c>
      <c r="C410" t="str">
        <f>IF(B410&gt;=Walmart_Sales_raw_data!$C$6437,"High","low")</f>
        <v>low</v>
      </c>
    </row>
    <row r="411" spans="1:3">
      <c r="A411" s="3">
        <v>3</v>
      </c>
      <c r="B411" s="2">
        <f>Walmart_Sales_raw_data!C411</f>
        <v>442074.79</v>
      </c>
      <c r="C411" t="str">
        <f>IF(B411&gt;=Walmart_Sales_raw_data!$C$6437,"High","low")</f>
        <v>low</v>
      </c>
    </row>
    <row r="412" spans="1:3">
      <c r="A412" s="1">
        <v>3</v>
      </c>
      <c r="B412" s="2">
        <f>Walmart_Sales_raw_data!C412</f>
        <v>419497.95</v>
      </c>
      <c r="C412" t="str">
        <f>IF(B412&gt;=Walmart_Sales_raw_data!$C$6437,"High","low")</f>
        <v>low</v>
      </c>
    </row>
    <row r="413" spans="1:3">
      <c r="A413" s="3">
        <v>3</v>
      </c>
      <c r="B413" s="2">
        <f>Walmart_Sales_raw_data!C413</f>
        <v>422965.33</v>
      </c>
      <c r="C413" t="str">
        <f>IF(B413&gt;=Walmart_Sales_raw_data!$C$6437,"High","low")</f>
        <v>low</v>
      </c>
    </row>
    <row r="414" spans="1:3">
      <c r="A414" s="1">
        <v>3</v>
      </c>
      <c r="B414" s="2">
        <f>Walmart_Sales_raw_data!C414</f>
        <v>411206.5</v>
      </c>
      <c r="C414" t="str">
        <f>IF(B414&gt;=Walmart_Sales_raw_data!$C$6437,"High","low")</f>
        <v>low</v>
      </c>
    </row>
    <row r="415" spans="1:3">
      <c r="A415" s="3">
        <v>3</v>
      </c>
      <c r="B415" s="2">
        <f>Walmart_Sales_raw_data!C415</f>
        <v>416913.1</v>
      </c>
      <c r="C415" t="str">
        <f>IF(B415&gt;=Walmart_Sales_raw_data!$C$6437,"High","low")</f>
        <v>low</v>
      </c>
    </row>
    <row r="416" spans="1:3">
      <c r="A416" s="1">
        <v>3</v>
      </c>
      <c r="B416" s="2">
        <f>Walmart_Sales_raw_data!C416</f>
        <v>432424.85</v>
      </c>
      <c r="C416" t="str">
        <f>IF(B416&gt;=Walmart_Sales_raw_data!$C$6437,"High","low")</f>
        <v>low</v>
      </c>
    </row>
    <row r="417" spans="1:3">
      <c r="A417" s="3">
        <v>3</v>
      </c>
      <c r="B417" s="2">
        <f>Walmart_Sales_raw_data!C417</f>
        <v>389427.9</v>
      </c>
      <c r="C417" t="str">
        <f>IF(B417&gt;=Walmart_Sales_raw_data!$C$6437,"High","low")</f>
        <v>low</v>
      </c>
    </row>
    <row r="418" spans="1:3">
      <c r="A418" s="1">
        <v>3</v>
      </c>
      <c r="B418" s="2">
        <f>Walmart_Sales_raw_data!C418</f>
        <v>419990.29</v>
      </c>
      <c r="C418" t="str">
        <f>IF(B418&gt;=Walmart_Sales_raw_data!$C$6437,"High","low")</f>
        <v>low</v>
      </c>
    </row>
    <row r="419" spans="1:3">
      <c r="A419" s="3">
        <v>3</v>
      </c>
      <c r="B419" s="2">
        <f>Walmart_Sales_raw_data!C419</f>
        <v>391811.6</v>
      </c>
      <c r="C419" t="str">
        <f>IF(B419&gt;=Walmart_Sales_raw_data!$C$6437,"High","low")</f>
        <v>low</v>
      </c>
    </row>
    <row r="420" spans="1:3">
      <c r="A420" s="1">
        <v>3</v>
      </c>
      <c r="B420" s="2">
        <f>Walmart_Sales_raw_data!C420</f>
        <v>394918.83</v>
      </c>
      <c r="C420" t="str">
        <f>IF(B420&gt;=Walmart_Sales_raw_data!$C$6437,"High","low")</f>
        <v>low</v>
      </c>
    </row>
    <row r="421" spans="1:3">
      <c r="A421" s="3">
        <v>3</v>
      </c>
      <c r="B421" s="2">
        <f>Walmart_Sales_raw_data!C421</f>
        <v>412449.67</v>
      </c>
      <c r="C421" t="str">
        <f>IF(B421&gt;=Walmart_Sales_raw_data!$C$6437,"High","low")</f>
        <v>low</v>
      </c>
    </row>
    <row r="422" spans="1:3">
      <c r="A422" s="1">
        <v>3</v>
      </c>
      <c r="B422" s="2">
        <f>Walmart_Sales_raw_data!C422</f>
        <v>408838.73</v>
      </c>
      <c r="C422" t="str">
        <f>IF(B422&gt;=Walmart_Sales_raw_data!$C$6437,"High","low")</f>
        <v>low</v>
      </c>
    </row>
    <row r="423" spans="1:3">
      <c r="A423" s="3">
        <v>3</v>
      </c>
      <c r="B423" s="2">
        <f>Walmart_Sales_raw_data!C423</f>
        <v>408229.73</v>
      </c>
      <c r="C423" t="str">
        <f>IF(B423&gt;=Walmart_Sales_raw_data!$C$6437,"High","low")</f>
        <v>low</v>
      </c>
    </row>
    <row r="424" spans="1:3">
      <c r="A424" s="1">
        <v>3</v>
      </c>
      <c r="B424" s="2">
        <f>Walmart_Sales_raw_data!C424</f>
        <v>407589.16</v>
      </c>
      <c r="C424" t="str">
        <f>IF(B424&gt;=Walmart_Sales_raw_data!$C$6437,"High","low")</f>
        <v>low</v>
      </c>
    </row>
    <row r="425" spans="1:3">
      <c r="A425" s="3">
        <v>3</v>
      </c>
      <c r="B425" s="2">
        <f>Walmart_Sales_raw_data!C425</f>
        <v>414392.09</v>
      </c>
      <c r="C425" t="str">
        <f>IF(B425&gt;=Walmart_Sales_raw_data!$C$6437,"High","low")</f>
        <v>low</v>
      </c>
    </row>
    <row r="426" spans="1:3">
      <c r="A426" s="1">
        <v>3</v>
      </c>
      <c r="B426" s="2">
        <f>Walmart_Sales_raw_data!C426</f>
        <v>389813.02</v>
      </c>
      <c r="C426" t="str">
        <f>IF(B426&gt;=Walmart_Sales_raw_data!$C$6437,"High","low")</f>
        <v>low</v>
      </c>
    </row>
    <row r="427" spans="1:3">
      <c r="A427" s="3">
        <v>3</v>
      </c>
      <c r="B427" s="2">
        <f>Walmart_Sales_raw_data!C427</f>
        <v>443557.65</v>
      </c>
      <c r="C427" t="str">
        <f>IF(B427&gt;=Walmart_Sales_raw_data!$C$6437,"High","low")</f>
        <v>low</v>
      </c>
    </row>
    <row r="428" spans="1:3">
      <c r="A428" s="1">
        <v>3</v>
      </c>
      <c r="B428" s="2">
        <f>Walmart_Sales_raw_data!C428</f>
        <v>410804.39</v>
      </c>
      <c r="C428" t="str">
        <f>IF(B428&gt;=Walmart_Sales_raw_data!$C$6437,"High","low")</f>
        <v>low</v>
      </c>
    </row>
    <row r="429" spans="1:3">
      <c r="A429" s="3">
        <v>3</v>
      </c>
      <c r="B429" s="2">
        <f>Walmart_Sales_raw_data!C429</f>
        <v>424513.08</v>
      </c>
      <c r="C429" t="str">
        <f>IF(B429&gt;=Walmart_Sales_raw_data!$C$6437,"High","low")</f>
        <v>low</v>
      </c>
    </row>
    <row r="430" spans="1:3">
      <c r="A430" s="1">
        <v>3</v>
      </c>
      <c r="B430" s="2">
        <f>Walmart_Sales_raw_data!C430</f>
        <v>405432.7</v>
      </c>
      <c r="C430" t="str">
        <f>IF(B430&gt;=Walmart_Sales_raw_data!$C$6437,"High","low")</f>
        <v>low</v>
      </c>
    </row>
    <row r="431" spans="1:3">
      <c r="A431" s="3">
        <v>4</v>
      </c>
      <c r="B431" s="2">
        <f>Walmart_Sales_raw_data!C431</f>
        <v>2135143.87</v>
      </c>
      <c r="C431" t="str">
        <f>IF(B431&gt;=Walmart_Sales_raw_data!$C$6437,"High","low")</f>
        <v>High</v>
      </c>
    </row>
    <row r="432" spans="1:3">
      <c r="A432" s="1">
        <v>4</v>
      </c>
      <c r="B432" s="2">
        <f>Walmart_Sales_raw_data!C432</f>
        <v>2188307.39</v>
      </c>
      <c r="C432" t="str">
        <f>IF(B432&gt;=Walmart_Sales_raw_data!$C$6437,"High","low")</f>
        <v>High</v>
      </c>
    </row>
    <row r="433" spans="1:3">
      <c r="A433" s="3">
        <v>4</v>
      </c>
      <c r="B433" s="2">
        <f>Walmart_Sales_raw_data!C433</f>
        <v>2049860.26</v>
      </c>
      <c r="C433" t="str">
        <f>IF(B433&gt;=Walmart_Sales_raw_data!$C$6437,"High","low")</f>
        <v>High</v>
      </c>
    </row>
    <row r="434" spans="1:3">
      <c r="A434" s="1">
        <v>4</v>
      </c>
      <c r="B434" s="2">
        <f>Walmart_Sales_raw_data!C434</f>
        <v>1925728.84</v>
      </c>
      <c r="C434" t="str">
        <f>IF(B434&gt;=Walmart_Sales_raw_data!$C$6437,"High","low")</f>
        <v>High</v>
      </c>
    </row>
    <row r="435" spans="1:3">
      <c r="A435" s="3">
        <v>4</v>
      </c>
      <c r="B435" s="2">
        <f>Walmart_Sales_raw_data!C435</f>
        <v>1971057.44</v>
      </c>
      <c r="C435" t="str">
        <f>IF(B435&gt;=Walmart_Sales_raw_data!$C$6437,"High","low")</f>
        <v>High</v>
      </c>
    </row>
    <row r="436" spans="1:3">
      <c r="A436" s="1">
        <v>4</v>
      </c>
      <c r="B436" s="2">
        <f>Walmart_Sales_raw_data!C436</f>
        <v>1894324.09</v>
      </c>
      <c r="C436" t="str">
        <f>IF(B436&gt;=Walmart_Sales_raw_data!$C$6437,"High","low")</f>
        <v>High</v>
      </c>
    </row>
    <row r="437" spans="1:3">
      <c r="A437" s="3">
        <v>4</v>
      </c>
      <c r="B437" s="2">
        <f>Walmart_Sales_raw_data!C437</f>
        <v>1897429.36</v>
      </c>
      <c r="C437" t="str">
        <f>IF(B437&gt;=Walmart_Sales_raw_data!$C$6437,"High","low")</f>
        <v>High</v>
      </c>
    </row>
    <row r="438" spans="1:3">
      <c r="A438" s="1">
        <v>4</v>
      </c>
      <c r="B438" s="2">
        <f>Walmart_Sales_raw_data!C438</f>
        <v>1762539.3</v>
      </c>
      <c r="C438" t="str">
        <f>IF(B438&gt;=Walmart_Sales_raw_data!$C$6437,"High","low")</f>
        <v>High</v>
      </c>
    </row>
    <row r="439" spans="1:3">
      <c r="A439" s="3">
        <v>4</v>
      </c>
      <c r="B439" s="2">
        <f>Walmart_Sales_raw_data!C439</f>
        <v>1979247.12</v>
      </c>
      <c r="C439" t="str">
        <f>IF(B439&gt;=Walmart_Sales_raw_data!$C$6437,"High","low")</f>
        <v>High</v>
      </c>
    </row>
    <row r="440" spans="1:3">
      <c r="A440" s="1">
        <v>4</v>
      </c>
      <c r="B440" s="2">
        <f>Walmart_Sales_raw_data!C440</f>
        <v>1818452.72</v>
      </c>
      <c r="C440" t="str">
        <f>IF(B440&gt;=Walmart_Sales_raw_data!$C$6437,"High","low")</f>
        <v>High</v>
      </c>
    </row>
    <row r="441" spans="1:3">
      <c r="A441" s="3">
        <v>4</v>
      </c>
      <c r="B441" s="2">
        <f>Walmart_Sales_raw_data!C441</f>
        <v>1851519.69</v>
      </c>
      <c r="C441" t="str">
        <f>IF(B441&gt;=Walmart_Sales_raw_data!$C$6437,"High","low")</f>
        <v>High</v>
      </c>
    </row>
    <row r="442" spans="1:3">
      <c r="A442" s="1">
        <v>4</v>
      </c>
      <c r="B442" s="2">
        <f>Walmart_Sales_raw_data!C442</f>
        <v>1802677.9</v>
      </c>
      <c r="C442" t="str">
        <f>IF(B442&gt;=Walmart_Sales_raw_data!$C$6437,"High","low")</f>
        <v>High</v>
      </c>
    </row>
    <row r="443" spans="1:3">
      <c r="A443" s="3">
        <v>4</v>
      </c>
      <c r="B443" s="2">
        <f>Walmart_Sales_raw_data!C443</f>
        <v>1817273.28</v>
      </c>
      <c r="C443" t="str">
        <f>IF(B443&gt;=Walmart_Sales_raw_data!$C$6437,"High","low")</f>
        <v>High</v>
      </c>
    </row>
    <row r="444" spans="1:3">
      <c r="A444" s="1">
        <v>4</v>
      </c>
      <c r="B444" s="2">
        <f>Walmart_Sales_raw_data!C444</f>
        <v>2000626.14</v>
      </c>
      <c r="C444" t="str">
        <f>IF(B444&gt;=Walmart_Sales_raw_data!$C$6437,"High","low")</f>
        <v>High</v>
      </c>
    </row>
    <row r="445" spans="1:3">
      <c r="A445" s="3">
        <v>4</v>
      </c>
      <c r="B445" s="2">
        <f>Walmart_Sales_raw_data!C445</f>
        <v>1875597.28</v>
      </c>
      <c r="C445" t="str">
        <f>IF(B445&gt;=Walmart_Sales_raw_data!$C$6437,"High","low")</f>
        <v>High</v>
      </c>
    </row>
    <row r="446" spans="1:3">
      <c r="A446" s="1">
        <v>4</v>
      </c>
      <c r="B446" s="2">
        <f>Walmart_Sales_raw_data!C446</f>
        <v>1903752.6</v>
      </c>
      <c r="C446" t="str">
        <f>IF(B446&gt;=Walmart_Sales_raw_data!$C$6437,"High","low")</f>
        <v>High</v>
      </c>
    </row>
    <row r="447" spans="1:3">
      <c r="A447" s="3">
        <v>4</v>
      </c>
      <c r="B447" s="2">
        <f>Walmart_Sales_raw_data!C447</f>
        <v>1857533.7</v>
      </c>
      <c r="C447" t="str">
        <f>IF(B447&gt;=Walmart_Sales_raw_data!$C$6437,"High","low")</f>
        <v>High</v>
      </c>
    </row>
    <row r="448" spans="1:3">
      <c r="A448" s="1">
        <v>4</v>
      </c>
      <c r="B448" s="2">
        <f>Walmart_Sales_raw_data!C448</f>
        <v>1903290.58</v>
      </c>
      <c r="C448" t="str">
        <f>IF(B448&gt;=Walmart_Sales_raw_data!$C$6437,"High","low")</f>
        <v>High</v>
      </c>
    </row>
    <row r="449" spans="1:3">
      <c r="A449" s="3">
        <v>4</v>
      </c>
      <c r="B449" s="2">
        <f>Walmart_Sales_raw_data!C449</f>
        <v>1870619.23</v>
      </c>
      <c r="C449" t="str">
        <f>IF(B449&gt;=Walmart_Sales_raw_data!$C$6437,"High","low")</f>
        <v>High</v>
      </c>
    </row>
    <row r="450" spans="1:3">
      <c r="A450" s="1">
        <v>4</v>
      </c>
      <c r="B450" s="2">
        <f>Walmart_Sales_raw_data!C450</f>
        <v>1929736.35</v>
      </c>
      <c r="C450" t="str">
        <f>IF(B450&gt;=Walmart_Sales_raw_data!$C$6437,"High","low")</f>
        <v>High</v>
      </c>
    </row>
    <row r="451" spans="1:3">
      <c r="A451" s="3">
        <v>4</v>
      </c>
      <c r="B451" s="2">
        <f>Walmart_Sales_raw_data!C451</f>
        <v>1846651.95</v>
      </c>
      <c r="C451" t="str">
        <f>IF(B451&gt;=Walmart_Sales_raw_data!$C$6437,"High","low")</f>
        <v>High</v>
      </c>
    </row>
    <row r="452" spans="1:3">
      <c r="A452" s="1">
        <v>4</v>
      </c>
      <c r="B452" s="2">
        <f>Walmart_Sales_raw_data!C452</f>
        <v>1881337.21</v>
      </c>
      <c r="C452" t="str">
        <f>IF(B452&gt;=Walmart_Sales_raw_data!$C$6437,"High","low")</f>
        <v>High</v>
      </c>
    </row>
    <row r="453" spans="1:3">
      <c r="A453" s="3">
        <v>4</v>
      </c>
      <c r="B453" s="2">
        <f>Walmart_Sales_raw_data!C453</f>
        <v>1812208.22</v>
      </c>
      <c r="C453" t="str">
        <f>IF(B453&gt;=Walmart_Sales_raw_data!$C$6437,"High","low")</f>
        <v>High</v>
      </c>
    </row>
    <row r="454" spans="1:3">
      <c r="A454" s="1">
        <v>4</v>
      </c>
      <c r="B454" s="2">
        <f>Walmart_Sales_raw_data!C454</f>
        <v>1898427.66</v>
      </c>
      <c r="C454" t="str">
        <f>IF(B454&gt;=Walmart_Sales_raw_data!$C$6437,"High","low")</f>
        <v>High</v>
      </c>
    </row>
    <row r="455" spans="1:3">
      <c r="A455" s="3">
        <v>4</v>
      </c>
      <c r="B455" s="2">
        <f>Walmart_Sales_raw_data!C455</f>
        <v>1848426.78</v>
      </c>
      <c r="C455" t="str">
        <f>IF(B455&gt;=Walmart_Sales_raw_data!$C$6437,"High","low")</f>
        <v>High</v>
      </c>
    </row>
    <row r="456" spans="1:3">
      <c r="A456" s="1">
        <v>4</v>
      </c>
      <c r="B456" s="2">
        <f>Walmart_Sales_raw_data!C456</f>
        <v>1796637.61</v>
      </c>
      <c r="C456" t="str">
        <f>IF(B456&gt;=Walmart_Sales_raw_data!$C$6437,"High","low")</f>
        <v>High</v>
      </c>
    </row>
    <row r="457" spans="1:3">
      <c r="A457" s="3">
        <v>4</v>
      </c>
      <c r="B457" s="2">
        <f>Walmart_Sales_raw_data!C457</f>
        <v>1907638.58</v>
      </c>
      <c r="C457" t="str">
        <f>IF(B457&gt;=Walmart_Sales_raw_data!$C$6437,"High","low")</f>
        <v>High</v>
      </c>
    </row>
    <row r="458" spans="1:3">
      <c r="A458" s="1">
        <v>4</v>
      </c>
      <c r="B458" s="2">
        <f>Walmart_Sales_raw_data!C458</f>
        <v>2007050.75</v>
      </c>
      <c r="C458" t="str">
        <f>IF(B458&gt;=Walmart_Sales_raw_data!$C$6437,"High","low")</f>
        <v>High</v>
      </c>
    </row>
    <row r="459" spans="1:3">
      <c r="A459" s="3">
        <v>4</v>
      </c>
      <c r="B459" s="2">
        <f>Walmart_Sales_raw_data!C459</f>
        <v>1997181.09</v>
      </c>
      <c r="C459" t="str">
        <f>IF(B459&gt;=Walmart_Sales_raw_data!$C$6437,"High","low")</f>
        <v>High</v>
      </c>
    </row>
    <row r="460" spans="1:3">
      <c r="A460" s="1">
        <v>4</v>
      </c>
      <c r="B460" s="2">
        <f>Walmart_Sales_raw_data!C460</f>
        <v>1848403.92</v>
      </c>
      <c r="C460" t="str">
        <f>IF(B460&gt;=Walmart_Sales_raw_data!$C$6437,"High","low")</f>
        <v>High</v>
      </c>
    </row>
    <row r="461" spans="1:3">
      <c r="A461" s="3">
        <v>4</v>
      </c>
      <c r="B461" s="2">
        <f>Walmart_Sales_raw_data!C461</f>
        <v>1935857.58</v>
      </c>
      <c r="C461" t="str">
        <f>IF(B461&gt;=Walmart_Sales_raw_data!$C$6437,"High","low")</f>
        <v>High</v>
      </c>
    </row>
    <row r="462" spans="1:3">
      <c r="A462" s="1">
        <v>4</v>
      </c>
      <c r="B462" s="2">
        <f>Walmart_Sales_raw_data!C462</f>
        <v>1865820.81</v>
      </c>
      <c r="C462" t="str">
        <f>IF(B462&gt;=Walmart_Sales_raw_data!$C$6437,"High","low")</f>
        <v>High</v>
      </c>
    </row>
    <row r="463" spans="1:3">
      <c r="A463" s="3">
        <v>4</v>
      </c>
      <c r="B463" s="2">
        <f>Walmart_Sales_raw_data!C463</f>
        <v>1899959.61</v>
      </c>
      <c r="C463" t="str">
        <f>IF(B463&gt;=Walmart_Sales_raw_data!$C$6437,"High","low")</f>
        <v>High</v>
      </c>
    </row>
    <row r="464" spans="1:3">
      <c r="A464" s="1">
        <v>4</v>
      </c>
      <c r="B464" s="2">
        <f>Walmart_Sales_raw_data!C464</f>
        <v>1810684.68</v>
      </c>
      <c r="C464" t="str">
        <f>IF(B464&gt;=Walmart_Sales_raw_data!$C$6437,"High","low")</f>
        <v>High</v>
      </c>
    </row>
    <row r="465" spans="1:3">
      <c r="A465" s="3">
        <v>4</v>
      </c>
      <c r="B465" s="2">
        <f>Walmart_Sales_raw_data!C465</f>
        <v>1842821.02</v>
      </c>
      <c r="C465" t="str">
        <f>IF(B465&gt;=Walmart_Sales_raw_data!$C$6437,"High","low")</f>
        <v>High</v>
      </c>
    </row>
    <row r="466" spans="1:3">
      <c r="A466" s="1">
        <v>4</v>
      </c>
      <c r="B466" s="2">
        <f>Walmart_Sales_raw_data!C466</f>
        <v>1951494.85</v>
      </c>
      <c r="C466" t="str">
        <f>IF(B466&gt;=Walmart_Sales_raw_data!$C$6437,"High","low")</f>
        <v>High</v>
      </c>
    </row>
    <row r="467" spans="1:3">
      <c r="A467" s="3">
        <v>4</v>
      </c>
      <c r="B467" s="2">
        <f>Walmart_Sales_raw_data!C467</f>
        <v>1867345.09</v>
      </c>
      <c r="C467" t="str">
        <f>IF(B467&gt;=Walmart_Sales_raw_data!$C$6437,"High","low")</f>
        <v>High</v>
      </c>
    </row>
    <row r="468" spans="1:3">
      <c r="A468" s="1">
        <v>4</v>
      </c>
      <c r="B468" s="2">
        <f>Walmart_Sales_raw_data!C468</f>
        <v>1927610.06</v>
      </c>
      <c r="C468" t="str">
        <f>IF(B468&gt;=Walmart_Sales_raw_data!$C$6437,"High","low")</f>
        <v>High</v>
      </c>
    </row>
    <row r="469" spans="1:3">
      <c r="A469" s="3">
        <v>4</v>
      </c>
      <c r="B469" s="2">
        <f>Walmart_Sales_raw_data!C469</f>
        <v>1933333</v>
      </c>
      <c r="C469" t="str">
        <f>IF(B469&gt;=Walmart_Sales_raw_data!$C$6437,"High","low")</f>
        <v>High</v>
      </c>
    </row>
    <row r="470" spans="1:3">
      <c r="A470" s="1">
        <v>4</v>
      </c>
      <c r="B470" s="2">
        <f>Walmart_Sales_raw_data!C470</f>
        <v>2013115.79</v>
      </c>
      <c r="C470" t="str">
        <f>IF(B470&gt;=Walmart_Sales_raw_data!$C$6437,"High","low")</f>
        <v>High</v>
      </c>
    </row>
    <row r="471" spans="1:3">
      <c r="A471" s="3">
        <v>4</v>
      </c>
      <c r="B471" s="2">
        <f>Walmart_Sales_raw_data!C471</f>
        <v>1999794.26</v>
      </c>
      <c r="C471" t="str">
        <f>IF(B471&gt;=Walmart_Sales_raw_data!$C$6437,"High","low")</f>
        <v>High</v>
      </c>
    </row>
    <row r="472" spans="1:3">
      <c r="A472" s="1">
        <v>4</v>
      </c>
      <c r="B472" s="2">
        <f>Walmart_Sales_raw_data!C472</f>
        <v>2097809.4</v>
      </c>
      <c r="C472" t="str">
        <f>IF(B472&gt;=Walmart_Sales_raw_data!$C$6437,"High","low")</f>
        <v>High</v>
      </c>
    </row>
    <row r="473" spans="1:3">
      <c r="A473" s="3">
        <v>4</v>
      </c>
      <c r="B473" s="2">
        <f>Walmart_Sales_raw_data!C473</f>
        <v>2789469.45</v>
      </c>
      <c r="C473" t="str">
        <f>IF(B473&gt;=Walmart_Sales_raw_data!$C$6437,"High","low")</f>
        <v>High</v>
      </c>
    </row>
    <row r="474" spans="1:3">
      <c r="A474" s="1">
        <v>4</v>
      </c>
      <c r="B474" s="2">
        <f>Walmart_Sales_raw_data!C474</f>
        <v>2102530.17</v>
      </c>
      <c r="C474" t="str">
        <f>IF(B474&gt;=Walmart_Sales_raw_data!$C$6437,"High","low")</f>
        <v>High</v>
      </c>
    </row>
    <row r="475" spans="1:3">
      <c r="A475" s="3">
        <v>4</v>
      </c>
      <c r="B475" s="2">
        <f>Walmart_Sales_raw_data!C475</f>
        <v>2302504.86</v>
      </c>
      <c r="C475" t="str">
        <f>IF(B475&gt;=Walmart_Sales_raw_data!$C$6437,"High","low")</f>
        <v>High</v>
      </c>
    </row>
    <row r="476" spans="1:3">
      <c r="A476" s="1">
        <v>4</v>
      </c>
      <c r="B476" s="2">
        <f>Walmart_Sales_raw_data!C476</f>
        <v>2740057.14</v>
      </c>
      <c r="C476" t="str">
        <f>IF(B476&gt;=Walmart_Sales_raw_data!$C$6437,"High","low")</f>
        <v>High</v>
      </c>
    </row>
    <row r="477" spans="1:3">
      <c r="A477" s="3">
        <v>4</v>
      </c>
      <c r="B477" s="2">
        <f>Walmart_Sales_raw_data!C477</f>
        <v>3526713.39</v>
      </c>
      <c r="C477" t="str">
        <f>IF(B477&gt;=Walmart_Sales_raw_data!$C$6437,"High","low")</f>
        <v>High</v>
      </c>
    </row>
    <row r="478" spans="1:3">
      <c r="A478" s="1">
        <v>4</v>
      </c>
      <c r="B478" s="2">
        <f>Walmart_Sales_raw_data!C478</f>
        <v>1794868.74</v>
      </c>
      <c r="C478" t="str">
        <f>IF(B478&gt;=Walmart_Sales_raw_data!$C$6437,"High","low")</f>
        <v>High</v>
      </c>
    </row>
    <row r="479" spans="1:3">
      <c r="A479" s="3">
        <v>4</v>
      </c>
      <c r="B479" s="2">
        <f>Walmart_Sales_raw_data!C479</f>
        <v>1862476.27</v>
      </c>
      <c r="C479" t="str">
        <f>IF(B479&gt;=Walmart_Sales_raw_data!$C$6437,"High","low")</f>
        <v>High</v>
      </c>
    </row>
    <row r="480" spans="1:3">
      <c r="A480" s="1">
        <v>4</v>
      </c>
      <c r="B480" s="2">
        <f>Walmart_Sales_raw_data!C480</f>
        <v>1865502.46</v>
      </c>
      <c r="C480" t="str">
        <f>IF(B480&gt;=Walmart_Sales_raw_data!$C$6437,"High","low")</f>
        <v>High</v>
      </c>
    </row>
    <row r="481" spans="1:3">
      <c r="A481" s="3">
        <v>4</v>
      </c>
      <c r="B481" s="2">
        <f>Walmart_Sales_raw_data!C481</f>
        <v>1886393.94</v>
      </c>
      <c r="C481" t="str">
        <f>IF(B481&gt;=Walmart_Sales_raw_data!$C$6437,"High","low")</f>
        <v>High</v>
      </c>
    </row>
    <row r="482" spans="1:3">
      <c r="A482" s="1">
        <v>4</v>
      </c>
      <c r="B482" s="2">
        <f>Walmart_Sales_raw_data!C482</f>
        <v>1814240.85</v>
      </c>
      <c r="C482" t="str">
        <f>IF(B482&gt;=Walmart_Sales_raw_data!$C$6437,"High","low")</f>
        <v>High</v>
      </c>
    </row>
    <row r="483" spans="1:3">
      <c r="A483" s="3">
        <v>4</v>
      </c>
      <c r="B483" s="2">
        <f>Walmart_Sales_raw_data!C483</f>
        <v>2119086.04</v>
      </c>
      <c r="C483" t="str">
        <f>IF(B483&gt;=Walmart_Sales_raw_data!$C$6437,"High","low")</f>
        <v>High</v>
      </c>
    </row>
    <row r="484" spans="1:3">
      <c r="A484" s="1">
        <v>4</v>
      </c>
      <c r="B484" s="2">
        <f>Walmart_Sales_raw_data!C484</f>
        <v>2187847.29</v>
      </c>
      <c r="C484" t="str">
        <f>IF(B484&gt;=Walmart_Sales_raw_data!$C$6437,"High","low")</f>
        <v>High</v>
      </c>
    </row>
    <row r="485" spans="1:3">
      <c r="A485" s="3">
        <v>4</v>
      </c>
      <c r="B485" s="2">
        <f>Walmart_Sales_raw_data!C485</f>
        <v>2316495.56</v>
      </c>
      <c r="C485" t="str">
        <f>IF(B485&gt;=Walmart_Sales_raw_data!$C$6437,"High","low")</f>
        <v>High</v>
      </c>
    </row>
    <row r="486" spans="1:3">
      <c r="A486" s="1">
        <v>4</v>
      </c>
      <c r="B486" s="2">
        <f>Walmart_Sales_raw_data!C486</f>
        <v>2078094.69</v>
      </c>
      <c r="C486" t="str">
        <f>IF(B486&gt;=Walmart_Sales_raw_data!$C$6437,"High","low")</f>
        <v>High</v>
      </c>
    </row>
    <row r="487" spans="1:3">
      <c r="A487" s="3">
        <v>4</v>
      </c>
      <c r="B487" s="2">
        <f>Walmart_Sales_raw_data!C487</f>
        <v>2103455.75</v>
      </c>
      <c r="C487" t="str">
        <f>IF(B487&gt;=Walmart_Sales_raw_data!$C$6437,"High","low")</f>
        <v>High</v>
      </c>
    </row>
    <row r="488" spans="1:3">
      <c r="A488" s="1">
        <v>4</v>
      </c>
      <c r="B488" s="2">
        <f>Walmart_Sales_raw_data!C488</f>
        <v>2039818.41</v>
      </c>
      <c r="C488" t="str">
        <f>IF(B488&gt;=Walmart_Sales_raw_data!$C$6437,"High","low")</f>
        <v>High</v>
      </c>
    </row>
    <row r="489" spans="1:3">
      <c r="A489" s="3">
        <v>4</v>
      </c>
      <c r="B489" s="2">
        <f>Walmart_Sales_raw_data!C489</f>
        <v>2116475.38</v>
      </c>
      <c r="C489" t="str">
        <f>IF(B489&gt;=Walmart_Sales_raw_data!$C$6437,"High","low")</f>
        <v>High</v>
      </c>
    </row>
    <row r="490" spans="1:3">
      <c r="A490" s="1">
        <v>4</v>
      </c>
      <c r="B490" s="2">
        <f>Walmart_Sales_raw_data!C490</f>
        <v>1944164.32</v>
      </c>
      <c r="C490" t="str">
        <f>IF(B490&gt;=Walmart_Sales_raw_data!$C$6437,"High","low")</f>
        <v>High</v>
      </c>
    </row>
    <row r="491" spans="1:3">
      <c r="A491" s="3">
        <v>4</v>
      </c>
      <c r="B491" s="2">
        <f>Walmart_Sales_raw_data!C491</f>
        <v>1900246.47</v>
      </c>
      <c r="C491" t="str">
        <f>IF(B491&gt;=Walmart_Sales_raw_data!$C$6437,"High","low")</f>
        <v>High</v>
      </c>
    </row>
    <row r="492" spans="1:3">
      <c r="A492" s="1">
        <v>4</v>
      </c>
      <c r="B492" s="2">
        <f>Walmart_Sales_raw_data!C492</f>
        <v>2074953.46</v>
      </c>
      <c r="C492" t="str">
        <f>IF(B492&gt;=Walmart_Sales_raw_data!$C$6437,"High","low")</f>
        <v>High</v>
      </c>
    </row>
    <row r="493" spans="1:3">
      <c r="A493" s="3">
        <v>4</v>
      </c>
      <c r="B493" s="2">
        <f>Walmart_Sales_raw_data!C493</f>
        <v>1960587.76</v>
      </c>
      <c r="C493" t="str">
        <f>IF(B493&gt;=Walmart_Sales_raw_data!$C$6437,"High","low")</f>
        <v>High</v>
      </c>
    </row>
    <row r="494" spans="1:3">
      <c r="A494" s="1">
        <v>4</v>
      </c>
      <c r="B494" s="2">
        <f>Walmart_Sales_raw_data!C494</f>
        <v>2220600.76</v>
      </c>
      <c r="C494" t="str">
        <f>IF(B494&gt;=Walmart_Sales_raw_data!$C$6437,"High","low")</f>
        <v>High</v>
      </c>
    </row>
    <row r="495" spans="1:3">
      <c r="A495" s="3">
        <v>4</v>
      </c>
      <c r="B495" s="2">
        <f>Walmart_Sales_raw_data!C495</f>
        <v>1878167.44</v>
      </c>
      <c r="C495" t="str">
        <f>IF(B495&gt;=Walmart_Sales_raw_data!$C$6437,"High","low")</f>
        <v>High</v>
      </c>
    </row>
    <row r="496" spans="1:3">
      <c r="A496" s="1">
        <v>4</v>
      </c>
      <c r="B496" s="2">
        <f>Walmart_Sales_raw_data!C496</f>
        <v>2063682.76</v>
      </c>
      <c r="C496" t="str">
        <f>IF(B496&gt;=Walmart_Sales_raw_data!$C$6437,"High","low")</f>
        <v>High</v>
      </c>
    </row>
    <row r="497" spans="1:3">
      <c r="A497" s="3">
        <v>4</v>
      </c>
      <c r="B497" s="2">
        <f>Walmart_Sales_raw_data!C497</f>
        <v>2002362.37</v>
      </c>
      <c r="C497" t="str">
        <f>IF(B497&gt;=Walmart_Sales_raw_data!$C$6437,"High","low")</f>
        <v>High</v>
      </c>
    </row>
    <row r="498" spans="1:3">
      <c r="A498" s="1">
        <v>4</v>
      </c>
      <c r="B498" s="2">
        <f>Walmart_Sales_raw_data!C498</f>
        <v>2015563.48</v>
      </c>
      <c r="C498" t="str">
        <f>IF(B498&gt;=Walmart_Sales_raw_data!$C$6437,"High","low")</f>
        <v>High</v>
      </c>
    </row>
    <row r="499" spans="1:3">
      <c r="A499" s="3">
        <v>4</v>
      </c>
      <c r="B499" s="2">
        <f>Walmart_Sales_raw_data!C499</f>
        <v>1986597.95</v>
      </c>
      <c r="C499" t="str">
        <f>IF(B499&gt;=Walmart_Sales_raw_data!$C$6437,"High","low")</f>
        <v>High</v>
      </c>
    </row>
    <row r="500" spans="1:3">
      <c r="A500" s="1">
        <v>4</v>
      </c>
      <c r="B500" s="2">
        <f>Walmart_Sales_raw_data!C500</f>
        <v>2065377.15</v>
      </c>
      <c r="C500" t="str">
        <f>IF(B500&gt;=Walmart_Sales_raw_data!$C$6437,"High","low")</f>
        <v>High</v>
      </c>
    </row>
    <row r="501" spans="1:3">
      <c r="A501" s="3">
        <v>4</v>
      </c>
      <c r="B501" s="2">
        <f>Walmart_Sales_raw_data!C501</f>
        <v>2073951.38</v>
      </c>
      <c r="C501" t="str">
        <f>IF(B501&gt;=Walmart_Sales_raw_data!$C$6437,"High","low")</f>
        <v>High</v>
      </c>
    </row>
    <row r="502" spans="1:3">
      <c r="A502" s="1">
        <v>4</v>
      </c>
      <c r="B502" s="2">
        <f>Walmart_Sales_raw_data!C502</f>
        <v>2141210.62</v>
      </c>
      <c r="C502" t="str">
        <f>IF(B502&gt;=Walmart_Sales_raw_data!$C$6437,"High","low")</f>
        <v>High</v>
      </c>
    </row>
    <row r="503" spans="1:3">
      <c r="A503" s="3">
        <v>4</v>
      </c>
      <c r="B503" s="2">
        <f>Walmart_Sales_raw_data!C503</f>
        <v>2008344.92</v>
      </c>
      <c r="C503" t="str">
        <f>IF(B503&gt;=Walmart_Sales_raw_data!$C$6437,"High","low")</f>
        <v>High</v>
      </c>
    </row>
    <row r="504" spans="1:3">
      <c r="A504" s="1">
        <v>4</v>
      </c>
      <c r="B504" s="2">
        <f>Walmart_Sales_raw_data!C504</f>
        <v>2051533.53</v>
      </c>
      <c r="C504" t="str">
        <f>IF(B504&gt;=Walmart_Sales_raw_data!$C$6437,"High","low")</f>
        <v>High</v>
      </c>
    </row>
    <row r="505" spans="1:3">
      <c r="A505" s="3">
        <v>4</v>
      </c>
      <c r="B505" s="2">
        <f>Walmart_Sales_raw_data!C505</f>
        <v>2066541.86</v>
      </c>
      <c r="C505" t="str">
        <f>IF(B505&gt;=Walmart_Sales_raw_data!$C$6437,"High","low")</f>
        <v>High</v>
      </c>
    </row>
    <row r="506" spans="1:3">
      <c r="A506" s="1">
        <v>4</v>
      </c>
      <c r="B506" s="2">
        <f>Walmart_Sales_raw_data!C506</f>
        <v>2049046.95</v>
      </c>
      <c r="C506" t="str">
        <f>IF(B506&gt;=Walmart_Sales_raw_data!$C$6437,"High","low")</f>
        <v>High</v>
      </c>
    </row>
    <row r="507" spans="1:3">
      <c r="A507" s="3">
        <v>4</v>
      </c>
      <c r="B507" s="2">
        <f>Walmart_Sales_raw_data!C507</f>
        <v>2036231.39</v>
      </c>
      <c r="C507" t="str">
        <f>IF(B507&gt;=Walmart_Sales_raw_data!$C$6437,"High","low")</f>
        <v>High</v>
      </c>
    </row>
    <row r="508" spans="1:3">
      <c r="A508" s="1">
        <v>4</v>
      </c>
      <c r="B508" s="2">
        <f>Walmart_Sales_raw_data!C508</f>
        <v>1989674.07</v>
      </c>
      <c r="C508" t="str">
        <f>IF(B508&gt;=Walmart_Sales_raw_data!$C$6437,"High","low")</f>
        <v>High</v>
      </c>
    </row>
    <row r="509" spans="1:3">
      <c r="A509" s="3">
        <v>4</v>
      </c>
      <c r="B509" s="2">
        <f>Walmart_Sales_raw_data!C509</f>
        <v>2160057.39</v>
      </c>
      <c r="C509" t="str">
        <f>IF(B509&gt;=Walmart_Sales_raw_data!$C$6437,"High","low")</f>
        <v>High</v>
      </c>
    </row>
    <row r="510" spans="1:3">
      <c r="A510" s="1">
        <v>4</v>
      </c>
      <c r="B510" s="2">
        <f>Walmart_Sales_raw_data!C510</f>
        <v>2105668.74</v>
      </c>
      <c r="C510" t="str">
        <f>IF(B510&gt;=Walmart_Sales_raw_data!$C$6437,"High","low")</f>
        <v>High</v>
      </c>
    </row>
    <row r="511" spans="1:3">
      <c r="A511" s="3">
        <v>4</v>
      </c>
      <c r="B511" s="2">
        <f>Walmart_Sales_raw_data!C511</f>
        <v>2232892.1</v>
      </c>
      <c r="C511" t="str">
        <f>IF(B511&gt;=Walmart_Sales_raw_data!$C$6437,"High","low")</f>
        <v>High</v>
      </c>
    </row>
    <row r="512" spans="1:3">
      <c r="A512" s="1">
        <v>4</v>
      </c>
      <c r="B512" s="2">
        <f>Walmart_Sales_raw_data!C512</f>
        <v>1988490.21</v>
      </c>
      <c r="C512" t="str">
        <f>IF(B512&gt;=Walmart_Sales_raw_data!$C$6437,"High","low")</f>
        <v>High</v>
      </c>
    </row>
    <row r="513" spans="1:3">
      <c r="A513" s="3">
        <v>4</v>
      </c>
      <c r="B513" s="2">
        <f>Walmart_Sales_raw_data!C513</f>
        <v>2078420.31</v>
      </c>
      <c r="C513" t="str">
        <f>IF(B513&gt;=Walmart_Sales_raw_data!$C$6437,"High","low")</f>
        <v>High</v>
      </c>
    </row>
    <row r="514" spans="1:3">
      <c r="A514" s="1">
        <v>4</v>
      </c>
      <c r="B514" s="2">
        <f>Walmart_Sales_raw_data!C514</f>
        <v>2093139.01</v>
      </c>
      <c r="C514" t="str">
        <f>IF(B514&gt;=Walmart_Sales_raw_data!$C$6437,"High","low")</f>
        <v>High</v>
      </c>
    </row>
    <row r="515" spans="1:3">
      <c r="A515" s="3">
        <v>4</v>
      </c>
      <c r="B515" s="2">
        <f>Walmart_Sales_raw_data!C515</f>
        <v>2075577.33</v>
      </c>
      <c r="C515" t="str">
        <f>IF(B515&gt;=Walmart_Sales_raw_data!$C$6437,"High","low")</f>
        <v>High</v>
      </c>
    </row>
    <row r="516" spans="1:3">
      <c r="A516" s="1">
        <v>4</v>
      </c>
      <c r="B516" s="2">
        <f>Walmart_Sales_raw_data!C516</f>
        <v>2031406.41</v>
      </c>
      <c r="C516" t="str">
        <f>IF(B516&gt;=Walmart_Sales_raw_data!$C$6437,"High","low")</f>
        <v>High</v>
      </c>
    </row>
    <row r="517" spans="1:3">
      <c r="A517" s="3">
        <v>4</v>
      </c>
      <c r="B517" s="2">
        <f>Walmart_Sales_raw_data!C517</f>
        <v>1929486.63</v>
      </c>
      <c r="C517" t="str">
        <f>IF(B517&gt;=Walmart_Sales_raw_data!$C$6437,"High","low")</f>
        <v>High</v>
      </c>
    </row>
    <row r="518" spans="1:3">
      <c r="A518" s="1">
        <v>4</v>
      </c>
      <c r="B518" s="2">
        <f>Walmart_Sales_raw_data!C518</f>
        <v>2166737.65</v>
      </c>
      <c r="C518" t="str">
        <f>IF(B518&gt;=Walmart_Sales_raw_data!$C$6437,"High","low")</f>
        <v>High</v>
      </c>
    </row>
    <row r="519" spans="1:3">
      <c r="A519" s="3">
        <v>4</v>
      </c>
      <c r="B519" s="2">
        <f>Walmart_Sales_raw_data!C519</f>
        <v>2074548.85</v>
      </c>
      <c r="C519" t="str">
        <f>IF(B519&gt;=Walmart_Sales_raw_data!$C$6437,"High","low")</f>
        <v>High</v>
      </c>
    </row>
    <row r="520" spans="1:3">
      <c r="A520" s="1">
        <v>4</v>
      </c>
      <c r="B520" s="2">
        <f>Walmart_Sales_raw_data!C520</f>
        <v>2207742.13</v>
      </c>
      <c r="C520" t="str">
        <f>IF(B520&gt;=Walmart_Sales_raw_data!$C$6437,"High","low")</f>
        <v>High</v>
      </c>
    </row>
    <row r="521" spans="1:3">
      <c r="A521" s="3">
        <v>4</v>
      </c>
      <c r="B521" s="2">
        <f>Walmart_Sales_raw_data!C521</f>
        <v>2151659.59</v>
      </c>
      <c r="C521" t="str">
        <f>IF(B521&gt;=Walmart_Sales_raw_data!$C$6437,"High","low")</f>
        <v>High</v>
      </c>
    </row>
    <row r="522" spans="1:3">
      <c r="A522" s="1">
        <v>4</v>
      </c>
      <c r="B522" s="2">
        <f>Walmart_Sales_raw_data!C522</f>
        <v>2281217.31</v>
      </c>
      <c r="C522" t="str">
        <f>IF(B522&gt;=Walmart_Sales_raw_data!$C$6437,"High","low")</f>
        <v>High</v>
      </c>
    </row>
    <row r="523" spans="1:3">
      <c r="A523" s="3">
        <v>4</v>
      </c>
      <c r="B523" s="2">
        <f>Walmart_Sales_raw_data!C523</f>
        <v>2203028.96</v>
      </c>
      <c r="C523" t="str">
        <f>IF(B523&gt;=Walmart_Sales_raw_data!$C$6437,"High","low")</f>
        <v>High</v>
      </c>
    </row>
    <row r="524" spans="1:3">
      <c r="A524" s="1">
        <v>4</v>
      </c>
      <c r="B524" s="2">
        <f>Walmart_Sales_raw_data!C524</f>
        <v>2243946.59</v>
      </c>
      <c r="C524" t="str">
        <f>IF(B524&gt;=Walmart_Sales_raw_data!$C$6437,"High","low")</f>
        <v>High</v>
      </c>
    </row>
    <row r="525" spans="1:3">
      <c r="A525" s="3">
        <v>4</v>
      </c>
      <c r="B525" s="2">
        <f>Walmart_Sales_raw_data!C525</f>
        <v>3004702.33</v>
      </c>
      <c r="C525" t="str">
        <f>IF(B525&gt;=Walmart_Sales_raw_data!$C$6437,"High","low")</f>
        <v>High</v>
      </c>
    </row>
    <row r="526" spans="1:3">
      <c r="A526" s="1">
        <v>4</v>
      </c>
      <c r="B526" s="2">
        <f>Walmart_Sales_raw_data!C526</f>
        <v>2180999.26</v>
      </c>
      <c r="C526" t="str">
        <f>IF(B526&gt;=Walmart_Sales_raw_data!$C$6437,"High","low")</f>
        <v>High</v>
      </c>
    </row>
    <row r="527" spans="1:3">
      <c r="A527" s="3">
        <v>4</v>
      </c>
      <c r="B527" s="2">
        <f>Walmart_Sales_raw_data!C527</f>
        <v>2508955.24</v>
      </c>
      <c r="C527" t="str">
        <f>IF(B527&gt;=Walmart_Sales_raw_data!$C$6437,"High","low")</f>
        <v>High</v>
      </c>
    </row>
    <row r="528" spans="1:3">
      <c r="A528" s="1">
        <v>4</v>
      </c>
      <c r="B528" s="2">
        <f>Walmart_Sales_raw_data!C528</f>
        <v>2771397.17</v>
      </c>
      <c r="C528" t="str">
        <f>IF(B528&gt;=Walmart_Sales_raw_data!$C$6437,"High","low")</f>
        <v>High</v>
      </c>
    </row>
    <row r="529" spans="1:3">
      <c r="A529" s="3">
        <v>4</v>
      </c>
      <c r="B529" s="2">
        <f>Walmart_Sales_raw_data!C529</f>
        <v>3676388.98</v>
      </c>
      <c r="C529" t="str">
        <f>IF(B529&gt;=Walmart_Sales_raw_data!$C$6437,"High","low")</f>
        <v>High</v>
      </c>
    </row>
    <row r="530" spans="1:3">
      <c r="A530" s="1">
        <v>4</v>
      </c>
      <c r="B530" s="2">
        <f>Walmart_Sales_raw_data!C530</f>
        <v>2007105.86</v>
      </c>
      <c r="C530" t="str">
        <f>IF(B530&gt;=Walmart_Sales_raw_data!$C$6437,"High","low")</f>
        <v>High</v>
      </c>
    </row>
    <row r="531" spans="1:3">
      <c r="A531" s="3">
        <v>4</v>
      </c>
      <c r="B531" s="2">
        <f>Walmart_Sales_raw_data!C531</f>
        <v>2047766.07</v>
      </c>
      <c r="C531" t="str">
        <f>IF(B531&gt;=Walmart_Sales_raw_data!$C$6437,"High","low")</f>
        <v>High</v>
      </c>
    </row>
    <row r="532" spans="1:3">
      <c r="A532" s="1">
        <v>4</v>
      </c>
      <c r="B532" s="2">
        <f>Walmart_Sales_raw_data!C532</f>
        <v>1941676.61</v>
      </c>
      <c r="C532" t="str">
        <f>IF(B532&gt;=Walmart_Sales_raw_data!$C$6437,"High","low")</f>
        <v>High</v>
      </c>
    </row>
    <row r="533" spans="1:3">
      <c r="A533" s="3">
        <v>4</v>
      </c>
      <c r="B533" s="2">
        <f>Walmart_Sales_raw_data!C533</f>
        <v>2005097.76</v>
      </c>
      <c r="C533" t="str">
        <f>IF(B533&gt;=Walmart_Sales_raw_data!$C$6437,"High","low")</f>
        <v>High</v>
      </c>
    </row>
    <row r="534" spans="1:3">
      <c r="A534" s="1">
        <v>4</v>
      </c>
      <c r="B534" s="2">
        <f>Walmart_Sales_raw_data!C534</f>
        <v>1928720.51</v>
      </c>
      <c r="C534" t="str">
        <f>IF(B534&gt;=Walmart_Sales_raw_data!$C$6437,"High","low")</f>
        <v>High</v>
      </c>
    </row>
    <row r="535" spans="1:3">
      <c r="A535" s="3">
        <v>4</v>
      </c>
      <c r="B535" s="2">
        <f>Walmart_Sales_raw_data!C535</f>
        <v>2173373.91</v>
      </c>
      <c r="C535" t="str">
        <f>IF(B535&gt;=Walmart_Sales_raw_data!$C$6437,"High","low")</f>
        <v>High</v>
      </c>
    </row>
    <row r="536" spans="1:3">
      <c r="A536" s="1">
        <v>4</v>
      </c>
      <c r="B536" s="2">
        <f>Walmart_Sales_raw_data!C536</f>
        <v>2374660.64</v>
      </c>
      <c r="C536" t="str">
        <f>IF(B536&gt;=Walmart_Sales_raw_data!$C$6437,"High","low")</f>
        <v>High</v>
      </c>
    </row>
    <row r="537" spans="1:3">
      <c r="A537" s="3">
        <v>4</v>
      </c>
      <c r="B537" s="2">
        <f>Walmart_Sales_raw_data!C537</f>
        <v>2427640.17</v>
      </c>
      <c r="C537" t="str">
        <f>IF(B537&gt;=Walmart_Sales_raw_data!$C$6437,"High","low")</f>
        <v>High</v>
      </c>
    </row>
    <row r="538" spans="1:3">
      <c r="A538" s="1">
        <v>4</v>
      </c>
      <c r="B538" s="2">
        <f>Walmart_Sales_raw_data!C538</f>
        <v>2226662.17</v>
      </c>
      <c r="C538" t="str">
        <f>IF(B538&gt;=Walmart_Sales_raw_data!$C$6437,"High","low")</f>
        <v>High</v>
      </c>
    </row>
    <row r="539" spans="1:3">
      <c r="A539" s="3">
        <v>4</v>
      </c>
      <c r="B539" s="2">
        <f>Walmart_Sales_raw_data!C539</f>
        <v>2206319.9</v>
      </c>
      <c r="C539" t="str">
        <f>IF(B539&gt;=Walmart_Sales_raw_data!$C$6437,"High","low")</f>
        <v>High</v>
      </c>
    </row>
    <row r="540" spans="1:3">
      <c r="A540" s="1">
        <v>4</v>
      </c>
      <c r="B540" s="2">
        <f>Walmart_Sales_raw_data!C540</f>
        <v>2202450.81</v>
      </c>
      <c r="C540" t="str">
        <f>IF(B540&gt;=Walmart_Sales_raw_data!$C$6437,"High","low")</f>
        <v>High</v>
      </c>
    </row>
    <row r="541" spans="1:3">
      <c r="A541" s="3">
        <v>4</v>
      </c>
      <c r="B541" s="2">
        <f>Walmart_Sales_raw_data!C541</f>
        <v>2214967.44</v>
      </c>
      <c r="C541" t="str">
        <f>IF(B541&gt;=Walmart_Sales_raw_data!$C$6437,"High","low")</f>
        <v>High</v>
      </c>
    </row>
    <row r="542" spans="1:3">
      <c r="A542" s="1">
        <v>4</v>
      </c>
      <c r="B542" s="2">
        <f>Walmart_Sales_raw_data!C542</f>
        <v>2091592.54</v>
      </c>
      <c r="C542" t="str">
        <f>IF(B542&gt;=Walmart_Sales_raw_data!$C$6437,"High","low")</f>
        <v>High</v>
      </c>
    </row>
    <row r="543" spans="1:3">
      <c r="A543" s="3">
        <v>4</v>
      </c>
      <c r="B543" s="2">
        <f>Walmart_Sales_raw_data!C543</f>
        <v>2089381.77</v>
      </c>
      <c r="C543" t="str">
        <f>IF(B543&gt;=Walmart_Sales_raw_data!$C$6437,"High","low")</f>
        <v>High</v>
      </c>
    </row>
    <row r="544" spans="1:3">
      <c r="A544" s="1">
        <v>4</v>
      </c>
      <c r="B544" s="2">
        <f>Walmart_Sales_raw_data!C544</f>
        <v>2470206.13</v>
      </c>
      <c r="C544" t="str">
        <f>IF(B544&gt;=Walmart_Sales_raw_data!$C$6437,"High","low")</f>
        <v>High</v>
      </c>
    </row>
    <row r="545" spans="1:3">
      <c r="A545" s="3">
        <v>4</v>
      </c>
      <c r="B545" s="2">
        <f>Walmart_Sales_raw_data!C545</f>
        <v>2105301.39</v>
      </c>
      <c r="C545" t="str">
        <f>IF(B545&gt;=Walmart_Sales_raw_data!$C$6437,"High","low")</f>
        <v>High</v>
      </c>
    </row>
    <row r="546" spans="1:3">
      <c r="A546" s="1">
        <v>4</v>
      </c>
      <c r="B546" s="2">
        <f>Walmart_Sales_raw_data!C546</f>
        <v>2144336.89</v>
      </c>
      <c r="C546" t="str">
        <f>IF(B546&gt;=Walmart_Sales_raw_data!$C$6437,"High","low")</f>
        <v>High</v>
      </c>
    </row>
    <row r="547" spans="1:3">
      <c r="A547" s="3">
        <v>4</v>
      </c>
      <c r="B547" s="2">
        <f>Walmart_Sales_raw_data!C547</f>
        <v>2064065.66</v>
      </c>
      <c r="C547" t="str">
        <f>IF(B547&gt;=Walmart_Sales_raw_data!$C$6437,"High","low")</f>
        <v>High</v>
      </c>
    </row>
    <row r="548" spans="1:3">
      <c r="A548" s="1">
        <v>4</v>
      </c>
      <c r="B548" s="2">
        <f>Walmart_Sales_raw_data!C548</f>
        <v>2196968.33</v>
      </c>
      <c r="C548" t="str">
        <f>IF(B548&gt;=Walmart_Sales_raw_data!$C$6437,"High","low")</f>
        <v>High</v>
      </c>
    </row>
    <row r="549" spans="1:3">
      <c r="A549" s="3">
        <v>4</v>
      </c>
      <c r="B549" s="2">
        <f>Walmart_Sales_raw_data!C549</f>
        <v>2127661.17</v>
      </c>
      <c r="C549" t="str">
        <f>IF(B549&gt;=Walmart_Sales_raw_data!$C$6437,"High","low")</f>
        <v>High</v>
      </c>
    </row>
    <row r="550" spans="1:3">
      <c r="A550" s="1">
        <v>4</v>
      </c>
      <c r="B550" s="2">
        <f>Walmart_Sales_raw_data!C550</f>
        <v>2207214.81</v>
      </c>
      <c r="C550" t="str">
        <f>IF(B550&gt;=Walmart_Sales_raw_data!$C$6437,"High","low")</f>
        <v>High</v>
      </c>
    </row>
    <row r="551" spans="1:3">
      <c r="A551" s="3">
        <v>4</v>
      </c>
      <c r="B551" s="2">
        <f>Walmart_Sales_raw_data!C551</f>
        <v>2154137.67</v>
      </c>
      <c r="C551" t="str">
        <f>IF(B551&gt;=Walmart_Sales_raw_data!$C$6437,"High","low")</f>
        <v>High</v>
      </c>
    </row>
    <row r="552" spans="1:3">
      <c r="A552" s="1">
        <v>4</v>
      </c>
      <c r="B552" s="2">
        <f>Walmart_Sales_raw_data!C552</f>
        <v>2179360.94</v>
      </c>
      <c r="C552" t="str">
        <f>IF(B552&gt;=Walmart_Sales_raw_data!$C$6437,"High","low")</f>
        <v>High</v>
      </c>
    </row>
    <row r="553" spans="1:3">
      <c r="A553" s="3">
        <v>4</v>
      </c>
      <c r="B553" s="2">
        <f>Walmart_Sales_raw_data!C553</f>
        <v>2245257.18</v>
      </c>
      <c r="C553" t="str">
        <f>IF(B553&gt;=Walmart_Sales_raw_data!$C$6437,"High","low")</f>
        <v>High</v>
      </c>
    </row>
    <row r="554" spans="1:3">
      <c r="A554" s="1">
        <v>4</v>
      </c>
      <c r="B554" s="2">
        <f>Walmart_Sales_raw_data!C554</f>
        <v>2234190.93</v>
      </c>
      <c r="C554" t="str">
        <f>IF(B554&gt;=Walmart_Sales_raw_data!$C$6437,"High","low")</f>
        <v>High</v>
      </c>
    </row>
    <row r="555" spans="1:3">
      <c r="A555" s="3">
        <v>4</v>
      </c>
      <c r="B555" s="2">
        <f>Walmart_Sales_raw_data!C555</f>
        <v>2197299.65</v>
      </c>
      <c r="C555" t="str">
        <f>IF(B555&gt;=Walmart_Sales_raw_data!$C$6437,"High","low")</f>
        <v>High</v>
      </c>
    </row>
    <row r="556" spans="1:3">
      <c r="A556" s="1">
        <v>4</v>
      </c>
      <c r="B556" s="2">
        <f>Walmart_Sales_raw_data!C556</f>
        <v>2128362.92</v>
      </c>
      <c r="C556" t="str">
        <f>IF(B556&gt;=Walmart_Sales_raw_data!$C$6437,"High","low")</f>
        <v>High</v>
      </c>
    </row>
    <row r="557" spans="1:3">
      <c r="A557" s="3">
        <v>4</v>
      </c>
      <c r="B557" s="2">
        <f>Walmart_Sales_raw_data!C557</f>
        <v>2224499.28</v>
      </c>
      <c r="C557" t="str">
        <f>IF(B557&gt;=Walmart_Sales_raw_data!$C$6437,"High","low")</f>
        <v>High</v>
      </c>
    </row>
    <row r="558" spans="1:3">
      <c r="A558" s="1">
        <v>4</v>
      </c>
      <c r="B558" s="2">
        <f>Walmart_Sales_raw_data!C558</f>
        <v>2100252.61</v>
      </c>
      <c r="C558" t="str">
        <f>IF(B558&gt;=Walmart_Sales_raw_data!$C$6437,"High","low")</f>
        <v>High</v>
      </c>
    </row>
    <row r="559" spans="1:3">
      <c r="A559" s="3">
        <v>4</v>
      </c>
      <c r="B559" s="2">
        <f>Walmart_Sales_raw_data!C559</f>
        <v>2175563.69</v>
      </c>
      <c r="C559" t="str">
        <f>IF(B559&gt;=Walmart_Sales_raw_data!$C$6437,"High","low")</f>
        <v>High</v>
      </c>
    </row>
    <row r="560" spans="1:3">
      <c r="A560" s="1">
        <v>4</v>
      </c>
      <c r="B560" s="2">
        <f>Walmart_Sales_raw_data!C560</f>
        <v>2048613.65</v>
      </c>
      <c r="C560" t="str">
        <f>IF(B560&gt;=Walmart_Sales_raw_data!$C$6437,"High","low")</f>
        <v>High</v>
      </c>
    </row>
    <row r="561" spans="1:3">
      <c r="A561" s="3">
        <v>4</v>
      </c>
      <c r="B561" s="2">
        <f>Walmart_Sales_raw_data!C561</f>
        <v>2174514.13</v>
      </c>
      <c r="C561" t="str">
        <f>IF(B561&gt;=Walmart_Sales_raw_data!$C$6437,"High","low")</f>
        <v>High</v>
      </c>
    </row>
    <row r="562" spans="1:3">
      <c r="A562" s="1">
        <v>4</v>
      </c>
      <c r="B562" s="2">
        <f>Walmart_Sales_raw_data!C562</f>
        <v>2193367.69</v>
      </c>
      <c r="C562" t="str">
        <f>IF(B562&gt;=Walmart_Sales_raw_data!$C$6437,"High","low")</f>
        <v>High</v>
      </c>
    </row>
    <row r="563" spans="1:3">
      <c r="A563" s="3">
        <v>4</v>
      </c>
      <c r="B563" s="2">
        <f>Walmart_Sales_raw_data!C563</f>
        <v>2283540.3</v>
      </c>
      <c r="C563" t="str">
        <f>IF(B563&gt;=Walmart_Sales_raw_data!$C$6437,"High","low")</f>
        <v>High</v>
      </c>
    </row>
    <row r="564" spans="1:3">
      <c r="A564" s="1">
        <v>4</v>
      </c>
      <c r="B564" s="2">
        <f>Walmart_Sales_raw_data!C564</f>
        <v>2125241.68</v>
      </c>
      <c r="C564" t="str">
        <f>IF(B564&gt;=Walmart_Sales_raw_data!$C$6437,"High","low")</f>
        <v>High</v>
      </c>
    </row>
    <row r="565" spans="1:3">
      <c r="A565" s="3">
        <v>4</v>
      </c>
      <c r="B565" s="2">
        <f>Walmart_Sales_raw_data!C565</f>
        <v>2081181.35</v>
      </c>
      <c r="C565" t="str">
        <f>IF(B565&gt;=Walmart_Sales_raw_data!$C$6437,"High","low")</f>
        <v>High</v>
      </c>
    </row>
    <row r="566" spans="1:3">
      <c r="A566" s="1">
        <v>4</v>
      </c>
      <c r="B566" s="2">
        <f>Walmart_Sales_raw_data!C566</f>
        <v>2125104.72</v>
      </c>
      <c r="C566" t="str">
        <f>IF(B566&gt;=Walmart_Sales_raw_data!$C$6437,"High","low")</f>
        <v>High</v>
      </c>
    </row>
    <row r="567" spans="1:3">
      <c r="A567" s="3">
        <v>4</v>
      </c>
      <c r="B567" s="2">
        <f>Walmart_Sales_raw_data!C567</f>
        <v>2117854.6</v>
      </c>
      <c r="C567" t="str">
        <f>IF(B567&gt;=Walmart_Sales_raw_data!$C$6437,"High","low")</f>
        <v>High</v>
      </c>
    </row>
    <row r="568" spans="1:3">
      <c r="A568" s="1">
        <v>4</v>
      </c>
      <c r="B568" s="2">
        <f>Walmart_Sales_raw_data!C568</f>
        <v>2119438.53</v>
      </c>
      <c r="C568" t="str">
        <f>IF(B568&gt;=Walmart_Sales_raw_data!$C$6437,"High","low")</f>
        <v>High</v>
      </c>
    </row>
    <row r="569" spans="1:3">
      <c r="A569" s="3">
        <v>4</v>
      </c>
      <c r="B569" s="2">
        <f>Walmart_Sales_raw_data!C569</f>
        <v>2027620.23</v>
      </c>
      <c r="C569" t="str">
        <f>IF(B569&gt;=Walmart_Sales_raw_data!$C$6437,"High","low")</f>
        <v>High</v>
      </c>
    </row>
    <row r="570" spans="1:3">
      <c r="A570" s="1">
        <v>4</v>
      </c>
      <c r="B570" s="2">
        <f>Walmart_Sales_raw_data!C570</f>
        <v>2209835.43</v>
      </c>
      <c r="C570" t="str">
        <f>IF(B570&gt;=Walmart_Sales_raw_data!$C$6437,"High","low")</f>
        <v>High</v>
      </c>
    </row>
    <row r="571" spans="1:3">
      <c r="A571" s="3">
        <v>4</v>
      </c>
      <c r="B571" s="2">
        <f>Walmart_Sales_raw_data!C571</f>
        <v>2133026.07</v>
      </c>
      <c r="C571" t="str">
        <f>IF(B571&gt;=Walmart_Sales_raw_data!$C$6437,"High","low")</f>
        <v>High</v>
      </c>
    </row>
    <row r="572" spans="1:3">
      <c r="A572" s="1">
        <v>4</v>
      </c>
      <c r="B572" s="2">
        <f>Walmart_Sales_raw_data!C572</f>
        <v>2097266.85</v>
      </c>
      <c r="C572" t="str">
        <f>IF(B572&gt;=Walmart_Sales_raw_data!$C$6437,"High","low")</f>
        <v>High</v>
      </c>
    </row>
    <row r="573" spans="1:3">
      <c r="A573" s="3">
        <v>4</v>
      </c>
      <c r="B573" s="2">
        <f>Walmart_Sales_raw_data!C573</f>
        <v>2149594.46</v>
      </c>
      <c r="C573" t="str">
        <f>IF(B573&gt;=Walmart_Sales_raw_data!$C$6437,"High","low")</f>
        <v>High</v>
      </c>
    </row>
    <row r="574" spans="1:3">
      <c r="A574" s="1">
        <v>5</v>
      </c>
      <c r="B574" s="2">
        <f>Walmart_Sales_raw_data!C574</f>
        <v>317173.1</v>
      </c>
      <c r="C574" t="str">
        <f>IF(B574&gt;=Walmart_Sales_raw_data!$C$6437,"High","low")</f>
        <v>low</v>
      </c>
    </row>
    <row r="575" spans="1:3">
      <c r="A575" s="3">
        <v>5</v>
      </c>
      <c r="B575" s="2">
        <f>Walmart_Sales_raw_data!C575</f>
        <v>311825.7</v>
      </c>
      <c r="C575" t="str">
        <f>IF(B575&gt;=Walmart_Sales_raw_data!$C$6437,"High","low")</f>
        <v>low</v>
      </c>
    </row>
    <row r="576" spans="1:3">
      <c r="A576" s="1">
        <v>5</v>
      </c>
      <c r="B576" s="2">
        <f>Walmart_Sales_raw_data!C576</f>
        <v>303447.57</v>
      </c>
      <c r="C576" t="str">
        <f>IF(B576&gt;=Walmart_Sales_raw_data!$C$6437,"High","low")</f>
        <v>low</v>
      </c>
    </row>
    <row r="577" spans="1:3">
      <c r="A577" s="3">
        <v>5</v>
      </c>
      <c r="B577" s="2">
        <f>Walmart_Sales_raw_data!C577</f>
        <v>270281.63</v>
      </c>
      <c r="C577" t="str">
        <f>IF(B577&gt;=Walmart_Sales_raw_data!$C$6437,"High","low")</f>
        <v>low</v>
      </c>
    </row>
    <row r="578" spans="1:3">
      <c r="A578" s="1">
        <v>5</v>
      </c>
      <c r="B578" s="2">
        <f>Walmart_Sales_raw_data!C578</f>
        <v>288855.71</v>
      </c>
      <c r="C578" t="str">
        <f>IF(B578&gt;=Walmart_Sales_raw_data!$C$6437,"High","low")</f>
        <v>low</v>
      </c>
    </row>
    <row r="579" spans="1:3">
      <c r="A579" s="3">
        <v>5</v>
      </c>
      <c r="B579" s="2">
        <f>Walmart_Sales_raw_data!C579</f>
        <v>297293.59</v>
      </c>
      <c r="C579" t="str">
        <f>IF(B579&gt;=Walmart_Sales_raw_data!$C$6437,"High","low")</f>
        <v>low</v>
      </c>
    </row>
    <row r="580" spans="1:3">
      <c r="A580" s="1">
        <v>5</v>
      </c>
      <c r="B580" s="2">
        <f>Walmart_Sales_raw_data!C580</f>
        <v>281706.41</v>
      </c>
      <c r="C580" t="str">
        <f>IF(B580&gt;=Walmart_Sales_raw_data!$C$6437,"High","low")</f>
        <v>low</v>
      </c>
    </row>
    <row r="581" spans="1:3">
      <c r="A581" s="3">
        <v>5</v>
      </c>
      <c r="B581" s="2">
        <f>Walmart_Sales_raw_data!C581</f>
        <v>273282.97</v>
      </c>
      <c r="C581" t="str">
        <f>IF(B581&gt;=Walmart_Sales_raw_data!$C$6437,"High","low")</f>
        <v>low</v>
      </c>
    </row>
    <row r="582" spans="1:3">
      <c r="A582" s="1">
        <v>5</v>
      </c>
      <c r="B582" s="2">
        <f>Walmart_Sales_raw_data!C582</f>
        <v>331406</v>
      </c>
      <c r="C582" t="str">
        <f>IF(B582&gt;=Walmart_Sales_raw_data!$C$6437,"High","low")</f>
        <v>low</v>
      </c>
    </row>
    <row r="583" spans="1:3">
      <c r="A583" s="3">
        <v>5</v>
      </c>
      <c r="B583" s="2">
        <f>Walmart_Sales_raw_data!C583</f>
        <v>328020.49</v>
      </c>
      <c r="C583" t="str">
        <f>IF(B583&gt;=Walmart_Sales_raw_data!$C$6437,"High","low")</f>
        <v>low</v>
      </c>
    </row>
    <row r="584" spans="1:3">
      <c r="A584" s="1">
        <v>5</v>
      </c>
      <c r="B584" s="2">
        <f>Walmart_Sales_raw_data!C584</f>
        <v>306858.69</v>
      </c>
      <c r="C584" t="str">
        <f>IF(B584&gt;=Walmart_Sales_raw_data!$C$6437,"High","low")</f>
        <v>low</v>
      </c>
    </row>
    <row r="585" spans="1:3">
      <c r="A585" s="3">
        <v>5</v>
      </c>
      <c r="B585" s="2">
        <f>Walmart_Sales_raw_data!C585</f>
        <v>288839.73</v>
      </c>
      <c r="C585" t="str">
        <f>IF(B585&gt;=Walmart_Sales_raw_data!$C$6437,"High","low")</f>
        <v>low</v>
      </c>
    </row>
    <row r="586" spans="1:3">
      <c r="A586" s="1">
        <v>5</v>
      </c>
      <c r="B586" s="2">
        <f>Walmart_Sales_raw_data!C586</f>
        <v>298697.84</v>
      </c>
      <c r="C586" t="str">
        <f>IF(B586&gt;=Walmart_Sales_raw_data!$C$6437,"High","low")</f>
        <v>low</v>
      </c>
    </row>
    <row r="587" spans="1:3">
      <c r="A587" s="3">
        <v>5</v>
      </c>
      <c r="B587" s="2">
        <f>Walmart_Sales_raw_data!C587</f>
        <v>333522.6</v>
      </c>
      <c r="C587" t="str">
        <f>IF(B587&gt;=Walmart_Sales_raw_data!$C$6437,"High","low")</f>
        <v>low</v>
      </c>
    </row>
    <row r="588" spans="1:3">
      <c r="A588" s="1">
        <v>5</v>
      </c>
      <c r="B588" s="2">
        <f>Walmart_Sales_raw_data!C588</f>
        <v>296673.77</v>
      </c>
      <c r="C588" t="str">
        <f>IF(B588&gt;=Walmart_Sales_raw_data!$C$6437,"High","low")</f>
        <v>low</v>
      </c>
    </row>
    <row r="589" spans="1:3">
      <c r="A589" s="3">
        <v>5</v>
      </c>
      <c r="B589" s="2">
        <f>Walmart_Sales_raw_data!C589</f>
        <v>301615.49</v>
      </c>
      <c r="C589" t="str">
        <f>IF(B589&gt;=Walmart_Sales_raw_data!$C$6437,"High","low")</f>
        <v>low</v>
      </c>
    </row>
    <row r="590" spans="1:3">
      <c r="A590" s="1">
        <v>5</v>
      </c>
      <c r="B590" s="2">
        <f>Walmart_Sales_raw_data!C590</f>
        <v>310013.11</v>
      </c>
      <c r="C590" t="str">
        <f>IF(B590&gt;=Walmart_Sales_raw_data!$C$6437,"High","low")</f>
        <v>low</v>
      </c>
    </row>
    <row r="591" spans="1:3">
      <c r="A591" s="3">
        <v>5</v>
      </c>
      <c r="B591" s="2">
        <f>Walmart_Sales_raw_data!C591</f>
        <v>337825.89</v>
      </c>
      <c r="C591" t="str">
        <f>IF(B591&gt;=Walmart_Sales_raw_data!$C$6437,"High","low")</f>
        <v>low</v>
      </c>
    </row>
    <row r="592" spans="1:3">
      <c r="A592" s="1">
        <v>5</v>
      </c>
      <c r="B592" s="2">
        <f>Walmart_Sales_raw_data!C592</f>
        <v>296641.91</v>
      </c>
      <c r="C592" t="str">
        <f>IF(B592&gt;=Walmart_Sales_raw_data!$C$6437,"High","low")</f>
        <v>low</v>
      </c>
    </row>
    <row r="593" spans="1:3">
      <c r="A593" s="3">
        <v>5</v>
      </c>
      <c r="B593" s="2">
        <f>Walmart_Sales_raw_data!C593</f>
        <v>313795.6</v>
      </c>
      <c r="C593" t="str">
        <f>IF(B593&gt;=Walmart_Sales_raw_data!$C$6437,"High","low")</f>
        <v>low</v>
      </c>
    </row>
    <row r="594" spans="1:3">
      <c r="A594" s="1">
        <v>5</v>
      </c>
      <c r="B594" s="2">
        <f>Walmart_Sales_raw_data!C594</f>
        <v>295257.3</v>
      </c>
      <c r="C594" t="str">
        <f>IF(B594&gt;=Walmart_Sales_raw_data!$C$6437,"High","low")</f>
        <v>low</v>
      </c>
    </row>
    <row r="595" spans="1:3">
      <c r="A595" s="3">
        <v>5</v>
      </c>
      <c r="B595" s="2">
        <f>Walmart_Sales_raw_data!C595</f>
        <v>305993.27</v>
      </c>
      <c r="C595" t="str">
        <f>IF(B595&gt;=Walmart_Sales_raw_data!$C$6437,"High","low")</f>
        <v>low</v>
      </c>
    </row>
    <row r="596" spans="1:3">
      <c r="A596" s="1">
        <v>5</v>
      </c>
      <c r="B596" s="2">
        <f>Walmart_Sales_raw_data!C596</f>
        <v>291808.87</v>
      </c>
      <c r="C596" t="str">
        <f>IF(B596&gt;=Walmart_Sales_raw_data!$C$6437,"High","low")</f>
        <v>low</v>
      </c>
    </row>
    <row r="597" spans="1:3">
      <c r="A597" s="3">
        <v>5</v>
      </c>
      <c r="B597" s="2">
        <f>Walmart_Sales_raw_data!C597</f>
        <v>280701.7</v>
      </c>
      <c r="C597" t="str">
        <f>IF(B597&gt;=Walmart_Sales_raw_data!$C$6437,"High","low")</f>
        <v>low</v>
      </c>
    </row>
    <row r="598" spans="1:3">
      <c r="A598" s="1">
        <v>5</v>
      </c>
      <c r="B598" s="2">
        <f>Walmart_Sales_raw_data!C598</f>
        <v>274742.63</v>
      </c>
      <c r="C598" t="str">
        <f>IF(B598&gt;=Walmart_Sales_raw_data!$C$6437,"High","low")</f>
        <v>low</v>
      </c>
    </row>
    <row r="599" spans="1:3">
      <c r="A599" s="3">
        <v>5</v>
      </c>
      <c r="B599" s="2">
        <f>Walmart_Sales_raw_data!C599</f>
        <v>268929.03</v>
      </c>
      <c r="C599" t="str">
        <f>IF(B599&gt;=Walmart_Sales_raw_data!$C$6437,"High","low")</f>
        <v>low</v>
      </c>
    </row>
    <row r="600" spans="1:3">
      <c r="A600" s="1">
        <v>5</v>
      </c>
      <c r="B600" s="2">
        <f>Walmart_Sales_raw_data!C600</f>
        <v>303043.02</v>
      </c>
      <c r="C600" t="str">
        <f>IF(B600&gt;=Walmart_Sales_raw_data!$C$6437,"High","low")</f>
        <v>low</v>
      </c>
    </row>
    <row r="601" spans="1:3">
      <c r="A601" s="3">
        <v>5</v>
      </c>
      <c r="B601" s="2">
        <f>Walmart_Sales_raw_data!C601</f>
        <v>286477.35</v>
      </c>
      <c r="C601" t="str">
        <f>IF(B601&gt;=Walmart_Sales_raw_data!$C$6437,"High","low")</f>
        <v>low</v>
      </c>
    </row>
    <row r="602" spans="1:3">
      <c r="A602" s="1">
        <v>5</v>
      </c>
      <c r="B602" s="2">
        <f>Walmart_Sales_raw_data!C602</f>
        <v>287205.38</v>
      </c>
      <c r="C602" t="str">
        <f>IF(B602&gt;=Walmart_Sales_raw_data!$C$6437,"High","low")</f>
        <v>low</v>
      </c>
    </row>
    <row r="603" spans="1:3">
      <c r="A603" s="3">
        <v>5</v>
      </c>
      <c r="B603" s="2">
        <f>Walmart_Sales_raw_data!C603</f>
        <v>288519.75</v>
      </c>
      <c r="C603" t="str">
        <f>IF(B603&gt;=Walmart_Sales_raw_data!$C$6437,"High","low")</f>
        <v>low</v>
      </c>
    </row>
    <row r="604" spans="1:3">
      <c r="A604" s="1">
        <v>5</v>
      </c>
      <c r="B604" s="2">
        <f>Walmart_Sales_raw_data!C604</f>
        <v>323798</v>
      </c>
      <c r="C604" t="str">
        <f>IF(B604&gt;=Walmart_Sales_raw_data!$C$6437,"High","low")</f>
        <v>low</v>
      </c>
    </row>
    <row r="605" spans="1:3">
      <c r="A605" s="3">
        <v>5</v>
      </c>
      <c r="B605" s="2">
        <f>Walmart_Sales_raw_data!C605</f>
        <v>306533.08</v>
      </c>
      <c r="C605" t="str">
        <f>IF(B605&gt;=Walmart_Sales_raw_data!$C$6437,"High","low")</f>
        <v>low</v>
      </c>
    </row>
    <row r="606" spans="1:3">
      <c r="A606" s="1">
        <v>5</v>
      </c>
      <c r="B606" s="2">
        <f>Walmart_Sales_raw_data!C606</f>
        <v>282558.65</v>
      </c>
      <c r="C606" t="str">
        <f>IF(B606&gt;=Walmart_Sales_raw_data!$C$6437,"High","low")</f>
        <v>low</v>
      </c>
    </row>
    <row r="607" spans="1:3">
      <c r="A607" s="3">
        <v>5</v>
      </c>
      <c r="B607" s="2">
        <f>Walmart_Sales_raw_data!C607</f>
        <v>293131.58</v>
      </c>
      <c r="C607" t="str">
        <f>IF(B607&gt;=Walmart_Sales_raw_data!$C$6437,"High","low")</f>
        <v>low</v>
      </c>
    </row>
    <row r="608" spans="1:3">
      <c r="A608" s="1">
        <v>5</v>
      </c>
      <c r="B608" s="2">
        <f>Walmart_Sales_raw_data!C608</f>
        <v>283178.12</v>
      </c>
      <c r="C608" t="str">
        <f>IF(B608&gt;=Walmart_Sales_raw_data!$C$6437,"High","low")</f>
        <v>low</v>
      </c>
    </row>
    <row r="609" spans="1:3">
      <c r="A609" s="3">
        <v>5</v>
      </c>
      <c r="B609" s="2">
        <f>Walmart_Sales_raw_data!C609</f>
        <v>290494.85</v>
      </c>
      <c r="C609" t="str">
        <f>IF(B609&gt;=Walmart_Sales_raw_data!$C$6437,"High","low")</f>
        <v>low</v>
      </c>
    </row>
    <row r="610" spans="1:3">
      <c r="A610" s="1">
        <v>5</v>
      </c>
      <c r="B610" s="2">
        <f>Walmart_Sales_raw_data!C610</f>
        <v>280681.2</v>
      </c>
      <c r="C610" t="str">
        <f>IF(B610&gt;=Walmart_Sales_raw_data!$C$6437,"High","low")</f>
        <v>low</v>
      </c>
    </row>
    <row r="611" spans="1:3">
      <c r="A611" s="3">
        <v>5</v>
      </c>
      <c r="B611" s="2">
        <f>Walmart_Sales_raw_data!C611</f>
        <v>284988.27</v>
      </c>
      <c r="C611" t="str">
        <f>IF(B611&gt;=Walmart_Sales_raw_data!$C$6437,"High","low")</f>
        <v>low</v>
      </c>
    </row>
    <row r="612" spans="1:3">
      <c r="A612" s="1">
        <v>5</v>
      </c>
      <c r="B612" s="2">
        <f>Walmart_Sales_raw_data!C612</f>
        <v>278031.81</v>
      </c>
      <c r="C612" t="str">
        <f>IF(B612&gt;=Walmart_Sales_raw_data!$C$6437,"High","low")</f>
        <v>low</v>
      </c>
    </row>
    <row r="613" spans="1:3">
      <c r="A613" s="3">
        <v>5</v>
      </c>
      <c r="B613" s="2">
        <f>Walmart_Sales_raw_data!C613</f>
        <v>325310.3</v>
      </c>
      <c r="C613" t="str">
        <f>IF(B613&gt;=Walmart_Sales_raw_data!$C$6437,"High","low")</f>
        <v>low</v>
      </c>
    </row>
    <row r="614" spans="1:3">
      <c r="A614" s="1">
        <v>5</v>
      </c>
      <c r="B614" s="2">
        <f>Walmart_Sales_raw_data!C614</f>
        <v>301827.36</v>
      </c>
      <c r="C614" t="str">
        <f>IF(B614&gt;=Walmart_Sales_raw_data!$C$6437,"High","low")</f>
        <v>low</v>
      </c>
    </row>
    <row r="615" spans="1:3">
      <c r="A615" s="3">
        <v>5</v>
      </c>
      <c r="B615" s="2">
        <f>Walmart_Sales_raw_data!C615</f>
        <v>297384.81</v>
      </c>
      <c r="C615" t="str">
        <f>IF(B615&gt;=Walmart_Sales_raw_data!$C$6437,"High","low")</f>
        <v>low</v>
      </c>
    </row>
    <row r="616" spans="1:3">
      <c r="A616" s="1">
        <v>5</v>
      </c>
      <c r="B616" s="2">
        <f>Walmart_Sales_raw_data!C616</f>
        <v>488362.61</v>
      </c>
      <c r="C616" t="str">
        <f>IF(B616&gt;=Walmart_Sales_raw_data!$C$6437,"High","low")</f>
        <v>low</v>
      </c>
    </row>
    <row r="617" spans="1:3">
      <c r="A617" s="3">
        <v>5</v>
      </c>
      <c r="B617" s="2">
        <f>Walmart_Sales_raw_data!C617</f>
        <v>344490.88</v>
      </c>
      <c r="C617" t="str">
        <f>IF(B617&gt;=Walmart_Sales_raw_data!$C$6437,"High","low")</f>
        <v>low</v>
      </c>
    </row>
    <row r="618" spans="1:3">
      <c r="A618" s="1">
        <v>5</v>
      </c>
      <c r="B618" s="2">
        <f>Walmart_Sales_raw_data!C618</f>
        <v>352811.53</v>
      </c>
      <c r="C618" t="str">
        <f>IF(B618&gt;=Walmart_Sales_raw_data!$C$6437,"High","low")</f>
        <v>low</v>
      </c>
    </row>
    <row r="619" spans="1:3">
      <c r="A619" s="3">
        <v>5</v>
      </c>
      <c r="B619" s="2">
        <f>Walmart_Sales_raw_data!C619</f>
        <v>367801.19</v>
      </c>
      <c r="C619" t="str">
        <f>IF(B619&gt;=Walmart_Sales_raw_data!$C$6437,"High","low")</f>
        <v>low</v>
      </c>
    </row>
    <row r="620" spans="1:3">
      <c r="A620" s="1">
        <v>5</v>
      </c>
      <c r="B620" s="2">
        <f>Walmart_Sales_raw_data!C620</f>
        <v>466010.25</v>
      </c>
      <c r="C620" t="str">
        <f>IF(B620&gt;=Walmart_Sales_raw_data!$C$6437,"High","low")</f>
        <v>low</v>
      </c>
    </row>
    <row r="621" spans="1:3">
      <c r="A621" s="3">
        <v>5</v>
      </c>
      <c r="B621" s="2">
        <f>Walmart_Sales_raw_data!C621</f>
        <v>298180.18</v>
      </c>
      <c r="C621" t="str">
        <f>IF(B621&gt;=Walmart_Sales_raw_data!$C$6437,"High","low")</f>
        <v>low</v>
      </c>
    </row>
    <row r="622" spans="1:3">
      <c r="A622" s="1">
        <v>5</v>
      </c>
      <c r="B622" s="2">
        <f>Walmart_Sales_raw_data!C622</f>
        <v>286347.26</v>
      </c>
      <c r="C622" t="str">
        <f>IF(B622&gt;=Walmart_Sales_raw_data!$C$6437,"High","low")</f>
        <v>low</v>
      </c>
    </row>
    <row r="623" spans="1:3">
      <c r="A623" s="3">
        <v>5</v>
      </c>
      <c r="B623" s="2">
        <f>Walmart_Sales_raw_data!C623</f>
        <v>260636.71</v>
      </c>
      <c r="C623" t="str">
        <f>IF(B623&gt;=Walmart_Sales_raw_data!$C$6437,"High","low")</f>
        <v>low</v>
      </c>
    </row>
    <row r="624" spans="1:3">
      <c r="A624" s="1">
        <v>5</v>
      </c>
      <c r="B624" s="2">
        <f>Walmart_Sales_raw_data!C624</f>
        <v>275313.34</v>
      </c>
      <c r="C624" t="str">
        <f>IF(B624&gt;=Walmart_Sales_raw_data!$C$6437,"High","low")</f>
        <v>low</v>
      </c>
    </row>
    <row r="625" spans="1:3">
      <c r="A625" s="3">
        <v>5</v>
      </c>
      <c r="B625" s="2">
        <f>Walmart_Sales_raw_data!C625</f>
        <v>279088.39</v>
      </c>
      <c r="C625" t="str">
        <f>IF(B625&gt;=Walmart_Sales_raw_data!$C$6437,"High","low")</f>
        <v>low</v>
      </c>
    </row>
    <row r="626" spans="1:3">
      <c r="A626" s="1">
        <v>5</v>
      </c>
      <c r="B626" s="2">
        <f>Walmart_Sales_raw_data!C626</f>
        <v>329613.2</v>
      </c>
      <c r="C626" t="str">
        <f>IF(B626&gt;=Walmart_Sales_raw_data!$C$6437,"High","low")</f>
        <v>low</v>
      </c>
    </row>
    <row r="627" spans="1:3">
      <c r="A627" s="3">
        <v>5</v>
      </c>
      <c r="B627" s="2">
        <f>Walmart_Sales_raw_data!C627</f>
        <v>311590.54</v>
      </c>
      <c r="C627" t="str">
        <f>IF(B627&gt;=Walmart_Sales_raw_data!$C$6437,"High","low")</f>
        <v>low</v>
      </c>
    </row>
    <row r="628" spans="1:3">
      <c r="A628" s="1">
        <v>5</v>
      </c>
      <c r="B628" s="2">
        <f>Walmart_Sales_raw_data!C628</f>
        <v>356622.61</v>
      </c>
      <c r="C628" t="str">
        <f>IF(B628&gt;=Walmart_Sales_raw_data!$C$6437,"High","low")</f>
        <v>low</v>
      </c>
    </row>
    <row r="629" spans="1:3">
      <c r="A629" s="3">
        <v>5</v>
      </c>
      <c r="B629" s="2">
        <f>Walmart_Sales_raw_data!C629</f>
        <v>294659.5</v>
      </c>
      <c r="C629" t="str">
        <f>IF(B629&gt;=Walmart_Sales_raw_data!$C$6437,"High","low")</f>
        <v>low</v>
      </c>
    </row>
    <row r="630" spans="1:3">
      <c r="A630" s="1">
        <v>5</v>
      </c>
      <c r="B630" s="2">
        <f>Walmart_Sales_raw_data!C630</f>
        <v>329033.66</v>
      </c>
      <c r="C630" t="str">
        <f>IF(B630&gt;=Walmart_Sales_raw_data!$C$6437,"High","low")</f>
        <v>low</v>
      </c>
    </row>
    <row r="631" spans="1:3">
      <c r="A631" s="3">
        <v>5</v>
      </c>
      <c r="B631" s="2">
        <f>Walmart_Sales_raw_data!C631</f>
        <v>293098.1</v>
      </c>
      <c r="C631" t="str">
        <f>IF(B631&gt;=Walmart_Sales_raw_data!$C$6437,"High","low")</f>
        <v>low</v>
      </c>
    </row>
    <row r="632" spans="1:3">
      <c r="A632" s="1">
        <v>5</v>
      </c>
      <c r="B632" s="2">
        <f>Walmart_Sales_raw_data!C632</f>
        <v>312177.67</v>
      </c>
      <c r="C632" t="str">
        <f>IF(B632&gt;=Walmart_Sales_raw_data!$C$6437,"High","low")</f>
        <v>low</v>
      </c>
    </row>
    <row r="633" spans="1:3">
      <c r="A633" s="3">
        <v>5</v>
      </c>
      <c r="B633" s="2">
        <f>Walmart_Sales_raw_data!C633</f>
        <v>294732.5</v>
      </c>
      <c r="C633" t="str">
        <f>IF(B633&gt;=Walmart_Sales_raw_data!$C$6437,"High","low")</f>
        <v>low</v>
      </c>
    </row>
    <row r="634" spans="1:3">
      <c r="A634" s="1">
        <v>5</v>
      </c>
      <c r="B634" s="2">
        <f>Walmart_Sales_raw_data!C634</f>
        <v>314316.55</v>
      </c>
      <c r="C634" t="str">
        <f>IF(B634&gt;=Walmart_Sales_raw_data!$C$6437,"High","low")</f>
        <v>low</v>
      </c>
    </row>
    <row r="635" spans="1:3">
      <c r="A635" s="3">
        <v>5</v>
      </c>
      <c r="B635" s="2">
        <f>Walmart_Sales_raw_data!C635</f>
        <v>307333.62</v>
      </c>
      <c r="C635" t="str">
        <f>IF(B635&gt;=Walmart_Sales_raw_data!$C$6437,"High","low")</f>
        <v>low</v>
      </c>
    </row>
    <row r="636" spans="1:3">
      <c r="A636" s="1">
        <v>5</v>
      </c>
      <c r="B636" s="2">
        <f>Walmart_Sales_raw_data!C636</f>
        <v>307913.58</v>
      </c>
      <c r="C636" t="str">
        <f>IF(B636&gt;=Walmart_Sales_raw_data!$C$6437,"High","low")</f>
        <v>low</v>
      </c>
    </row>
    <row r="637" spans="1:3">
      <c r="A637" s="3">
        <v>5</v>
      </c>
      <c r="B637" s="2">
        <f>Walmart_Sales_raw_data!C637</f>
        <v>328415.44</v>
      </c>
      <c r="C637" t="str">
        <f>IF(B637&gt;=Walmart_Sales_raw_data!$C$6437,"High","low")</f>
        <v>low</v>
      </c>
    </row>
    <row r="638" spans="1:3">
      <c r="A638" s="1">
        <v>5</v>
      </c>
      <c r="B638" s="2">
        <f>Walmart_Sales_raw_data!C638</f>
        <v>307291.56</v>
      </c>
      <c r="C638" t="str">
        <f>IF(B638&gt;=Walmart_Sales_raw_data!$C$6437,"High","low")</f>
        <v>low</v>
      </c>
    </row>
    <row r="639" spans="1:3">
      <c r="A639" s="3">
        <v>5</v>
      </c>
      <c r="B639" s="2">
        <f>Walmart_Sales_raw_data!C639</f>
        <v>322904.68</v>
      </c>
      <c r="C639" t="str">
        <f>IF(B639&gt;=Walmart_Sales_raw_data!$C$6437,"High","low")</f>
        <v>low</v>
      </c>
    </row>
    <row r="640" spans="1:3">
      <c r="A640" s="1">
        <v>5</v>
      </c>
      <c r="B640" s="2">
        <f>Walmart_Sales_raw_data!C640</f>
        <v>290930.01</v>
      </c>
      <c r="C640" t="str">
        <f>IF(B640&gt;=Walmart_Sales_raw_data!$C$6437,"High","low")</f>
        <v>low</v>
      </c>
    </row>
    <row r="641" spans="1:3">
      <c r="A641" s="3">
        <v>5</v>
      </c>
      <c r="B641" s="2">
        <f>Walmart_Sales_raw_data!C641</f>
        <v>299614.33</v>
      </c>
      <c r="C641" t="str">
        <f>IF(B641&gt;=Walmart_Sales_raw_data!$C$6437,"High","low")</f>
        <v>low</v>
      </c>
    </row>
    <row r="642" spans="1:3">
      <c r="A642" s="1">
        <v>5</v>
      </c>
      <c r="B642" s="2">
        <f>Walmart_Sales_raw_data!C642</f>
        <v>297149.69</v>
      </c>
      <c r="C642" t="str">
        <f>IF(B642&gt;=Walmart_Sales_raw_data!$C$6437,"High","low")</f>
        <v>low</v>
      </c>
    </row>
    <row r="643" spans="1:3">
      <c r="A643" s="3">
        <v>5</v>
      </c>
      <c r="B643" s="2">
        <f>Walmart_Sales_raw_data!C643</f>
        <v>329183.92</v>
      </c>
      <c r="C643" t="str">
        <f>IF(B643&gt;=Walmart_Sales_raw_data!$C$6437,"High","low")</f>
        <v>low</v>
      </c>
    </row>
    <row r="644" spans="1:3">
      <c r="A644" s="1">
        <v>5</v>
      </c>
      <c r="B644" s="2">
        <f>Walmart_Sales_raw_data!C644</f>
        <v>304984.14</v>
      </c>
      <c r="C644" t="str">
        <f>IF(B644&gt;=Walmart_Sales_raw_data!$C$6437,"High","low")</f>
        <v>low</v>
      </c>
    </row>
    <row r="645" spans="1:3">
      <c r="A645" s="3">
        <v>5</v>
      </c>
      <c r="B645" s="2">
        <f>Walmart_Sales_raw_data!C645</f>
        <v>304811.82</v>
      </c>
      <c r="C645" t="str">
        <f>IF(B645&gt;=Walmart_Sales_raw_data!$C$6437,"High","low")</f>
        <v>low</v>
      </c>
    </row>
    <row r="646" spans="1:3">
      <c r="A646" s="1">
        <v>5</v>
      </c>
      <c r="B646" s="2">
        <f>Walmart_Sales_raw_data!C646</f>
        <v>302881.64</v>
      </c>
      <c r="C646" t="str">
        <f>IF(B646&gt;=Walmart_Sales_raw_data!$C$6437,"High","low")</f>
        <v>low</v>
      </c>
    </row>
    <row r="647" spans="1:3">
      <c r="A647" s="3">
        <v>5</v>
      </c>
      <c r="B647" s="2">
        <f>Walmart_Sales_raw_data!C647</f>
        <v>327093.89</v>
      </c>
      <c r="C647" t="str">
        <f>IF(B647&gt;=Walmart_Sales_raw_data!$C$6437,"High","low")</f>
        <v>low</v>
      </c>
    </row>
    <row r="648" spans="1:3">
      <c r="A648" s="1">
        <v>5</v>
      </c>
      <c r="B648" s="2">
        <f>Walmart_Sales_raw_data!C648</f>
        <v>310804.93</v>
      </c>
      <c r="C648" t="str">
        <f>IF(B648&gt;=Walmart_Sales_raw_data!$C$6437,"High","low")</f>
        <v>low</v>
      </c>
    </row>
    <row r="649" spans="1:3">
      <c r="A649" s="3">
        <v>5</v>
      </c>
      <c r="B649" s="2">
        <f>Walmart_Sales_raw_data!C649</f>
        <v>283248.62</v>
      </c>
      <c r="C649" t="str">
        <f>IF(B649&gt;=Walmart_Sales_raw_data!$C$6437,"High","low")</f>
        <v>low</v>
      </c>
    </row>
    <row r="650" spans="1:3">
      <c r="A650" s="1">
        <v>5</v>
      </c>
      <c r="B650" s="2">
        <f>Walmart_Sales_raw_data!C650</f>
        <v>292539.73</v>
      </c>
      <c r="C650" t="str">
        <f>IF(B650&gt;=Walmart_Sales_raw_data!$C$6437,"High","low")</f>
        <v>low</v>
      </c>
    </row>
    <row r="651" spans="1:3">
      <c r="A651" s="3">
        <v>5</v>
      </c>
      <c r="B651" s="2">
        <f>Walmart_Sales_raw_data!C651</f>
        <v>275142.17</v>
      </c>
      <c r="C651" t="str">
        <f>IF(B651&gt;=Walmart_Sales_raw_data!$C$6437,"High","low")</f>
        <v>low</v>
      </c>
    </row>
    <row r="652" spans="1:3">
      <c r="A652" s="1">
        <v>5</v>
      </c>
      <c r="B652" s="2">
        <f>Walmart_Sales_raw_data!C652</f>
        <v>317738.56</v>
      </c>
      <c r="C652" t="str">
        <f>IF(B652&gt;=Walmart_Sales_raw_data!$C$6437,"High","low")</f>
        <v>low</v>
      </c>
    </row>
    <row r="653" spans="1:3">
      <c r="A653" s="3">
        <v>5</v>
      </c>
      <c r="B653" s="2">
        <f>Walmart_Sales_raw_data!C653</f>
        <v>289886.16</v>
      </c>
      <c r="C653" t="str">
        <f>IF(B653&gt;=Walmart_Sales_raw_data!$C$6437,"High","low")</f>
        <v>low</v>
      </c>
    </row>
    <row r="654" spans="1:3">
      <c r="A654" s="1">
        <v>5</v>
      </c>
      <c r="B654" s="2">
        <f>Walmart_Sales_raw_data!C654</f>
        <v>303643.84</v>
      </c>
      <c r="C654" t="str">
        <f>IF(B654&gt;=Walmart_Sales_raw_data!$C$6437,"High","low")</f>
        <v>low</v>
      </c>
    </row>
    <row r="655" spans="1:3">
      <c r="A655" s="3">
        <v>5</v>
      </c>
      <c r="B655" s="2">
        <f>Walmart_Sales_raw_data!C655</f>
        <v>310338.17</v>
      </c>
      <c r="C655" t="str">
        <f>IF(B655&gt;=Walmart_Sales_raw_data!$C$6437,"High","low")</f>
        <v>low</v>
      </c>
    </row>
    <row r="656" spans="1:3">
      <c r="A656" s="1">
        <v>5</v>
      </c>
      <c r="B656" s="2">
        <f>Walmart_Sales_raw_data!C656</f>
        <v>315645.53</v>
      </c>
      <c r="C656" t="str">
        <f>IF(B656&gt;=Walmart_Sales_raw_data!$C$6437,"High","low")</f>
        <v>low</v>
      </c>
    </row>
    <row r="657" spans="1:3">
      <c r="A657" s="3">
        <v>5</v>
      </c>
      <c r="B657" s="2">
        <f>Walmart_Sales_raw_data!C657</f>
        <v>321110.22</v>
      </c>
      <c r="C657" t="str">
        <f>IF(B657&gt;=Walmart_Sales_raw_data!$C$6437,"High","low")</f>
        <v>low</v>
      </c>
    </row>
    <row r="658" spans="1:3">
      <c r="A658" s="1">
        <v>5</v>
      </c>
      <c r="B658" s="2">
        <f>Walmart_Sales_raw_data!C658</f>
        <v>278529.71</v>
      </c>
      <c r="C658" t="str">
        <f>IF(B658&gt;=Walmart_Sales_raw_data!$C$6437,"High","low")</f>
        <v>low</v>
      </c>
    </row>
    <row r="659" spans="1:3">
      <c r="A659" s="3">
        <v>5</v>
      </c>
      <c r="B659" s="2">
        <f>Walmart_Sales_raw_data!C659</f>
        <v>291024.98</v>
      </c>
      <c r="C659" t="str">
        <f>IF(B659&gt;=Walmart_Sales_raw_data!$C$6437,"High","low")</f>
        <v>low</v>
      </c>
    </row>
    <row r="660" spans="1:3">
      <c r="A660" s="1">
        <v>5</v>
      </c>
      <c r="B660" s="2">
        <f>Walmart_Sales_raw_data!C660</f>
        <v>292315.38</v>
      </c>
      <c r="C660" t="str">
        <f>IF(B660&gt;=Walmart_Sales_raw_data!$C$6437,"High","low")</f>
        <v>low</v>
      </c>
    </row>
    <row r="661" spans="1:3">
      <c r="A661" s="3">
        <v>5</v>
      </c>
      <c r="B661" s="2">
        <f>Walmart_Sales_raw_data!C661</f>
        <v>309111.47</v>
      </c>
      <c r="C661" t="str">
        <f>IF(B661&gt;=Walmart_Sales_raw_data!$C$6437,"High","low")</f>
        <v>low</v>
      </c>
    </row>
    <row r="662" spans="1:3">
      <c r="A662" s="1">
        <v>5</v>
      </c>
      <c r="B662" s="2">
        <f>Walmart_Sales_raw_data!C662</f>
        <v>286117.72</v>
      </c>
      <c r="C662" t="str">
        <f>IF(B662&gt;=Walmart_Sales_raw_data!$C$6437,"High","low")</f>
        <v>low</v>
      </c>
    </row>
    <row r="663" spans="1:3">
      <c r="A663" s="3">
        <v>5</v>
      </c>
      <c r="B663" s="2">
        <f>Walmart_Sales_raw_data!C663</f>
        <v>306069.18</v>
      </c>
      <c r="C663" t="str">
        <f>IF(B663&gt;=Walmart_Sales_raw_data!$C$6437,"High","low")</f>
        <v>low</v>
      </c>
    </row>
    <row r="664" spans="1:3">
      <c r="A664" s="1">
        <v>5</v>
      </c>
      <c r="B664" s="2">
        <f>Walmart_Sales_raw_data!C664</f>
        <v>307035.11</v>
      </c>
      <c r="C664" t="str">
        <f>IF(B664&gt;=Walmart_Sales_raw_data!$C$6437,"High","low")</f>
        <v>low</v>
      </c>
    </row>
    <row r="665" spans="1:3">
      <c r="A665" s="3">
        <v>5</v>
      </c>
      <c r="B665" s="2">
        <f>Walmart_Sales_raw_data!C665</f>
        <v>353652.23</v>
      </c>
      <c r="C665" t="str">
        <f>IF(B665&gt;=Walmart_Sales_raw_data!$C$6437,"High","low")</f>
        <v>low</v>
      </c>
    </row>
    <row r="666" spans="1:3">
      <c r="A666" s="1">
        <v>5</v>
      </c>
      <c r="B666" s="2">
        <f>Walmart_Sales_raw_data!C666</f>
        <v>311906.7</v>
      </c>
      <c r="C666" t="str">
        <f>IF(B666&gt;=Walmart_Sales_raw_data!$C$6437,"High","low")</f>
        <v>low</v>
      </c>
    </row>
    <row r="667" spans="1:3">
      <c r="A667" s="3">
        <v>5</v>
      </c>
      <c r="B667" s="2">
        <f>Walmart_Sales_raw_data!C667</f>
        <v>307944.37</v>
      </c>
      <c r="C667" t="str">
        <f>IF(B667&gt;=Walmart_Sales_raw_data!$C$6437,"High","low")</f>
        <v>low</v>
      </c>
    </row>
    <row r="668" spans="1:3">
      <c r="A668" s="1">
        <v>5</v>
      </c>
      <c r="B668" s="2">
        <f>Walmart_Sales_raw_data!C668</f>
        <v>507900.07</v>
      </c>
      <c r="C668" t="str">
        <f>IF(B668&gt;=Walmart_Sales_raw_data!$C$6437,"High","low")</f>
        <v>low</v>
      </c>
    </row>
    <row r="669" spans="1:3">
      <c r="A669" s="3">
        <v>5</v>
      </c>
      <c r="B669" s="2">
        <f>Walmart_Sales_raw_data!C669</f>
        <v>376225.61</v>
      </c>
      <c r="C669" t="str">
        <f>IF(B669&gt;=Walmart_Sales_raw_data!$C$6437,"High","low")</f>
        <v>low</v>
      </c>
    </row>
    <row r="670" spans="1:3">
      <c r="A670" s="1">
        <v>5</v>
      </c>
      <c r="B670" s="2">
        <f>Walmart_Sales_raw_data!C670</f>
        <v>367433.77</v>
      </c>
      <c r="C670" t="str">
        <f>IF(B670&gt;=Walmart_Sales_raw_data!$C$6437,"High","low")</f>
        <v>low</v>
      </c>
    </row>
    <row r="671" spans="1:3">
      <c r="A671" s="3">
        <v>5</v>
      </c>
      <c r="B671" s="2">
        <f>Walmart_Sales_raw_data!C671</f>
        <v>379530.3</v>
      </c>
      <c r="C671" t="str">
        <f>IF(B671&gt;=Walmart_Sales_raw_data!$C$6437,"High","low")</f>
        <v>low</v>
      </c>
    </row>
    <row r="672" spans="1:3">
      <c r="A672" s="1">
        <v>5</v>
      </c>
      <c r="B672" s="2">
        <f>Walmart_Sales_raw_data!C672</f>
        <v>458562.24</v>
      </c>
      <c r="C672" t="str">
        <f>IF(B672&gt;=Walmart_Sales_raw_data!$C$6437,"High","low")</f>
        <v>low</v>
      </c>
    </row>
    <row r="673" spans="1:3">
      <c r="A673" s="3">
        <v>5</v>
      </c>
      <c r="B673" s="2">
        <f>Walmart_Sales_raw_data!C673</f>
        <v>349624.88</v>
      </c>
      <c r="C673" t="str">
        <f>IF(B673&gt;=Walmart_Sales_raw_data!$C$6437,"High","low")</f>
        <v>low</v>
      </c>
    </row>
    <row r="674" spans="1:3">
      <c r="A674" s="1">
        <v>5</v>
      </c>
      <c r="B674" s="2">
        <f>Walmart_Sales_raw_data!C674</f>
        <v>312078.71</v>
      </c>
      <c r="C674" t="str">
        <f>IF(B674&gt;=Walmart_Sales_raw_data!$C$6437,"High","low")</f>
        <v>low</v>
      </c>
    </row>
    <row r="675" spans="1:3">
      <c r="A675" s="3">
        <v>5</v>
      </c>
      <c r="B675" s="2">
        <f>Walmart_Sales_raw_data!C675</f>
        <v>291454.52</v>
      </c>
      <c r="C675" t="str">
        <f>IF(B675&gt;=Walmart_Sales_raw_data!$C$6437,"High","low")</f>
        <v>low</v>
      </c>
    </row>
    <row r="676" spans="1:3">
      <c r="A676" s="1">
        <v>5</v>
      </c>
      <c r="B676" s="2">
        <f>Walmart_Sales_raw_data!C676</f>
        <v>287523.98</v>
      </c>
      <c r="C676" t="str">
        <f>IF(B676&gt;=Walmart_Sales_raw_data!$C$6437,"High","low")</f>
        <v>low</v>
      </c>
    </row>
    <row r="677" spans="1:3">
      <c r="A677" s="3">
        <v>5</v>
      </c>
      <c r="B677" s="2">
        <f>Walmart_Sales_raw_data!C677</f>
        <v>295974.22</v>
      </c>
      <c r="C677" t="str">
        <f>IF(B677&gt;=Walmart_Sales_raw_data!$C$6437,"High","low")</f>
        <v>low</v>
      </c>
    </row>
    <row r="678" spans="1:3">
      <c r="A678" s="1">
        <v>5</v>
      </c>
      <c r="B678" s="2">
        <f>Walmart_Sales_raw_data!C678</f>
        <v>333948</v>
      </c>
      <c r="C678" t="str">
        <f>IF(B678&gt;=Walmart_Sales_raw_data!$C$6437,"High","low")</f>
        <v>low</v>
      </c>
    </row>
    <row r="679" spans="1:3">
      <c r="A679" s="3">
        <v>5</v>
      </c>
      <c r="B679" s="2">
        <f>Walmart_Sales_raw_data!C679</f>
        <v>349239.88</v>
      </c>
      <c r="C679" t="str">
        <f>IF(B679&gt;=Walmart_Sales_raw_data!$C$6437,"High","low")</f>
        <v>low</v>
      </c>
    </row>
    <row r="680" spans="1:3">
      <c r="A680" s="1">
        <v>5</v>
      </c>
      <c r="B680" s="2">
        <f>Walmart_Sales_raw_data!C680</f>
        <v>356427.98</v>
      </c>
      <c r="C680" t="str">
        <f>IF(B680&gt;=Walmart_Sales_raw_data!$C$6437,"High","low")</f>
        <v>low</v>
      </c>
    </row>
    <row r="681" spans="1:3">
      <c r="A681" s="3">
        <v>5</v>
      </c>
      <c r="B681" s="2">
        <f>Walmart_Sales_raw_data!C681</f>
        <v>312220.47</v>
      </c>
      <c r="C681" t="str">
        <f>IF(B681&gt;=Walmart_Sales_raw_data!$C$6437,"High","low")</f>
        <v>low</v>
      </c>
    </row>
    <row r="682" spans="1:3">
      <c r="A682" s="1">
        <v>5</v>
      </c>
      <c r="B682" s="2">
        <f>Walmart_Sales_raw_data!C682</f>
        <v>359206.21</v>
      </c>
      <c r="C682" t="str">
        <f>IF(B682&gt;=Walmart_Sales_raw_data!$C$6437,"High","low")</f>
        <v>low</v>
      </c>
    </row>
    <row r="683" spans="1:3">
      <c r="A683" s="3">
        <v>5</v>
      </c>
      <c r="B683" s="2">
        <f>Walmart_Sales_raw_data!C683</f>
        <v>347295.6</v>
      </c>
      <c r="C683" t="str">
        <f>IF(B683&gt;=Walmart_Sales_raw_data!$C$6437,"High","low")</f>
        <v>low</v>
      </c>
    </row>
    <row r="684" spans="1:3">
      <c r="A684" s="1">
        <v>5</v>
      </c>
      <c r="B684" s="2">
        <f>Walmart_Sales_raw_data!C684</f>
        <v>339392.54</v>
      </c>
      <c r="C684" t="str">
        <f>IF(B684&gt;=Walmart_Sales_raw_data!$C$6437,"High","low")</f>
        <v>low</v>
      </c>
    </row>
    <row r="685" spans="1:3">
      <c r="A685" s="3">
        <v>5</v>
      </c>
      <c r="B685" s="2">
        <f>Walmart_Sales_raw_data!C685</f>
        <v>321299.99</v>
      </c>
      <c r="C685" t="str">
        <f>IF(B685&gt;=Walmart_Sales_raw_data!$C$6437,"High","low")</f>
        <v>low</v>
      </c>
    </row>
    <row r="686" spans="1:3">
      <c r="A686" s="1">
        <v>5</v>
      </c>
      <c r="B686" s="2">
        <f>Walmart_Sales_raw_data!C686</f>
        <v>331318.73</v>
      </c>
      <c r="C686" t="str">
        <f>IF(B686&gt;=Walmart_Sales_raw_data!$C$6437,"High","low")</f>
        <v>low</v>
      </c>
    </row>
    <row r="687" spans="1:3">
      <c r="A687" s="3">
        <v>5</v>
      </c>
      <c r="B687" s="2">
        <f>Walmart_Sales_raw_data!C687</f>
        <v>402985.7</v>
      </c>
      <c r="C687" t="str">
        <f>IF(B687&gt;=Walmart_Sales_raw_data!$C$6437,"High","low")</f>
        <v>low</v>
      </c>
    </row>
    <row r="688" spans="1:3">
      <c r="A688" s="1">
        <v>5</v>
      </c>
      <c r="B688" s="2">
        <f>Walmart_Sales_raw_data!C688</f>
        <v>351832.03</v>
      </c>
      <c r="C688" t="str">
        <f>IF(B688&gt;=Walmart_Sales_raw_data!$C$6437,"High","low")</f>
        <v>low</v>
      </c>
    </row>
    <row r="689" spans="1:3">
      <c r="A689" s="3">
        <v>5</v>
      </c>
      <c r="B689" s="2">
        <f>Walmart_Sales_raw_data!C689</f>
        <v>330063.06</v>
      </c>
      <c r="C689" t="str">
        <f>IF(B689&gt;=Walmart_Sales_raw_data!$C$6437,"High","low")</f>
        <v>low</v>
      </c>
    </row>
    <row r="690" spans="1:3">
      <c r="A690" s="1">
        <v>5</v>
      </c>
      <c r="B690" s="2">
        <f>Walmart_Sales_raw_data!C690</f>
        <v>324839.74</v>
      </c>
      <c r="C690" t="str">
        <f>IF(B690&gt;=Walmart_Sales_raw_data!$C$6437,"High","low")</f>
        <v>low</v>
      </c>
    </row>
    <row r="691" spans="1:3">
      <c r="A691" s="3">
        <v>5</v>
      </c>
      <c r="B691" s="2">
        <f>Walmart_Sales_raw_data!C691</f>
        <v>360932.69</v>
      </c>
      <c r="C691" t="str">
        <f>IF(B691&gt;=Walmart_Sales_raw_data!$C$6437,"High","low")</f>
        <v>low</v>
      </c>
    </row>
    <row r="692" spans="1:3">
      <c r="A692" s="1">
        <v>5</v>
      </c>
      <c r="B692" s="2">
        <f>Walmart_Sales_raw_data!C692</f>
        <v>333870.52</v>
      </c>
      <c r="C692" t="str">
        <f>IF(B692&gt;=Walmart_Sales_raw_data!$C$6437,"High","low")</f>
        <v>low</v>
      </c>
    </row>
    <row r="693" spans="1:3">
      <c r="A693" s="3">
        <v>5</v>
      </c>
      <c r="B693" s="2">
        <f>Walmart_Sales_raw_data!C693</f>
        <v>336189.66</v>
      </c>
      <c r="C693" t="str">
        <f>IF(B693&gt;=Walmart_Sales_raw_data!$C$6437,"High","low")</f>
        <v>low</v>
      </c>
    </row>
    <row r="694" spans="1:3">
      <c r="A694" s="1">
        <v>5</v>
      </c>
      <c r="B694" s="2">
        <f>Walmart_Sales_raw_data!C694</f>
        <v>341994.48</v>
      </c>
      <c r="C694" t="str">
        <f>IF(B694&gt;=Walmart_Sales_raw_data!$C$6437,"High","low")</f>
        <v>low</v>
      </c>
    </row>
    <row r="695" spans="1:3">
      <c r="A695" s="3">
        <v>5</v>
      </c>
      <c r="B695" s="2">
        <f>Walmart_Sales_raw_data!C695</f>
        <v>359867.8</v>
      </c>
      <c r="C695" t="str">
        <f>IF(B695&gt;=Walmart_Sales_raw_data!$C$6437,"High","low")</f>
        <v>low</v>
      </c>
    </row>
    <row r="696" spans="1:3">
      <c r="A696" s="1">
        <v>5</v>
      </c>
      <c r="B696" s="2">
        <f>Walmart_Sales_raw_data!C696</f>
        <v>341704.59</v>
      </c>
      <c r="C696" t="str">
        <f>IF(B696&gt;=Walmart_Sales_raw_data!$C$6437,"High","low")</f>
        <v>low</v>
      </c>
    </row>
    <row r="697" spans="1:3">
      <c r="A697" s="3">
        <v>5</v>
      </c>
      <c r="B697" s="2">
        <f>Walmart_Sales_raw_data!C697</f>
        <v>327383.64</v>
      </c>
      <c r="C697" t="str">
        <f>IF(B697&gt;=Walmart_Sales_raw_data!$C$6437,"High","low")</f>
        <v>low</v>
      </c>
    </row>
    <row r="698" spans="1:3">
      <c r="A698" s="1">
        <v>5</v>
      </c>
      <c r="B698" s="2">
        <f>Walmart_Sales_raw_data!C698</f>
        <v>325041.68</v>
      </c>
      <c r="C698" t="str">
        <f>IF(B698&gt;=Walmart_Sales_raw_data!$C$6437,"High","low")</f>
        <v>low</v>
      </c>
    </row>
    <row r="699" spans="1:3">
      <c r="A699" s="3">
        <v>5</v>
      </c>
      <c r="B699" s="2">
        <f>Walmart_Sales_raw_data!C699</f>
        <v>329658.1</v>
      </c>
      <c r="C699" t="str">
        <f>IF(B699&gt;=Walmart_Sales_raw_data!$C$6437,"High","low")</f>
        <v>low</v>
      </c>
    </row>
    <row r="700" spans="1:3">
      <c r="A700" s="1">
        <v>5</v>
      </c>
      <c r="B700" s="2">
        <f>Walmart_Sales_raw_data!C700</f>
        <v>341214.43</v>
      </c>
      <c r="C700" t="str">
        <f>IF(B700&gt;=Walmart_Sales_raw_data!$C$6437,"High","low")</f>
        <v>low</v>
      </c>
    </row>
    <row r="701" spans="1:3">
      <c r="A701" s="3">
        <v>5</v>
      </c>
      <c r="B701" s="2">
        <f>Walmart_Sales_raw_data!C701</f>
        <v>316203.64</v>
      </c>
      <c r="C701" t="str">
        <f>IF(B701&gt;=Walmart_Sales_raw_data!$C$6437,"High","low")</f>
        <v>low</v>
      </c>
    </row>
    <row r="702" spans="1:3">
      <c r="A702" s="1">
        <v>5</v>
      </c>
      <c r="B702" s="2">
        <f>Walmart_Sales_raw_data!C702</f>
        <v>321205.12</v>
      </c>
      <c r="C702" t="str">
        <f>IF(B702&gt;=Walmart_Sales_raw_data!$C$6437,"High","low")</f>
        <v>low</v>
      </c>
    </row>
    <row r="703" spans="1:3">
      <c r="A703" s="3">
        <v>5</v>
      </c>
      <c r="B703" s="2">
        <f>Walmart_Sales_raw_data!C703</f>
        <v>306827.36</v>
      </c>
      <c r="C703" t="str">
        <f>IF(B703&gt;=Walmart_Sales_raw_data!$C$6437,"High","low")</f>
        <v>low</v>
      </c>
    </row>
    <row r="704" spans="1:3">
      <c r="A704" s="1">
        <v>5</v>
      </c>
      <c r="B704" s="2">
        <f>Walmart_Sales_raw_data!C704</f>
        <v>324195.17</v>
      </c>
      <c r="C704" t="str">
        <f>IF(B704&gt;=Walmart_Sales_raw_data!$C$6437,"High","low")</f>
        <v>low</v>
      </c>
    </row>
    <row r="705" spans="1:3">
      <c r="A705" s="3">
        <v>5</v>
      </c>
      <c r="B705" s="2">
        <f>Walmart_Sales_raw_data!C705</f>
        <v>306759.7</v>
      </c>
      <c r="C705" t="str">
        <f>IF(B705&gt;=Walmart_Sales_raw_data!$C$6437,"High","low")</f>
        <v>low</v>
      </c>
    </row>
    <row r="706" spans="1:3">
      <c r="A706" s="1">
        <v>5</v>
      </c>
      <c r="B706" s="2">
        <f>Walmart_Sales_raw_data!C706</f>
        <v>314014.18</v>
      </c>
      <c r="C706" t="str">
        <f>IF(B706&gt;=Walmart_Sales_raw_data!$C$6437,"High","low")</f>
        <v>low</v>
      </c>
    </row>
    <row r="707" spans="1:3">
      <c r="A707" s="3">
        <v>5</v>
      </c>
      <c r="B707" s="2">
        <f>Walmart_Sales_raw_data!C707</f>
        <v>320831.36</v>
      </c>
      <c r="C707" t="str">
        <f>IF(B707&gt;=Walmart_Sales_raw_data!$C$6437,"High","low")</f>
        <v>low</v>
      </c>
    </row>
    <row r="708" spans="1:3">
      <c r="A708" s="1">
        <v>5</v>
      </c>
      <c r="B708" s="2">
        <f>Walmart_Sales_raw_data!C708</f>
        <v>344642.01</v>
      </c>
      <c r="C708" t="str">
        <f>IF(B708&gt;=Walmart_Sales_raw_data!$C$6437,"High","low")</f>
        <v>low</v>
      </c>
    </row>
    <row r="709" spans="1:3">
      <c r="A709" s="3">
        <v>5</v>
      </c>
      <c r="B709" s="2">
        <f>Walmart_Sales_raw_data!C709</f>
        <v>350648.91</v>
      </c>
      <c r="C709" t="str">
        <f>IF(B709&gt;=Walmart_Sales_raw_data!$C$6437,"High","low")</f>
        <v>low</v>
      </c>
    </row>
    <row r="710" spans="1:3">
      <c r="A710" s="1">
        <v>5</v>
      </c>
      <c r="B710" s="2">
        <f>Walmart_Sales_raw_data!C710</f>
        <v>299800.67</v>
      </c>
      <c r="C710" t="str">
        <f>IF(B710&gt;=Walmart_Sales_raw_data!$C$6437,"High","low")</f>
        <v>low</v>
      </c>
    </row>
    <row r="711" spans="1:3">
      <c r="A711" s="3">
        <v>5</v>
      </c>
      <c r="B711" s="2">
        <f>Walmart_Sales_raw_data!C711</f>
        <v>307306.76</v>
      </c>
      <c r="C711" t="str">
        <f>IF(B711&gt;=Walmart_Sales_raw_data!$C$6437,"High","low")</f>
        <v>low</v>
      </c>
    </row>
    <row r="712" spans="1:3">
      <c r="A712" s="1">
        <v>5</v>
      </c>
      <c r="B712" s="2">
        <f>Walmart_Sales_raw_data!C712</f>
        <v>310141.68</v>
      </c>
      <c r="C712" t="str">
        <f>IF(B712&gt;=Walmart_Sales_raw_data!$C$6437,"High","low")</f>
        <v>low</v>
      </c>
    </row>
    <row r="713" spans="1:3">
      <c r="A713" s="3">
        <v>5</v>
      </c>
      <c r="B713" s="2">
        <f>Walmart_Sales_raw_data!C713</f>
        <v>343048.29</v>
      </c>
      <c r="C713" t="str">
        <f>IF(B713&gt;=Walmart_Sales_raw_data!$C$6437,"High","low")</f>
        <v>low</v>
      </c>
    </row>
    <row r="714" spans="1:3">
      <c r="A714" s="1">
        <v>5</v>
      </c>
      <c r="B714" s="2">
        <f>Walmart_Sales_raw_data!C714</f>
        <v>325345.41</v>
      </c>
      <c r="C714" t="str">
        <f>IF(B714&gt;=Walmart_Sales_raw_data!$C$6437,"High","low")</f>
        <v>low</v>
      </c>
    </row>
    <row r="715" spans="1:3">
      <c r="A715" s="3">
        <v>5</v>
      </c>
      <c r="B715" s="2">
        <f>Walmart_Sales_raw_data!C715</f>
        <v>313358.15</v>
      </c>
      <c r="C715" t="str">
        <f>IF(B715&gt;=Walmart_Sales_raw_data!$C$6437,"High","low")</f>
        <v>low</v>
      </c>
    </row>
    <row r="716" spans="1:3">
      <c r="A716" s="1">
        <v>5</v>
      </c>
      <c r="B716" s="2">
        <f>Walmart_Sales_raw_data!C716</f>
        <v>319550.77</v>
      </c>
      <c r="C716" t="str">
        <f>IF(B716&gt;=Walmart_Sales_raw_data!$C$6437,"High","low")</f>
        <v>low</v>
      </c>
    </row>
    <row r="717" spans="1:3">
      <c r="A717" s="3">
        <v>6</v>
      </c>
      <c r="B717" s="2">
        <f>Walmart_Sales_raw_data!C717</f>
        <v>1652635.1</v>
      </c>
      <c r="C717" t="str">
        <f>IF(B717&gt;=Walmart_Sales_raw_data!$C$6437,"High","low")</f>
        <v>High</v>
      </c>
    </row>
    <row r="718" spans="1:3">
      <c r="A718" s="1">
        <v>6</v>
      </c>
      <c r="B718" s="2">
        <f>Walmart_Sales_raw_data!C718</f>
        <v>1606283.86</v>
      </c>
      <c r="C718" t="str">
        <f>IF(B718&gt;=Walmart_Sales_raw_data!$C$6437,"High","low")</f>
        <v>High</v>
      </c>
    </row>
    <row r="719" spans="1:3">
      <c r="A719" s="3">
        <v>6</v>
      </c>
      <c r="B719" s="2">
        <f>Walmart_Sales_raw_data!C719</f>
        <v>1567138.07</v>
      </c>
      <c r="C719" t="str">
        <f>IF(B719&gt;=Walmart_Sales_raw_data!$C$6437,"High","low")</f>
        <v>High</v>
      </c>
    </row>
    <row r="720" spans="1:3">
      <c r="A720" s="1">
        <v>6</v>
      </c>
      <c r="B720" s="2">
        <f>Walmart_Sales_raw_data!C720</f>
        <v>1432953.21</v>
      </c>
      <c r="C720" t="str">
        <f>IF(B720&gt;=Walmart_Sales_raw_data!$C$6437,"High","low")</f>
        <v>High</v>
      </c>
    </row>
    <row r="721" spans="1:3">
      <c r="A721" s="3">
        <v>6</v>
      </c>
      <c r="B721" s="2">
        <f>Walmart_Sales_raw_data!C721</f>
        <v>1601348.82</v>
      </c>
      <c r="C721" t="str">
        <f>IF(B721&gt;=Walmart_Sales_raw_data!$C$6437,"High","low")</f>
        <v>High</v>
      </c>
    </row>
    <row r="722" spans="1:3">
      <c r="A722" s="1">
        <v>6</v>
      </c>
      <c r="B722" s="2">
        <f>Walmart_Sales_raw_data!C722</f>
        <v>1558621.36</v>
      </c>
      <c r="C722" t="str">
        <f>IF(B722&gt;=Walmart_Sales_raw_data!$C$6437,"High","low")</f>
        <v>High</v>
      </c>
    </row>
    <row r="723" spans="1:3">
      <c r="A723" s="3">
        <v>6</v>
      </c>
      <c r="B723" s="2">
        <f>Walmart_Sales_raw_data!C723</f>
        <v>1693058.91</v>
      </c>
      <c r="C723" t="str">
        <f>IF(B723&gt;=Walmart_Sales_raw_data!$C$6437,"High","low")</f>
        <v>High</v>
      </c>
    </row>
    <row r="724" spans="1:3">
      <c r="A724" s="1">
        <v>6</v>
      </c>
      <c r="B724" s="2">
        <f>Walmart_Sales_raw_data!C724</f>
        <v>1472033.38</v>
      </c>
      <c r="C724" t="str">
        <f>IF(B724&gt;=Walmart_Sales_raw_data!$C$6437,"High","low")</f>
        <v>High</v>
      </c>
    </row>
    <row r="725" spans="1:3">
      <c r="A725" s="3">
        <v>6</v>
      </c>
      <c r="B725" s="2">
        <f>Walmart_Sales_raw_data!C725</f>
        <v>1770333.9</v>
      </c>
      <c r="C725" t="str">
        <f>IF(B725&gt;=Walmart_Sales_raw_data!$C$6437,"High","low")</f>
        <v>High</v>
      </c>
    </row>
    <row r="726" spans="1:3">
      <c r="A726" s="1">
        <v>6</v>
      </c>
      <c r="B726" s="2">
        <f>Walmart_Sales_raw_data!C726</f>
        <v>1667181.82</v>
      </c>
      <c r="C726" t="str">
        <f>IF(B726&gt;=Walmart_Sales_raw_data!$C$6437,"High","low")</f>
        <v>High</v>
      </c>
    </row>
    <row r="727" spans="1:3">
      <c r="A727" s="3">
        <v>6</v>
      </c>
      <c r="B727" s="2">
        <f>Walmart_Sales_raw_data!C727</f>
        <v>1519846.36</v>
      </c>
      <c r="C727" t="str">
        <f>IF(B727&gt;=Walmart_Sales_raw_data!$C$6437,"High","low")</f>
        <v>High</v>
      </c>
    </row>
    <row r="728" spans="1:3">
      <c r="A728" s="1">
        <v>6</v>
      </c>
      <c r="B728" s="2">
        <f>Walmart_Sales_raw_data!C728</f>
        <v>1540435.99</v>
      </c>
      <c r="C728" t="str">
        <f>IF(B728&gt;=Walmart_Sales_raw_data!$C$6437,"High","low")</f>
        <v>High</v>
      </c>
    </row>
    <row r="729" spans="1:3">
      <c r="A729" s="3">
        <v>6</v>
      </c>
      <c r="B729" s="2">
        <f>Walmart_Sales_raw_data!C729</f>
        <v>1498080.16</v>
      </c>
      <c r="C729" t="str">
        <f>IF(B729&gt;=Walmart_Sales_raw_data!$C$6437,"High","low")</f>
        <v>High</v>
      </c>
    </row>
    <row r="730" spans="1:3">
      <c r="A730" s="1">
        <v>6</v>
      </c>
      <c r="B730" s="2">
        <f>Walmart_Sales_raw_data!C730</f>
        <v>1619920.04</v>
      </c>
      <c r="C730" t="str">
        <f>IF(B730&gt;=Walmart_Sales_raw_data!$C$6437,"High","low")</f>
        <v>High</v>
      </c>
    </row>
    <row r="731" spans="1:3">
      <c r="A731" s="3">
        <v>6</v>
      </c>
      <c r="B731" s="2">
        <f>Walmart_Sales_raw_data!C731</f>
        <v>1524059.4</v>
      </c>
      <c r="C731" t="str">
        <f>IF(B731&gt;=Walmart_Sales_raw_data!$C$6437,"High","low")</f>
        <v>High</v>
      </c>
    </row>
    <row r="732" spans="1:3">
      <c r="A732" s="1">
        <v>6</v>
      </c>
      <c r="B732" s="2">
        <f>Walmart_Sales_raw_data!C732</f>
        <v>1531938.44</v>
      </c>
      <c r="C732" t="str">
        <f>IF(B732&gt;=Walmart_Sales_raw_data!$C$6437,"High","low")</f>
        <v>High</v>
      </c>
    </row>
    <row r="733" spans="1:3">
      <c r="A733" s="3">
        <v>6</v>
      </c>
      <c r="B733" s="2">
        <f>Walmart_Sales_raw_data!C733</f>
        <v>1644470.66</v>
      </c>
      <c r="C733" t="str">
        <f>IF(B733&gt;=Walmart_Sales_raw_data!$C$6437,"High","low")</f>
        <v>High</v>
      </c>
    </row>
    <row r="734" spans="1:3">
      <c r="A734" s="1">
        <v>6</v>
      </c>
      <c r="B734" s="2">
        <f>Walmart_Sales_raw_data!C734</f>
        <v>1857380.09</v>
      </c>
      <c r="C734" t="str">
        <f>IF(B734&gt;=Walmart_Sales_raw_data!$C$6437,"High","low")</f>
        <v>High</v>
      </c>
    </row>
    <row r="735" spans="1:3">
      <c r="A735" s="3">
        <v>6</v>
      </c>
      <c r="B735" s="2">
        <f>Walmart_Sales_raw_data!C735</f>
        <v>1685652.35</v>
      </c>
      <c r="C735" t="str">
        <f>IF(B735&gt;=Walmart_Sales_raw_data!$C$6437,"High","low")</f>
        <v>High</v>
      </c>
    </row>
    <row r="736" spans="1:3">
      <c r="A736" s="1">
        <v>6</v>
      </c>
      <c r="B736" s="2">
        <f>Walmart_Sales_raw_data!C736</f>
        <v>1677248.24</v>
      </c>
      <c r="C736" t="str">
        <f>IF(B736&gt;=Walmart_Sales_raw_data!$C$6437,"High","low")</f>
        <v>High</v>
      </c>
    </row>
    <row r="737" spans="1:3">
      <c r="A737" s="3">
        <v>6</v>
      </c>
      <c r="B737" s="2">
        <f>Walmart_Sales_raw_data!C737</f>
        <v>1640681.88</v>
      </c>
      <c r="C737" t="str">
        <f>IF(B737&gt;=Walmart_Sales_raw_data!$C$6437,"High","low")</f>
        <v>High</v>
      </c>
    </row>
    <row r="738" spans="1:3">
      <c r="A738" s="1">
        <v>6</v>
      </c>
      <c r="B738" s="2">
        <f>Walmart_Sales_raw_data!C738</f>
        <v>1759777.25</v>
      </c>
      <c r="C738" t="str">
        <f>IF(B738&gt;=Walmart_Sales_raw_data!$C$6437,"High","low")</f>
        <v>High</v>
      </c>
    </row>
    <row r="739" spans="1:3">
      <c r="A739" s="3">
        <v>6</v>
      </c>
      <c r="B739" s="2">
        <f>Walmart_Sales_raw_data!C739</f>
        <v>1690317.99</v>
      </c>
      <c r="C739" t="str">
        <f>IF(B739&gt;=Walmart_Sales_raw_data!$C$6437,"High","low")</f>
        <v>High</v>
      </c>
    </row>
    <row r="740" spans="1:3">
      <c r="A740" s="1">
        <v>6</v>
      </c>
      <c r="B740" s="2">
        <f>Walmart_Sales_raw_data!C740</f>
        <v>1560120.8</v>
      </c>
      <c r="C740" t="str">
        <f>IF(B740&gt;=Walmart_Sales_raw_data!$C$6437,"High","low")</f>
        <v>High</v>
      </c>
    </row>
    <row r="741" spans="1:3">
      <c r="A741" s="3">
        <v>6</v>
      </c>
      <c r="B741" s="2">
        <f>Walmart_Sales_raw_data!C741</f>
        <v>1585240.92</v>
      </c>
      <c r="C741" t="str">
        <f>IF(B741&gt;=Walmart_Sales_raw_data!$C$6437,"High","low")</f>
        <v>High</v>
      </c>
    </row>
    <row r="742" spans="1:3">
      <c r="A742" s="1">
        <v>6</v>
      </c>
      <c r="B742" s="2">
        <f>Walmart_Sales_raw_data!C742</f>
        <v>1532308.78</v>
      </c>
      <c r="C742" t="str">
        <f>IF(B742&gt;=Walmart_Sales_raw_data!$C$6437,"High","low")</f>
        <v>High</v>
      </c>
    </row>
    <row r="743" spans="1:3">
      <c r="A743" s="3">
        <v>6</v>
      </c>
      <c r="B743" s="2">
        <f>Walmart_Sales_raw_data!C743</f>
        <v>1633241.59</v>
      </c>
      <c r="C743" t="str">
        <f>IF(B743&gt;=Walmart_Sales_raw_data!$C$6437,"High","low")</f>
        <v>High</v>
      </c>
    </row>
    <row r="744" spans="1:3">
      <c r="A744" s="1">
        <v>6</v>
      </c>
      <c r="B744" s="2">
        <f>Walmart_Sales_raw_data!C744</f>
        <v>1547654.98</v>
      </c>
      <c r="C744" t="str">
        <f>IF(B744&gt;=Walmart_Sales_raw_data!$C$6437,"High","low")</f>
        <v>High</v>
      </c>
    </row>
    <row r="745" spans="1:3">
      <c r="A745" s="3">
        <v>6</v>
      </c>
      <c r="B745" s="2">
        <f>Walmart_Sales_raw_data!C745</f>
        <v>1539930.5</v>
      </c>
      <c r="C745" t="str">
        <f>IF(B745&gt;=Walmart_Sales_raw_data!$C$6437,"High","low")</f>
        <v>High</v>
      </c>
    </row>
    <row r="746" spans="1:3">
      <c r="A746" s="1">
        <v>6</v>
      </c>
      <c r="B746" s="2">
        <f>Walmart_Sales_raw_data!C746</f>
        <v>1450766.12</v>
      </c>
      <c r="C746" t="str">
        <f>IF(B746&gt;=Walmart_Sales_raw_data!$C$6437,"High","low")</f>
        <v>High</v>
      </c>
    </row>
    <row r="747" spans="1:3">
      <c r="A747" s="3">
        <v>6</v>
      </c>
      <c r="B747" s="2">
        <f>Walmart_Sales_raw_data!C747</f>
        <v>1510925.32</v>
      </c>
      <c r="C747" t="str">
        <f>IF(B747&gt;=Walmart_Sales_raw_data!$C$6437,"High","low")</f>
        <v>High</v>
      </c>
    </row>
    <row r="748" spans="1:3">
      <c r="A748" s="1">
        <v>6</v>
      </c>
      <c r="B748" s="2">
        <f>Walmart_Sales_raw_data!C748</f>
        <v>1424225.44</v>
      </c>
      <c r="C748" t="str">
        <f>IF(B748&gt;=Walmart_Sales_raw_data!$C$6437,"High","low")</f>
        <v>High</v>
      </c>
    </row>
    <row r="749" spans="1:3">
      <c r="A749" s="3">
        <v>6</v>
      </c>
      <c r="B749" s="2">
        <f>Walmart_Sales_raw_data!C749</f>
        <v>1308537.75</v>
      </c>
      <c r="C749" t="str">
        <f>IF(B749&gt;=Walmart_Sales_raw_data!$C$6437,"High","low")</f>
        <v>High</v>
      </c>
    </row>
    <row r="750" spans="1:3">
      <c r="A750" s="1">
        <v>6</v>
      </c>
      <c r="B750" s="2">
        <f>Walmart_Sales_raw_data!C750</f>
        <v>1275591.84</v>
      </c>
      <c r="C750" t="str">
        <f>IF(B750&gt;=Walmart_Sales_raw_data!$C$6437,"High","low")</f>
        <v>High</v>
      </c>
    </row>
    <row r="751" spans="1:3">
      <c r="A751" s="3">
        <v>6</v>
      </c>
      <c r="B751" s="2">
        <f>Walmart_Sales_raw_data!C751</f>
        <v>1328468.89</v>
      </c>
      <c r="C751" t="str">
        <f>IF(B751&gt;=Walmart_Sales_raw_data!$C$6437,"High","low")</f>
        <v>High</v>
      </c>
    </row>
    <row r="752" spans="1:3">
      <c r="A752" s="1">
        <v>6</v>
      </c>
      <c r="B752" s="2">
        <f>Walmart_Sales_raw_data!C752</f>
        <v>1360317.9</v>
      </c>
      <c r="C752" t="str">
        <f>IF(B752&gt;=Walmart_Sales_raw_data!$C$6437,"High","low")</f>
        <v>High</v>
      </c>
    </row>
    <row r="753" spans="1:3">
      <c r="A753" s="3">
        <v>6</v>
      </c>
      <c r="B753" s="2">
        <f>Walmart_Sales_raw_data!C753</f>
        <v>1344580.92</v>
      </c>
      <c r="C753" t="str">
        <f>IF(B753&gt;=Walmart_Sales_raw_data!$C$6437,"High","low")</f>
        <v>High</v>
      </c>
    </row>
    <row r="754" spans="1:3">
      <c r="A754" s="1">
        <v>6</v>
      </c>
      <c r="B754" s="2">
        <f>Walmart_Sales_raw_data!C754</f>
        <v>1332716.53</v>
      </c>
      <c r="C754" t="str">
        <f>IF(B754&gt;=Walmart_Sales_raw_data!$C$6437,"High","low")</f>
        <v>High</v>
      </c>
    </row>
    <row r="755" spans="1:3">
      <c r="A755" s="3">
        <v>6</v>
      </c>
      <c r="B755" s="2">
        <f>Walmart_Sales_raw_data!C755</f>
        <v>1385323.7</v>
      </c>
      <c r="C755" t="str">
        <f>IF(B755&gt;=Walmart_Sales_raw_data!$C$6437,"High","low")</f>
        <v>High</v>
      </c>
    </row>
    <row r="756" spans="1:3">
      <c r="A756" s="1">
        <v>6</v>
      </c>
      <c r="B756" s="2">
        <f>Walmart_Sales_raw_data!C756</f>
        <v>1505442.15</v>
      </c>
      <c r="C756" t="str">
        <f>IF(B756&gt;=Walmart_Sales_raw_data!$C$6437,"High","low")</f>
        <v>High</v>
      </c>
    </row>
    <row r="757" spans="1:3">
      <c r="A757" s="3">
        <v>6</v>
      </c>
      <c r="B757" s="2">
        <f>Walmart_Sales_raw_data!C757</f>
        <v>1495536.46</v>
      </c>
      <c r="C757" t="str">
        <f>IF(B757&gt;=Walmart_Sales_raw_data!$C$6437,"High","low")</f>
        <v>High</v>
      </c>
    </row>
    <row r="758" spans="1:3">
      <c r="A758" s="1">
        <v>6</v>
      </c>
      <c r="B758" s="2">
        <f>Walmart_Sales_raw_data!C758</f>
        <v>1518841.45</v>
      </c>
      <c r="C758" t="str">
        <f>IF(B758&gt;=Walmart_Sales_raw_data!$C$6437,"High","low")</f>
        <v>High</v>
      </c>
    </row>
    <row r="759" spans="1:3">
      <c r="A759" s="3">
        <v>6</v>
      </c>
      <c r="B759" s="2">
        <f>Walmart_Sales_raw_data!C759</f>
        <v>2267452.4</v>
      </c>
      <c r="C759" t="str">
        <f>IF(B759&gt;=Walmart_Sales_raw_data!$C$6437,"High","low")</f>
        <v>High</v>
      </c>
    </row>
    <row r="760" spans="1:3">
      <c r="A760" s="1">
        <v>6</v>
      </c>
      <c r="B760" s="2">
        <f>Walmart_Sales_raw_data!C760</f>
        <v>1677067.24</v>
      </c>
      <c r="C760" t="str">
        <f>IF(B760&gt;=Walmart_Sales_raw_data!$C$6437,"High","low")</f>
        <v>High</v>
      </c>
    </row>
    <row r="761" spans="1:3">
      <c r="A761" s="3">
        <v>6</v>
      </c>
      <c r="B761" s="2">
        <f>Walmart_Sales_raw_data!C761</f>
        <v>1834737.58</v>
      </c>
      <c r="C761" t="str">
        <f>IF(B761&gt;=Walmart_Sales_raw_data!$C$6437,"High","low")</f>
        <v>High</v>
      </c>
    </row>
    <row r="762" spans="1:3">
      <c r="A762" s="1">
        <v>6</v>
      </c>
      <c r="B762" s="2">
        <f>Walmart_Sales_raw_data!C762</f>
        <v>2090268.95</v>
      </c>
      <c r="C762" t="str">
        <f>IF(B762&gt;=Walmart_Sales_raw_data!$C$6437,"High","low")</f>
        <v>High</v>
      </c>
    </row>
    <row r="763" spans="1:3">
      <c r="A763" s="3">
        <v>6</v>
      </c>
      <c r="B763" s="2">
        <f>Walmart_Sales_raw_data!C763</f>
        <v>2727575.18</v>
      </c>
      <c r="C763" t="str">
        <f>IF(B763&gt;=Walmart_Sales_raw_data!$C$6437,"High","low")</f>
        <v>High</v>
      </c>
    </row>
    <row r="764" spans="1:3">
      <c r="A764" s="1">
        <v>6</v>
      </c>
      <c r="B764" s="2">
        <f>Walmart_Sales_raw_data!C764</f>
        <v>1464050.02</v>
      </c>
      <c r="C764" t="str">
        <f>IF(B764&gt;=Walmart_Sales_raw_data!$C$6437,"High","low")</f>
        <v>High</v>
      </c>
    </row>
    <row r="765" spans="1:3">
      <c r="A765" s="3">
        <v>6</v>
      </c>
      <c r="B765" s="2">
        <f>Walmart_Sales_raw_data!C765</f>
        <v>1350441.68</v>
      </c>
      <c r="C765" t="str">
        <f>IF(B765&gt;=Walmart_Sales_raw_data!$C$6437,"High","low")</f>
        <v>High</v>
      </c>
    </row>
    <row r="766" spans="1:3">
      <c r="A766" s="1">
        <v>6</v>
      </c>
      <c r="B766" s="2">
        <f>Walmart_Sales_raw_data!C766</f>
        <v>1306194.55</v>
      </c>
      <c r="C766" t="str">
        <f>IF(B766&gt;=Walmart_Sales_raw_data!$C$6437,"High","low")</f>
        <v>High</v>
      </c>
    </row>
    <row r="767" spans="1:3">
      <c r="A767" s="3">
        <v>6</v>
      </c>
      <c r="B767" s="2">
        <f>Walmart_Sales_raw_data!C767</f>
        <v>1261253.18</v>
      </c>
      <c r="C767" t="str">
        <f>IF(B767&gt;=Walmart_Sales_raw_data!$C$6437,"High","low")</f>
        <v>High</v>
      </c>
    </row>
    <row r="768" spans="1:3">
      <c r="A768" s="1">
        <v>6</v>
      </c>
      <c r="B768" s="2">
        <f>Walmart_Sales_raw_data!C768</f>
        <v>1287034.7</v>
      </c>
      <c r="C768" t="str">
        <f>IF(B768&gt;=Walmart_Sales_raw_data!$C$6437,"High","low")</f>
        <v>High</v>
      </c>
    </row>
    <row r="769" spans="1:3">
      <c r="A769" s="3">
        <v>6</v>
      </c>
      <c r="B769" s="2">
        <f>Walmart_Sales_raw_data!C769</f>
        <v>1514999.17</v>
      </c>
      <c r="C769" t="str">
        <f>IF(B769&gt;=Walmart_Sales_raw_data!$C$6437,"High","low")</f>
        <v>High</v>
      </c>
    </row>
    <row r="770" spans="1:3">
      <c r="A770" s="1">
        <v>6</v>
      </c>
      <c r="B770" s="2">
        <f>Walmart_Sales_raw_data!C770</f>
        <v>1486920.17</v>
      </c>
      <c r="C770" t="str">
        <f>IF(B770&gt;=Walmart_Sales_raw_data!$C$6437,"High","low")</f>
        <v>High</v>
      </c>
    </row>
    <row r="771" spans="1:3">
      <c r="A771" s="3">
        <v>6</v>
      </c>
      <c r="B771" s="2">
        <f>Walmart_Sales_raw_data!C771</f>
        <v>1572117.54</v>
      </c>
      <c r="C771" t="str">
        <f>IF(B771&gt;=Walmart_Sales_raw_data!$C$6437,"High","low")</f>
        <v>High</v>
      </c>
    </row>
    <row r="772" spans="1:3">
      <c r="A772" s="1">
        <v>6</v>
      </c>
      <c r="B772" s="2">
        <f>Walmart_Sales_raw_data!C772</f>
        <v>1422600.43</v>
      </c>
      <c r="C772" t="str">
        <f>IF(B772&gt;=Walmart_Sales_raw_data!$C$6437,"High","low")</f>
        <v>High</v>
      </c>
    </row>
    <row r="773" spans="1:3">
      <c r="A773" s="3">
        <v>6</v>
      </c>
      <c r="B773" s="2">
        <f>Walmart_Sales_raw_data!C773</f>
        <v>1502617.99</v>
      </c>
      <c r="C773" t="str">
        <f>IF(B773&gt;=Walmart_Sales_raw_data!$C$6437,"High","low")</f>
        <v>High</v>
      </c>
    </row>
    <row r="774" spans="1:3">
      <c r="A774" s="1">
        <v>6</v>
      </c>
      <c r="B774" s="2">
        <f>Walmart_Sales_raw_data!C774</f>
        <v>1494497.39</v>
      </c>
      <c r="C774" t="str">
        <f>IF(B774&gt;=Walmart_Sales_raw_data!$C$6437,"High","low")</f>
        <v>High</v>
      </c>
    </row>
    <row r="775" spans="1:3">
      <c r="A775" s="3">
        <v>6</v>
      </c>
      <c r="B775" s="2">
        <f>Walmart_Sales_raw_data!C775</f>
        <v>1685375.47</v>
      </c>
      <c r="C775" t="str">
        <f>IF(B775&gt;=Walmart_Sales_raw_data!$C$6437,"High","low")</f>
        <v>High</v>
      </c>
    </row>
    <row r="776" spans="1:3">
      <c r="A776" s="1">
        <v>6</v>
      </c>
      <c r="B776" s="2">
        <f>Walmart_Sales_raw_data!C776</f>
        <v>1438465.81</v>
      </c>
      <c r="C776" t="str">
        <f>IF(B776&gt;=Walmart_Sales_raw_data!$C$6437,"High","low")</f>
        <v>High</v>
      </c>
    </row>
    <row r="777" spans="1:3">
      <c r="A777" s="3">
        <v>6</v>
      </c>
      <c r="B777" s="2">
        <f>Walmart_Sales_raw_data!C777</f>
        <v>1459276.77</v>
      </c>
      <c r="C777" t="str">
        <f>IF(B777&gt;=Walmart_Sales_raw_data!$C$6437,"High","low")</f>
        <v>High</v>
      </c>
    </row>
    <row r="778" spans="1:3">
      <c r="A778" s="1">
        <v>6</v>
      </c>
      <c r="B778" s="2">
        <f>Walmart_Sales_raw_data!C778</f>
        <v>1534594</v>
      </c>
      <c r="C778" t="str">
        <f>IF(B778&gt;=Walmart_Sales_raw_data!$C$6437,"High","low")</f>
        <v>High</v>
      </c>
    </row>
    <row r="779" spans="1:3">
      <c r="A779" s="3">
        <v>6</v>
      </c>
      <c r="B779" s="2">
        <f>Walmart_Sales_raw_data!C779</f>
        <v>1448797.02</v>
      </c>
      <c r="C779" t="str">
        <f>IF(B779&gt;=Walmart_Sales_raw_data!$C$6437,"High","low")</f>
        <v>High</v>
      </c>
    </row>
    <row r="780" spans="1:3">
      <c r="A780" s="1">
        <v>6</v>
      </c>
      <c r="B780" s="2">
        <f>Walmart_Sales_raw_data!C780</f>
        <v>1639358.93</v>
      </c>
      <c r="C780" t="str">
        <f>IF(B780&gt;=Walmart_Sales_raw_data!$C$6437,"High","low")</f>
        <v>High</v>
      </c>
    </row>
    <row r="781" spans="1:3">
      <c r="A781" s="3">
        <v>6</v>
      </c>
      <c r="B781" s="2">
        <f>Walmart_Sales_raw_data!C781</f>
        <v>1479249.9</v>
      </c>
      <c r="C781" t="str">
        <f>IF(B781&gt;=Walmart_Sales_raw_data!$C$6437,"High","low")</f>
        <v>High</v>
      </c>
    </row>
    <row r="782" spans="1:3">
      <c r="A782" s="1">
        <v>6</v>
      </c>
      <c r="B782" s="2">
        <f>Walmart_Sales_raw_data!C782</f>
        <v>1504651.57</v>
      </c>
      <c r="C782" t="str">
        <f>IF(B782&gt;=Walmart_Sales_raw_data!$C$6437,"High","low")</f>
        <v>High</v>
      </c>
    </row>
    <row r="783" spans="1:3">
      <c r="A783" s="3">
        <v>6</v>
      </c>
      <c r="B783" s="2">
        <f>Walmart_Sales_raw_data!C783</f>
        <v>1453185.65</v>
      </c>
      <c r="C783" t="str">
        <f>IF(B783&gt;=Walmart_Sales_raw_data!$C$6437,"High","low")</f>
        <v>High</v>
      </c>
    </row>
    <row r="784" spans="1:3">
      <c r="A784" s="1">
        <v>6</v>
      </c>
      <c r="B784" s="2">
        <f>Walmart_Sales_raw_data!C784</f>
        <v>1382783.83</v>
      </c>
      <c r="C784" t="str">
        <f>IF(B784&gt;=Walmart_Sales_raw_data!$C$6437,"High","low")</f>
        <v>High</v>
      </c>
    </row>
    <row r="785" spans="1:3">
      <c r="A785" s="3">
        <v>6</v>
      </c>
      <c r="B785" s="2">
        <f>Walmart_Sales_raw_data!C785</f>
        <v>1523979.11</v>
      </c>
      <c r="C785" t="str">
        <f>IF(B785&gt;=Walmart_Sales_raw_data!$C$6437,"High","low")</f>
        <v>High</v>
      </c>
    </row>
    <row r="786" spans="1:3">
      <c r="A786" s="1">
        <v>6</v>
      </c>
      <c r="B786" s="2">
        <f>Walmart_Sales_raw_data!C786</f>
        <v>1705506.29</v>
      </c>
      <c r="C786" t="str">
        <f>IF(B786&gt;=Walmart_Sales_raw_data!$C$6437,"High","low")</f>
        <v>High</v>
      </c>
    </row>
    <row r="787" spans="1:3">
      <c r="A787" s="3">
        <v>6</v>
      </c>
      <c r="B787" s="2">
        <f>Walmart_Sales_raw_data!C787</f>
        <v>1598643.65</v>
      </c>
      <c r="C787" t="str">
        <f>IF(B787&gt;=Walmart_Sales_raw_data!$C$6437,"High","low")</f>
        <v>High</v>
      </c>
    </row>
    <row r="788" spans="1:3">
      <c r="A788" s="1">
        <v>6</v>
      </c>
      <c r="B788" s="2">
        <f>Walmart_Sales_raw_data!C788</f>
        <v>1622150.33</v>
      </c>
      <c r="C788" t="str">
        <f>IF(B788&gt;=Walmart_Sales_raw_data!$C$6437,"High","low")</f>
        <v>High</v>
      </c>
    </row>
    <row r="789" spans="1:3">
      <c r="A789" s="3">
        <v>6</v>
      </c>
      <c r="B789" s="2">
        <f>Walmart_Sales_raw_data!C789</f>
        <v>1543365.9</v>
      </c>
      <c r="C789" t="str">
        <f>IF(B789&gt;=Walmart_Sales_raw_data!$C$6437,"High","low")</f>
        <v>High</v>
      </c>
    </row>
    <row r="790" spans="1:3">
      <c r="A790" s="1">
        <v>6</v>
      </c>
      <c r="B790" s="2">
        <f>Walmart_Sales_raw_data!C790</f>
        <v>1694551.15</v>
      </c>
      <c r="C790" t="str">
        <f>IF(B790&gt;=Walmart_Sales_raw_data!$C$6437,"High","low")</f>
        <v>High</v>
      </c>
    </row>
    <row r="791" spans="1:3">
      <c r="A791" s="3">
        <v>6</v>
      </c>
      <c r="B791" s="2">
        <f>Walmart_Sales_raw_data!C791</f>
        <v>1709373.62</v>
      </c>
      <c r="C791" t="str">
        <f>IF(B791&gt;=Walmart_Sales_raw_data!$C$6437,"High","low")</f>
        <v>High</v>
      </c>
    </row>
    <row r="792" spans="1:3">
      <c r="A792" s="1">
        <v>6</v>
      </c>
      <c r="B792" s="2">
        <f>Walmart_Sales_raw_data!C792</f>
        <v>1526801.24</v>
      </c>
      <c r="C792" t="str">
        <f>IF(B792&gt;=Walmart_Sales_raw_data!$C$6437,"High","low")</f>
        <v>High</v>
      </c>
    </row>
    <row r="793" spans="1:3">
      <c r="A793" s="3">
        <v>6</v>
      </c>
      <c r="B793" s="2">
        <f>Walmart_Sales_raw_data!C793</f>
        <v>1526506.08</v>
      </c>
      <c r="C793" t="str">
        <f>IF(B793&gt;=Walmart_Sales_raw_data!$C$6437,"High","low")</f>
        <v>High</v>
      </c>
    </row>
    <row r="794" spans="1:3">
      <c r="A794" s="1">
        <v>6</v>
      </c>
      <c r="B794" s="2">
        <f>Walmart_Sales_raw_data!C794</f>
        <v>1483991.05</v>
      </c>
      <c r="C794" t="str">
        <f>IF(B794&gt;=Walmart_Sales_raw_data!$C$6437,"High","low")</f>
        <v>High</v>
      </c>
    </row>
    <row r="795" spans="1:3">
      <c r="A795" s="3">
        <v>6</v>
      </c>
      <c r="B795" s="2">
        <f>Walmart_Sales_raw_data!C795</f>
        <v>1601584.57</v>
      </c>
      <c r="C795" t="str">
        <f>IF(B795&gt;=Walmart_Sales_raw_data!$C$6437,"High","low")</f>
        <v>High</v>
      </c>
    </row>
    <row r="796" spans="1:3">
      <c r="A796" s="1">
        <v>6</v>
      </c>
      <c r="B796" s="2">
        <f>Walmart_Sales_raw_data!C796</f>
        <v>1484995.38</v>
      </c>
      <c r="C796" t="str">
        <f>IF(B796&gt;=Walmart_Sales_raw_data!$C$6437,"High","low")</f>
        <v>High</v>
      </c>
    </row>
    <row r="797" spans="1:3">
      <c r="A797" s="3">
        <v>6</v>
      </c>
      <c r="B797" s="2">
        <f>Walmart_Sales_raw_data!C797</f>
        <v>1493544.04</v>
      </c>
      <c r="C797" t="str">
        <f>IF(B797&gt;=Walmart_Sales_raw_data!$C$6437,"High","low")</f>
        <v>High</v>
      </c>
    </row>
    <row r="798" spans="1:3">
      <c r="A798" s="1">
        <v>6</v>
      </c>
      <c r="B798" s="2">
        <f>Walmart_Sales_raw_data!C798</f>
        <v>1420405.41</v>
      </c>
      <c r="C798" t="str">
        <f>IF(B798&gt;=Walmart_Sales_raw_data!$C$6437,"High","low")</f>
        <v>High</v>
      </c>
    </row>
    <row r="799" spans="1:3">
      <c r="A799" s="3">
        <v>6</v>
      </c>
      <c r="B799" s="2">
        <f>Walmart_Sales_raw_data!C799</f>
        <v>1481618.74</v>
      </c>
      <c r="C799" t="str">
        <f>IF(B799&gt;=Walmart_Sales_raw_data!$C$6437,"High","low")</f>
        <v>High</v>
      </c>
    </row>
    <row r="800" spans="1:3">
      <c r="A800" s="1">
        <v>6</v>
      </c>
      <c r="B800" s="2">
        <f>Walmart_Sales_raw_data!C800</f>
        <v>1483574.38</v>
      </c>
      <c r="C800" t="str">
        <f>IF(B800&gt;=Walmart_Sales_raw_data!$C$6437,"High","low")</f>
        <v>High</v>
      </c>
    </row>
    <row r="801" spans="1:3">
      <c r="A801" s="3">
        <v>6</v>
      </c>
      <c r="B801" s="2">
        <f>Walmart_Sales_raw_data!C801</f>
        <v>1351407.79</v>
      </c>
      <c r="C801" t="str">
        <f>IF(B801&gt;=Walmart_Sales_raw_data!$C$6437,"High","low")</f>
        <v>High</v>
      </c>
    </row>
    <row r="802" spans="1:3">
      <c r="A802" s="1">
        <v>6</v>
      </c>
      <c r="B802" s="2">
        <f>Walmart_Sales_raw_data!C802</f>
        <v>1336044.75</v>
      </c>
      <c r="C802" t="str">
        <f>IF(B802&gt;=Walmart_Sales_raw_data!$C$6437,"High","low")</f>
        <v>High</v>
      </c>
    </row>
    <row r="803" spans="1:3">
      <c r="A803" s="3">
        <v>6</v>
      </c>
      <c r="B803" s="2">
        <f>Walmart_Sales_raw_data!C803</f>
        <v>1307551.92</v>
      </c>
      <c r="C803" t="str">
        <f>IF(B803&gt;=Walmart_Sales_raw_data!$C$6437,"High","low")</f>
        <v>High</v>
      </c>
    </row>
    <row r="804" spans="1:3">
      <c r="A804" s="1">
        <v>6</v>
      </c>
      <c r="B804" s="2">
        <f>Walmart_Sales_raw_data!C804</f>
        <v>1481739.2</v>
      </c>
      <c r="C804" t="str">
        <f>IF(B804&gt;=Walmart_Sales_raw_data!$C$6437,"High","low")</f>
        <v>High</v>
      </c>
    </row>
    <row r="805" spans="1:3">
      <c r="A805" s="3">
        <v>6</v>
      </c>
      <c r="B805" s="2">
        <f>Walmart_Sales_raw_data!C805</f>
        <v>1386520.99</v>
      </c>
      <c r="C805" t="str">
        <f>IF(B805&gt;=Walmart_Sales_raw_data!$C$6437,"High","low")</f>
        <v>High</v>
      </c>
    </row>
    <row r="806" spans="1:3">
      <c r="A806" s="1">
        <v>6</v>
      </c>
      <c r="B806" s="2">
        <f>Walmart_Sales_raw_data!C806</f>
        <v>1417922.37</v>
      </c>
      <c r="C806" t="str">
        <f>IF(B806&gt;=Walmart_Sales_raw_data!$C$6437,"High","low")</f>
        <v>High</v>
      </c>
    </row>
    <row r="807" spans="1:3">
      <c r="A807" s="3">
        <v>6</v>
      </c>
      <c r="B807" s="2">
        <f>Walmart_Sales_raw_data!C807</f>
        <v>1419445.12</v>
      </c>
      <c r="C807" t="str">
        <f>IF(B807&gt;=Walmart_Sales_raw_data!$C$6437,"High","low")</f>
        <v>High</v>
      </c>
    </row>
    <row r="808" spans="1:3">
      <c r="A808" s="1">
        <v>6</v>
      </c>
      <c r="B808" s="2">
        <f>Walmart_Sales_raw_data!C808</f>
        <v>1523420.38</v>
      </c>
      <c r="C808" t="str">
        <f>IF(B808&gt;=Walmart_Sales_raw_data!$C$6437,"High","low")</f>
        <v>High</v>
      </c>
    </row>
    <row r="809" spans="1:3">
      <c r="A809" s="3">
        <v>6</v>
      </c>
      <c r="B809" s="2">
        <f>Walmart_Sales_raw_data!C809</f>
        <v>1536176.54</v>
      </c>
      <c r="C809" t="str">
        <f>IF(B809&gt;=Walmart_Sales_raw_data!$C$6437,"High","low")</f>
        <v>High</v>
      </c>
    </row>
    <row r="810" spans="1:3">
      <c r="A810" s="1">
        <v>6</v>
      </c>
      <c r="B810" s="2">
        <f>Walmart_Sales_raw_data!C810</f>
        <v>1524390.07</v>
      </c>
      <c r="C810" t="str">
        <f>IF(B810&gt;=Walmart_Sales_raw_data!$C$6437,"High","low")</f>
        <v>High</v>
      </c>
    </row>
    <row r="811" spans="1:3">
      <c r="A811" s="3">
        <v>6</v>
      </c>
      <c r="B811" s="2">
        <f>Walmart_Sales_raw_data!C811</f>
        <v>2249811.55</v>
      </c>
      <c r="C811" t="str">
        <f>IF(B811&gt;=Walmart_Sales_raw_data!$C$6437,"High","low")</f>
        <v>High</v>
      </c>
    </row>
    <row r="812" spans="1:3">
      <c r="A812" s="1">
        <v>6</v>
      </c>
      <c r="B812" s="2">
        <f>Walmart_Sales_raw_data!C812</f>
        <v>1688531.34</v>
      </c>
      <c r="C812" t="str">
        <f>IF(B812&gt;=Walmart_Sales_raw_data!$C$6437,"High","low")</f>
        <v>High</v>
      </c>
    </row>
    <row r="813" spans="1:3">
      <c r="A813" s="3">
        <v>6</v>
      </c>
      <c r="B813" s="2">
        <f>Walmart_Sales_raw_data!C813</f>
        <v>1903385.14</v>
      </c>
      <c r="C813" t="str">
        <f>IF(B813&gt;=Walmart_Sales_raw_data!$C$6437,"High","low")</f>
        <v>High</v>
      </c>
    </row>
    <row r="814" spans="1:3">
      <c r="A814" s="1">
        <v>6</v>
      </c>
      <c r="B814" s="2">
        <f>Walmart_Sales_raw_data!C814</f>
        <v>2034695.56</v>
      </c>
      <c r="C814" t="str">
        <f>IF(B814&gt;=Walmart_Sales_raw_data!$C$6437,"High","low")</f>
        <v>High</v>
      </c>
    </row>
    <row r="815" spans="1:3">
      <c r="A815" s="3">
        <v>6</v>
      </c>
      <c r="B815" s="2">
        <f>Walmart_Sales_raw_data!C815</f>
        <v>2644633.02</v>
      </c>
      <c r="C815" t="str">
        <f>IF(B815&gt;=Walmart_Sales_raw_data!$C$6437,"High","low")</f>
        <v>High</v>
      </c>
    </row>
    <row r="816" spans="1:3">
      <c r="A816" s="1">
        <v>6</v>
      </c>
      <c r="B816" s="2">
        <f>Walmart_Sales_raw_data!C816</f>
        <v>1598080.52</v>
      </c>
      <c r="C816" t="str">
        <f>IF(B816&gt;=Walmart_Sales_raw_data!$C$6437,"High","low")</f>
        <v>High</v>
      </c>
    </row>
    <row r="817" spans="1:3">
      <c r="A817" s="3">
        <v>6</v>
      </c>
      <c r="B817" s="2">
        <f>Walmart_Sales_raw_data!C817</f>
        <v>1395339.71</v>
      </c>
      <c r="C817" t="str">
        <f>IF(B817&gt;=Walmart_Sales_raw_data!$C$6437,"High","low")</f>
        <v>High</v>
      </c>
    </row>
    <row r="818" spans="1:3">
      <c r="A818" s="1">
        <v>6</v>
      </c>
      <c r="B818" s="2">
        <f>Walmart_Sales_raw_data!C818</f>
        <v>1344243.17</v>
      </c>
      <c r="C818" t="str">
        <f>IF(B818&gt;=Walmart_Sales_raw_data!$C$6437,"High","low")</f>
        <v>High</v>
      </c>
    </row>
    <row r="819" spans="1:3">
      <c r="A819" s="3">
        <v>6</v>
      </c>
      <c r="B819" s="2">
        <f>Walmart_Sales_raw_data!C819</f>
        <v>1326255.7</v>
      </c>
      <c r="C819" t="str">
        <f>IF(B819&gt;=Walmart_Sales_raw_data!$C$6437,"High","low")</f>
        <v>High</v>
      </c>
    </row>
    <row r="820" spans="1:3">
      <c r="A820" s="1">
        <v>6</v>
      </c>
      <c r="B820" s="2">
        <f>Walmart_Sales_raw_data!C820</f>
        <v>1315610.66</v>
      </c>
      <c r="C820" t="str">
        <f>IF(B820&gt;=Walmart_Sales_raw_data!$C$6437,"High","low")</f>
        <v>High</v>
      </c>
    </row>
    <row r="821" spans="1:3">
      <c r="A821" s="3">
        <v>6</v>
      </c>
      <c r="B821" s="2">
        <f>Walmart_Sales_raw_data!C821</f>
        <v>1496305.78</v>
      </c>
      <c r="C821" t="str">
        <f>IF(B821&gt;=Walmart_Sales_raw_data!$C$6437,"High","low")</f>
        <v>High</v>
      </c>
    </row>
    <row r="822" spans="1:3">
      <c r="A822" s="1">
        <v>6</v>
      </c>
      <c r="B822" s="2">
        <f>Walmart_Sales_raw_data!C822</f>
        <v>1620603.92</v>
      </c>
      <c r="C822" t="str">
        <f>IF(B822&gt;=Walmart_Sales_raw_data!$C$6437,"High","low")</f>
        <v>High</v>
      </c>
    </row>
    <row r="823" spans="1:3">
      <c r="A823" s="3">
        <v>6</v>
      </c>
      <c r="B823" s="2">
        <f>Walmart_Sales_raw_data!C823</f>
        <v>1632616.09</v>
      </c>
      <c r="C823" t="str">
        <f>IF(B823&gt;=Walmart_Sales_raw_data!$C$6437,"High","low")</f>
        <v>High</v>
      </c>
    </row>
    <row r="824" spans="1:3">
      <c r="A824" s="1">
        <v>6</v>
      </c>
      <c r="B824" s="2">
        <f>Walmart_Sales_raw_data!C824</f>
        <v>1465187.71</v>
      </c>
      <c r="C824" t="str">
        <f>IF(B824&gt;=Walmart_Sales_raw_data!$C$6437,"High","low")</f>
        <v>High</v>
      </c>
    </row>
    <row r="825" spans="1:3">
      <c r="A825" s="3">
        <v>6</v>
      </c>
      <c r="B825" s="2">
        <f>Walmart_Sales_raw_data!C825</f>
        <v>1550385.65</v>
      </c>
      <c r="C825" t="str">
        <f>IF(B825&gt;=Walmart_Sales_raw_data!$C$6437,"High","low")</f>
        <v>High</v>
      </c>
    </row>
    <row r="826" spans="1:3">
      <c r="A826" s="1">
        <v>6</v>
      </c>
      <c r="B826" s="2">
        <f>Walmart_Sales_raw_data!C826</f>
        <v>1569304.4</v>
      </c>
      <c r="C826" t="str">
        <f>IF(B826&gt;=Walmart_Sales_raw_data!$C$6437,"High","low")</f>
        <v>High</v>
      </c>
    </row>
    <row r="827" spans="1:3">
      <c r="A827" s="3">
        <v>6</v>
      </c>
      <c r="B827" s="2">
        <f>Walmart_Sales_raw_data!C827</f>
        <v>1748010.29</v>
      </c>
      <c r="C827" t="str">
        <f>IF(B827&gt;=Walmart_Sales_raw_data!$C$6437,"High","low")</f>
        <v>High</v>
      </c>
    </row>
    <row r="828" spans="1:3">
      <c r="A828" s="1">
        <v>6</v>
      </c>
      <c r="B828" s="2">
        <f>Walmart_Sales_raw_data!C828</f>
        <v>1495143.62</v>
      </c>
      <c r="C828" t="str">
        <f>IF(B828&gt;=Walmart_Sales_raw_data!$C$6437,"High","low")</f>
        <v>High</v>
      </c>
    </row>
    <row r="829" spans="1:3">
      <c r="A829" s="3">
        <v>6</v>
      </c>
      <c r="B829" s="2">
        <f>Walmart_Sales_raw_data!C829</f>
        <v>1508933.26</v>
      </c>
      <c r="C829" t="str">
        <f>IF(B829&gt;=Walmart_Sales_raw_data!$C$6437,"High","low")</f>
        <v>High</v>
      </c>
    </row>
    <row r="830" spans="1:3">
      <c r="A830" s="1">
        <v>6</v>
      </c>
      <c r="B830" s="2">
        <f>Walmart_Sales_raw_data!C830</f>
        <v>1840131.19</v>
      </c>
      <c r="C830" t="str">
        <f>IF(B830&gt;=Walmart_Sales_raw_data!$C$6437,"High","low")</f>
        <v>High</v>
      </c>
    </row>
    <row r="831" spans="1:3">
      <c r="A831" s="3">
        <v>6</v>
      </c>
      <c r="B831" s="2">
        <f>Walmart_Sales_raw_data!C831</f>
        <v>1616394.45</v>
      </c>
      <c r="C831" t="str">
        <f>IF(B831&gt;=Walmart_Sales_raw_data!$C$6437,"High","low")</f>
        <v>High</v>
      </c>
    </row>
    <row r="832" spans="1:3">
      <c r="A832" s="1">
        <v>6</v>
      </c>
      <c r="B832" s="2">
        <f>Walmart_Sales_raw_data!C832</f>
        <v>1456073.24</v>
      </c>
      <c r="C832" t="str">
        <f>IF(B832&gt;=Walmart_Sales_raw_data!$C$6437,"High","low")</f>
        <v>High</v>
      </c>
    </row>
    <row r="833" spans="1:3">
      <c r="A833" s="3">
        <v>6</v>
      </c>
      <c r="B833" s="2">
        <f>Walmart_Sales_raw_data!C833</f>
        <v>1456221.1</v>
      </c>
      <c r="C833" t="str">
        <f>IF(B833&gt;=Walmart_Sales_raw_data!$C$6437,"High","low")</f>
        <v>High</v>
      </c>
    </row>
    <row r="834" spans="1:3">
      <c r="A834" s="1">
        <v>6</v>
      </c>
      <c r="B834" s="2">
        <f>Walmart_Sales_raw_data!C834</f>
        <v>1543461.12</v>
      </c>
      <c r="C834" t="str">
        <f>IF(B834&gt;=Walmart_Sales_raw_data!$C$6437,"High","low")</f>
        <v>High</v>
      </c>
    </row>
    <row r="835" spans="1:3">
      <c r="A835" s="3">
        <v>6</v>
      </c>
      <c r="B835" s="2">
        <f>Walmart_Sales_raw_data!C835</f>
        <v>1517075.67</v>
      </c>
      <c r="C835" t="str">
        <f>IF(B835&gt;=Walmart_Sales_raw_data!$C$6437,"High","low")</f>
        <v>High</v>
      </c>
    </row>
    <row r="836" spans="1:3">
      <c r="A836" s="1">
        <v>6</v>
      </c>
      <c r="B836" s="2">
        <f>Walmart_Sales_raw_data!C836</f>
        <v>1513635.64</v>
      </c>
      <c r="C836" t="str">
        <f>IF(B836&gt;=Walmart_Sales_raw_data!$C$6437,"High","low")</f>
        <v>High</v>
      </c>
    </row>
    <row r="837" spans="1:3">
      <c r="A837" s="3">
        <v>6</v>
      </c>
      <c r="B837" s="2">
        <f>Walmart_Sales_raw_data!C837</f>
        <v>1603793.42</v>
      </c>
      <c r="C837" t="str">
        <f>IF(B837&gt;=Walmart_Sales_raw_data!$C$6437,"High","low")</f>
        <v>High</v>
      </c>
    </row>
    <row r="838" spans="1:3">
      <c r="A838" s="1">
        <v>6</v>
      </c>
      <c r="B838" s="2">
        <f>Walmart_Sales_raw_data!C838</f>
        <v>1681121.38</v>
      </c>
      <c r="C838" t="str">
        <f>IF(B838&gt;=Walmart_Sales_raw_data!$C$6437,"High","low")</f>
        <v>High</v>
      </c>
    </row>
    <row r="839" spans="1:3">
      <c r="A839" s="3">
        <v>6</v>
      </c>
      <c r="B839" s="2">
        <f>Walmart_Sales_raw_data!C839</f>
        <v>1696619.52</v>
      </c>
      <c r="C839" t="str">
        <f>IF(B839&gt;=Walmart_Sales_raw_data!$C$6437,"High","low")</f>
        <v>High</v>
      </c>
    </row>
    <row r="840" spans="1:3">
      <c r="A840" s="1">
        <v>6</v>
      </c>
      <c r="B840" s="2">
        <f>Walmart_Sales_raw_data!C840</f>
        <v>1642247.48</v>
      </c>
      <c r="C840" t="str">
        <f>IF(B840&gt;=Walmart_Sales_raw_data!$C$6437,"High","low")</f>
        <v>High</v>
      </c>
    </row>
    <row r="841" spans="1:3">
      <c r="A841" s="3">
        <v>6</v>
      </c>
      <c r="B841" s="2">
        <f>Walmart_Sales_raw_data!C841</f>
        <v>1618272.25</v>
      </c>
      <c r="C841" t="str">
        <f>IF(B841&gt;=Walmart_Sales_raw_data!$C$6437,"High","low")</f>
        <v>High</v>
      </c>
    </row>
    <row r="842" spans="1:3">
      <c r="A842" s="1">
        <v>6</v>
      </c>
      <c r="B842" s="2">
        <f>Walmart_Sales_raw_data!C842</f>
        <v>1648863.46</v>
      </c>
      <c r="C842" t="str">
        <f>IF(B842&gt;=Walmart_Sales_raw_data!$C$6437,"High","low")</f>
        <v>High</v>
      </c>
    </row>
    <row r="843" spans="1:3">
      <c r="A843" s="3">
        <v>6</v>
      </c>
      <c r="B843" s="2">
        <f>Walmart_Sales_raw_data!C843</f>
        <v>1876359.39</v>
      </c>
      <c r="C843" t="str">
        <f>IF(B843&gt;=Walmart_Sales_raw_data!$C$6437,"High","low")</f>
        <v>High</v>
      </c>
    </row>
    <row r="844" spans="1:3">
      <c r="A844" s="1">
        <v>6</v>
      </c>
      <c r="B844" s="2">
        <f>Walmart_Sales_raw_data!C844</f>
        <v>1588142.26</v>
      </c>
      <c r="C844" t="str">
        <f>IF(B844&gt;=Walmart_Sales_raw_data!$C$6437,"High","low")</f>
        <v>High</v>
      </c>
    </row>
    <row r="845" spans="1:3">
      <c r="A845" s="3">
        <v>6</v>
      </c>
      <c r="B845" s="2">
        <f>Walmart_Sales_raw_data!C845</f>
        <v>1574361.97</v>
      </c>
      <c r="C845" t="str">
        <f>IF(B845&gt;=Walmart_Sales_raw_data!$C$6437,"High","low")</f>
        <v>High</v>
      </c>
    </row>
    <row r="846" spans="1:3">
      <c r="A846" s="1">
        <v>6</v>
      </c>
      <c r="B846" s="2">
        <f>Walmart_Sales_raw_data!C846</f>
        <v>1513229.16</v>
      </c>
      <c r="C846" t="str">
        <f>IF(B846&gt;=Walmart_Sales_raw_data!$C$6437,"High","low")</f>
        <v>High</v>
      </c>
    </row>
    <row r="847" spans="1:3">
      <c r="A847" s="3">
        <v>6</v>
      </c>
      <c r="B847" s="2">
        <f>Walmart_Sales_raw_data!C847</f>
        <v>1627274.93</v>
      </c>
      <c r="C847" t="str">
        <f>IF(B847&gt;=Walmart_Sales_raw_data!$C$6437,"High","low")</f>
        <v>High</v>
      </c>
    </row>
    <row r="848" spans="1:3">
      <c r="A848" s="1">
        <v>6</v>
      </c>
      <c r="B848" s="2">
        <f>Walmart_Sales_raw_data!C848</f>
        <v>1588380.73</v>
      </c>
      <c r="C848" t="str">
        <f>IF(B848&gt;=Walmart_Sales_raw_data!$C$6437,"High","low")</f>
        <v>High</v>
      </c>
    </row>
    <row r="849" spans="1:3">
      <c r="A849" s="3">
        <v>6</v>
      </c>
      <c r="B849" s="2">
        <f>Walmart_Sales_raw_data!C849</f>
        <v>1543049.52</v>
      </c>
      <c r="C849" t="str">
        <f>IF(B849&gt;=Walmart_Sales_raw_data!$C$6437,"High","low")</f>
        <v>High</v>
      </c>
    </row>
    <row r="850" spans="1:3">
      <c r="A850" s="1">
        <v>6</v>
      </c>
      <c r="B850" s="2">
        <f>Walmart_Sales_raw_data!C850</f>
        <v>1501095.49</v>
      </c>
      <c r="C850" t="str">
        <f>IF(B850&gt;=Walmart_Sales_raw_data!$C$6437,"High","low")</f>
        <v>High</v>
      </c>
    </row>
    <row r="851" spans="1:3">
      <c r="A851" s="3">
        <v>6</v>
      </c>
      <c r="B851" s="2">
        <f>Walmart_Sales_raw_data!C851</f>
        <v>1577439.81</v>
      </c>
      <c r="C851" t="str">
        <f>IF(B851&gt;=Walmart_Sales_raw_data!$C$6437,"High","low")</f>
        <v>High</v>
      </c>
    </row>
    <row r="852" spans="1:3">
      <c r="A852" s="1">
        <v>6</v>
      </c>
      <c r="B852" s="2">
        <f>Walmart_Sales_raw_data!C852</f>
        <v>1608077.01</v>
      </c>
      <c r="C852" t="str">
        <f>IF(B852&gt;=Walmart_Sales_raw_data!$C$6437,"High","low")</f>
        <v>High</v>
      </c>
    </row>
    <row r="853" spans="1:3">
      <c r="A853" s="3">
        <v>6</v>
      </c>
      <c r="B853" s="2">
        <f>Walmart_Sales_raw_data!C853</f>
        <v>1375166.86</v>
      </c>
      <c r="C853" t="str">
        <f>IF(B853&gt;=Walmart_Sales_raw_data!$C$6437,"High","low")</f>
        <v>High</v>
      </c>
    </row>
    <row r="854" spans="1:3">
      <c r="A854" s="1">
        <v>6</v>
      </c>
      <c r="B854" s="2">
        <f>Walmart_Sales_raw_data!C854</f>
        <v>1425603.65</v>
      </c>
      <c r="C854" t="str">
        <f>IF(B854&gt;=Walmart_Sales_raw_data!$C$6437,"High","low")</f>
        <v>High</v>
      </c>
    </row>
    <row r="855" spans="1:3">
      <c r="A855" s="3">
        <v>6</v>
      </c>
      <c r="B855" s="2">
        <f>Walmart_Sales_raw_data!C855</f>
        <v>1369131.46</v>
      </c>
      <c r="C855" t="str">
        <f>IF(B855&gt;=Walmart_Sales_raw_data!$C$6437,"High","low")</f>
        <v>High</v>
      </c>
    </row>
    <row r="856" spans="1:3">
      <c r="A856" s="1">
        <v>6</v>
      </c>
      <c r="B856" s="2">
        <f>Walmart_Sales_raw_data!C856</f>
        <v>1518177.71</v>
      </c>
      <c r="C856" t="str">
        <f>IF(B856&gt;=Walmart_Sales_raw_data!$C$6437,"High","low")</f>
        <v>High</v>
      </c>
    </row>
    <row r="857" spans="1:3">
      <c r="A857" s="3">
        <v>6</v>
      </c>
      <c r="B857" s="2">
        <f>Walmart_Sales_raw_data!C857</f>
        <v>1459396.84</v>
      </c>
      <c r="C857" t="str">
        <f>IF(B857&gt;=Walmart_Sales_raw_data!$C$6437,"High","low")</f>
        <v>High</v>
      </c>
    </row>
    <row r="858" spans="1:3">
      <c r="A858" s="1">
        <v>6</v>
      </c>
      <c r="B858" s="2">
        <f>Walmart_Sales_raw_data!C858</f>
        <v>1436883.99</v>
      </c>
      <c r="C858" t="str">
        <f>IF(B858&gt;=Walmart_Sales_raw_data!$C$6437,"High","low")</f>
        <v>High</v>
      </c>
    </row>
    <row r="859" spans="1:3">
      <c r="A859" s="3">
        <v>6</v>
      </c>
      <c r="B859" s="2">
        <f>Walmart_Sales_raw_data!C859</f>
        <v>1431426.34</v>
      </c>
      <c r="C859" t="str">
        <f>IF(B859&gt;=Walmart_Sales_raw_data!$C$6437,"High","low")</f>
        <v>High</v>
      </c>
    </row>
    <row r="860" spans="1:3">
      <c r="A860" s="1">
        <v>7</v>
      </c>
      <c r="B860" s="2">
        <f>Walmart_Sales_raw_data!C860</f>
        <v>496725.44</v>
      </c>
      <c r="C860" t="str">
        <f>IF(B860&gt;=Walmart_Sales_raw_data!$C$6437,"High","low")</f>
        <v>low</v>
      </c>
    </row>
    <row r="861" spans="1:3">
      <c r="A861" s="3">
        <v>7</v>
      </c>
      <c r="B861" s="2">
        <f>Walmart_Sales_raw_data!C861</f>
        <v>524104.92</v>
      </c>
      <c r="C861" t="str">
        <f>IF(B861&gt;=Walmart_Sales_raw_data!$C$6437,"High","low")</f>
        <v>low</v>
      </c>
    </row>
    <row r="862" spans="1:3">
      <c r="A862" s="1">
        <v>7</v>
      </c>
      <c r="B862" s="2">
        <f>Walmart_Sales_raw_data!C862</f>
        <v>506760.54</v>
      </c>
      <c r="C862" t="str">
        <f>IF(B862&gt;=Walmart_Sales_raw_data!$C$6437,"High","low")</f>
        <v>low</v>
      </c>
    </row>
    <row r="863" spans="1:3">
      <c r="A863" s="3">
        <v>7</v>
      </c>
      <c r="B863" s="2">
        <f>Walmart_Sales_raw_data!C863</f>
        <v>496083.24</v>
      </c>
      <c r="C863" t="str">
        <f>IF(B863&gt;=Walmart_Sales_raw_data!$C$6437,"High","low")</f>
        <v>low</v>
      </c>
    </row>
    <row r="864" spans="1:3">
      <c r="A864" s="1">
        <v>7</v>
      </c>
      <c r="B864" s="2">
        <f>Walmart_Sales_raw_data!C864</f>
        <v>491419.55</v>
      </c>
      <c r="C864" t="str">
        <f>IF(B864&gt;=Walmart_Sales_raw_data!$C$6437,"High","low")</f>
        <v>low</v>
      </c>
    </row>
    <row r="865" spans="1:3">
      <c r="A865" s="3">
        <v>7</v>
      </c>
      <c r="B865" s="2">
        <f>Walmart_Sales_raw_data!C865</f>
        <v>480452.1</v>
      </c>
      <c r="C865" t="str">
        <f>IF(B865&gt;=Walmart_Sales_raw_data!$C$6437,"High","low")</f>
        <v>low</v>
      </c>
    </row>
    <row r="866" spans="1:3">
      <c r="A866" s="1">
        <v>7</v>
      </c>
      <c r="B866" s="2">
        <f>Walmart_Sales_raw_data!C866</f>
        <v>574450.23</v>
      </c>
      <c r="C866" t="str">
        <f>IF(B866&gt;=Walmart_Sales_raw_data!$C$6437,"High","low")</f>
        <v>low</v>
      </c>
    </row>
    <row r="867" spans="1:3">
      <c r="A867" s="3">
        <v>7</v>
      </c>
      <c r="B867" s="2">
        <f>Walmart_Sales_raw_data!C867</f>
        <v>514731.6</v>
      </c>
      <c r="C867" t="str">
        <f>IF(B867&gt;=Walmart_Sales_raw_data!$C$6437,"High","low")</f>
        <v>low</v>
      </c>
    </row>
    <row r="868" spans="1:3">
      <c r="A868" s="1">
        <v>7</v>
      </c>
      <c r="B868" s="2">
        <f>Walmart_Sales_raw_data!C868</f>
        <v>561145.14</v>
      </c>
      <c r="C868" t="str">
        <f>IF(B868&gt;=Walmart_Sales_raw_data!$C$6437,"High","low")</f>
        <v>low</v>
      </c>
    </row>
    <row r="869" spans="1:3">
      <c r="A869" s="3">
        <v>7</v>
      </c>
      <c r="B869" s="2">
        <f>Walmart_Sales_raw_data!C869</f>
        <v>484263.25</v>
      </c>
      <c r="C869" t="str">
        <f>IF(B869&gt;=Walmart_Sales_raw_data!$C$6437,"High","low")</f>
        <v>low</v>
      </c>
    </row>
    <row r="870" spans="1:3">
      <c r="A870" s="1">
        <v>7</v>
      </c>
      <c r="B870" s="2">
        <f>Walmart_Sales_raw_data!C870</f>
        <v>406228.19</v>
      </c>
      <c r="C870" t="str">
        <f>IF(B870&gt;=Walmart_Sales_raw_data!$C$6437,"High","low")</f>
        <v>low</v>
      </c>
    </row>
    <row r="871" spans="1:3">
      <c r="A871" s="3">
        <v>7</v>
      </c>
      <c r="B871" s="2">
        <f>Walmart_Sales_raw_data!C871</f>
        <v>404751.25</v>
      </c>
      <c r="C871" t="str">
        <f>IF(B871&gt;=Walmart_Sales_raw_data!$C$6437,"High","low")</f>
        <v>low</v>
      </c>
    </row>
    <row r="872" spans="1:3">
      <c r="A872" s="1">
        <v>7</v>
      </c>
      <c r="B872" s="2">
        <f>Walmart_Sales_raw_data!C872</f>
        <v>373655.61</v>
      </c>
      <c r="C872" t="str">
        <f>IF(B872&gt;=Walmart_Sales_raw_data!$C$6437,"High","low")</f>
        <v>low</v>
      </c>
    </row>
    <row r="873" spans="1:3">
      <c r="A873" s="3">
        <v>7</v>
      </c>
      <c r="B873" s="2">
        <f>Walmart_Sales_raw_data!C873</f>
        <v>395453.83</v>
      </c>
      <c r="C873" t="str">
        <f>IF(B873&gt;=Walmart_Sales_raw_data!$C$6437,"High","low")</f>
        <v>low</v>
      </c>
    </row>
    <row r="874" spans="1:3">
      <c r="A874" s="1">
        <v>7</v>
      </c>
      <c r="B874" s="2">
        <f>Walmart_Sales_raw_data!C874</f>
        <v>372673.61</v>
      </c>
      <c r="C874" t="str">
        <f>IF(B874&gt;=Walmart_Sales_raw_data!$C$6437,"High","low")</f>
        <v>low</v>
      </c>
    </row>
    <row r="875" spans="1:3">
      <c r="A875" s="3">
        <v>7</v>
      </c>
      <c r="B875" s="2">
        <f>Walmart_Sales_raw_data!C875</f>
        <v>395195.65</v>
      </c>
      <c r="C875" t="str">
        <f>IF(B875&gt;=Walmart_Sales_raw_data!$C$6437,"High","low")</f>
        <v>low</v>
      </c>
    </row>
    <row r="876" spans="1:3">
      <c r="A876" s="1">
        <v>7</v>
      </c>
      <c r="B876" s="2">
        <f>Walmart_Sales_raw_data!C876</f>
        <v>442734.55</v>
      </c>
      <c r="C876" t="str">
        <f>IF(B876&gt;=Walmart_Sales_raw_data!$C$6437,"High","low")</f>
        <v>low</v>
      </c>
    </row>
    <row r="877" spans="1:3">
      <c r="A877" s="3">
        <v>7</v>
      </c>
      <c r="B877" s="2">
        <f>Walmart_Sales_raw_data!C877</f>
        <v>509183.22</v>
      </c>
      <c r="C877" t="str">
        <f>IF(B877&gt;=Walmart_Sales_raw_data!$C$6437,"High","low")</f>
        <v>low</v>
      </c>
    </row>
    <row r="878" spans="1:3">
      <c r="A878" s="1">
        <v>7</v>
      </c>
      <c r="B878" s="2">
        <f>Walmart_Sales_raw_data!C878</f>
        <v>498580.87</v>
      </c>
      <c r="C878" t="str">
        <f>IF(B878&gt;=Walmart_Sales_raw_data!$C$6437,"High","low")</f>
        <v>low</v>
      </c>
    </row>
    <row r="879" spans="1:3">
      <c r="A879" s="3">
        <v>7</v>
      </c>
      <c r="B879" s="2">
        <f>Walmart_Sales_raw_data!C879</f>
        <v>481144.09</v>
      </c>
      <c r="C879" t="str">
        <f>IF(B879&gt;=Walmart_Sales_raw_data!$C$6437,"High","low")</f>
        <v>low</v>
      </c>
    </row>
    <row r="880" spans="1:3">
      <c r="A880" s="1">
        <v>7</v>
      </c>
      <c r="B880" s="2">
        <f>Walmart_Sales_raw_data!C880</f>
        <v>553714.87</v>
      </c>
      <c r="C880" t="str">
        <f>IF(B880&gt;=Walmart_Sales_raw_data!$C$6437,"High","low")</f>
        <v>low</v>
      </c>
    </row>
    <row r="881" spans="1:3">
      <c r="A881" s="3">
        <v>7</v>
      </c>
      <c r="B881" s="2">
        <f>Walmart_Sales_raw_data!C881</f>
        <v>575570.77</v>
      </c>
      <c r="C881" t="str">
        <f>IF(B881&gt;=Walmart_Sales_raw_data!$C$6437,"High","low")</f>
        <v>low</v>
      </c>
    </row>
    <row r="882" spans="1:3">
      <c r="A882" s="1">
        <v>7</v>
      </c>
      <c r="B882" s="2">
        <f>Walmart_Sales_raw_data!C882</f>
        <v>593462.34</v>
      </c>
      <c r="C882" t="str">
        <f>IF(B882&gt;=Walmart_Sales_raw_data!$C$6437,"High","low")</f>
        <v>low</v>
      </c>
    </row>
    <row r="883" spans="1:3">
      <c r="A883" s="3">
        <v>7</v>
      </c>
      <c r="B883" s="2">
        <f>Walmart_Sales_raw_data!C883</f>
        <v>557166.35</v>
      </c>
      <c r="C883" t="str">
        <f>IF(B883&gt;=Walmart_Sales_raw_data!$C$6437,"High","low")</f>
        <v>low</v>
      </c>
    </row>
    <row r="884" spans="1:3">
      <c r="A884" s="1">
        <v>7</v>
      </c>
      <c r="B884" s="2">
        <f>Walmart_Sales_raw_data!C884</f>
        <v>570231.21</v>
      </c>
      <c r="C884" t="str">
        <f>IF(B884&gt;=Walmart_Sales_raw_data!$C$6437,"High","low")</f>
        <v>low</v>
      </c>
    </row>
    <row r="885" spans="1:3">
      <c r="A885" s="3">
        <v>7</v>
      </c>
      <c r="B885" s="2">
        <f>Walmart_Sales_raw_data!C885</f>
        <v>603547.16</v>
      </c>
      <c r="C885" t="str">
        <f>IF(B885&gt;=Walmart_Sales_raw_data!$C$6437,"High","low")</f>
        <v>low</v>
      </c>
    </row>
    <row r="886" spans="1:3">
      <c r="A886" s="1">
        <v>7</v>
      </c>
      <c r="B886" s="2">
        <f>Walmart_Sales_raw_data!C886</f>
        <v>643854.17</v>
      </c>
      <c r="C886" t="str">
        <f>IF(B886&gt;=Walmart_Sales_raw_data!$C$6437,"High","low")</f>
        <v>low</v>
      </c>
    </row>
    <row r="887" spans="1:3">
      <c r="A887" s="3">
        <v>7</v>
      </c>
      <c r="B887" s="2">
        <f>Walmart_Sales_raw_data!C887</f>
        <v>598185.4</v>
      </c>
      <c r="C887" t="str">
        <f>IF(B887&gt;=Walmart_Sales_raw_data!$C$6437,"High","low")</f>
        <v>low</v>
      </c>
    </row>
    <row r="888" spans="1:3">
      <c r="A888" s="1">
        <v>7</v>
      </c>
      <c r="B888" s="2">
        <f>Walmart_Sales_raw_data!C888</f>
        <v>582353.17</v>
      </c>
      <c r="C888" t="str">
        <f>IF(B888&gt;=Walmart_Sales_raw_data!$C$6437,"High","low")</f>
        <v>low</v>
      </c>
    </row>
    <row r="889" spans="1:3">
      <c r="A889" s="3">
        <v>7</v>
      </c>
      <c r="B889" s="2">
        <f>Walmart_Sales_raw_data!C889</f>
        <v>554309.24</v>
      </c>
      <c r="C889" t="str">
        <f>IF(B889&gt;=Walmart_Sales_raw_data!$C$6437,"High","low")</f>
        <v>low</v>
      </c>
    </row>
    <row r="890" spans="1:3">
      <c r="A890" s="1">
        <v>7</v>
      </c>
      <c r="B890" s="2">
        <f>Walmart_Sales_raw_data!C890</f>
        <v>532765.05</v>
      </c>
      <c r="C890" t="str">
        <f>IF(B890&gt;=Walmart_Sales_raw_data!$C$6437,"High","low")</f>
        <v>low</v>
      </c>
    </row>
    <row r="891" spans="1:3">
      <c r="A891" s="3">
        <v>7</v>
      </c>
      <c r="B891" s="2">
        <f>Walmart_Sales_raw_data!C891</f>
        <v>535769.32</v>
      </c>
      <c r="C891" t="str">
        <f>IF(B891&gt;=Walmart_Sales_raw_data!$C$6437,"High","low")</f>
        <v>low</v>
      </c>
    </row>
    <row r="892" spans="1:3">
      <c r="A892" s="1">
        <v>7</v>
      </c>
      <c r="B892" s="2">
        <f>Walmart_Sales_raw_data!C892</f>
        <v>489408.53</v>
      </c>
      <c r="C892" t="str">
        <f>IF(B892&gt;=Walmart_Sales_raw_data!$C$6437,"High","low")</f>
        <v>low</v>
      </c>
    </row>
    <row r="893" spans="1:3">
      <c r="A893" s="3">
        <v>7</v>
      </c>
      <c r="B893" s="2">
        <f>Walmart_Sales_raw_data!C893</f>
        <v>488008.83</v>
      </c>
      <c r="C893" t="str">
        <f>IF(B893&gt;=Walmart_Sales_raw_data!$C$6437,"High","low")</f>
        <v>low</v>
      </c>
    </row>
    <row r="894" spans="1:3">
      <c r="A894" s="1">
        <v>7</v>
      </c>
      <c r="B894" s="2">
        <f>Walmart_Sales_raw_data!C894</f>
        <v>448998.73</v>
      </c>
      <c r="C894" t="str">
        <f>IF(B894&gt;=Walmart_Sales_raw_data!$C$6437,"High","low")</f>
        <v>low</v>
      </c>
    </row>
    <row r="895" spans="1:3">
      <c r="A895" s="3">
        <v>7</v>
      </c>
      <c r="B895" s="2">
        <f>Walmart_Sales_raw_data!C895</f>
        <v>480239.88</v>
      </c>
      <c r="C895" t="str">
        <f>IF(B895&gt;=Walmart_Sales_raw_data!$C$6437,"High","low")</f>
        <v>low</v>
      </c>
    </row>
    <row r="896" spans="1:3">
      <c r="A896" s="1">
        <v>7</v>
      </c>
      <c r="B896" s="2">
        <f>Walmart_Sales_raw_data!C896</f>
        <v>463370.48</v>
      </c>
      <c r="C896" t="str">
        <f>IF(B896&gt;=Walmart_Sales_raw_data!$C$6437,"High","low")</f>
        <v>low</v>
      </c>
    </row>
    <row r="897" spans="1:3">
      <c r="A897" s="3">
        <v>7</v>
      </c>
      <c r="B897" s="2">
        <f>Walmart_Sales_raw_data!C897</f>
        <v>472450.81</v>
      </c>
      <c r="C897" t="str">
        <f>IF(B897&gt;=Walmart_Sales_raw_data!$C$6437,"High","low")</f>
        <v>low</v>
      </c>
    </row>
    <row r="898" spans="1:3">
      <c r="A898" s="1">
        <v>7</v>
      </c>
      <c r="B898" s="2">
        <f>Walmart_Sales_raw_data!C898</f>
        <v>465493.15</v>
      </c>
      <c r="C898" t="str">
        <f>IF(B898&gt;=Walmart_Sales_raw_data!$C$6437,"High","low")</f>
        <v>low</v>
      </c>
    </row>
    <row r="899" spans="1:3">
      <c r="A899" s="3">
        <v>7</v>
      </c>
      <c r="B899" s="2">
        <f>Walmart_Sales_raw_data!C899</f>
        <v>480512.44</v>
      </c>
      <c r="C899" t="str">
        <f>IF(B899&gt;=Walmart_Sales_raw_data!$C$6437,"High","low")</f>
        <v>low</v>
      </c>
    </row>
    <row r="900" spans="1:3">
      <c r="A900" s="1">
        <v>7</v>
      </c>
      <c r="B900" s="2">
        <f>Walmart_Sales_raw_data!C900</f>
        <v>507584.29</v>
      </c>
      <c r="C900" t="str">
        <f>IF(B900&gt;=Walmart_Sales_raw_data!$C$6437,"High","low")</f>
        <v>low</v>
      </c>
    </row>
    <row r="901" spans="1:3">
      <c r="A901" s="3">
        <v>7</v>
      </c>
      <c r="B901" s="2">
        <f>Walmart_Sales_raw_data!C901</f>
        <v>482528.36</v>
      </c>
      <c r="C901" t="str">
        <f>IF(B901&gt;=Walmart_Sales_raw_data!$C$6437,"High","low")</f>
        <v>low</v>
      </c>
    </row>
    <row r="902" spans="1:3">
      <c r="A902" s="1">
        <v>7</v>
      </c>
      <c r="B902" s="2">
        <f>Walmart_Sales_raw_data!C902</f>
        <v>835189.26</v>
      </c>
      <c r="C902" t="str">
        <f>IF(B902&gt;=Walmart_Sales_raw_data!$C$6437,"High","low")</f>
        <v>low</v>
      </c>
    </row>
    <row r="903" spans="1:3">
      <c r="A903" s="3">
        <v>7</v>
      </c>
      <c r="B903" s="2">
        <f>Walmart_Sales_raw_data!C903</f>
        <v>552811.62</v>
      </c>
      <c r="C903" t="str">
        <f>IF(B903&gt;=Walmart_Sales_raw_data!$C$6437,"High","low")</f>
        <v>low</v>
      </c>
    </row>
    <row r="904" spans="1:3">
      <c r="A904" s="1">
        <v>7</v>
      </c>
      <c r="B904" s="2">
        <f>Walmart_Sales_raw_data!C904</f>
        <v>599730.07</v>
      </c>
      <c r="C904" t="str">
        <f>IF(B904&gt;=Walmart_Sales_raw_data!$C$6437,"High","low")</f>
        <v>low</v>
      </c>
    </row>
    <row r="905" spans="1:3">
      <c r="A905" s="3">
        <v>7</v>
      </c>
      <c r="B905" s="2">
        <f>Walmart_Sales_raw_data!C905</f>
        <v>716388.81</v>
      </c>
      <c r="C905" t="str">
        <f>IF(B905&gt;=Walmart_Sales_raw_data!$C$6437,"High","low")</f>
        <v>low</v>
      </c>
    </row>
    <row r="906" spans="1:3">
      <c r="A906" s="1">
        <v>7</v>
      </c>
      <c r="B906" s="2">
        <f>Walmart_Sales_raw_data!C906</f>
        <v>1045124.88</v>
      </c>
      <c r="C906" t="str">
        <f>IF(B906&gt;=Walmart_Sales_raw_data!$C$6437,"High","low")</f>
        <v>low</v>
      </c>
    </row>
    <row r="907" spans="1:3">
      <c r="A907" s="3">
        <v>7</v>
      </c>
      <c r="B907" s="2">
        <f>Walmart_Sales_raw_data!C907</f>
        <v>729572.08</v>
      </c>
      <c r="C907" t="str">
        <f>IF(B907&gt;=Walmart_Sales_raw_data!$C$6437,"High","low")</f>
        <v>low</v>
      </c>
    </row>
    <row r="908" spans="1:3">
      <c r="A908" s="1">
        <v>7</v>
      </c>
      <c r="B908" s="2">
        <f>Walmart_Sales_raw_data!C908</f>
        <v>661163.94</v>
      </c>
      <c r="C908" t="str">
        <f>IF(B908&gt;=Walmart_Sales_raw_data!$C$6437,"High","low")</f>
        <v>low</v>
      </c>
    </row>
    <row r="909" spans="1:3">
      <c r="A909" s="3">
        <v>7</v>
      </c>
      <c r="B909" s="2">
        <f>Walmart_Sales_raw_data!C909</f>
        <v>547384.9</v>
      </c>
      <c r="C909" t="str">
        <f>IF(B909&gt;=Walmart_Sales_raw_data!$C$6437,"High","low")</f>
        <v>low</v>
      </c>
    </row>
    <row r="910" spans="1:3">
      <c r="A910" s="1">
        <v>7</v>
      </c>
      <c r="B910" s="2">
        <f>Walmart_Sales_raw_data!C910</f>
        <v>521539.46</v>
      </c>
      <c r="C910" t="str">
        <f>IF(B910&gt;=Walmart_Sales_raw_data!$C$6437,"High","low")</f>
        <v>low</v>
      </c>
    </row>
    <row r="911" spans="1:3">
      <c r="A911" s="3">
        <v>7</v>
      </c>
      <c r="B911" s="2">
        <f>Walmart_Sales_raw_data!C911</f>
        <v>513372.17</v>
      </c>
      <c r="C911" t="str">
        <f>IF(B911&gt;=Walmart_Sales_raw_data!$C$6437,"High","low")</f>
        <v>low</v>
      </c>
    </row>
    <row r="912" spans="1:3">
      <c r="A912" s="1">
        <v>7</v>
      </c>
      <c r="B912" s="2">
        <f>Walmart_Sales_raw_data!C912</f>
        <v>558027.77</v>
      </c>
      <c r="C912" t="str">
        <f>IF(B912&gt;=Walmart_Sales_raw_data!$C$6437,"High","low")</f>
        <v>low</v>
      </c>
    </row>
    <row r="913" spans="1:3">
      <c r="A913" s="3">
        <v>7</v>
      </c>
      <c r="B913" s="2">
        <f>Walmart_Sales_raw_data!C913</f>
        <v>559903.13</v>
      </c>
      <c r="C913" t="str">
        <f>IF(B913&gt;=Walmart_Sales_raw_data!$C$6437,"High","low")</f>
        <v>low</v>
      </c>
    </row>
    <row r="914" spans="1:3">
      <c r="A914" s="1">
        <v>7</v>
      </c>
      <c r="B914" s="2">
        <f>Walmart_Sales_raw_data!C914</f>
        <v>572387.47</v>
      </c>
      <c r="C914" t="str">
        <f>IF(B914&gt;=Walmart_Sales_raw_data!$C$6437,"High","low")</f>
        <v>low</v>
      </c>
    </row>
    <row r="915" spans="1:3">
      <c r="A915" s="3">
        <v>7</v>
      </c>
      <c r="B915" s="2">
        <f>Walmart_Sales_raw_data!C915</f>
        <v>546690.84</v>
      </c>
      <c r="C915" t="str">
        <f>IF(B915&gt;=Walmart_Sales_raw_data!$C$6437,"High","low")</f>
        <v>low</v>
      </c>
    </row>
    <row r="916" spans="1:3">
      <c r="A916" s="1">
        <v>7</v>
      </c>
      <c r="B916" s="2">
        <f>Walmart_Sales_raw_data!C916</f>
        <v>551378.39</v>
      </c>
      <c r="C916" t="str">
        <f>IF(B916&gt;=Walmart_Sales_raw_data!$C$6437,"High","low")</f>
        <v>low</v>
      </c>
    </row>
    <row r="917" spans="1:3">
      <c r="A917" s="3">
        <v>7</v>
      </c>
      <c r="B917" s="2">
        <f>Walmart_Sales_raw_data!C917</f>
        <v>558963.83</v>
      </c>
      <c r="C917" t="str">
        <f>IF(B917&gt;=Walmart_Sales_raw_data!$C$6437,"High","low")</f>
        <v>low</v>
      </c>
    </row>
    <row r="918" spans="1:3">
      <c r="A918" s="1">
        <v>7</v>
      </c>
      <c r="B918" s="2">
        <f>Walmart_Sales_raw_data!C918</f>
        <v>635014.69</v>
      </c>
      <c r="C918" t="str">
        <f>IF(B918&gt;=Walmart_Sales_raw_data!$C$6437,"High","low")</f>
        <v>low</v>
      </c>
    </row>
    <row r="919" spans="1:3">
      <c r="A919" s="3">
        <v>7</v>
      </c>
      <c r="B919" s="2">
        <f>Walmart_Sales_raw_data!C919</f>
        <v>559061.58</v>
      </c>
      <c r="C919" t="str">
        <f>IF(B919&gt;=Walmart_Sales_raw_data!$C$6437,"High","low")</f>
        <v>low</v>
      </c>
    </row>
    <row r="920" spans="1:3">
      <c r="A920" s="1">
        <v>7</v>
      </c>
      <c r="B920" s="2">
        <f>Walmart_Sales_raw_data!C920</f>
        <v>513409.67</v>
      </c>
      <c r="C920" t="str">
        <f>IF(B920&gt;=Walmart_Sales_raw_data!$C$6437,"High","low")</f>
        <v>low</v>
      </c>
    </row>
    <row r="921" spans="1:3">
      <c r="A921" s="3">
        <v>7</v>
      </c>
      <c r="B921" s="2">
        <f>Walmart_Sales_raw_data!C921</f>
        <v>500552.16</v>
      </c>
      <c r="C921" t="str">
        <f>IF(B921&gt;=Walmart_Sales_raw_data!$C$6437,"High","low")</f>
        <v>low</v>
      </c>
    </row>
    <row r="922" spans="1:3">
      <c r="A922" s="1">
        <v>7</v>
      </c>
      <c r="B922" s="2">
        <f>Walmart_Sales_raw_data!C922</f>
        <v>423380.14</v>
      </c>
      <c r="C922" t="str">
        <f>IF(B922&gt;=Walmart_Sales_raw_data!$C$6437,"High","low")</f>
        <v>low</v>
      </c>
    </row>
    <row r="923" spans="1:3">
      <c r="A923" s="3">
        <v>7</v>
      </c>
      <c r="B923" s="2">
        <f>Walmart_Sales_raw_data!C923</f>
        <v>466594.89</v>
      </c>
      <c r="C923" t="str">
        <f>IF(B923&gt;=Walmart_Sales_raw_data!$C$6437,"High","low")</f>
        <v>low</v>
      </c>
    </row>
    <row r="924" spans="1:3">
      <c r="A924" s="1">
        <v>7</v>
      </c>
      <c r="B924" s="2">
        <f>Walmart_Sales_raw_data!C924</f>
        <v>410429.73</v>
      </c>
      <c r="C924" t="str">
        <f>IF(B924&gt;=Walmart_Sales_raw_data!$C$6437,"High","low")</f>
        <v>low</v>
      </c>
    </row>
    <row r="925" spans="1:3">
      <c r="A925" s="3">
        <v>7</v>
      </c>
      <c r="B925" s="2">
        <f>Walmart_Sales_raw_data!C925</f>
        <v>407012.47</v>
      </c>
      <c r="C925" t="str">
        <f>IF(B925&gt;=Walmart_Sales_raw_data!$C$6437,"High","low")</f>
        <v>low</v>
      </c>
    </row>
    <row r="926" spans="1:3">
      <c r="A926" s="1">
        <v>7</v>
      </c>
      <c r="B926" s="2">
        <f>Walmart_Sales_raw_data!C926</f>
        <v>414094.05</v>
      </c>
      <c r="C926" t="str">
        <f>IF(B926&gt;=Walmart_Sales_raw_data!$C$6437,"High","low")</f>
        <v>low</v>
      </c>
    </row>
    <row r="927" spans="1:3">
      <c r="A927" s="3">
        <v>7</v>
      </c>
      <c r="B927" s="2">
        <f>Walmart_Sales_raw_data!C927</f>
        <v>424670.98</v>
      </c>
      <c r="C927" t="str">
        <f>IF(B927&gt;=Walmart_Sales_raw_data!$C$6437,"High","low")</f>
        <v>low</v>
      </c>
    </row>
    <row r="928" spans="1:3">
      <c r="A928" s="1">
        <v>7</v>
      </c>
      <c r="B928" s="2">
        <f>Walmart_Sales_raw_data!C928</f>
        <v>457216.87</v>
      </c>
      <c r="C928" t="str">
        <f>IF(B928&gt;=Walmart_Sales_raw_data!$C$6437,"High","low")</f>
        <v>low</v>
      </c>
    </row>
    <row r="929" spans="1:3">
      <c r="A929" s="3">
        <v>7</v>
      </c>
      <c r="B929" s="2">
        <f>Walmart_Sales_raw_data!C929</f>
        <v>542295.37</v>
      </c>
      <c r="C929" t="str">
        <f>IF(B929&gt;=Walmart_Sales_raw_data!$C$6437,"High","low")</f>
        <v>low</v>
      </c>
    </row>
    <row r="930" spans="1:3">
      <c r="A930" s="1">
        <v>7</v>
      </c>
      <c r="B930" s="2">
        <f>Walmart_Sales_raw_data!C930</f>
        <v>621099.95</v>
      </c>
      <c r="C930" t="str">
        <f>IF(B930&gt;=Walmart_Sales_raw_data!$C$6437,"High","low")</f>
        <v>low</v>
      </c>
    </row>
    <row r="931" spans="1:3">
      <c r="A931" s="3">
        <v>7</v>
      </c>
      <c r="B931" s="2">
        <f>Walmart_Sales_raw_data!C931</f>
        <v>610991.35</v>
      </c>
      <c r="C931" t="str">
        <f>IF(B931&gt;=Walmart_Sales_raw_data!$C$6437,"High","low")</f>
        <v>low</v>
      </c>
    </row>
    <row r="932" spans="1:3">
      <c r="A932" s="1">
        <v>7</v>
      </c>
      <c r="B932" s="2">
        <f>Walmart_Sales_raw_data!C932</f>
        <v>640043.97</v>
      </c>
      <c r="C932" t="str">
        <f>IF(B932&gt;=Walmart_Sales_raw_data!$C$6437,"High","low")</f>
        <v>low</v>
      </c>
    </row>
    <row r="933" spans="1:3">
      <c r="A933" s="3">
        <v>7</v>
      </c>
      <c r="B933" s="2">
        <f>Walmart_Sales_raw_data!C933</f>
        <v>704344.21</v>
      </c>
      <c r="C933" t="str">
        <f>IF(B933&gt;=Walmart_Sales_raw_data!$C$6437,"High","low")</f>
        <v>low</v>
      </c>
    </row>
    <row r="934" spans="1:3">
      <c r="A934" s="1">
        <v>7</v>
      </c>
      <c r="B934" s="2">
        <f>Walmart_Sales_raw_data!C934</f>
        <v>761793.94</v>
      </c>
      <c r="C934" t="str">
        <f>IF(B934&gt;=Walmart_Sales_raw_data!$C$6437,"High","low")</f>
        <v>low</v>
      </c>
    </row>
    <row r="935" spans="1:3">
      <c r="A935" s="3">
        <v>7</v>
      </c>
      <c r="B935" s="2">
        <f>Walmart_Sales_raw_data!C935</f>
        <v>642748.21</v>
      </c>
      <c r="C935" t="str">
        <f>IF(B935&gt;=Walmart_Sales_raw_data!$C$6437,"High","low")</f>
        <v>low</v>
      </c>
    </row>
    <row r="936" spans="1:3">
      <c r="A936" s="1">
        <v>7</v>
      </c>
      <c r="B936" s="2">
        <f>Walmart_Sales_raw_data!C936</f>
        <v>688043.96</v>
      </c>
      <c r="C936" t="str">
        <f>IF(B936&gt;=Walmart_Sales_raw_data!$C$6437,"High","low")</f>
        <v>low</v>
      </c>
    </row>
    <row r="937" spans="1:3">
      <c r="A937" s="3">
        <v>7</v>
      </c>
      <c r="B937" s="2">
        <f>Walmart_Sales_raw_data!C937</f>
        <v>653382.62</v>
      </c>
      <c r="C937" t="str">
        <f>IF(B937&gt;=Walmart_Sales_raw_data!$C$6437,"High","low")</f>
        <v>low</v>
      </c>
    </row>
    <row r="938" spans="1:3">
      <c r="A938" s="1">
        <v>7</v>
      </c>
      <c r="B938" s="2">
        <f>Walmart_Sales_raw_data!C938</f>
        <v>695392.84</v>
      </c>
      <c r="C938" t="str">
        <f>IF(B938&gt;=Walmart_Sales_raw_data!$C$6437,"High","low")</f>
        <v>low</v>
      </c>
    </row>
    <row r="939" spans="1:3">
      <c r="A939" s="3">
        <v>7</v>
      </c>
      <c r="B939" s="2">
        <f>Walmart_Sales_raw_data!C939</f>
        <v>670670.46</v>
      </c>
      <c r="C939" t="str">
        <f>IF(B939&gt;=Walmart_Sales_raw_data!$C$6437,"High","low")</f>
        <v>low</v>
      </c>
    </row>
    <row r="940" spans="1:3">
      <c r="A940" s="1">
        <v>7</v>
      </c>
      <c r="B940" s="2">
        <f>Walmart_Sales_raw_data!C940</f>
        <v>645156.21</v>
      </c>
      <c r="C940" t="str">
        <f>IF(B940&gt;=Walmart_Sales_raw_data!$C$6437,"High","low")</f>
        <v>low</v>
      </c>
    </row>
    <row r="941" spans="1:3">
      <c r="A941" s="3">
        <v>7</v>
      </c>
      <c r="B941" s="2">
        <f>Walmart_Sales_raw_data!C941</f>
        <v>629994.47</v>
      </c>
      <c r="C941" t="str">
        <f>IF(B941&gt;=Walmart_Sales_raw_data!$C$6437,"High","low")</f>
        <v>low</v>
      </c>
    </row>
    <row r="942" spans="1:3">
      <c r="A942" s="1">
        <v>7</v>
      </c>
      <c r="B942" s="2">
        <f>Walmart_Sales_raw_data!C942</f>
        <v>592355.24</v>
      </c>
      <c r="C942" t="str">
        <f>IF(B942&gt;=Walmart_Sales_raw_data!$C$6437,"High","low")</f>
        <v>low</v>
      </c>
    </row>
    <row r="943" spans="1:3">
      <c r="A943" s="3">
        <v>7</v>
      </c>
      <c r="B943" s="2">
        <f>Walmart_Sales_raw_data!C943</f>
        <v>613135.23</v>
      </c>
      <c r="C943" t="str">
        <f>IF(B943&gt;=Walmart_Sales_raw_data!$C$6437,"High","low")</f>
        <v>low</v>
      </c>
    </row>
    <row r="944" spans="1:3">
      <c r="A944" s="1">
        <v>7</v>
      </c>
      <c r="B944" s="2">
        <f>Walmart_Sales_raw_data!C944</f>
        <v>558981.45</v>
      </c>
      <c r="C944" t="str">
        <f>IF(B944&gt;=Walmart_Sales_raw_data!$C$6437,"High","low")</f>
        <v>low</v>
      </c>
    </row>
    <row r="945" spans="1:3">
      <c r="A945" s="3">
        <v>7</v>
      </c>
      <c r="B945" s="2">
        <f>Walmart_Sales_raw_data!C945</f>
        <v>536144.81</v>
      </c>
      <c r="C945" t="str">
        <f>IF(B945&gt;=Walmart_Sales_raw_data!$C$6437,"High","low")</f>
        <v>low</v>
      </c>
    </row>
    <row r="946" spans="1:3">
      <c r="A946" s="1">
        <v>7</v>
      </c>
      <c r="B946" s="2">
        <f>Walmart_Sales_raw_data!C946</f>
        <v>488880.26</v>
      </c>
      <c r="C946" t="str">
        <f>IF(B946&gt;=Walmart_Sales_raw_data!$C$6437,"High","low")</f>
        <v>low</v>
      </c>
    </row>
    <row r="947" spans="1:3">
      <c r="A947" s="3">
        <v>7</v>
      </c>
      <c r="B947" s="2">
        <f>Walmart_Sales_raw_data!C947</f>
        <v>525866.36</v>
      </c>
      <c r="C947" t="str">
        <f>IF(B947&gt;=Walmart_Sales_raw_data!$C$6437,"High","low")</f>
        <v>low</v>
      </c>
    </row>
    <row r="948" spans="1:3">
      <c r="A948" s="1">
        <v>7</v>
      </c>
      <c r="B948" s="2">
        <f>Walmart_Sales_raw_data!C948</f>
        <v>501959.19</v>
      </c>
      <c r="C948" t="str">
        <f>IF(B948&gt;=Walmart_Sales_raw_data!$C$6437,"High","low")</f>
        <v>low</v>
      </c>
    </row>
    <row r="949" spans="1:3">
      <c r="A949" s="3">
        <v>7</v>
      </c>
      <c r="B949" s="2">
        <f>Walmart_Sales_raw_data!C949</f>
        <v>558691.43</v>
      </c>
      <c r="C949" t="str">
        <f>IF(B949&gt;=Walmart_Sales_raw_data!$C$6437,"High","low")</f>
        <v>low</v>
      </c>
    </row>
    <row r="950" spans="1:3">
      <c r="A950" s="1">
        <v>7</v>
      </c>
      <c r="B950" s="2">
        <f>Walmart_Sales_raw_data!C950</f>
        <v>527339.52</v>
      </c>
      <c r="C950" t="str">
        <f>IF(B950&gt;=Walmart_Sales_raw_data!$C$6437,"High","low")</f>
        <v>low</v>
      </c>
    </row>
    <row r="951" spans="1:3">
      <c r="A951" s="3">
        <v>7</v>
      </c>
      <c r="B951" s="2">
        <f>Walmart_Sales_raw_data!C951</f>
        <v>564536.01</v>
      </c>
      <c r="C951" t="str">
        <f>IF(B951&gt;=Walmart_Sales_raw_data!$C$6437,"High","low")</f>
        <v>low</v>
      </c>
    </row>
    <row r="952" spans="1:3">
      <c r="A952" s="1">
        <v>7</v>
      </c>
      <c r="B952" s="2">
        <f>Walmart_Sales_raw_data!C952</f>
        <v>556015.59</v>
      </c>
      <c r="C952" t="str">
        <f>IF(B952&gt;=Walmart_Sales_raw_data!$C$6437,"High","low")</f>
        <v>low</v>
      </c>
    </row>
    <row r="953" spans="1:3">
      <c r="A953" s="3">
        <v>7</v>
      </c>
      <c r="B953" s="2">
        <f>Walmart_Sales_raw_data!C953</f>
        <v>539826.56</v>
      </c>
      <c r="C953" t="str">
        <f>IF(B953&gt;=Walmart_Sales_raw_data!$C$6437,"High","low")</f>
        <v>low</v>
      </c>
    </row>
    <row r="954" spans="1:3">
      <c r="A954" s="1">
        <v>7</v>
      </c>
      <c r="B954" s="2">
        <f>Walmart_Sales_raw_data!C954</f>
        <v>949075.87</v>
      </c>
      <c r="C954" t="str">
        <f>IF(B954&gt;=Walmart_Sales_raw_data!$C$6437,"High","low")</f>
        <v>low</v>
      </c>
    </row>
    <row r="955" spans="1:3">
      <c r="A955" s="3">
        <v>7</v>
      </c>
      <c r="B955" s="2">
        <f>Walmart_Sales_raw_data!C955</f>
        <v>591907.88</v>
      </c>
      <c r="C955" t="str">
        <f>IF(B955&gt;=Walmart_Sales_raw_data!$C$6437,"High","low")</f>
        <v>low</v>
      </c>
    </row>
    <row r="956" spans="1:3">
      <c r="A956" s="1">
        <v>7</v>
      </c>
      <c r="B956" s="2">
        <f>Walmart_Sales_raw_data!C956</f>
        <v>653845.45</v>
      </c>
      <c r="C956" t="str">
        <f>IF(B956&gt;=Walmart_Sales_raw_data!$C$6437,"High","low")</f>
        <v>low</v>
      </c>
    </row>
    <row r="957" spans="1:3">
      <c r="A957" s="3">
        <v>7</v>
      </c>
      <c r="B957" s="2">
        <f>Walmart_Sales_raw_data!C957</f>
        <v>720242.19</v>
      </c>
      <c r="C957" t="str">
        <f>IF(B957&gt;=Walmart_Sales_raw_data!$C$6437,"High","low")</f>
        <v>low</v>
      </c>
    </row>
    <row r="958" spans="1:3">
      <c r="A958" s="1">
        <v>7</v>
      </c>
      <c r="B958" s="2">
        <f>Walmart_Sales_raw_data!C958</f>
        <v>1059715.27</v>
      </c>
      <c r="C958" t="str">
        <f>IF(B958&gt;=Walmart_Sales_raw_data!$C$6437,"High","low")</f>
        <v>High</v>
      </c>
    </row>
    <row r="959" spans="1:3">
      <c r="A959" s="3">
        <v>7</v>
      </c>
      <c r="B959" s="2">
        <f>Walmart_Sales_raw_data!C959</f>
        <v>815915.52</v>
      </c>
      <c r="C959" t="str">
        <f>IF(B959&gt;=Walmart_Sales_raw_data!$C$6437,"High","low")</f>
        <v>low</v>
      </c>
    </row>
    <row r="960" spans="1:3">
      <c r="A960" s="1">
        <v>7</v>
      </c>
      <c r="B960" s="2">
        <f>Walmart_Sales_raw_data!C960</f>
        <v>713117.66</v>
      </c>
      <c r="C960" t="str">
        <f>IF(B960&gt;=Walmart_Sales_raw_data!$C$6437,"High","low")</f>
        <v>low</v>
      </c>
    </row>
    <row r="961" spans="1:3">
      <c r="A961" s="3">
        <v>7</v>
      </c>
      <c r="B961" s="2">
        <f>Walmart_Sales_raw_data!C961</f>
        <v>593875.46</v>
      </c>
      <c r="C961" t="str">
        <f>IF(B961&gt;=Walmart_Sales_raw_data!$C$6437,"High","low")</f>
        <v>low</v>
      </c>
    </row>
    <row r="962" spans="1:3">
      <c r="A962" s="1">
        <v>7</v>
      </c>
      <c r="B962" s="2">
        <f>Walmart_Sales_raw_data!C962</f>
        <v>578002.85</v>
      </c>
      <c r="C962" t="str">
        <f>IF(B962&gt;=Walmart_Sales_raw_data!$C$6437,"High","low")</f>
        <v>low</v>
      </c>
    </row>
    <row r="963" spans="1:3">
      <c r="A963" s="3">
        <v>7</v>
      </c>
      <c r="B963" s="2">
        <f>Walmart_Sales_raw_data!C963</f>
        <v>541037.98</v>
      </c>
      <c r="C963" t="str">
        <f>IF(B963&gt;=Walmart_Sales_raw_data!$C$6437,"High","low")</f>
        <v>low</v>
      </c>
    </row>
    <row r="964" spans="1:3">
      <c r="A964" s="1">
        <v>7</v>
      </c>
      <c r="B964" s="2">
        <f>Walmart_Sales_raw_data!C964</f>
        <v>580453.32</v>
      </c>
      <c r="C964" t="str">
        <f>IF(B964&gt;=Walmart_Sales_raw_data!$C$6437,"High","low")</f>
        <v>low</v>
      </c>
    </row>
    <row r="965" spans="1:3">
      <c r="A965" s="3">
        <v>7</v>
      </c>
      <c r="B965" s="2">
        <f>Walmart_Sales_raw_data!C965</f>
        <v>563460.77</v>
      </c>
      <c r="C965" t="str">
        <f>IF(B965&gt;=Walmart_Sales_raw_data!$C$6437,"High","low")</f>
        <v>low</v>
      </c>
    </row>
    <row r="966" spans="1:3">
      <c r="A966" s="1">
        <v>7</v>
      </c>
      <c r="B966" s="2">
        <f>Walmart_Sales_raw_data!C966</f>
        <v>620908.18</v>
      </c>
      <c r="C966" t="str">
        <f>IF(B966&gt;=Walmart_Sales_raw_data!$C$6437,"High","low")</f>
        <v>low</v>
      </c>
    </row>
    <row r="967" spans="1:3">
      <c r="A967" s="3">
        <v>7</v>
      </c>
      <c r="B967" s="2">
        <f>Walmart_Sales_raw_data!C967</f>
        <v>603041.14</v>
      </c>
      <c r="C967" t="str">
        <f>IF(B967&gt;=Walmart_Sales_raw_data!$C$6437,"High","low")</f>
        <v>low</v>
      </c>
    </row>
    <row r="968" spans="1:3">
      <c r="A968" s="1">
        <v>7</v>
      </c>
      <c r="B968" s="2">
        <f>Walmart_Sales_raw_data!C968</f>
        <v>551058.13</v>
      </c>
      <c r="C968" t="str">
        <f>IF(B968&gt;=Walmart_Sales_raw_data!$C$6437,"High","low")</f>
        <v>low</v>
      </c>
    </row>
    <row r="969" spans="1:3">
      <c r="A969" s="3">
        <v>7</v>
      </c>
      <c r="B969" s="2">
        <f>Walmart_Sales_raw_data!C969</f>
        <v>579166.5</v>
      </c>
      <c r="C969" t="str">
        <f>IF(B969&gt;=Walmart_Sales_raw_data!$C$6437,"High","low")</f>
        <v>low</v>
      </c>
    </row>
    <row r="970" spans="1:3">
      <c r="A970" s="1">
        <v>7</v>
      </c>
      <c r="B970" s="2">
        <f>Walmart_Sales_raw_data!C970</f>
        <v>669205.73</v>
      </c>
      <c r="C970" t="str">
        <f>IF(B970&gt;=Walmart_Sales_raw_data!$C$6437,"High","low")</f>
        <v>low</v>
      </c>
    </row>
    <row r="971" spans="1:3">
      <c r="A971" s="3">
        <v>7</v>
      </c>
      <c r="B971" s="2">
        <f>Walmart_Sales_raw_data!C971</f>
        <v>615997.29</v>
      </c>
      <c r="C971" t="str">
        <f>IF(B971&gt;=Walmart_Sales_raw_data!$C$6437,"High","low")</f>
        <v>low</v>
      </c>
    </row>
    <row r="972" spans="1:3">
      <c r="A972" s="1">
        <v>7</v>
      </c>
      <c r="B972" s="2">
        <f>Walmart_Sales_raw_data!C972</f>
        <v>583322.2</v>
      </c>
      <c r="C972" t="str">
        <f>IF(B972&gt;=Walmart_Sales_raw_data!$C$6437,"High","low")</f>
        <v>low</v>
      </c>
    </row>
    <row r="973" spans="1:3">
      <c r="A973" s="3">
        <v>7</v>
      </c>
      <c r="B973" s="2">
        <f>Walmart_Sales_raw_data!C973</f>
        <v>621425.98</v>
      </c>
      <c r="C973" t="str">
        <f>IF(B973&gt;=Walmart_Sales_raw_data!$C$6437,"High","low")</f>
        <v>low</v>
      </c>
    </row>
    <row r="974" spans="1:3">
      <c r="A974" s="1">
        <v>7</v>
      </c>
      <c r="B974" s="2">
        <f>Walmart_Sales_raw_data!C974</f>
        <v>517420.23</v>
      </c>
      <c r="C974" t="str">
        <f>IF(B974&gt;=Walmart_Sales_raw_data!$C$6437,"High","low")</f>
        <v>low</v>
      </c>
    </row>
    <row r="975" spans="1:3">
      <c r="A975" s="3">
        <v>7</v>
      </c>
      <c r="B975" s="2">
        <f>Walmart_Sales_raw_data!C975</f>
        <v>457340.06</v>
      </c>
      <c r="C975" t="str">
        <f>IF(B975&gt;=Walmart_Sales_raw_data!$C$6437,"High","low")</f>
        <v>low</v>
      </c>
    </row>
    <row r="976" spans="1:3">
      <c r="A976" s="1">
        <v>7</v>
      </c>
      <c r="B976" s="2">
        <f>Walmart_Sales_raw_data!C976</f>
        <v>467827.75</v>
      </c>
      <c r="C976" t="str">
        <f>IF(B976&gt;=Walmart_Sales_raw_data!$C$6437,"High","low")</f>
        <v>low</v>
      </c>
    </row>
    <row r="977" spans="1:3">
      <c r="A977" s="3">
        <v>7</v>
      </c>
      <c r="B977" s="2">
        <f>Walmart_Sales_raw_data!C977</f>
        <v>465198.89</v>
      </c>
      <c r="C977" t="str">
        <f>IF(B977&gt;=Walmart_Sales_raw_data!$C$6437,"High","low")</f>
        <v>low</v>
      </c>
    </row>
    <row r="978" spans="1:3">
      <c r="A978" s="1">
        <v>7</v>
      </c>
      <c r="B978" s="2">
        <f>Walmart_Sales_raw_data!C978</f>
        <v>460397.41</v>
      </c>
      <c r="C978" t="str">
        <f>IF(B978&gt;=Walmart_Sales_raw_data!$C$6437,"High","low")</f>
        <v>low</v>
      </c>
    </row>
    <row r="979" spans="1:3">
      <c r="A979" s="3">
        <v>7</v>
      </c>
      <c r="B979" s="2">
        <f>Walmart_Sales_raw_data!C979</f>
        <v>468428.3</v>
      </c>
      <c r="C979" t="str">
        <f>IF(B979&gt;=Walmart_Sales_raw_data!$C$6437,"High","low")</f>
        <v>low</v>
      </c>
    </row>
    <row r="980" spans="1:3">
      <c r="A980" s="1">
        <v>7</v>
      </c>
      <c r="B980" s="2">
        <f>Walmart_Sales_raw_data!C980</f>
        <v>532739.77</v>
      </c>
      <c r="C980" t="str">
        <f>IF(B980&gt;=Walmart_Sales_raw_data!$C$6437,"High","low")</f>
        <v>low</v>
      </c>
    </row>
    <row r="981" spans="1:3">
      <c r="A981" s="3">
        <v>7</v>
      </c>
      <c r="B981" s="2">
        <f>Walmart_Sales_raw_data!C981</f>
        <v>598495.02</v>
      </c>
      <c r="C981" t="str">
        <f>IF(B981&gt;=Walmart_Sales_raw_data!$C$6437,"High","low")</f>
        <v>low</v>
      </c>
    </row>
    <row r="982" spans="1:3">
      <c r="A982" s="1">
        <v>7</v>
      </c>
      <c r="B982" s="2">
        <f>Walmart_Sales_raw_data!C982</f>
        <v>642963.75</v>
      </c>
      <c r="C982" t="str">
        <f>IF(B982&gt;=Walmart_Sales_raw_data!$C$6437,"High","low")</f>
        <v>low</v>
      </c>
    </row>
    <row r="983" spans="1:3">
      <c r="A983" s="3">
        <v>7</v>
      </c>
      <c r="B983" s="2">
        <f>Walmart_Sales_raw_data!C983</f>
        <v>666942.02</v>
      </c>
      <c r="C983" t="str">
        <f>IF(B983&gt;=Walmart_Sales_raw_data!$C$6437,"High","low")</f>
        <v>low</v>
      </c>
    </row>
    <row r="984" spans="1:3">
      <c r="A984" s="1">
        <v>7</v>
      </c>
      <c r="B984" s="2">
        <f>Walmart_Sales_raw_data!C984</f>
        <v>687344.68</v>
      </c>
      <c r="C984" t="str">
        <f>IF(B984&gt;=Walmart_Sales_raw_data!$C$6437,"High","low")</f>
        <v>low</v>
      </c>
    </row>
    <row r="985" spans="1:3">
      <c r="A985" s="3">
        <v>7</v>
      </c>
      <c r="B985" s="2">
        <f>Walmart_Sales_raw_data!C985</f>
        <v>704335.41</v>
      </c>
      <c r="C985" t="str">
        <f>IF(B985&gt;=Walmart_Sales_raw_data!$C$6437,"High","low")</f>
        <v>low</v>
      </c>
    </row>
    <row r="986" spans="1:3">
      <c r="A986" s="1">
        <v>7</v>
      </c>
      <c r="B986" s="2">
        <f>Walmart_Sales_raw_data!C986</f>
        <v>805642.61</v>
      </c>
      <c r="C986" t="str">
        <f>IF(B986&gt;=Walmart_Sales_raw_data!$C$6437,"High","low")</f>
        <v>low</v>
      </c>
    </row>
    <row r="987" spans="1:3">
      <c r="A987" s="3">
        <v>7</v>
      </c>
      <c r="B987" s="2">
        <f>Walmart_Sales_raw_data!C987</f>
        <v>694150.89</v>
      </c>
      <c r="C987" t="str">
        <f>IF(B987&gt;=Walmart_Sales_raw_data!$C$6437,"High","low")</f>
        <v>low</v>
      </c>
    </row>
    <row r="988" spans="1:3">
      <c r="A988" s="1">
        <v>7</v>
      </c>
      <c r="B988" s="2">
        <f>Walmart_Sales_raw_data!C988</f>
        <v>686345.69</v>
      </c>
      <c r="C988" t="str">
        <f>IF(B988&gt;=Walmart_Sales_raw_data!$C$6437,"High","low")</f>
        <v>low</v>
      </c>
    </row>
    <row r="989" spans="1:3">
      <c r="A989" s="3">
        <v>7</v>
      </c>
      <c r="B989" s="2">
        <f>Walmart_Sales_raw_data!C989</f>
        <v>686365.4</v>
      </c>
      <c r="C989" t="str">
        <f>IF(B989&gt;=Walmart_Sales_raw_data!$C$6437,"High","low")</f>
        <v>low</v>
      </c>
    </row>
    <row r="990" spans="1:3">
      <c r="A990" s="1">
        <v>7</v>
      </c>
      <c r="B990" s="2">
        <f>Walmart_Sales_raw_data!C990</f>
        <v>680954.81</v>
      </c>
      <c r="C990" t="str">
        <f>IF(B990&gt;=Walmart_Sales_raw_data!$C$6437,"High","low")</f>
        <v>low</v>
      </c>
    </row>
    <row r="991" spans="1:3">
      <c r="A991" s="3">
        <v>7</v>
      </c>
      <c r="B991" s="2">
        <f>Walmart_Sales_raw_data!C991</f>
        <v>675926.3</v>
      </c>
      <c r="C991" t="str">
        <f>IF(B991&gt;=Walmart_Sales_raw_data!$C$6437,"High","low")</f>
        <v>low</v>
      </c>
    </row>
    <row r="992" spans="1:3">
      <c r="A992" s="1">
        <v>7</v>
      </c>
      <c r="B992" s="2">
        <f>Walmart_Sales_raw_data!C992</f>
        <v>642450.4</v>
      </c>
      <c r="C992" t="str">
        <f>IF(B992&gt;=Walmart_Sales_raw_data!$C$6437,"High","low")</f>
        <v>low</v>
      </c>
    </row>
    <row r="993" spans="1:3">
      <c r="A993" s="3">
        <v>7</v>
      </c>
      <c r="B993" s="2">
        <f>Walmart_Sales_raw_data!C993</f>
        <v>609099.37</v>
      </c>
      <c r="C993" t="str">
        <f>IF(B993&gt;=Walmart_Sales_raw_data!$C$6437,"High","low")</f>
        <v>low</v>
      </c>
    </row>
    <row r="994" spans="1:3">
      <c r="A994" s="1">
        <v>7</v>
      </c>
      <c r="B994" s="2">
        <f>Walmart_Sales_raw_data!C994</f>
        <v>586467.16</v>
      </c>
      <c r="C994" t="str">
        <f>IF(B994&gt;=Walmart_Sales_raw_data!$C$6437,"High","low")</f>
        <v>low</v>
      </c>
    </row>
    <row r="995" spans="1:3">
      <c r="A995" s="3">
        <v>7</v>
      </c>
      <c r="B995" s="2">
        <f>Walmart_Sales_raw_data!C995</f>
        <v>597876.55</v>
      </c>
      <c r="C995" t="str">
        <f>IF(B995&gt;=Walmart_Sales_raw_data!$C$6437,"High","low")</f>
        <v>low</v>
      </c>
    </row>
    <row r="996" spans="1:3">
      <c r="A996" s="1">
        <v>7</v>
      </c>
      <c r="B996" s="2">
        <f>Walmart_Sales_raw_data!C996</f>
        <v>541120.2</v>
      </c>
      <c r="C996" t="str">
        <f>IF(B996&gt;=Walmart_Sales_raw_data!$C$6437,"High","low")</f>
        <v>low</v>
      </c>
    </row>
    <row r="997" spans="1:3">
      <c r="A997" s="3">
        <v>7</v>
      </c>
      <c r="B997" s="2">
        <f>Walmart_Sales_raw_data!C997</f>
        <v>530842.25</v>
      </c>
      <c r="C997" t="str">
        <f>IF(B997&gt;=Walmart_Sales_raw_data!$C$6437,"High","low")</f>
        <v>low</v>
      </c>
    </row>
    <row r="998" spans="1:3">
      <c r="A998" s="1">
        <v>7</v>
      </c>
      <c r="B998" s="2">
        <f>Walmart_Sales_raw_data!C998</f>
        <v>525545.76</v>
      </c>
      <c r="C998" t="str">
        <f>IF(B998&gt;=Walmart_Sales_raw_data!$C$6437,"High","low")</f>
        <v>low</v>
      </c>
    </row>
    <row r="999" spans="1:3">
      <c r="A999" s="3">
        <v>7</v>
      </c>
      <c r="B999" s="2">
        <f>Walmart_Sales_raw_data!C999</f>
        <v>505830.56</v>
      </c>
      <c r="C999" t="str">
        <f>IF(B999&gt;=Walmart_Sales_raw_data!$C$6437,"High","low")</f>
        <v>low</v>
      </c>
    </row>
    <row r="1000" spans="1:3">
      <c r="A1000" s="1">
        <v>7</v>
      </c>
      <c r="B1000" s="2">
        <f>Walmart_Sales_raw_data!C1000</f>
        <v>503463.93</v>
      </c>
      <c r="C1000" t="str">
        <f>IF(B1000&gt;=Walmart_Sales_raw_data!$C$6437,"High","low")</f>
        <v>low</v>
      </c>
    </row>
    <row r="1001" spans="1:3">
      <c r="A1001" s="3">
        <v>7</v>
      </c>
      <c r="B1001" s="2">
        <f>Walmart_Sales_raw_data!C1001</f>
        <v>516424.83</v>
      </c>
      <c r="C1001" t="str">
        <f>IF(B1001&gt;=Walmart_Sales_raw_data!$C$6437,"High","low")</f>
        <v>low</v>
      </c>
    </row>
    <row r="1002" spans="1:3">
      <c r="A1002" s="1">
        <v>7</v>
      </c>
      <c r="B1002" s="2">
        <f>Walmart_Sales_raw_data!C1002</f>
        <v>495543.28</v>
      </c>
      <c r="C1002" t="str">
        <f>IF(B1002&gt;=Walmart_Sales_raw_data!$C$6437,"High","low")</f>
        <v>low</v>
      </c>
    </row>
    <row r="1003" spans="1:3">
      <c r="A1003" s="3">
        <v>8</v>
      </c>
      <c r="B1003" s="2">
        <f>Walmart_Sales_raw_data!C1003</f>
        <v>1004137.09</v>
      </c>
      <c r="C1003" t="str">
        <f>IF(B1003&gt;=Walmart_Sales_raw_data!$C$6437,"High","low")</f>
        <v>low</v>
      </c>
    </row>
    <row r="1004" spans="1:3">
      <c r="A1004" s="1">
        <v>8</v>
      </c>
      <c r="B1004" s="2">
        <f>Walmart_Sales_raw_data!C1004</f>
        <v>994801.4</v>
      </c>
      <c r="C1004" t="str">
        <f>IF(B1004&gt;=Walmart_Sales_raw_data!$C$6437,"High","low")</f>
        <v>low</v>
      </c>
    </row>
    <row r="1005" spans="1:3">
      <c r="A1005" s="3">
        <v>8</v>
      </c>
      <c r="B1005" s="2">
        <f>Walmart_Sales_raw_data!C1005</f>
        <v>963960.37</v>
      </c>
      <c r="C1005" t="str">
        <f>IF(B1005&gt;=Walmart_Sales_raw_data!$C$6437,"High","low")</f>
        <v>low</v>
      </c>
    </row>
    <row r="1006" spans="1:3">
      <c r="A1006" s="1">
        <v>8</v>
      </c>
      <c r="B1006" s="2">
        <f>Walmart_Sales_raw_data!C1006</f>
        <v>847592.11</v>
      </c>
      <c r="C1006" t="str">
        <f>IF(B1006&gt;=Walmart_Sales_raw_data!$C$6437,"High","low")</f>
        <v>low</v>
      </c>
    </row>
    <row r="1007" spans="1:3">
      <c r="A1007" s="3">
        <v>8</v>
      </c>
      <c r="B1007" s="2">
        <f>Walmart_Sales_raw_data!C1007</f>
        <v>881503.95</v>
      </c>
      <c r="C1007" t="str">
        <f>IF(B1007&gt;=Walmart_Sales_raw_data!$C$6437,"High","low")</f>
        <v>low</v>
      </c>
    </row>
    <row r="1008" spans="1:3">
      <c r="A1008" s="1">
        <v>8</v>
      </c>
      <c r="B1008" s="2">
        <f>Walmart_Sales_raw_data!C1008</f>
        <v>860336.16</v>
      </c>
      <c r="C1008" t="str">
        <f>IF(B1008&gt;=Walmart_Sales_raw_data!$C$6437,"High","low")</f>
        <v>low</v>
      </c>
    </row>
    <row r="1009" spans="1:3">
      <c r="A1009" s="3">
        <v>8</v>
      </c>
      <c r="B1009" s="2">
        <f>Walmart_Sales_raw_data!C1009</f>
        <v>839911</v>
      </c>
      <c r="C1009" t="str">
        <f>IF(B1009&gt;=Walmart_Sales_raw_data!$C$6437,"High","low")</f>
        <v>low</v>
      </c>
    </row>
    <row r="1010" spans="1:3">
      <c r="A1010" s="1">
        <v>8</v>
      </c>
      <c r="B1010" s="2">
        <f>Walmart_Sales_raw_data!C1010</f>
        <v>772539.12</v>
      </c>
      <c r="C1010" t="str">
        <f>IF(B1010&gt;=Walmart_Sales_raw_data!$C$6437,"High","low")</f>
        <v>low</v>
      </c>
    </row>
    <row r="1011" spans="1:3">
      <c r="A1011" s="3">
        <v>8</v>
      </c>
      <c r="B1011" s="2">
        <f>Walmart_Sales_raw_data!C1011</f>
        <v>914500.91</v>
      </c>
      <c r="C1011" t="str">
        <f>IF(B1011&gt;=Walmart_Sales_raw_data!$C$6437,"High","low")</f>
        <v>low</v>
      </c>
    </row>
    <row r="1012" spans="1:3">
      <c r="A1012" s="1">
        <v>8</v>
      </c>
      <c r="B1012" s="2">
        <f>Walmart_Sales_raw_data!C1012</f>
        <v>916033.92</v>
      </c>
      <c r="C1012" t="str">
        <f>IF(B1012&gt;=Walmart_Sales_raw_data!$C$6437,"High","low")</f>
        <v>low</v>
      </c>
    </row>
    <row r="1013" spans="1:3">
      <c r="A1013" s="3">
        <v>8</v>
      </c>
      <c r="B1013" s="2">
        <f>Walmart_Sales_raw_data!C1013</f>
        <v>882917.12</v>
      </c>
      <c r="C1013" t="str">
        <f>IF(B1013&gt;=Walmart_Sales_raw_data!$C$6437,"High","low")</f>
        <v>low</v>
      </c>
    </row>
    <row r="1014" spans="1:3">
      <c r="A1014" s="1">
        <v>8</v>
      </c>
      <c r="B1014" s="2">
        <f>Walmart_Sales_raw_data!C1014</f>
        <v>850440.26</v>
      </c>
      <c r="C1014" t="str">
        <f>IF(B1014&gt;=Walmart_Sales_raw_data!$C$6437,"High","low")</f>
        <v>low</v>
      </c>
    </row>
    <row r="1015" spans="1:3">
      <c r="A1015" s="3">
        <v>8</v>
      </c>
      <c r="B1015" s="2">
        <f>Walmart_Sales_raw_data!C1015</f>
        <v>778672.64</v>
      </c>
      <c r="C1015" t="str">
        <f>IF(B1015&gt;=Walmart_Sales_raw_data!$C$6437,"High","low")</f>
        <v>low</v>
      </c>
    </row>
    <row r="1016" spans="1:3">
      <c r="A1016" s="1">
        <v>8</v>
      </c>
      <c r="B1016" s="2">
        <f>Walmart_Sales_raw_data!C1016</f>
        <v>916820.96</v>
      </c>
      <c r="C1016" t="str">
        <f>IF(B1016&gt;=Walmart_Sales_raw_data!$C$6437,"High","low")</f>
        <v>low</v>
      </c>
    </row>
    <row r="1017" spans="1:3">
      <c r="A1017" s="3">
        <v>8</v>
      </c>
      <c r="B1017" s="2">
        <f>Walmart_Sales_raw_data!C1017</f>
        <v>873337.84</v>
      </c>
      <c r="C1017" t="str">
        <f>IF(B1017&gt;=Walmart_Sales_raw_data!$C$6437,"High","low")</f>
        <v>low</v>
      </c>
    </row>
    <row r="1018" spans="1:3">
      <c r="A1018" s="1">
        <v>8</v>
      </c>
      <c r="B1018" s="2">
        <f>Walmart_Sales_raw_data!C1018</f>
        <v>818333.21</v>
      </c>
      <c r="C1018" t="str">
        <f>IF(B1018&gt;=Walmart_Sales_raw_data!$C$6437,"High","low")</f>
        <v>low</v>
      </c>
    </row>
    <row r="1019" spans="1:3">
      <c r="A1019" s="3">
        <v>8</v>
      </c>
      <c r="B1019" s="2">
        <f>Walmart_Sales_raw_data!C1019</f>
        <v>868041.56</v>
      </c>
      <c r="C1019" t="str">
        <f>IF(B1019&gt;=Walmart_Sales_raw_data!$C$6437,"High","low")</f>
        <v>low</v>
      </c>
    </row>
    <row r="1020" spans="1:3">
      <c r="A1020" s="1">
        <v>8</v>
      </c>
      <c r="B1020" s="2">
        <f>Walmart_Sales_raw_data!C1020</f>
        <v>958225.41</v>
      </c>
      <c r="C1020" t="str">
        <f>IF(B1020&gt;=Walmart_Sales_raw_data!$C$6437,"High","low")</f>
        <v>low</v>
      </c>
    </row>
    <row r="1021" spans="1:3">
      <c r="A1021" s="3">
        <v>8</v>
      </c>
      <c r="B1021" s="2">
        <f>Walmart_Sales_raw_data!C1021</f>
        <v>914835.86</v>
      </c>
      <c r="C1021" t="str">
        <f>IF(B1021&gt;=Walmart_Sales_raw_data!$C$6437,"High","low")</f>
        <v>low</v>
      </c>
    </row>
    <row r="1022" spans="1:3">
      <c r="A1022" s="1">
        <v>8</v>
      </c>
      <c r="B1022" s="2">
        <f>Walmart_Sales_raw_data!C1022</f>
        <v>869922.56</v>
      </c>
      <c r="C1022" t="str">
        <f>IF(B1022&gt;=Walmart_Sales_raw_data!$C$6437,"High","low")</f>
        <v>low</v>
      </c>
    </row>
    <row r="1023" spans="1:3">
      <c r="A1023" s="3">
        <v>8</v>
      </c>
      <c r="B1023" s="2">
        <f>Walmart_Sales_raw_data!C1023</f>
        <v>814919.11</v>
      </c>
      <c r="C1023" t="str">
        <f>IF(B1023&gt;=Walmart_Sales_raw_data!$C$6437,"High","low")</f>
        <v>low</v>
      </c>
    </row>
    <row r="1024" spans="1:3">
      <c r="A1024" s="1">
        <v>8</v>
      </c>
      <c r="B1024" s="2">
        <f>Walmart_Sales_raw_data!C1024</f>
        <v>852333.75</v>
      </c>
      <c r="C1024" t="str">
        <f>IF(B1024&gt;=Walmart_Sales_raw_data!$C$6437,"High","low")</f>
        <v>low</v>
      </c>
    </row>
    <row r="1025" spans="1:3">
      <c r="A1025" s="3">
        <v>8</v>
      </c>
      <c r="B1025" s="2">
        <f>Walmart_Sales_raw_data!C1025</f>
        <v>845289.77</v>
      </c>
      <c r="C1025" t="str">
        <f>IF(B1025&gt;=Walmart_Sales_raw_data!$C$6437,"High","low")</f>
        <v>low</v>
      </c>
    </row>
    <row r="1026" spans="1:3">
      <c r="A1026" s="1">
        <v>8</v>
      </c>
      <c r="B1026" s="2">
        <f>Walmart_Sales_raw_data!C1026</f>
        <v>848630.57</v>
      </c>
      <c r="C1026" t="str">
        <f>IF(B1026&gt;=Walmart_Sales_raw_data!$C$6437,"High","low")</f>
        <v>low</v>
      </c>
    </row>
    <row r="1027" spans="1:3">
      <c r="A1027" s="3">
        <v>8</v>
      </c>
      <c r="B1027" s="2">
        <f>Walmart_Sales_raw_data!C1027</f>
        <v>785515.88</v>
      </c>
      <c r="C1027" t="str">
        <f>IF(B1027&gt;=Walmart_Sales_raw_data!$C$6437,"High","low")</f>
        <v>low</v>
      </c>
    </row>
    <row r="1028" spans="1:3">
      <c r="A1028" s="1">
        <v>8</v>
      </c>
      <c r="B1028" s="2">
        <f>Walmart_Sales_raw_data!C1028</f>
        <v>787295.09</v>
      </c>
      <c r="C1028" t="str">
        <f>IF(B1028&gt;=Walmart_Sales_raw_data!$C$6437,"High","low")</f>
        <v>low</v>
      </c>
    </row>
    <row r="1029" spans="1:3">
      <c r="A1029" s="3">
        <v>8</v>
      </c>
      <c r="B1029" s="2">
        <f>Walmart_Sales_raw_data!C1029</f>
        <v>893399.77</v>
      </c>
      <c r="C1029" t="str">
        <f>IF(B1029&gt;=Walmart_Sales_raw_data!$C$6437,"High","low")</f>
        <v>low</v>
      </c>
    </row>
    <row r="1030" spans="1:3">
      <c r="A1030" s="1">
        <v>8</v>
      </c>
      <c r="B1030" s="2">
        <f>Walmart_Sales_raw_data!C1030</f>
        <v>867919.21</v>
      </c>
      <c r="C1030" t="str">
        <f>IF(B1030&gt;=Walmart_Sales_raw_data!$C$6437,"High","low")</f>
        <v>low</v>
      </c>
    </row>
    <row r="1031" spans="1:3">
      <c r="A1031" s="3">
        <v>8</v>
      </c>
      <c r="B1031" s="2">
        <f>Walmart_Sales_raw_data!C1031</f>
        <v>870676.44</v>
      </c>
      <c r="C1031" t="str">
        <f>IF(B1031&gt;=Walmart_Sales_raw_data!$C$6437,"High","low")</f>
        <v>low</v>
      </c>
    </row>
    <row r="1032" spans="1:3">
      <c r="A1032" s="1">
        <v>8</v>
      </c>
      <c r="B1032" s="2">
        <f>Walmart_Sales_raw_data!C1032</f>
        <v>888816.78</v>
      </c>
      <c r="C1032" t="str">
        <f>IF(B1032&gt;=Walmart_Sales_raw_data!$C$6437,"High","low")</f>
        <v>low</v>
      </c>
    </row>
    <row r="1033" spans="1:3">
      <c r="A1033" s="3">
        <v>8</v>
      </c>
      <c r="B1033" s="2">
        <f>Walmart_Sales_raw_data!C1033</f>
        <v>899036.47</v>
      </c>
      <c r="C1033" t="str">
        <f>IF(B1033&gt;=Walmart_Sales_raw_data!$C$6437,"High","low")</f>
        <v>low</v>
      </c>
    </row>
    <row r="1034" spans="1:3">
      <c r="A1034" s="1">
        <v>8</v>
      </c>
      <c r="B1034" s="2">
        <f>Walmart_Sales_raw_data!C1034</f>
        <v>831425.2</v>
      </c>
      <c r="C1034" t="str">
        <f>IF(B1034&gt;=Walmart_Sales_raw_data!$C$6437,"High","low")</f>
        <v>low</v>
      </c>
    </row>
    <row r="1035" spans="1:3">
      <c r="A1035" s="3">
        <v>8</v>
      </c>
      <c r="B1035" s="2">
        <f>Walmart_Sales_raw_data!C1035</f>
        <v>836707.85</v>
      </c>
      <c r="C1035" t="str">
        <f>IF(B1035&gt;=Walmart_Sales_raw_data!$C$6437,"High","low")</f>
        <v>low</v>
      </c>
    </row>
    <row r="1036" spans="1:3">
      <c r="A1036" s="1">
        <v>8</v>
      </c>
      <c r="B1036" s="2">
        <f>Walmart_Sales_raw_data!C1036</f>
        <v>773725.08</v>
      </c>
      <c r="C1036" t="str">
        <f>IF(B1036&gt;=Walmart_Sales_raw_data!$C$6437,"High","low")</f>
        <v>low</v>
      </c>
    </row>
    <row r="1037" spans="1:3">
      <c r="A1037" s="3">
        <v>8</v>
      </c>
      <c r="B1037" s="2">
        <f>Walmart_Sales_raw_data!C1037</f>
        <v>804105.49</v>
      </c>
      <c r="C1037" t="str">
        <f>IF(B1037&gt;=Walmart_Sales_raw_data!$C$6437,"High","low")</f>
        <v>low</v>
      </c>
    </row>
    <row r="1038" spans="1:3">
      <c r="A1038" s="1">
        <v>8</v>
      </c>
      <c r="B1038" s="2">
        <f>Walmart_Sales_raw_data!C1038</f>
        <v>870349.86</v>
      </c>
      <c r="C1038" t="str">
        <f>IF(B1038&gt;=Walmart_Sales_raw_data!$C$6437,"High","low")</f>
        <v>low</v>
      </c>
    </row>
    <row r="1039" spans="1:3">
      <c r="A1039" s="3">
        <v>8</v>
      </c>
      <c r="B1039" s="2">
        <f>Walmart_Sales_raw_data!C1039</f>
        <v>826546.96</v>
      </c>
      <c r="C1039" t="str">
        <f>IF(B1039&gt;=Walmart_Sales_raw_data!$C$6437,"High","low")</f>
        <v>low</v>
      </c>
    </row>
    <row r="1040" spans="1:3">
      <c r="A1040" s="1">
        <v>8</v>
      </c>
      <c r="B1040" s="2">
        <f>Walmart_Sales_raw_data!C1040</f>
        <v>836419.14</v>
      </c>
      <c r="C1040" t="str">
        <f>IF(B1040&gt;=Walmart_Sales_raw_data!$C$6437,"High","low")</f>
        <v>low</v>
      </c>
    </row>
    <row r="1041" spans="1:3">
      <c r="A1041" s="3">
        <v>8</v>
      </c>
      <c r="B1041" s="2">
        <f>Walmart_Sales_raw_data!C1041</f>
        <v>830756.76</v>
      </c>
      <c r="C1041" t="str">
        <f>IF(B1041&gt;=Walmart_Sales_raw_data!$C$6437,"High","low")</f>
        <v>low</v>
      </c>
    </row>
    <row r="1042" spans="1:3">
      <c r="A1042" s="1">
        <v>8</v>
      </c>
      <c r="B1042" s="2">
        <f>Walmart_Sales_raw_data!C1042</f>
        <v>927266.34</v>
      </c>
      <c r="C1042" t="str">
        <f>IF(B1042&gt;=Walmart_Sales_raw_data!$C$6437,"High","low")</f>
        <v>low</v>
      </c>
    </row>
    <row r="1043" spans="1:3">
      <c r="A1043" s="3">
        <v>8</v>
      </c>
      <c r="B1043" s="2">
        <f>Walmart_Sales_raw_data!C1043</f>
        <v>911538.98</v>
      </c>
      <c r="C1043" t="str">
        <f>IF(B1043&gt;=Walmart_Sales_raw_data!$C$6437,"High","low")</f>
        <v>low</v>
      </c>
    </row>
    <row r="1044" spans="1:3">
      <c r="A1044" s="1">
        <v>8</v>
      </c>
      <c r="B1044" s="2">
        <f>Walmart_Sales_raw_data!C1044</f>
        <v>885608.04</v>
      </c>
      <c r="C1044" t="str">
        <f>IF(B1044&gt;=Walmart_Sales_raw_data!$C$6437,"High","low")</f>
        <v>low</v>
      </c>
    </row>
    <row r="1045" spans="1:3">
      <c r="A1045" s="3">
        <v>8</v>
      </c>
      <c r="B1045" s="2">
        <f>Walmart_Sales_raw_data!C1045</f>
        <v>1261693.16</v>
      </c>
      <c r="C1045" t="str">
        <f>IF(B1045&gt;=Walmart_Sales_raw_data!$C$6437,"High","low")</f>
        <v>High</v>
      </c>
    </row>
    <row r="1046" spans="1:3">
      <c r="A1046" s="1">
        <v>8</v>
      </c>
      <c r="B1046" s="2">
        <f>Walmart_Sales_raw_data!C1046</f>
        <v>952766.93</v>
      </c>
      <c r="C1046" t="str">
        <f>IF(B1046&gt;=Walmart_Sales_raw_data!$C$6437,"High","low")</f>
        <v>low</v>
      </c>
    </row>
    <row r="1047" spans="1:3">
      <c r="A1047" s="3">
        <v>8</v>
      </c>
      <c r="B1047" s="2">
        <f>Walmart_Sales_raw_data!C1047</f>
        <v>1069061.63</v>
      </c>
      <c r="C1047" t="str">
        <f>IF(B1047&gt;=Walmart_Sales_raw_data!$C$6437,"High","low")</f>
        <v>High</v>
      </c>
    </row>
    <row r="1048" spans="1:3">
      <c r="A1048" s="1">
        <v>8</v>
      </c>
      <c r="B1048" s="2">
        <f>Walmart_Sales_raw_data!C1048</f>
        <v>1220579.55</v>
      </c>
      <c r="C1048" t="str">
        <f>IF(B1048&gt;=Walmart_Sales_raw_data!$C$6437,"High","low")</f>
        <v>High</v>
      </c>
    </row>
    <row r="1049" spans="1:3">
      <c r="A1049" s="3">
        <v>8</v>
      </c>
      <c r="B1049" s="2">
        <f>Walmart_Sales_raw_data!C1049</f>
        <v>1511641.09</v>
      </c>
      <c r="C1049" t="str">
        <f>IF(B1049&gt;=Walmart_Sales_raw_data!$C$6437,"High","low")</f>
        <v>High</v>
      </c>
    </row>
    <row r="1050" spans="1:3">
      <c r="A1050" s="1">
        <v>8</v>
      </c>
      <c r="B1050" s="2">
        <f>Walmart_Sales_raw_data!C1050</f>
        <v>773586.49</v>
      </c>
      <c r="C1050" t="str">
        <f>IF(B1050&gt;=Walmart_Sales_raw_data!$C$6437,"High","low")</f>
        <v>low</v>
      </c>
    </row>
    <row r="1051" spans="1:3">
      <c r="A1051" s="3">
        <v>8</v>
      </c>
      <c r="B1051" s="2">
        <f>Walmart_Sales_raw_data!C1051</f>
        <v>873065.23</v>
      </c>
      <c r="C1051" t="str">
        <f>IF(B1051&gt;=Walmart_Sales_raw_data!$C$6437,"High","low")</f>
        <v>low</v>
      </c>
    </row>
    <row r="1052" spans="1:3">
      <c r="A1052" s="1">
        <v>8</v>
      </c>
      <c r="B1052" s="2">
        <f>Walmart_Sales_raw_data!C1052</f>
        <v>809646.66</v>
      </c>
      <c r="C1052" t="str">
        <f>IF(B1052&gt;=Walmart_Sales_raw_data!$C$6437,"High","low")</f>
        <v>low</v>
      </c>
    </row>
    <row r="1053" spans="1:3">
      <c r="A1053" s="3">
        <v>8</v>
      </c>
      <c r="B1053" s="2">
        <f>Walmart_Sales_raw_data!C1053</f>
        <v>822668.23</v>
      </c>
      <c r="C1053" t="str">
        <f>IF(B1053&gt;=Walmart_Sales_raw_data!$C$6437,"High","low")</f>
        <v>low</v>
      </c>
    </row>
    <row r="1054" spans="1:3">
      <c r="A1054" s="1">
        <v>8</v>
      </c>
      <c r="B1054" s="2">
        <f>Walmart_Sales_raw_data!C1054</f>
        <v>782256.66</v>
      </c>
      <c r="C1054" t="str">
        <f>IF(B1054&gt;=Walmart_Sales_raw_data!$C$6437,"High","low")</f>
        <v>low</v>
      </c>
    </row>
    <row r="1055" spans="1:3">
      <c r="A1055" s="3">
        <v>8</v>
      </c>
      <c r="B1055" s="2">
        <f>Walmart_Sales_raw_data!C1055</f>
        <v>944594.78</v>
      </c>
      <c r="C1055" t="str">
        <f>IF(B1055&gt;=Walmart_Sales_raw_data!$C$6437,"High","low")</f>
        <v>low</v>
      </c>
    </row>
    <row r="1056" spans="1:3">
      <c r="A1056" s="1">
        <v>8</v>
      </c>
      <c r="B1056" s="2">
        <f>Walmart_Sales_raw_data!C1056</f>
        <v>996147.39</v>
      </c>
      <c r="C1056" t="str">
        <f>IF(B1056&gt;=Walmart_Sales_raw_data!$C$6437,"High","low")</f>
        <v>low</v>
      </c>
    </row>
    <row r="1057" spans="1:3">
      <c r="A1057" s="3">
        <v>8</v>
      </c>
      <c r="B1057" s="2">
        <f>Walmart_Sales_raw_data!C1057</f>
        <v>1065108.64</v>
      </c>
      <c r="C1057" t="str">
        <f>IF(B1057&gt;=Walmart_Sales_raw_data!$C$6437,"High","low")</f>
        <v>High</v>
      </c>
    </row>
    <row r="1058" spans="1:3">
      <c r="A1058" s="1">
        <v>8</v>
      </c>
      <c r="B1058" s="2">
        <f>Walmart_Sales_raw_data!C1058</f>
        <v>917317.15</v>
      </c>
      <c r="C1058" t="str">
        <f>IF(B1058&gt;=Walmart_Sales_raw_data!$C$6437,"High","low")</f>
        <v>low</v>
      </c>
    </row>
    <row r="1059" spans="1:3">
      <c r="A1059" s="3">
        <v>8</v>
      </c>
      <c r="B1059" s="2">
        <f>Walmart_Sales_raw_data!C1059</f>
        <v>935266.43</v>
      </c>
      <c r="C1059" t="str">
        <f>IF(B1059&gt;=Walmart_Sales_raw_data!$C$6437,"High","low")</f>
        <v>low</v>
      </c>
    </row>
    <row r="1060" spans="1:3">
      <c r="A1060" s="1">
        <v>8</v>
      </c>
      <c r="B1060" s="2">
        <f>Walmart_Sales_raw_data!C1060</f>
        <v>900387.29</v>
      </c>
      <c r="C1060" t="str">
        <f>IF(B1060&gt;=Walmart_Sales_raw_data!$C$6437,"High","low")</f>
        <v>low</v>
      </c>
    </row>
    <row r="1061" spans="1:3">
      <c r="A1061" s="3">
        <v>8</v>
      </c>
      <c r="B1061" s="2">
        <f>Walmart_Sales_raw_data!C1061</f>
        <v>898289.14</v>
      </c>
      <c r="C1061" t="str">
        <f>IF(B1061&gt;=Walmart_Sales_raw_data!$C$6437,"High","low")</f>
        <v>low</v>
      </c>
    </row>
    <row r="1062" spans="1:3">
      <c r="A1062" s="1">
        <v>8</v>
      </c>
      <c r="B1062" s="2">
        <f>Walmart_Sales_raw_data!C1062</f>
        <v>827968.36</v>
      </c>
      <c r="C1062" t="str">
        <f>IF(B1062&gt;=Walmart_Sales_raw_data!$C$6437,"High","low")</f>
        <v>low</v>
      </c>
    </row>
    <row r="1063" spans="1:3">
      <c r="A1063" s="3">
        <v>8</v>
      </c>
      <c r="B1063" s="2">
        <f>Walmart_Sales_raw_data!C1063</f>
        <v>878762.3</v>
      </c>
      <c r="C1063" t="str">
        <f>IF(B1063&gt;=Walmart_Sales_raw_data!$C$6437,"High","low")</f>
        <v>low</v>
      </c>
    </row>
    <row r="1064" spans="1:3">
      <c r="A1064" s="1">
        <v>8</v>
      </c>
      <c r="B1064" s="2">
        <f>Walmart_Sales_raw_data!C1064</f>
        <v>949825.83</v>
      </c>
      <c r="C1064" t="str">
        <f>IF(B1064&gt;=Walmart_Sales_raw_data!$C$6437,"High","low")</f>
        <v>low</v>
      </c>
    </row>
    <row r="1065" spans="1:3">
      <c r="A1065" s="3">
        <v>8</v>
      </c>
      <c r="B1065" s="2">
        <f>Walmart_Sales_raw_data!C1065</f>
        <v>908278.74</v>
      </c>
      <c r="C1065" t="str">
        <f>IF(B1065&gt;=Walmart_Sales_raw_data!$C$6437,"High","low")</f>
        <v>low</v>
      </c>
    </row>
    <row r="1066" spans="1:3">
      <c r="A1066" s="1">
        <v>8</v>
      </c>
      <c r="B1066" s="2">
        <f>Walmart_Sales_raw_data!C1066</f>
        <v>937473.13</v>
      </c>
      <c r="C1066" t="str">
        <f>IF(B1066&gt;=Walmart_Sales_raw_data!$C$6437,"High","low")</f>
        <v>low</v>
      </c>
    </row>
    <row r="1067" spans="1:3">
      <c r="A1067" s="3">
        <v>8</v>
      </c>
      <c r="B1067" s="2">
        <f>Walmart_Sales_raw_data!C1067</f>
        <v>855014.77</v>
      </c>
      <c r="C1067" t="str">
        <f>IF(B1067&gt;=Walmart_Sales_raw_data!$C$6437,"High","low")</f>
        <v>low</v>
      </c>
    </row>
    <row r="1068" spans="1:3">
      <c r="A1068" s="1">
        <v>8</v>
      </c>
      <c r="B1068" s="2">
        <f>Walmart_Sales_raw_data!C1068</f>
        <v>941457.34</v>
      </c>
      <c r="C1068" t="str">
        <f>IF(B1068&gt;=Walmart_Sales_raw_data!$C$6437,"High","low")</f>
        <v>low</v>
      </c>
    </row>
    <row r="1069" spans="1:3">
      <c r="A1069" s="3">
        <v>8</v>
      </c>
      <c r="B1069" s="2">
        <f>Walmart_Sales_raw_data!C1069</f>
        <v>895763.41</v>
      </c>
      <c r="C1069" t="str">
        <f>IF(B1069&gt;=Walmart_Sales_raw_data!$C$6437,"High","low")</f>
        <v>low</v>
      </c>
    </row>
    <row r="1070" spans="1:3">
      <c r="A1070" s="1">
        <v>8</v>
      </c>
      <c r="B1070" s="2">
        <f>Walmart_Sales_raw_data!C1070</f>
        <v>836049.89</v>
      </c>
      <c r="C1070" t="str">
        <f>IF(B1070&gt;=Walmart_Sales_raw_data!$C$6437,"High","low")</f>
        <v>low</v>
      </c>
    </row>
    <row r="1071" spans="1:3">
      <c r="A1071" s="3">
        <v>8</v>
      </c>
      <c r="B1071" s="2">
        <f>Walmart_Sales_raw_data!C1071</f>
        <v>857939.41</v>
      </c>
      <c r="C1071" t="str">
        <f>IF(B1071&gt;=Walmart_Sales_raw_data!$C$6437,"High","low")</f>
        <v>low</v>
      </c>
    </row>
    <row r="1072" spans="1:3">
      <c r="A1072" s="1">
        <v>8</v>
      </c>
      <c r="B1072" s="2">
        <f>Walmart_Sales_raw_data!C1072</f>
        <v>929222.16</v>
      </c>
      <c r="C1072" t="str">
        <f>IF(B1072&gt;=Walmart_Sales_raw_data!$C$6437,"High","low")</f>
        <v>low</v>
      </c>
    </row>
    <row r="1073" spans="1:3">
      <c r="A1073" s="3">
        <v>8</v>
      </c>
      <c r="B1073" s="2">
        <f>Walmart_Sales_raw_data!C1073</f>
        <v>897309.41</v>
      </c>
      <c r="C1073" t="str">
        <f>IF(B1073&gt;=Walmart_Sales_raw_data!$C$6437,"High","low")</f>
        <v>low</v>
      </c>
    </row>
    <row r="1074" spans="1:3">
      <c r="A1074" s="1">
        <v>8</v>
      </c>
      <c r="B1074" s="2">
        <f>Walmart_Sales_raw_data!C1074</f>
        <v>922048.41</v>
      </c>
      <c r="C1074" t="str">
        <f>IF(B1074&gt;=Walmart_Sales_raw_data!$C$6437,"High","low")</f>
        <v>low</v>
      </c>
    </row>
    <row r="1075" spans="1:3">
      <c r="A1075" s="3">
        <v>8</v>
      </c>
      <c r="B1075" s="2">
        <f>Walmart_Sales_raw_data!C1075</f>
        <v>864881.24</v>
      </c>
      <c r="C1075" t="str">
        <f>IF(B1075&gt;=Walmart_Sales_raw_data!$C$6437,"High","low")</f>
        <v>low</v>
      </c>
    </row>
    <row r="1076" spans="1:3">
      <c r="A1076" s="1">
        <v>8</v>
      </c>
      <c r="B1076" s="2">
        <f>Walmart_Sales_raw_data!C1076</f>
        <v>883683.35</v>
      </c>
      <c r="C1076" t="str">
        <f>IF(B1076&gt;=Walmart_Sales_raw_data!$C$6437,"High","low")</f>
        <v>low</v>
      </c>
    </row>
    <row r="1077" spans="1:3">
      <c r="A1077" s="3">
        <v>8</v>
      </c>
      <c r="B1077" s="2">
        <f>Walmart_Sales_raw_data!C1077</f>
        <v>861965.12</v>
      </c>
      <c r="C1077" t="str">
        <f>IF(B1077&gt;=Walmart_Sales_raw_data!$C$6437,"High","low")</f>
        <v>low</v>
      </c>
    </row>
    <row r="1078" spans="1:3">
      <c r="A1078" s="1">
        <v>8</v>
      </c>
      <c r="B1078" s="2">
        <f>Walmart_Sales_raw_data!C1078</f>
        <v>849925.37</v>
      </c>
      <c r="C1078" t="str">
        <f>IF(B1078&gt;=Walmart_Sales_raw_data!$C$6437,"High","low")</f>
        <v>low</v>
      </c>
    </row>
    <row r="1079" spans="1:3">
      <c r="A1079" s="3">
        <v>8</v>
      </c>
      <c r="B1079" s="2">
        <f>Walmart_Sales_raw_data!C1079</f>
        <v>829902.42</v>
      </c>
      <c r="C1079" t="str">
        <f>IF(B1079&gt;=Walmart_Sales_raw_data!$C$6437,"High","low")</f>
        <v>low</v>
      </c>
    </row>
    <row r="1080" spans="1:3">
      <c r="A1080" s="1">
        <v>8</v>
      </c>
      <c r="B1080" s="2">
        <f>Walmart_Sales_raw_data!C1080</f>
        <v>807082.19</v>
      </c>
      <c r="C1080" t="str">
        <f>IF(B1080&gt;=Walmart_Sales_raw_data!$C$6437,"High","low")</f>
        <v>low</v>
      </c>
    </row>
    <row r="1081" spans="1:3">
      <c r="A1081" s="3">
        <v>8</v>
      </c>
      <c r="B1081" s="2">
        <f>Walmart_Sales_raw_data!C1081</f>
        <v>892393.77</v>
      </c>
      <c r="C1081" t="str">
        <f>IF(B1081&gt;=Walmart_Sales_raw_data!$C$6437,"High","low")</f>
        <v>low</v>
      </c>
    </row>
    <row r="1082" spans="1:3">
      <c r="A1082" s="1">
        <v>8</v>
      </c>
      <c r="B1082" s="2">
        <f>Walmart_Sales_raw_data!C1082</f>
        <v>856796.1</v>
      </c>
      <c r="C1082" t="str">
        <f>IF(B1082&gt;=Walmart_Sales_raw_data!$C$6437,"High","low")</f>
        <v>low</v>
      </c>
    </row>
    <row r="1083" spans="1:3">
      <c r="A1083" s="3">
        <v>8</v>
      </c>
      <c r="B1083" s="2">
        <f>Walmart_Sales_raw_data!C1083</f>
        <v>895066.5</v>
      </c>
      <c r="C1083" t="str">
        <f>IF(B1083&gt;=Walmart_Sales_raw_data!$C$6437,"High","low")</f>
        <v>low</v>
      </c>
    </row>
    <row r="1084" spans="1:3">
      <c r="A1084" s="1">
        <v>8</v>
      </c>
      <c r="B1084" s="2">
        <f>Walmart_Sales_raw_data!C1084</f>
        <v>912542.82</v>
      </c>
      <c r="C1084" t="str">
        <f>IF(B1084&gt;=Walmart_Sales_raw_data!$C$6437,"High","low")</f>
        <v>low</v>
      </c>
    </row>
    <row r="1085" spans="1:3">
      <c r="A1085" s="3">
        <v>8</v>
      </c>
      <c r="B1085" s="2">
        <f>Walmart_Sales_raw_data!C1085</f>
        <v>891387.14</v>
      </c>
      <c r="C1085" t="str">
        <f>IF(B1085&gt;=Walmart_Sales_raw_data!$C$6437,"High","low")</f>
        <v>low</v>
      </c>
    </row>
    <row r="1086" spans="1:3">
      <c r="A1086" s="1">
        <v>8</v>
      </c>
      <c r="B1086" s="2">
        <f>Walmart_Sales_raw_data!C1086</f>
        <v>848358.09</v>
      </c>
      <c r="C1086" t="str">
        <f>IF(B1086&gt;=Walmart_Sales_raw_data!$C$6437,"High","low")</f>
        <v>low</v>
      </c>
    </row>
    <row r="1087" spans="1:3">
      <c r="A1087" s="3">
        <v>8</v>
      </c>
      <c r="B1087" s="2">
        <f>Walmart_Sales_raw_data!C1087</f>
        <v>870971.82</v>
      </c>
      <c r="C1087" t="str">
        <f>IF(B1087&gt;=Walmart_Sales_raw_data!$C$6437,"High","low")</f>
        <v>low</v>
      </c>
    </row>
    <row r="1088" spans="1:3">
      <c r="A1088" s="1">
        <v>8</v>
      </c>
      <c r="B1088" s="2">
        <f>Walmart_Sales_raw_data!C1088</f>
        <v>806444.29</v>
      </c>
      <c r="C1088" t="str">
        <f>IF(B1088&gt;=Walmart_Sales_raw_data!$C$6437,"High","low")</f>
        <v>low</v>
      </c>
    </row>
    <row r="1089" spans="1:3">
      <c r="A1089" s="3">
        <v>8</v>
      </c>
      <c r="B1089" s="2">
        <f>Walmart_Sales_raw_data!C1089</f>
        <v>809049.37</v>
      </c>
      <c r="C1089" t="str">
        <f>IF(B1089&gt;=Walmart_Sales_raw_data!$C$6437,"High","low")</f>
        <v>low</v>
      </c>
    </row>
    <row r="1090" spans="1:3">
      <c r="A1090" s="1">
        <v>8</v>
      </c>
      <c r="B1090" s="2">
        <f>Walmart_Sales_raw_data!C1090</f>
        <v>929976.55</v>
      </c>
      <c r="C1090" t="str">
        <f>IF(B1090&gt;=Walmart_Sales_raw_data!$C$6437,"High","low")</f>
        <v>low</v>
      </c>
    </row>
    <row r="1091" spans="1:3">
      <c r="A1091" s="3">
        <v>8</v>
      </c>
      <c r="B1091" s="2">
        <f>Walmart_Sales_raw_data!C1091</f>
        <v>863188.26</v>
      </c>
      <c r="C1091" t="str">
        <f>IF(B1091&gt;=Walmart_Sales_raw_data!$C$6437,"High","low")</f>
        <v>low</v>
      </c>
    </row>
    <row r="1092" spans="1:3">
      <c r="A1092" s="1">
        <v>8</v>
      </c>
      <c r="B1092" s="2">
        <f>Walmart_Sales_raw_data!C1092</f>
        <v>905984.49</v>
      </c>
      <c r="C1092" t="str">
        <f>IF(B1092&gt;=Walmart_Sales_raw_data!$C$6437,"High","low")</f>
        <v>low</v>
      </c>
    </row>
    <row r="1093" spans="1:3">
      <c r="A1093" s="3">
        <v>8</v>
      </c>
      <c r="B1093" s="2">
        <f>Walmart_Sales_raw_data!C1093</f>
        <v>876712.31</v>
      </c>
      <c r="C1093" t="str">
        <f>IF(B1093&gt;=Walmart_Sales_raw_data!$C$6437,"High","low")</f>
        <v>low</v>
      </c>
    </row>
    <row r="1094" spans="1:3">
      <c r="A1094" s="1">
        <v>8</v>
      </c>
      <c r="B1094" s="2">
        <f>Walmart_Sales_raw_data!C1094</f>
        <v>947815.05</v>
      </c>
      <c r="C1094" t="str">
        <f>IF(B1094&gt;=Walmart_Sales_raw_data!$C$6437,"High","low")</f>
        <v>low</v>
      </c>
    </row>
    <row r="1095" spans="1:3">
      <c r="A1095" s="3">
        <v>8</v>
      </c>
      <c r="B1095" s="2">
        <f>Walmart_Sales_raw_data!C1095</f>
        <v>917088.48</v>
      </c>
      <c r="C1095" t="str">
        <f>IF(B1095&gt;=Walmart_Sales_raw_data!$C$6437,"High","low")</f>
        <v>low</v>
      </c>
    </row>
    <row r="1096" spans="1:3">
      <c r="A1096" s="1">
        <v>8</v>
      </c>
      <c r="B1096" s="2">
        <f>Walmart_Sales_raw_data!C1096</f>
        <v>897032.19</v>
      </c>
      <c r="C1096" t="str">
        <f>IF(B1096&gt;=Walmart_Sales_raw_data!$C$6437,"High","low")</f>
        <v>low</v>
      </c>
    </row>
    <row r="1097" spans="1:3">
      <c r="A1097" s="3">
        <v>8</v>
      </c>
      <c r="B1097" s="2">
        <f>Walmart_Sales_raw_data!C1097</f>
        <v>1235163.86</v>
      </c>
      <c r="C1097" t="str">
        <f>IF(B1097&gt;=Walmart_Sales_raw_data!$C$6437,"High","low")</f>
        <v>High</v>
      </c>
    </row>
    <row r="1098" spans="1:3">
      <c r="A1098" s="1">
        <v>8</v>
      </c>
      <c r="B1098" s="2">
        <f>Walmart_Sales_raw_data!C1098</f>
        <v>986601.46</v>
      </c>
      <c r="C1098" t="str">
        <f>IF(B1098&gt;=Walmart_Sales_raw_data!$C$6437,"High","low")</f>
        <v>low</v>
      </c>
    </row>
    <row r="1099" spans="1:3">
      <c r="A1099" s="3">
        <v>8</v>
      </c>
      <c r="B1099" s="2">
        <f>Walmart_Sales_raw_data!C1099</f>
        <v>1051922.95</v>
      </c>
      <c r="C1099" t="str">
        <f>IF(B1099&gt;=Walmart_Sales_raw_data!$C$6437,"High","low")</f>
        <v>High</v>
      </c>
    </row>
    <row r="1100" spans="1:3">
      <c r="A1100" s="1">
        <v>8</v>
      </c>
      <c r="B1100" s="2">
        <f>Walmart_Sales_raw_data!C1100</f>
        <v>1118163.94</v>
      </c>
      <c r="C1100" t="str">
        <f>IF(B1100&gt;=Walmart_Sales_raw_data!$C$6437,"High","low")</f>
        <v>High</v>
      </c>
    </row>
    <row r="1101" spans="1:3">
      <c r="A1101" s="3">
        <v>8</v>
      </c>
      <c r="B1101" s="2">
        <f>Walmart_Sales_raw_data!C1101</f>
        <v>1462254.05</v>
      </c>
      <c r="C1101" t="str">
        <f>IF(B1101&gt;=Walmart_Sales_raw_data!$C$6437,"High","low")</f>
        <v>High</v>
      </c>
    </row>
    <row r="1102" spans="1:3">
      <c r="A1102" s="1">
        <v>8</v>
      </c>
      <c r="B1102" s="2">
        <f>Walmart_Sales_raw_data!C1102</f>
        <v>858572.22</v>
      </c>
      <c r="C1102" t="str">
        <f>IF(B1102&gt;=Walmart_Sales_raw_data!$C$6437,"High","low")</f>
        <v>low</v>
      </c>
    </row>
    <row r="1103" spans="1:3">
      <c r="A1103" s="3">
        <v>8</v>
      </c>
      <c r="B1103" s="2">
        <f>Walmart_Sales_raw_data!C1103</f>
        <v>872113.23</v>
      </c>
      <c r="C1103" t="str">
        <f>IF(B1103&gt;=Walmart_Sales_raw_data!$C$6437,"High","low")</f>
        <v>low</v>
      </c>
    </row>
    <row r="1104" spans="1:3">
      <c r="A1104" s="1">
        <v>8</v>
      </c>
      <c r="B1104" s="2">
        <f>Walmart_Sales_raw_data!C1104</f>
        <v>817661.76</v>
      </c>
      <c r="C1104" t="str">
        <f>IF(B1104&gt;=Walmart_Sales_raw_data!$C$6437,"High","low")</f>
        <v>low</v>
      </c>
    </row>
    <row r="1105" spans="1:3">
      <c r="A1105" s="3">
        <v>8</v>
      </c>
      <c r="B1105" s="2">
        <f>Walmart_Sales_raw_data!C1105</f>
        <v>813954.82</v>
      </c>
      <c r="C1105" t="str">
        <f>IF(B1105&gt;=Walmart_Sales_raw_data!$C$6437,"High","low")</f>
        <v>low</v>
      </c>
    </row>
    <row r="1106" spans="1:3">
      <c r="A1106" s="1">
        <v>8</v>
      </c>
      <c r="B1106" s="2">
        <f>Walmart_Sales_raw_data!C1106</f>
        <v>778178.53</v>
      </c>
      <c r="C1106" t="str">
        <f>IF(B1106&gt;=Walmart_Sales_raw_data!$C$6437,"High","low")</f>
        <v>low</v>
      </c>
    </row>
    <row r="1107" spans="1:3">
      <c r="A1107" s="3">
        <v>8</v>
      </c>
      <c r="B1107" s="2">
        <f>Walmart_Sales_raw_data!C1107</f>
        <v>927610.69</v>
      </c>
      <c r="C1107" t="str">
        <f>IF(B1107&gt;=Walmart_Sales_raw_data!$C$6437,"High","low")</f>
        <v>low</v>
      </c>
    </row>
    <row r="1108" spans="1:3">
      <c r="A1108" s="1">
        <v>8</v>
      </c>
      <c r="B1108" s="2">
        <f>Walmart_Sales_raw_data!C1108</f>
        <v>1021400.42</v>
      </c>
      <c r="C1108" t="str">
        <f>IF(B1108&gt;=Walmart_Sales_raw_data!$C$6437,"High","low")</f>
        <v>low</v>
      </c>
    </row>
    <row r="1109" spans="1:3">
      <c r="A1109" s="3">
        <v>8</v>
      </c>
      <c r="B1109" s="2">
        <f>Walmart_Sales_raw_data!C1109</f>
        <v>1096232.89</v>
      </c>
      <c r="C1109" t="str">
        <f>IF(B1109&gt;=Walmart_Sales_raw_data!$C$6437,"High","low")</f>
        <v>High</v>
      </c>
    </row>
    <row r="1110" spans="1:3">
      <c r="A1110" s="1">
        <v>8</v>
      </c>
      <c r="B1110" s="2">
        <f>Walmart_Sales_raw_data!C1110</f>
        <v>928537.54</v>
      </c>
      <c r="C1110" t="str">
        <f>IF(B1110&gt;=Walmart_Sales_raw_data!$C$6437,"High","low")</f>
        <v>low</v>
      </c>
    </row>
    <row r="1111" spans="1:3">
      <c r="A1111" s="3">
        <v>8</v>
      </c>
      <c r="B1111" s="2">
        <f>Walmart_Sales_raw_data!C1111</f>
        <v>952264.91</v>
      </c>
      <c r="C1111" t="str">
        <f>IF(B1111&gt;=Walmart_Sales_raw_data!$C$6437,"High","low")</f>
        <v>low</v>
      </c>
    </row>
    <row r="1112" spans="1:3">
      <c r="A1112" s="1">
        <v>8</v>
      </c>
      <c r="B1112" s="2">
        <f>Walmart_Sales_raw_data!C1112</f>
        <v>960115.56</v>
      </c>
      <c r="C1112" t="str">
        <f>IF(B1112&gt;=Walmart_Sales_raw_data!$C$6437,"High","low")</f>
        <v>low</v>
      </c>
    </row>
    <row r="1113" spans="1:3">
      <c r="A1113" s="3">
        <v>8</v>
      </c>
      <c r="B1113" s="2">
        <f>Walmart_Sales_raw_data!C1113</f>
        <v>921178.39</v>
      </c>
      <c r="C1113" t="str">
        <f>IF(B1113&gt;=Walmart_Sales_raw_data!$C$6437,"High","low")</f>
        <v>low</v>
      </c>
    </row>
    <row r="1114" spans="1:3">
      <c r="A1114" s="1">
        <v>8</v>
      </c>
      <c r="B1114" s="2">
        <f>Walmart_Sales_raw_data!C1114</f>
        <v>874223.25</v>
      </c>
      <c r="C1114" t="str">
        <f>IF(B1114&gt;=Walmart_Sales_raw_data!$C$6437,"High","low")</f>
        <v>low</v>
      </c>
    </row>
    <row r="1115" spans="1:3">
      <c r="A1115" s="3">
        <v>8</v>
      </c>
      <c r="B1115" s="2">
        <f>Walmart_Sales_raw_data!C1115</f>
        <v>905935.29</v>
      </c>
      <c r="C1115" t="str">
        <f>IF(B1115&gt;=Walmart_Sales_raw_data!$C$6437,"High","low")</f>
        <v>low</v>
      </c>
    </row>
    <row r="1116" spans="1:3">
      <c r="A1116" s="1">
        <v>8</v>
      </c>
      <c r="B1116" s="2">
        <f>Walmart_Sales_raw_data!C1116</f>
        <v>1046816.59</v>
      </c>
      <c r="C1116" t="str">
        <f>IF(B1116&gt;=Walmart_Sales_raw_data!$C$6437,"High","low")</f>
        <v>low</v>
      </c>
    </row>
    <row r="1117" spans="1:3">
      <c r="A1117" s="3">
        <v>8</v>
      </c>
      <c r="B1117" s="2">
        <f>Walmart_Sales_raw_data!C1117</f>
        <v>909989.45</v>
      </c>
      <c r="C1117" t="str">
        <f>IF(B1117&gt;=Walmart_Sales_raw_data!$C$6437,"High","low")</f>
        <v>low</v>
      </c>
    </row>
    <row r="1118" spans="1:3">
      <c r="A1118" s="1">
        <v>8</v>
      </c>
      <c r="B1118" s="2">
        <f>Walmart_Sales_raw_data!C1118</f>
        <v>872288.46</v>
      </c>
      <c r="C1118" t="str">
        <f>IF(B1118&gt;=Walmart_Sales_raw_data!$C$6437,"High","low")</f>
        <v>low</v>
      </c>
    </row>
    <row r="1119" spans="1:3">
      <c r="A1119" s="3">
        <v>8</v>
      </c>
      <c r="B1119" s="2">
        <f>Walmart_Sales_raw_data!C1119</f>
        <v>879448.25</v>
      </c>
      <c r="C1119" t="str">
        <f>IF(B1119&gt;=Walmart_Sales_raw_data!$C$6437,"High","low")</f>
        <v>low</v>
      </c>
    </row>
    <row r="1120" spans="1:3">
      <c r="A1120" s="1">
        <v>8</v>
      </c>
      <c r="B1120" s="2">
        <f>Walmart_Sales_raw_data!C1120</f>
        <v>937232.09</v>
      </c>
      <c r="C1120" t="str">
        <f>IF(B1120&gt;=Walmart_Sales_raw_data!$C$6437,"High","low")</f>
        <v>low</v>
      </c>
    </row>
    <row r="1121" spans="1:3">
      <c r="A1121" s="3">
        <v>8</v>
      </c>
      <c r="B1121" s="2">
        <f>Walmart_Sales_raw_data!C1121</f>
        <v>920128.89</v>
      </c>
      <c r="C1121" t="str">
        <f>IF(B1121&gt;=Walmart_Sales_raw_data!$C$6437,"High","low")</f>
        <v>low</v>
      </c>
    </row>
    <row r="1122" spans="1:3">
      <c r="A1122" s="1">
        <v>8</v>
      </c>
      <c r="B1122" s="2">
        <f>Walmart_Sales_raw_data!C1122</f>
        <v>913922.01</v>
      </c>
      <c r="C1122" t="str">
        <f>IF(B1122&gt;=Walmart_Sales_raw_data!$C$6437,"High","low")</f>
        <v>low</v>
      </c>
    </row>
    <row r="1123" spans="1:3">
      <c r="A1123" s="3">
        <v>8</v>
      </c>
      <c r="B1123" s="2">
        <f>Walmart_Sales_raw_data!C1123</f>
        <v>895157.44</v>
      </c>
      <c r="C1123" t="str">
        <f>IF(B1123&gt;=Walmart_Sales_raw_data!$C$6437,"High","low")</f>
        <v>low</v>
      </c>
    </row>
    <row r="1124" spans="1:3">
      <c r="A1124" s="1">
        <v>8</v>
      </c>
      <c r="B1124" s="2">
        <f>Walmart_Sales_raw_data!C1124</f>
        <v>921161.2</v>
      </c>
      <c r="C1124" t="str">
        <f>IF(B1124&gt;=Walmart_Sales_raw_data!$C$6437,"High","low")</f>
        <v>low</v>
      </c>
    </row>
    <row r="1125" spans="1:3">
      <c r="A1125" s="3">
        <v>8</v>
      </c>
      <c r="B1125" s="2">
        <f>Walmart_Sales_raw_data!C1125</f>
        <v>928820</v>
      </c>
      <c r="C1125" t="str">
        <f>IF(B1125&gt;=Walmart_Sales_raw_data!$C$6437,"High","low")</f>
        <v>low</v>
      </c>
    </row>
    <row r="1126" spans="1:3">
      <c r="A1126" s="1">
        <v>8</v>
      </c>
      <c r="B1126" s="2">
        <f>Walmart_Sales_raw_data!C1126</f>
        <v>916918.7</v>
      </c>
      <c r="C1126" t="str">
        <f>IF(B1126&gt;=Walmart_Sales_raw_data!$C$6437,"High","low")</f>
        <v>low</v>
      </c>
    </row>
    <row r="1127" spans="1:3">
      <c r="A1127" s="3">
        <v>8</v>
      </c>
      <c r="B1127" s="2">
        <f>Walmart_Sales_raw_data!C1127</f>
        <v>899449.65</v>
      </c>
      <c r="C1127" t="str">
        <f>IF(B1127&gt;=Walmart_Sales_raw_data!$C$6437,"High","low")</f>
        <v>low</v>
      </c>
    </row>
    <row r="1128" spans="1:3">
      <c r="A1128" s="1">
        <v>8</v>
      </c>
      <c r="B1128" s="2">
        <f>Walmart_Sales_raw_data!C1128</f>
        <v>878298.22</v>
      </c>
      <c r="C1128" t="str">
        <f>IF(B1128&gt;=Walmart_Sales_raw_data!$C$6437,"High","low")</f>
        <v>low</v>
      </c>
    </row>
    <row r="1129" spans="1:3">
      <c r="A1129" s="3">
        <v>8</v>
      </c>
      <c r="B1129" s="2">
        <f>Walmart_Sales_raw_data!C1129</f>
        <v>936205.5</v>
      </c>
      <c r="C1129" t="str">
        <f>IF(B1129&gt;=Walmart_Sales_raw_data!$C$6437,"High","low")</f>
        <v>low</v>
      </c>
    </row>
    <row r="1130" spans="1:3">
      <c r="A1130" s="1">
        <v>8</v>
      </c>
      <c r="B1130" s="2">
        <f>Walmart_Sales_raw_data!C1130</f>
        <v>890488.01</v>
      </c>
      <c r="C1130" t="str">
        <f>IF(B1130&gt;=Walmart_Sales_raw_data!$C$6437,"High","low")</f>
        <v>low</v>
      </c>
    </row>
    <row r="1131" spans="1:3">
      <c r="A1131" s="3">
        <v>8</v>
      </c>
      <c r="B1131" s="2">
        <f>Walmart_Sales_raw_data!C1131</f>
        <v>888834.07</v>
      </c>
      <c r="C1131" t="str">
        <f>IF(B1131&gt;=Walmart_Sales_raw_data!$C$6437,"High","low")</f>
        <v>low</v>
      </c>
    </row>
    <row r="1132" spans="1:3">
      <c r="A1132" s="1">
        <v>8</v>
      </c>
      <c r="B1132" s="2">
        <f>Walmart_Sales_raw_data!C1132</f>
        <v>838227.52</v>
      </c>
      <c r="C1132" t="str">
        <f>IF(B1132&gt;=Walmart_Sales_raw_data!$C$6437,"High","low")</f>
        <v>low</v>
      </c>
    </row>
    <row r="1133" spans="1:3">
      <c r="A1133" s="3">
        <v>8</v>
      </c>
      <c r="B1133" s="2">
        <f>Walmart_Sales_raw_data!C1133</f>
        <v>897076.73</v>
      </c>
      <c r="C1133" t="str">
        <f>IF(B1133&gt;=Walmart_Sales_raw_data!$C$6437,"High","low")</f>
        <v>low</v>
      </c>
    </row>
    <row r="1134" spans="1:3">
      <c r="A1134" s="1">
        <v>8</v>
      </c>
      <c r="B1134" s="2">
        <f>Walmart_Sales_raw_data!C1134</f>
        <v>930745.69</v>
      </c>
      <c r="C1134" t="str">
        <f>IF(B1134&gt;=Walmart_Sales_raw_data!$C$6437,"High","low")</f>
        <v>low</v>
      </c>
    </row>
    <row r="1135" spans="1:3">
      <c r="A1135" s="3">
        <v>8</v>
      </c>
      <c r="B1135" s="2">
        <f>Walmart_Sales_raw_data!C1135</f>
        <v>896613.19</v>
      </c>
      <c r="C1135" t="str">
        <f>IF(B1135&gt;=Walmart_Sales_raw_data!$C$6437,"High","low")</f>
        <v>low</v>
      </c>
    </row>
    <row r="1136" spans="1:3">
      <c r="A1136" s="1">
        <v>8</v>
      </c>
      <c r="B1136" s="2">
        <f>Walmart_Sales_raw_data!C1136</f>
        <v>936373.65</v>
      </c>
      <c r="C1136" t="str">
        <f>IF(B1136&gt;=Walmart_Sales_raw_data!$C$6437,"High","low")</f>
        <v>low</v>
      </c>
    </row>
    <row r="1137" spans="1:3">
      <c r="A1137" s="3">
        <v>8</v>
      </c>
      <c r="B1137" s="2">
        <f>Walmart_Sales_raw_data!C1137</f>
        <v>976137.73</v>
      </c>
      <c r="C1137" t="str">
        <f>IF(B1137&gt;=Walmart_Sales_raw_data!$C$6437,"High","low")</f>
        <v>low</v>
      </c>
    </row>
    <row r="1138" spans="1:3">
      <c r="A1138" s="1">
        <v>8</v>
      </c>
      <c r="B1138" s="2">
        <f>Walmart_Sales_raw_data!C1138</f>
        <v>932160.37</v>
      </c>
      <c r="C1138" t="str">
        <f>IF(B1138&gt;=Walmart_Sales_raw_data!$C$6437,"High","low")</f>
        <v>low</v>
      </c>
    </row>
    <row r="1139" spans="1:3">
      <c r="A1139" s="3">
        <v>8</v>
      </c>
      <c r="B1139" s="2">
        <f>Walmart_Sales_raw_data!C1139</f>
        <v>883569.38</v>
      </c>
      <c r="C1139" t="str">
        <f>IF(B1139&gt;=Walmart_Sales_raw_data!$C$6437,"High","low")</f>
        <v>low</v>
      </c>
    </row>
    <row r="1140" spans="1:3">
      <c r="A1140" s="1">
        <v>8</v>
      </c>
      <c r="B1140" s="2">
        <f>Walmart_Sales_raw_data!C1140</f>
        <v>857796.45</v>
      </c>
      <c r="C1140" t="str">
        <f>IF(B1140&gt;=Walmart_Sales_raw_data!$C$6437,"High","low")</f>
        <v>low</v>
      </c>
    </row>
    <row r="1141" spans="1:3">
      <c r="A1141" s="3">
        <v>8</v>
      </c>
      <c r="B1141" s="2">
        <f>Walmart_Sales_raw_data!C1141</f>
        <v>884724.41</v>
      </c>
      <c r="C1141" t="str">
        <f>IF(B1141&gt;=Walmart_Sales_raw_data!$C$6437,"High","low")</f>
        <v>low</v>
      </c>
    </row>
    <row r="1142" spans="1:3">
      <c r="A1142" s="1">
        <v>8</v>
      </c>
      <c r="B1142" s="2">
        <f>Walmart_Sales_raw_data!C1142</f>
        <v>976436.02</v>
      </c>
      <c r="C1142" t="str">
        <f>IF(B1142&gt;=Walmart_Sales_raw_data!$C$6437,"High","low")</f>
        <v>low</v>
      </c>
    </row>
    <row r="1143" spans="1:3">
      <c r="A1143" s="3">
        <v>8</v>
      </c>
      <c r="B1143" s="2">
        <f>Walmart_Sales_raw_data!C1143</f>
        <v>927511.99</v>
      </c>
      <c r="C1143" t="str">
        <f>IF(B1143&gt;=Walmart_Sales_raw_data!$C$6437,"High","low")</f>
        <v>low</v>
      </c>
    </row>
    <row r="1144" spans="1:3">
      <c r="A1144" s="1">
        <v>8</v>
      </c>
      <c r="B1144" s="2">
        <f>Walmart_Sales_raw_data!C1144</f>
        <v>900309.75</v>
      </c>
      <c r="C1144" t="str">
        <f>IF(B1144&gt;=Walmart_Sales_raw_data!$C$6437,"High","low")</f>
        <v>low</v>
      </c>
    </row>
    <row r="1145" spans="1:3">
      <c r="A1145" s="3">
        <v>8</v>
      </c>
      <c r="B1145" s="2">
        <f>Walmart_Sales_raw_data!C1145</f>
        <v>891671.44</v>
      </c>
      <c r="C1145" t="str">
        <f>IF(B1145&gt;=Walmart_Sales_raw_data!$C$6437,"High","low")</f>
        <v>low</v>
      </c>
    </row>
    <row r="1146" spans="1:3">
      <c r="A1146" s="1">
        <v>9</v>
      </c>
      <c r="B1146" s="2">
        <f>Walmart_Sales_raw_data!C1146</f>
        <v>549505.55</v>
      </c>
      <c r="C1146" t="str">
        <f>IF(B1146&gt;=Walmart_Sales_raw_data!$C$6437,"High","low")</f>
        <v>low</v>
      </c>
    </row>
    <row r="1147" spans="1:3">
      <c r="A1147" s="3">
        <v>9</v>
      </c>
      <c r="B1147" s="2">
        <f>Walmart_Sales_raw_data!C1147</f>
        <v>552677.48</v>
      </c>
      <c r="C1147" t="str">
        <f>IF(B1147&gt;=Walmart_Sales_raw_data!$C$6437,"High","low")</f>
        <v>low</v>
      </c>
    </row>
    <row r="1148" spans="1:3">
      <c r="A1148" s="1">
        <v>9</v>
      </c>
      <c r="B1148" s="2">
        <f>Walmart_Sales_raw_data!C1148</f>
        <v>511327.9</v>
      </c>
      <c r="C1148" t="str">
        <f>IF(B1148&gt;=Walmart_Sales_raw_data!$C$6437,"High","low")</f>
        <v>low</v>
      </c>
    </row>
    <row r="1149" spans="1:3">
      <c r="A1149" s="3">
        <v>9</v>
      </c>
      <c r="B1149" s="2">
        <f>Walmart_Sales_raw_data!C1149</f>
        <v>473773.27</v>
      </c>
      <c r="C1149" t="str">
        <f>IF(B1149&gt;=Walmart_Sales_raw_data!$C$6437,"High","low")</f>
        <v>low</v>
      </c>
    </row>
    <row r="1150" spans="1:3">
      <c r="A1150" s="1">
        <v>9</v>
      </c>
      <c r="B1150" s="2">
        <f>Walmart_Sales_raw_data!C1150</f>
        <v>507297.88</v>
      </c>
      <c r="C1150" t="str">
        <f>IF(B1150&gt;=Walmart_Sales_raw_data!$C$6437,"High","low")</f>
        <v>low</v>
      </c>
    </row>
    <row r="1151" spans="1:3">
      <c r="A1151" s="3">
        <v>9</v>
      </c>
      <c r="B1151" s="2">
        <f>Walmart_Sales_raw_data!C1151</f>
        <v>494145.8</v>
      </c>
      <c r="C1151" t="str">
        <f>IF(B1151&gt;=Walmart_Sales_raw_data!$C$6437,"High","low")</f>
        <v>low</v>
      </c>
    </row>
    <row r="1152" spans="1:3">
      <c r="A1152" s="1">
        <v>9</v>
      </c>
      <c r="B1152" s="2">
        <f>Walmart_Sales_raw_data!C1152</f>
        <v>485744.61</v>
      </c>
      <c r="C1152" t="str">
        <f>IF(B1152&gt;=Walmart_Sales_raw_data!$C$6437,"High","low")</f>
        <v>low</v>
      </c>
    </row>
    <row r="1153" spans="1:3">
      <c r="A1153" s="3">
        <v>9</v>
      </c>
      <c r="B1153" s="2">
        <f>Walmart_Sales_raw_data!C1153</f>
        <v>484946.56</v>
      </c>
      <c r="C1153" t="str">
        <f>IF(B1153&gt;=Walmart_Sales_raw_data!$C$6437,"High","low")</f>
        <v>low</v>
      </c>
    </row>
    <row r="1154" spans="1:3">
      <c r="A1154" s="1">
        <v>9</v>
      </c>
      <c r="B1154" s="2">
        <f>Walmart_Sales_raw_data!C1154</f>
        <v>545206.32</v>
      </c>
      <c r="C1154" t="str">
        <f>IF(B1154&gt;=Walmart_Sales_raw_data!$C$6437,"High","low")</f>
        <v>low</v>
      </c>
    </row>
    <row r="1155" spans="1:3">
      <c r="A1155" s="3">
        <v>9</v>
      </c>
      <c r="B1155" s="2">
        <f>Walmart_Sales_raw_data!C1155</f>
        <v>529384.31</v>
      </c>
      <c r="C1155" t="str">
        <f>IF(B1155&gt;=Walmart_Sales_raw_data!$C$6437,"High","low")</f>
        <v>low</v>
      </c>
    </row>
    <row r="1156" spans="1:3">
      <c r="A1156" s="1">
        <v>9</v>
      </c>
      <c r="B1156" s="2">
        <f>Walmart_Sales_raw_data!C1156</f>
        <v>485764.32</v>
      </c>
      <c r="C1156" t="str">
        <f>IF(B1156&gt;=Walmart_Sales_raw_data!$C$6437,"High","low")</f>
        <v>low</v>
      </c>
    </row>
    <row r="1157" spans="1:3">
      <c r="A1157" s="3">
        <v>9</v>
      </c>
      <c r="B1157" s="2">
        <f>Walmart_Sales_raw_data!C1157</f>
        <v>488683.57</v>
      </c>
      <c r="C1157" t="str">
        <f>IF(B1157&gt;=Walmart_Sales_raw_data!$C$6437,"High","low")</f>
        <v>low</v>
      </c>
    </row>
    <row r="1158" spans="1:3">
      <c r="A1158" s="1">
        <v>9</v>
      </c>
      <c r="B1158" s="2">
        <f>Walmart_Sales_raw_data!C1158</f>
        <v>491723.42</v>
      </c>
      <c r="C1158" t="str">
        <f>IF(B1158&gt;=Walmart_Sales_raw_data!$C$6437,"High","low")</f>
        <v>low</v>
      </c>
    </row>
    <row r="1159" spans="1:3">
      <c r="A1159" s="3">
        <v>9</v>
      </c>
      <c r="B1159" s="2">
        <f>Walmart_Sales_raw_data!C1159</f>
        <v>526128.61</v>
      </c>
      <c r="C1159" t="str">
        <f>IF(B1159&gt;=Walmart_Sales_raw_data!$C$6437,"High","low")</f>
        <v>low</v>
      </c>
    </row>
    <row r="1160" spans="1:3">
      <c r="A1160" s="1">
        <v>9</v>
      </c>
      <c r="B1160" s="2">
        <f>Walmart_Sales_raw_data!C1160</f>
        <v>492792.8</v>
      </c>
      <c r="C1160" t="str">
        <f>IF(B1160&gt;=Walmart_Sales_raw_data!$C$6437,"High","low")</f>
        <v>low</v>
      </c>
    </row>
    <row r="1161" spans="1:3">
      <c r="A1161" s="3">
        <v>9</v>
      </c>
      <c r="B1161" s="2">
        <f>Walmart_Sales_raw_data!C1161</f>
        <v>506274.94</v>
      </c>
      <c r="C1161" t="str">
        <f>IF(B1161&gt;=Walmart_Sales_raw_data!$C$6437,"High","low")</f>
        <v>low</v>
      </c>
    </row>
    <row r="1162" spans="1:3">
      <c r="A1162" s="1">
        <v>9</v>
      </c>
      <c r="B1162" s="2">
        <f>Walmart_Sales_raw_data!C1162</f>
        <v>558143.53</v>
      </c>
      <c r="C1162" t="str">
        <f>IF(B1162&gt;=Walmart_Sales_raw_data!$C$6437,"High","low")</f>
        <v>low</v>
      </c>
    </row>
    <row r="1163" spans="1:3">
      <c r="A1163" s="3">
        <v>9</v>
      </c>
      <c r="B1163" s="2">
        <f>Walmart_Sales_raw_data!C1163</f>
        <v>586061.46</v>
      </c>
      <c r="C1163" t="str">
        <f>IF(B1163&gt;=Walmart_Sales_raw_data!$C$6437,"High","low")</f>
        <v>low</v>
      </c>
    </row>
    <row r="1164" spans="1:3">
      <c r="A1164" s="1">
        <v>9</v>
      </c>
      <c r="B1164" s="2">
        <f>Walmart_Sales_raw_data!C1164</f>
        <v>522715.68</v>
      </c>
      <c r="C1164" t="str">
        <f>IF(B1164&gt;=Walmart_Sales_raw_data!$C$6437,"High","low")</f>
        <v>low</v>
      </c>
    </row>
    <row r="1165" spans="1:3">
      <c r="A1165" s="3">
        <v>9</v>
      </c>
      <c r="B1165" s="2">
        <f>Walmart_Sales_raw_data!C1165</f>
        <v>513073.87</v>
      </c>
      <c r="C1165" t="str">
        <f>IF(B1165&gt;=Walmart_Sales_raw_data!$C$6437,"High","low")</f>
        <v>low</v>
      </c>
    </row>
    <row r="1166" spans="1:3">
      <c r="A1166" s="1">
        <v>9</v>
      </c>
      <c r="B1166" s="2">
        <f>Walmart_Sales_raw_data!C1166</f>
        <v>509263.28</v>
      </c>
      <c r="C1166" t="str">
        <f>IF(B1166&gt;=Walmart_Sales_raw_data!$C$6437,"High","low")</f>
        <v>low</v>
      </c>
    </row>
    <row r="1167" spans="1:3">
      <c r="A1167" s="3">
        <v>9</v>
      </c>
      <c r="B1167" s="2">
        <f>Walmart_Sales_raw_data!C1167</f>
        <v>528832.54</v>
      </c>
      <c r="C1167" t="str">
        <f>IF(B1167&gt;=Walmart_Sales_raw_data!$C$6437,"High","low")</f>
        <v>low</v>
      </c>
    </row>
    <row r="1168" spans="1:3">
      <c r="A1168" s="1">
        <v>9</v>
      </c>
      <c r="B1168" s="2">
        <f>Walmart_Sales_raw_data!C1168</f>
        <v>485389.15</v>
      </c>
      <c r="C1168" t="str">
        <f>IF(B1168&gt;=Walmart_Sales_raw_data!$C$6437,"High","low")</f>
        <v>low</v>
      </c>
    </row>
    <row r="1169" spans="1:3">
      <c r="A1169" s="3">
        <v>9</v>
      </c>
      <c r="B1169" s="2">
        <f>Walmart_Sales_raw_data!C1169</f>
        <v>474030.51</v>
      </c>
      <c r="C1169" t="str">
        <f>IF(B1169&gt;=Walmart_Sales_raw_data!$C$6437,"High","low")</f>
        <v>low</v>
      </c>
    </row>
    <row r="1170" spans="1:3">
      <c r="A1170" s="1">
        <v>9</v>
      </c>
      <c r="B1170" s="2">
        <f>Walmart_Sales_raw_data!C1170</f>
        <v>462676.5</v>
      </c>
      <c r="C1170" t="str">
        <f>IF(B1170&gt;=Walmart_Sales_raw_data!$C$6437,"High","low")</f>
        <v>low</v>
      </c>
    </row>
    <row r="1171" spans="1:3">
      <c r="A1171" s="3">
        <v>9</v>
      </c>
      <c r="B1171" s="2">
        <f>Walmart_Sales_raw_data!C1171</f>
        <v>468675.19</v>
      </c>
      <c r="C1171" t="str">
        <f>IF(B1171&gt;=Walmart_Sales_raw_data!$C$6437,"High","low")</f>
        <v>low</v>
      </c>
    </row>
    <row r="1172" spans="1:3">
      <c r="A1172" s="1">
        <v>9</v>
      </c>
      <c r="B1172" s="2">
        <f>Walmart_Sales_raw_data!C1172</f>
        <v>522815.45</v>
      </c>
      <c r="C1172" t="str">
        <f>IF(B1172&gt;=Walmart_Sales_raw_data!$C$6437,"High","low")</f>
        <v>low</v>
      </c>
    </row>
    <row r="1173" spans="1:3">
      <c r="A1173" s="3">
        <v>9</v>
      </c>
      <c r="B1173" s="2">
        <f>Walmart_Sales_raw_data!C1173</f>
        <v>481897.98</v>
      </c>
      <c r="C1173" t="str">
        <f>IF(B1173&gt;=Walmart_Sales_raw_data!$C$6437,"High","low")</f>
        <v>low</v>
      </c>
    </row>
    <row r="1174" spans="1:3">
      <c r="A1174" s="1">
        <v>9</v>
      </c>
      <c r="B1174" s="2">
        <f>Walmart_Sales_raw_data!C1174</f>
        <v>499325.38</v>
      </c>
      <c r="C1174" t="str">
        <f>IF(B1174&gt;=Walmart_Sales_raw_data!$C$6437,"High","low")</f>
        <v>low</v>
      </c>
    </row>
    <row r="1175" spans="1:3">
      <c r="A1175" s="3">
        <v>9</v>
      </c>
      <c r="B1175" s="2">
        <f>Walmart_Sales_raw_data!C1175</f>
        <v>506789.66</v>
      </c>
      <c r="C1175" t="str">
        <f>IF(B1175&gt;=Walmart_Sales_raw_data!$C$6437,"High","low")</f>
        <v>low</v>
      </c>
    </row>
    <row r="1176" spans="1:3">
      <c r="A1176" s="1">
        <v>9</v>
      </c>
      <c r="B1176" s="2">
        <f>Walmart_Sales_raw_data!C1176</f>
        <v>511049.06</v>
      </c>
      <c r="C1176" t="str">
        <f>IF(B1176&gt;=Walmart_Sales_raw_data!$C$6437,"High","low")</f>
        <v>low</v>
      </c>
    </row>
    <row r="1177" spans="1:3">
      <c r="A1177" s="3">
        <v>9</v>
      </c>
      <c r="B1177" s="2">
        <f>Walmart_Sales_raw_data!C1177</f>
        <v>484835.2</v>
      </c>
      <c r="C1177" t="str">
        <f>IF(B1177&gt;=Walmart_Sales_raw_data!$C$6437,"High","low")</f>
        <v>low</v>
      </c>
    </row>
    <row r="1178" spans="1:3">
      <c r="A1178" s="1">
        <v>9</v>
      </c>
      <c r="B1178" s="2">
        <f>Walmart_Sales_raw_data!C1178</f>
        <v>463448.59</v>
      </c>
      <c r="C1178" t="str">
        <f>IF(B1178&gt;=Walmart_Sales_raw_data!$C$6437,"High","low")</f>
        <v>low</v>
      </c>
    </row>
    <row r="1179" spans="1:3">
      <c r="A1179" s="3">
        <v>9</v>
      </c>
      <c r="B1179" s="2">
        <f>Walmart_Sales_raw_data!C1179</f>
        <v>452905.22</v>
      </c>
      <c r="C1179" t="str">
        <f>IF(B1179&gt;=Walmart_Sales_raw_data!$C$6437,"High","low")</f>
        <v>low</v>
      </c>
    </row>
    <row r="1180" spans="1:3">
      <c r="A1180" s="1">
        <v>9</v>
      </c>
      <c r="B1180" s="2">
        <f>Walmart_Sales_raw_data!C1180</f>
        <v>495692.19</v>
      </c>
      <c r="C1180" t="str">
        <f>IF(B1180&gt;=Walmart_Sales_raw_data!$C$6437,"High","low")</f>
        <v>low</v>
      </c>
    </row>
    <row r="1181" spans="1:3">
      <c r="A1181" s="3">
        <v>9</v>
      </c>
      <c r="B1181" s="2">
        <f>Walmart_Sales_raw_data!C1181</f>
        <v>505069.21</v>
      </c>
      <c r="C1181" t="str">
        <f>IF(B1181&gt;=Walmart_Sales_raw_data!$C$6437,"High","low")</f>
        <v>low</v>
      </c>
    </row>
    <row r="1182" spans="1:3">
      <c r="A1182" s="1">
        <v>9</v>
      </c>
      <c r="B1182" s="2">
        <f>Walmart_Sales_raw_data!C1182</f>
        <v>454769.68</v>
      </c>
      <c r="C1182" t="str">
        <f>IF(B1182&gt;=Walmart_Sales_raw_data!$C$6437,"High","low")</f>
        <v>low</v>
      </c>
    </row>
    <row r="1183" spans="1:3">
      <c r="A1183" s="3">
        <v>9</v>
      </c>
      <c r="B1183" s="2">
        <f>Walmart_Sales_raw_data!C1183</f>
        <v>466322.76</v>
      </c>
      <c r="C1183" t="str">
        <f>IF(B1183&gt;=Walmart_Sales_raw_data!$C$6437,"High","low")</f>
        <v>low</v>
      </c>
    </row>
    <row r="1184" spans="1:3">
      <c r="A1184" s="1">
        <v>9</v>
      </c>
      <c r="B1184" s="2">
        <f>Walmart_Sales_raw_data!C1184</f>
        <v>508801.61</v>
      </c>
      <c r="C1184" t="str">
        <f>IF(B1184&gt;=Walmart_Sales_raw_data!$C$6437,"High","low")</f>
        <v>low</v>
      </c>
    </row>
    <row r="1185" spans="1:3">
      <c r="A1185" s="3">
        <v>9</v>
      </c>
      <c r="B1185" s="2">
        <f>Walmart_Sales_raw_data!C1185</f>
        <v>517869.97</v>
      </c>
      <c r="C1185" t="str">
        <f>IF(B1185&gt;=Walmart_Sales_raw_data!$C$6437,"High","low")</f>
        <v>low</v>
      </c>
    </row>
    <row r="1186" spans="1:3">
      <c r="A1186" s="1">
        <v>9</v>
      </c>
      <c r="B1186" s="2">
        <f>Walmart_Sales_raw_data!C1186</f>
        <v>520846.68</v>
      </c>
      <c r="C1186" t="str">
        <f>IF(B1186&gt;=Walmart_Sales_raw_data!$C$6437,"High","low")</f>
        <v>low</v>
      </c>
    </row>
    <row r="1187" spans="1:3">
      <c r="A1187" s="3">
        <v>9</v>
      </c>
      <c r="B1187" s="2">
        <f>Walmart_Sales_raw_data!C1187</f>
        <v>519823.3</v>
      </c>
      <c r="C1187" t="str">
        <f>IF(B1187&gt;=Walmart_Sales_raw_data!$C$6437,"High","low")</f>
        <v>low</v>
      </c>
    </row>
    <row r="1188" spans="1:3">
      <c r="A1188" s="1">
        <v>9</v>
      </c>
      <c r="B1188" s="2">
        <f>Walmart_Sales_raw_data!C1188</f>
        <v>768070.53</v>
      </c>
      <c r="C1188" t="str">
        <f>IF(B1188&gt;=Walmart_Sales_raw_data!$C$6437,"High","low")</f>
        <v>low</v>
      </c>
    </row>
    <row r="1189" spans="1:3">
      <c r="A1189" s="3">
        <v>9</v>
      </c>
      <c r="B1189" s="2">
        <f>Walmart_Sales_raw_data!C1189</f>
        <v>578164.82</v>
      </c>
      <c r="C1189" t="str">
        <f>IF(B1189&gt;=Walmart_Sales_raw_data!$C$6437,"High","low")</f>
        <v>low</v>
      </c>
    </row>
    <row r="1190" spans="1:3">
      <c r="A1190" s="1">
        <v>9</v>
      </c>
      <c r="B1190" s="2">
        <f>Walmart_Sales_raw_data!C1190</f>
        <v>618121.82</v>
      </c>
      <c r="C1190" t="str">
        <f>IF(B1190&gt;=Walmart_Sales_raw_data!$C$6437,"High","low")</f>
        <v>low</v>
      </c>
    </row>
    <row r="1191" spans="1:3">
      <c r="A1191" s="3">
        <v>9</v>
      </c>
      <c r="B1191" s="2">
        <f>Walmart_Sales_raw_data!C1191</f>
        <v>685243.2</v>
      </c>
      <c r="C1191" t="str">
        <f>IF(B1191&gt;=Walmart_Sales_raw_data!$C$6437,"High","low")</f>
        <v>low</v>
      </c>
    </row>
    <row r="1192" spans="1:3">
      <c r="A1192" s="1">
        <v>9</v>
      </c>
      <c r="B1192" s="2">
        <f>Walmart_Sales_raw_data!C1192</f>
        <v>873347.55</v>
      </c>
      <c r="C1192" t="str">
        <f>IF(B1192&gt;=Walmart_Sales_raw_data!$C$6437,"High","low")</f>
        <v>low</v>
      </c>
    </row>
    <row r="1193" spans="1:3">
      <c r="A1193" s="3">
        <v>9</v>
      </c>
      <c r="B1193" s="2">
        <f>Walmart_Sales_raw_data!C1193</f>
        <v>459770.85</v>
      </c>
      <c r="C1193" t="str">
        <f>IF(B1193&gt;=Walmart_Sales_raw_data!$C$6437,"High","low")</f>
        <v>low</v>
      </c>
    </row>
    <row r="1194" spans="1:3">
      <c r="A1194" s="1">
        <v>9</v>
      </c>
      <c r="B1194" s="2">
        <f>Walmart_Sales_raw_data!C1194</f>
        <v>490981.78</v>
      </c>
      <c r="C1194" t="str">
        <f>IF(B1194&gt;=Walmart_Sales_raw_data!$C$6437,"High","low")</f>
        <v>low</v>
      </c>
    </row>
    <row r="1195" spans="1:3">
      <c r="A1195" s="3">
        <v>9</v>
      </c>
      <c r="B1195" s="2">
        <f>Walmart_Sales_raw_data!C1195</f>
        <v>458086.69</v>
      </c>
      <c r="C1195" t="str">
        <f>IF(B1195&gt;=Walmart_Sales_raw_data!$C$6437,"High","low")</f>
        <v>low</v>
      </c>
    </row>
    <row r="1196" spans="1:3">
      <c r="A1196" s="1">
        <v>9</v>
      </c>
      <c r="B1196" s="2">
        <f>Walmart_Sales_raw_data!C1196</f>
        <v>454021.69</v>
      </c>
      <c r="C1196" t="str">
        <f>IF(B1196&gt;=Walmart_Sales_raw_data!$C$6437,"High","low")</f>
        <v>low</v>
      </c>
    </row>
    <row r="1197" spans="1:3">
      <c r="A1197" s="3">
        <v>9</v>
      </c>
      <c r="B1197" s="2">
        <f>Walmart_Sales_raw_data!C1197</f>
        <v>463561.48</v>
      </c>
      <c r="C1197" t="str">
        <f>IF(B1197&gt;=Walmart_Sales_raw_data!$C$6437,"High","low")</f>
        <v>low</v>
      </c>
    </row>
    <row r="1198" spans="1:3">
      <c r="A1198" s="1">
        <v>9</v>
      </c>
      <c r="B1198" s="2">
        <f>Walmart_Sales_raw_data!C1198</f>
        <v>544612.28</v>
      </c>
      <c r="C1198" t="str">
        <f>IF(B1198&gt;=Walmart_Sales_raw_data!$C$6437,"High","low")</f>
        <v>low</v>
      </c>
    </row>
    <row r="1199" spans="1:3">
      <c r="A1199" s="3">
        <v>9</v>
      </c>
      <c r="B1199" s="2">
        <f>Walmart_Sales_raw_data!C1199</f>
        <v>555279.02</v>
      </c>
      <c r="C1199" t="str">
        <f>IF(B1199&gt;=Walmart_Sales_raw_data!$C$6437,"High","low")</f>
        <v>low</v>
      </c>
    </row>
    <row r="1200" spans="1:3">
      <c r="A1200" s="1">
        <v>9</v>
      </c>
      <c r="B1200" s="2">
        <f>Walmart_Sales_raw_data!C1200</f>
        <v>610985.56</v>
      </c>
      <c r="C1200" t="str">
        <f>IF(B1200&gt;=Walmart_Sales_raw_data!$C$6437,"High","low")</f>
        <v>low</v>
      </c>
    </row>
    <row r="1201" spans="1:3">
      <c r="A1201" s="3">
        <v>9</v>
      </c>
      <c r="B1201" s="2">
        <f>Walmart_Sales_raw_data!C1201</f>
        <v>513107.2</v>
      </c>
      <c r="C1201" t="str">
        <f>IF(B1201&gt;=Walmart_Sales_raw_data!$C$6437,"High","low")</f>
        <v>low</v>
      </c>
    </row>
    <row r="1202" spans="1:3">
      <c r="A1202" s="1">
        <v>9</v>
      </c>
      <c r="B1202" s="2">
        <f>Walmart_Sales_raw_data!C1202</f>
        <v>542016.18</v>
      </c>
      <c r="C1202" t="str">
        <f>IF(B1202&gt;=Walmart_Sales_raw_data!$C$6437,"High","low")</f>
        <v>low</v>
      </c>
    </row>
    <row r="1203" spans="1:3">
      <c r="A1203" s="3">
        <v>9</v>
      </c>
      <c r="B1203" s="2">
        <f>Walmart_Sales_raw_data!C1203</f>
        <v>517783.5</v>
      </c>
      <c r="C1203" t="str">
        <f>IF(B1203&gt;=Walmart_Sales_raw_data!$C$6437,"High","low")</f>
        <v>low</v>
      </c>
    </row>
    <row r="1204" spans="1:3">
      <c r="A1204" s="1">
        <v>9</v>
      </c>
      <c r="B1204" s="2">
        <f>Walmart_Sales_raw_data!C1204</f>
        <v>515226.11</v>
      </c>
      <c r="C1204" t="str">
        <f>IF(B1204&gt;=Walmart_Sales_raw_data!$C$6437,"High","low")</f>
        <v>low</v>
      </c>
    </row>
    <row r="1205" spans="1:3">
      <c r="A1205" s="3">
        <v>9</v>
      </c>
      <c r="B1205" s="2">
        <f>Walmart_Sales_raw_data!C1205</f>
        <v>497488.4</v>
      </c>
      <c r="C1205" t="str">
        <f>IF(B1205&gt;=Walmart_Sales_raw_data!$C$6437,"High","low")</f>
        <v>low</v>
      </c>
    </row>
    <row r="1206" spans="1:3">
      <c r="A1206" s="1">
        <v>9</v>
      </c>
      <c r="B1206" s="2">
        <f>Walmart_Sales_raw_data!C1206</f>
        <v>520962.14</v>
      </c>
      <c r="C1206" t="str">
        <f>IF(B1206&gt;=Walmart_Sales_raw_data!$C$6437,"High","low")</f>
        <v>low</v>
      </c>
    </row>
    <row r="1207" spans="1:3">
      <c r="A1207" s="3">
        <v>9</v>
      </c>
      <c r="B1207" s="2">
        <f>Walmart_Sales_raw_data!C1207</f>
        <v>561625.92</v>
      </c>
      <c r="C1207" t="str">
        <f>IF(B1207&gt;=Walmart_Sales_raw_data!$C$6437,"High","low")</f>
        <v>low</v>
      </c>
    </row>
    <row r="1208" spans="1:3">
      <c r="A1208" s="1">
        <v>9</v>
      </c>
      <c r="B1208" s="2">
        <f>Walmart_Sales_raw_data!C1208</f>
        <v>528420.28</v>
      </c>
      <c r="C1208" t="str">
        <f>IF(B1208&gt;=Walmart_Sales_raw_data!$C$6437,"High","low")</f>
        <v>low</v>
      </c>
    </row>
    <row r="1209" spans="1:3">
      <c r="A1209" s="3">
        <v>9</v>
      </c>
      <c r="B1209" s="2">
        <f>Walmart_Sales_raw_data!C1209</f>
        <v>549502.11</v>
      </c>
      <c r="C1209" t="str">
        <f>IF(B1209&gt;=Walmart_Sales_raw_data!$C$6437,"High","low")</f>
        <v>low</v>
      </c>
    </row>
    <row r="1210" spans="1:3">
      <c r="A1210" s="1">
        <v>9</v>
      </c>
      <c r="B1210" s="2">
        <f>Walmart_Sales_raw_data!C1210</f>
        <v>532226.2</v>
      </c>
      <c r="C1210" t="str">
        <f>IF(B1210&gt;=Walmart_Sales_raw_data!$C$6437,"High","low")</f>
        <v>low</v>
      </c>
    </row>
    <row r="1211" spans="1:3">
      <c r="A1211" s="3">
        <v>9</v>
      </c>
      <c r="B1211" s="2">
        <f>Walmart_Sales_raw_data!C1211</f>
        <v>545251.1</v>
      </c>
      <c r="C1211" t="str">
        <f>IF(B1211&gt;=Walmart_Sales_raw_data!$C$6437,"High","low")</f>
        <v>low</v>
      </c>
    </row>
    <row r="1212" spans="1:3">
      <c r="A1212" s="1">
        <v>9</v>
      </c>
      <c r="B1212" s="2">
        <f>Walmart_Sales_raw_data!C1212</f>
        <v>539126</v>
      </c>
      <c r="C1212" t="str">
        <f>IF(B1212&gt;=Walmart_Sales_raw_data!$C$6437,"High","low")</f>
        <v>low</v>
      </c>
    </row>
    <row r="1213" spans="1:3">
      <c r="A1213" s="3">
        <v>9</v>
      </c>
      <c r="B1213" s="2">
        <f>Walmart_Sales_raw_data!C1213</f>
        <v>518266.9</v>
      </c>
      <c r="C1213" t="str">
        <f>IF(B1213&gt;=Walmart_Sales_raw_data!$C$6437,"High","low")</f>
        <v>low</v>
      </c>
    </row>
    <row r="1214" spans="1:3">
      <c r="A1214" s="1">
        <v>9</v>
      </c>
      <c r="B1214" s="2">
        <f>Walmart_Sales_raw_data!C1214</f>
        <v>553834.04</v>
      </c>
      <c r="C1214" t="str">
        <f>IF(B1214&gt;=Walmart_Sales_raw_data!$C$6437,"High","low")</f>
        <v>low</v>
      </c>
    </row>
    <row r="1215" spans="1:3">
      <c r="A1215" s="3">
        <v>9</v>
      </c>
      <c r="B1215" s="2">
        <f>Walmart_Sales_raw_data!C1215</f>
        <v>587004.29</v>
      </c>
      <c r="C1215" t="str">
        <f>IF(B1215&gt;=Walmart_Sales_raw_data!$C$6437,"High","low")</f>
        <v>low</v>
      </c>
    </row>
    <row r="1216" spans="1:3">
      <c r="A1216" s="1">
        <v>9</v>
      </c>
      <c r="B1216" s="2">
        <f>Walmart_Sales_raw_data!C1216</f>
        <v>550076.32</v>
      </c>
      <c r="C1216" t="str">
        <f>IF(B1216&gt;=Walmart_Sales_raw_data!$C$6437,"High","low")</f>
        <v>low</v>
      </c>
    </row>
    <row r="1217" spans="1:3">
      <c r="A1217" s="3">
        <v>9</v>
      </c>
      <c r="B1217" s="2">
        <f>Walmart_Sales_raw_data!C1217</f>
        <v>558671.14</v>
      </c>
      <c r="C1217" t="str">
        <f>IF(B1217&gt;=Walmart_Sales_raw_data!$C$6437,"High","low")</f>
        <v>low</v>
      </c>
    </row>
    <row r="1218" spans="1:3">
      <c r="A1218" s="1">
        <v>9</v>
      </c>
      <c r="B1218" s="2">
        <f>Walmart_Sales_raw_data!C1218</f>
        <v>538745.93</v>
      </c>
      <c r="C1218" t="str">
        <f>IF(B1218&gt;=Walmart_Sales_raw_data!$C$6437,"High","low")</f>
        <v>low</v>
      </c>
    </row>
    <row r="1219" spans="1:3">
      <c r="A1219" s="3">
        <v>9</v>
      </c>
      <c r="B1219" s="2">
        <f>Walmart_Sales_raw_data!C1219</f>
        <v>537064.03</v>
      </c>
      <c r="C1219" t="str">
        <f>IF(B1219&gt;=Walmart_Sales_raw_data!$C$6437,"High","low")</f>
        <v>low</v>
      </c>
    </row>
    <row r="1220" spans="1:3">
      <c r="A1220" s="1">
        <v>9</v>
      </c>
      <c r="B1220" s="2">
        <f>Walmart_Sales_raw_data!C1220</f>
        <v>535983.13</v>
      </c>
      <c r="C1220" t="str">
        <f>IF(B1220&gt;=Walmart_Sales_raw_data!$C$6437,"High","low")</f>
        <v>low</v>
      </c>
    </row>
    <row r="1221" spans="1:3">
      <c r="A1221" s="3">
        <v>9</v>
      </c>
      <c r="B1221" s="2">
        <f>Walmart_Sales_raw_data!C1221</f>
        <v>512834.04</v>
      </c>
      <c r="C1221" t="str">
        <f>IF(B1221&gt;=Walmart_Sales_raw_data!$C$6437,"High","low")</f>
        <v>low</v>
      </c>
    </row>
    <row r="1222" spans="1:3">
      <c r="A1222" s="1">
        <v>9</v>
      </c>
      <c r="B1222" s="2">
        <f>Walmart_Sales_raw_data!C1222</f>
        <v>491449.94</v>
      </c>
      <c r="C1222" t="str">
        <f>IF(B1222&gt;=Walmart_Sales_raw_data!$C$6437,"High","low")</f>
        <v>low</v>
      </c>
    </row>
    <row r="1223" spans="1:3">
      <c r="A1223" s="3">
        <v>9</v>
      </c>
      <c r="B1223" s="2">
        <f>Walmart_Sales_raw_data!C1223</f>
        <v>471449.98</v>
      </c>
      <c r="C1223" t="str">
        <f>IF(B1223&gt;=Walmart_Sales_raw_data!$C$6437,"High","low")</f>
        <v>low</v>
      </c>
    </row>
    <row r="1224" spans="1:3">
      <c r="A1224" s="1">
        <v>9</v>
      </c>
      <c r="B1224" s="2">
        <f>Walmart_Sales_raw_data!C1224</f>
        <v>554879.67</v>
      </c>
      <c r="C1224" t="str">
        <f>IF(B1224&gt;=Walmart_Sales_raw_data!$C$6437,"High","low")</f>
        <v>low</v>
      </c>
    </row>
    <row r="1225" spans="1:3">
      <c r="A1225" s="3">
        <v>9</v>
      </c>
      <c r="B1225" s="2">
        <f>Walmart_Sales_raw_data!C1225</f>
        <v>520284.79</v>
      </c>
      <c r="C1225" t="str">
        <f>IF(B1225&gt;=Walmart_Sales_raw_data!$C$6437,"High","low")</f>
        <v>low</v>
      </c>
    </row>
    <row r="1226" spans="1:3">
      <c r="A1226" s="1">
        <v>9</v>
      </c>
      <c r="B1226" s="2">
        <f>Walmart_Sales_raw_data!C1226</f>
        <v>540819.44</v>
      </c>
      <c r="C1226" t="str">
        <f>IF(B1226&gt;=Walmart_Sales_raw_data!$C$6437,"High","low")</f>
        <v>low</v>
      </c>
    </row>
    <row r="1227" spans="1:3">
      <c r="A1227" s="3">
        <v>9</v>
      </c>
      <c r="B1227" s="2">
        <f>Walmart_Sales_raw_data!C1227</f>
        <v>542663.53</v>
      </c>
      <c r="C1227" t="str">
        <f>IF(B1227&gt;=Walmart_Sales_raw_data!$C$6437,"High","low")</f>
        <v>low</v>
      </c>
    </row>
    <row r="1228" spans="1:3">
      <c r="A1228" s="1">
        <v>9</v>
      </c>
      <c r="B1228" s="2">
        <f>Walmart_Sales_raw_data!C1228</f>
        <v>544643.33</v>
      </c>
      <c r="C1228" t="str">
        <f>IF(B1228&gt;=Walmart_Sales_raw_data!$C$6437,"High","low")</f>
        <v>low</v>
      </c>
    </row>
    <row r="1229" spans="1:3">
      <c r="A1229" s="3">
        <v>9</v>
      </c>
      <c r="B1229" s="2">
        <f>Walmart_Sales_raw_data!C1229</f>
        <v>528784.86</v>
      </c>
      <c r="C1229" t="str">
        <f>IF(B1229&gt;=Walmart_Sales_raw_data!$C$6437,"High","low")</f>
        <v>low</v>
      </c>
    </row>
    <row r="1230" spans="1:3">
      <c r="A1230" s="1">
        <v>9</v>
      </c>
      <c r="B1230" s="2">
        <f>Walmart_Sales_raw_data!C1230</f>
        <v>500274.03</v>
      </c>
      <c r="C1230" t="str">
        <f>IF(B1230&gt;=Walmart_Sales_raw_data!$C$6437,"High","low")</f>
        <v>low</v>
      </c>
    </row>
    <row r="1231" spans="1:3">
      <c r="A1231" s="3">
        <v>9</v>
      </c>
      <c r="B1231" s="2">
        <f>Walmart_Sales_raw_data!C1231</f>
        <v>506743.78</v>
      </c>
      <c r="C1231" t="str">
        <f>IF(B1231&gt;=Walmart_Sales_raw_data!$C$6437,"High","low")</f>
        <v>low</v>
      </c>
    </row>
    <row r="1232" spans="1:3">
      <c r="A1232" s="1">
        <v>9</v>
      </c>
      <c r="B1232" s="2">
        <f>Walmart_Sales_raw_data!C1232</f>
        <v>508567.04</v>
      </c>
      <c r="C1232" t="str">
        <f>IF(B1232&gt;=Walmart_Sales_raw_data!$C$6437,"High","low")</f>
        <v>low</v>
      </c>
    </row>
    <row r="1233" spans="1:3">
      <c r="A1233" s="3">
        <v>9</v>
      </c>
      <c r="B1233" s="2">
        <f>Walmart_Sales_raw_data!C1233</f>
        <v>553836.98</v>
      </c>
      <c r="C1233" t="str">
        <f>IF(B1233&gt;=Walmart_Sales_raw_data!$C$6437,"High","low")</f>
        <v>low</v>
      </c>
    </row>
    <row r="1234" spans="1:3">
      <c r="A1234" s="1">
        <v>9</v>
      </c>
      <c r="B1234" s="2">
        <f>Walmart_Sales_raw_data!C1234</f>
        <v>529515.66</v>
      </c>
      <c r="C1234" t="str">
        <f>IF(B1234&gt;=Walmart_Sales_raw_data!$C$6437,"High","low")</f>
        <v>low</v>
      </c>
    </row>
    <row r="1235" spans="1:3">
      <c r="A1235" s="3">
        <v>9</v>
      </c>
      <c r="B1235" s="2">
        <f>Walmart_Sales_raw_data!C1235</f>
        <v>557075.21</v>
      </c>
      <c r="C1235" t="str">
        <f>IF(B1235&gt;=Walmart_Sales_raw_data!$C$6437,"High","low")</f>
        <v>low</v>
      </c>
    </row>
    <row r="1236" spans="1:3">
      <c r="A1236" s="1">
        <v>9</v>
      </c>
      <c r="B1236" s="2">
        <f>Walmart_Sales_raw_data!C1236</f>
        <v>548527.49</v>
      </c>
      <c r="C1236" t="str">
        <f>IF(B1236&gt;=Walmart_Sales_raw_data!$C$6437,"High","low")</f>
        <v>low</v>
      </c>
    </row>
    <row r="1237" spans="1:3">
      <c r="A1237" s="3">
        <v>9</v>
      </c>
      <c r="B1237" s="2">
        <f>Walmart_Sales_raw_data!C1237</f>
        <v>597855.07</v>
      </c>
      <c r="C1237" t="str">
        <f>IF(B1237&gt;=Walmart_Sales_raw_data!$C$6437,"High","low")</f>
        <v>low</v>
      </c>
    </row>
    <row r="1238" spans="1:3">
      <c r="A1238" s="1">
        <v>9</v>
      </c>
      <c r="B1238" s="2">
        <f>Walmart_Sales_raw_data!C1238</f>
        <v>594574.12</v>
      </c>
      <c r="C1238" t="str">
        <f>IF(B1238&gt;=Walmart_Sales_raw_data!$C$6437,"High","low")</f>
        <v>low</v>
      </c>
    </row>
    <row r="1239" spans="1:3">
      <c r="A1239" s="3">
        <v>9</v>
      </c>
      <c r="B1239" s="2">
        <f>Walmart_Sales_raw_data!C1239</f>
        <v>542414.27</v>
      </c>
      <c r="C1239" t="str">
        <f>IF(B1239&gt;=Walmart_Sales_raw_data!$C$6437,"High","low")</f>
        <v>low</v>
      </c>
    </row>
    <row r="1240" spans="1:3">
      <c r="A1240" s="1">
        <v>9</v>
      </c>
      <c r="B1240" s="2">
        <f>Walmart_Sales_raw_data!C1240</f>
        <v>814753.5</v>
      </c>
      <c r="C1240" t="str">
        <f>IF(B1240&gt;=Walmart_Sales_raw_data!$C$6437,"High","low")</f>
        <v>low</v>
      </c>
    </row>
    <row r="1241" spans="1:3">
      <c r="A1241" s="3">
        <v>9</v>
      </c>
      <c r="B1241" s="2">
        <f>Walmart_Sales_raw_data!C1241</f>
        <v>613115.21</v>
      </c>
      <c r="C1241" t="str">
        <f>IF(B1241&gt;=Walmart_Sales_raw_data!$C$6437,"High","low")</f>
        <v>low</v>
      </c>
    </row>
    <row r="1242" spans="1:3">
      <c r="A1242" s="1">
        <v>9</v>
      </c>
      <c r="B1242" s="2">
        <f>Walmart_Sales_raw_data!C1242</f>
        <v>630327.28</v>
      </c>
      <c r="C1242" t="str">
        <f>IF(B1242&gt;=Walmart_Sales_raw_data!$C$6437,"High","low")</f>
        <v>low</v>
      </c>
    </row>
    <row r="1243" spans="1:3">
      <c r="A1243" s="3">
        <v>9</v>
      </c>
      <c r="B1243" s="2">
        <f>Walmart_Sales_raw_data!C1243</f>
        <v>705557.97</v>
      </c>
      <c r="C1243" t="str">
        <f>IF(B1243&gt;=Walmart_Sales_raw_data!$C$6437,"High","low")</f>
        <v>low</v>
      </c>
    </row>
    <row r="1244" spans="1:3">
      <c r="A1244" s="1">
        <v>9</v>
      </c>
      <c r="B1244" s="2">
        <f>Walmart_Sales_raw_data!C1244</f>
        <v>905324.68</v>
      </c>
      <c r="C1244" t="str">
        <f>IF(B1244&gt;=Walmart_Sales_raw_data!$C$6437,"High","low")</f>
        <v>low</v>
      </c>
    </row>
    <row r="1245" spans="1:3">
      <c r="A1245" s="3">
        <v>9</v>
      </c>
      <c r="B1245" s="2">
        <f>Walmart_Sales_raw_data!C1245</f>
        <v>549788.36</v>
      </c>
      <c r="C1245" t="str">
        <f>IF(B1245&gt;=Walmart_Sales_raw_data!$C$6437,"High","low")</f>
        <v>low</v>
      </c>
    </row>
    <row r="1246" spans="1:3">
      <c r="A1246" s="1">
        <v>9</v>
      </c>
      <c r="B1246" s="2">
        <f>Walmart_Sales_raw_data!C1246</f>
        <v>519585.67</v>
      </c>
      <c r="C1246" t="str">
        <f>IF(B1246&gt;=Walmart_Sales_raw_data!$C$6437,"High","low")</f>
        <v>low</v>
      </c>
    </row>
    <row r="1247" spans="1:3">
      <c r="A1247" s="3">
        <v>9</v>
      </c>
      <c r="B1247" s="2">
        <f>Walmart_Sales_raw_data!C1247</f>
        <v>474964.6</v>
      </c>
      <c r="C1247" t="str">
        <f>IF(B1247&gt;=Walmart_Sales_raw_data!$C$6437,"High","low")</f>
        <v>low</v>
      </c>
    </row>
    <row r="1248" spans="1:3">
      <c r="A1248" s="1">
        <v>9</v>
      </c>
      <c r="B1248" s="2">
        <f>Walmart_Sales_raw_data!C1248</f>
        <v>480130.04</v>
      </c>
      <c r="C1248" t="str">
        <f>IF(B1248&gt;=Walmart_Sales_raw_data!$C$6437,"High","low")</f>
        <v>low</v>
      </c>
    </row>
    <row r="1249" spans="1:3">
      <c r="A1249" s="3">
        <v>9</v>
      </c>
      <c r="B1249" s="2">
        <f>Walmart_Sales_raw_data!C1249</f>
        <v>482451.21</v>
      </c>
      <c r="C1249" t="str">
        <f>IF(B1249&gt;=Walmart_Sales_raw_data!$C$6437,"High","low")</f>
        <v>low</v>
      </c>
    </row>
    <row r="1250" spans="1:3">
      <c r="A1250" s="1">
        <v>9</v>
      </c>
      <c r="B1250" s="2">
        <f>Walmart_Sales_raw_data!C1250</f>
        <v>549967.89</v>
      </c>
      <c r="C1250" t="str">
        <f>IF(B1250&gt;=Walmart_Sales_raw_data!$C$6437,"High","low")</f>
        <v>low</v>
      </c>
    </row>
    <row r="1251" spans="1:3">
      <c r="A1251" s="3">
        <v>9</v>
      </c>
      <c r="B1251" s="2">
        <f>Walmart_Sales_raw_data!C1251</f>
        <v>609736.12</v>
      </c>
      <c r="C1251" t="str">
        <f>IF(B1251&gt;=Walmart_Sales_raw_data!$C$6437,"High","low")</f>
        <v>low</v>
      </c>
    </row>
    <row r="1252" spans="1:3">
      <c r="A1252" s="1">
        <v>9</v>
      </c>
      <c r="B1252" s="2">
        <f>Walmart_Sales_raw_data!C1252</f>
        <v>658965.05</v>
      </c>
      <c r="C1252" t="str">
        <f>IF(B1252&gt;=Walmart_Sales_raw_data!$C$6437,"High","low")</f>
        <v>low</v>
      </c>
    </row>
    <row r="1253" spans="1:3">
      <c r="A1253" s="3">
        <v>9</v>
      </c>
      <c r="B1253" s="2">
        <f>Walmart_Sales_raw_data!C1253</f>
        <v>563578.79</v>
      </c>
      <c r="C1253" t="str">
        <f>IF(B1253&gt;=Walmart_Sales_raw_data!$C$6437,"High","low")</f>
        <v>low</v>
      </c>
    </row>
    <row r="1254" spans="1:3">
      <c r="A1254" s="1">
        <v>9</v>
      </c>
      <c r="B1254" s="2">
        <f>Walmart_Sales_raw_data!C1254</f>
        <v>619498.28</v>
      </c>
      <c r="C1254" t="str">
        <f>IF(B1254&gt;=Walmart_Sales_raw_data!$C$6437,"High","low")</f>
        <v>low</v>
      </c>
    </row>
    <row r="1255" spans="1:3">
      <c r="A1255" s="3">
        <v>9</v>
      </c>
      <c r="B1255" s="2">
        <f>Walmart_Sales_raw_data!C1255</f>
        <v>574955.95</v>
      </c>
      <c r="C1255" t="str">
        <f>IF(B1255&gt;=Walmart_Sales_raw_data!$C$6437,"High","low")</f>
        <v>low</v>
      </c>
    </row>
    <row r="1256" spans="1:3">
      <c r="A1256" s="1">
        <v>9</v>
      </c>
      <c r="B1256" s="2">
        <f>Walmart_Sales_raw_data!C1256</f>
        <v>550373.57</v>
      </c>
      <c r="C1256" t="str">
        <f>IF(B1256&gt;=Walmart_Sales_raw_data!$C$6437,"High","low")</f>
        <v>low</v>
      </c>
    </row>
    <row r="1257" spans="1:3">
      <c r="A1257" s="3">
        <v>9</v>
      </c>
      <c r="B1257" s="2">
        <f>Walmart_Sales_raw_data!C1257</f>
        <v>550791.32</v>
      </c>
      <c r="C1257" t="str">
        <f>IF(B1257&gt;=Walmart_Sales_raw_data!$C$6437,"High","low")</f>
        <v>low</v>
      </c>
    </row>
    <row r="1258" spans="1:3">
      <c r="A1258" s="1">
        <v>9</v>
      </c>
      <c r="B1258" s="2">
        <f>Walmart_Sales_raw_data!C1258</f>
        <v>574985.37</v>
      </c>
      <c r="C1258" t="str">
        <f>IF(B1258&gt;=Walmart_Sales_raw_data!$C$6437,"High","low")</f>
        <v>low</v>
      </c>
    </row>
    <row r="1259" spans="1:3">
      <c r="A1259" s="3">
        <v>9</v>
      </c>
      <c r="B1259" s="2">
        <f>Walmart_Sales_raw_data!C1259</f>
        <v>677885.99</v>
      </c>
      <c r="C1259" t="str">
        <f>IF(B1259&gt;=Walmart_Sales_raw_data!$C$6437,"High","low")</f>
        <v>low</v>
      </c>
    </row>
    <row r="1260" spans="1:3">
      <c r="A1260" s="1">
        <v>9</v>
      </c>
      <c r="B1260" s="2">
        <f>Walmart_Sales_raw_data!C1260</f>
        <v>578539.86</v>
      </c>
      <c r="C1260" t="str">
        <f>IF(B1260&gt;=Walmart_Sales_raw_data!$C$6437,"High","low")</f>
        <v>low</v>
      </c>
    </row>
    <row r="1261" spans="1:3">
      <c r="A1261" s="3">
        <v>9</v>
      </c>
      <c r="B1261" s="2">
        <f>Walmart_Sales_raw_data!C1261</f>
        <v>542819.03</v>
      </c>
      <c r="C1261" t="str">
        <f>IF(B1261&gt;=Walmart_Sales_raw_data!$C$6437,"High","low")</f>
        <v>low</v>
      </c>
    </row>
    <row r="1262" spans="1:3">
      <c r="A1262" s="1">
        <v>9</v>
      </c>
      <c r="B1262" s="2">
        <f>Walmart_Sales_raw_data!C1262</f>
        <v>550414.99</v>
      </c>
      <c r="C1262" t="str">
        <f>IF(B1262&gt;=Walmart_Sales_raw_data!$C$6437,"High","low")</f>
        <v>low</v>
      </c>
    </row>
    <row r="1263" spans="1:3">
      <c r="A1263" s="3">
        <v>9</v>
      </c>
      <c r="B1263" s="2">
        <f>Walmart_Sales_raw_data!C1263</f>
        <v>586289.08</v>
      </c>
      <c r="C1263" t="str">
        <f>IF(B1263&gt;=Walmart_Sales_raw_data!$C$6437,"High","low")</f>
        <v>low</v>
      </c>
    </row>
    <row r="1264" spans="1:3">
      <c r="A1264" s="1">
        <v>9</v>
      </c>
      <c r="B1264" s="2">
        <f>Walmart_Sales_raw_data!C1264</f>
        <v>592572.3</v>
      </c>
      <c r="C1264" t="str">
        <f>IF(B1264&gt;=Walmart_Sales_raw_data!$C$6437,"High","low")</f>
        <v>low</v>
      </c>
    </row>
    <row r="1265" spans="1:3">
      <c r="A1265" s="3">
        <v>9</v>
      </c>
      <c r="B1265" s="2">
        <f>Walmart_Sales_raw_data!C1265</f>
        <v>571463.93</v>
      </c>
      <c r="C1265" t="str">
        <f>IF(B1265&gt;=Walmart_Sales_raw_data!$C$6437,"High","low")</f>
        <v>low</v>
      </c>
    </row>
    <row r="1266" spans="1:3">
      <c r="A1266" s="1">
        <v>9</v>
      </c>
      <c r="B1266" s="2">
        <f>Walmart_Sales_raw_data!C1266</f>
        <v>547226</v>
      </c>
      <c r="C1266" t="str">
        <f>IF(B1266&gt;=Walmart_Sales_raw_data!$C$6437,"High","low")</f>
        <v>low</v>
      </c>
    </row>
    <row r="1267" spans="1:3">
      <c r="A1267" s="3">
        <v>9</v>
      </c>
      <c r="B1267" s="2">
        <f>Walmart_Sales_raw_data!C1267</f>
        <v>583648.59</v>
      </c>
      <c r="C1267" t="str">
        <f>IF(B1267&gt;=Walmart_Sales_raw_data!$C$6437,"High","low")</f>
        <v>low</v>
      </c>
    </row>
    <row r="1268" spans="1:3">
      <c r="A1268" s="1">
        <v>9</v>
      </c>
      <c r="B1268" s="2">
        <f>Walmart_Sales_raw_data!C1268</f>
        <v>582525.42</v>
      </c>
      <c r="C1268" t="str">
        <f>IF(B1268&gt;=Walmart_Sales_raw_data!$C$6437,"High","low")</f>
        <v>low</v>
      </c>
    </row>
    <row r="1269" spans="1:3">
      <c r="A1269" s="3">
        <v>9</v>
      </c>
      <c r="B1269" s="2">
        <f>Walmart_Sales_raw_data!C1269</f>
        <v>564606.1</v>
      </c>
      <c r="C1269" t="str">
        <f>IF(B1269&gt;=Walmart_Sales_raw_data!$C$6437,"High","low")</f>
        <v>low</v>
      </c>
    </row>
    <row r="1270" spans="1:3">
      <c r="A1270" s="1">
        <v>9</v>
      </c>
      <c r="B1270" s="2">
        <f>Walmart_Sales_raw_data!C1270</f>
        <v>562173.12</v>
      </c>
      <c r="C1270" t="str">
        <f>IF(B1270&gt;=Walmart_Sales_raw_data!$C$6437,"High","low")</f>
        <v>low</v>
      </c>
    </row>
    <row r="1271" spans="1:3">
      <c r="A1271" s="3">
        <v>9</v>
      </c>
      <c r="B1271" s="2">
        <f>Walmart_Sales_raw_data!C1271</f>
        <v>544770.7</v>
      </c>
      <c r="C1271" t="str">
        <f>IF(B1271&gt;=Walmart_Sales_raw_data!$C$6437,"High","low")</f>
        <v>low</v>
      </c>
    </row>
    <row r="1272" spans="1:3">
      <c r="A1272" s="1">
        <v>9</v>
      </c>
      <c r="B1272" s="2">
        <f>Walmart_Sales_raw_data!C1272</f>
        <v>578790.36</v>
      </c>
      <c r="C1272" t="str">
        <f>IF(B1272&gt;=Walmart_Sales_raw_data!$C$6437,"High","low")</f>
        <v>low</v>
      </c>
    </row>
    <row r="1273" spans="1:3">
      <c r="A1273" s="3">
        <v>9</v>
      </c>
      <c r="B1273" s="2">
        <f>Walmart_Sales_raw_data!C1273</f>
        <v>536537.64</v>
      </c>
      <c r="C1273" t="str">
        <f>IF(B1273&gt;=Walmart_Sales_raw_data!$C$6437,"High","low")</f>
        <v>low</v>
      </c>
    </row>
    <row r="1274" spans="1:3">
      <c r="A1274" s="1">
        <v>9</v>
      </c>
      <c r="B1274" s="2">
        <f>Walmart_Sales_raw_data!C1274</f>
        <v>513991.57</v>
      </c>
      <c r="C1274" t="str">
        <f>IF(B1274&gt;=Walmart_Sales_raw_data!$C$6437,"High","low")</f>
        <v>low</v>
      </c>
    </row>
    <row r="1275" spans="1:3">
      <c r="A1275" s="3">
        <v>9</v>
      </c>
      <c r="B1275" s="2">
        <f>Walmart_Sales_raw_data!C1275</f>
        <v>495951</v>
      </c>
      <c r="C1275" t="str">
        <f>IF(B1275&gt;=Walmart_Sales_raw_data!$C$6437,"High","low")</f>
        <v>low</v>
      </c>
    </row>
    <row r="1276" spans="1:3">
      <c r="A1276" s="1">
        <v>9</v>
      </c>
      <c r="B1276" s="2">
        <f>Walmart_Sales_raw_data!C1276</f>
        <v>533887.54</v>
      </c>
      <c r="C1276" t="str">
        <f>IF(B1276&gt;=Walmart_Sales_raw_data!$C$6437,"High","low")</f>
        <v>low</v>
      </c>
    </row>
    <row r="1277" spans="1:3">
      <c r="A1277" s="3">
        <v>9</v>
      </c>
      <c r="B1277" s="2">
        <f>Walmart_Sales_raw_data!C1277</f>
        <v>538713.47</v>
      </c>
      <c r="C1277" t="str">
        <f>IF(B1277&gt;=Walmart_Sales_raw_data!$C$6437,"High","low")</f>
        <v>low</v>
      </c>
    </row>
    <row r="1278" spans="1:3">
      <c r="A1278" s="1">
        <v>9</v>
      </c>
      <c r="B1278" s="2">
        <f>Walmart_Sales_raw_data!C1278</f>
        <v>535153.47</v>
      </c>
      <c r="C1278" t="str">
        <f>IF(B1278&gt;=Walmart_Sales_raw_data!$C$6437,"High","low")</f>
        <v>low</v>
      </c>
    </row>
    <row r="1279" spans="1:3">
      <c r="A1279" s="3">
        <v>9</v>
      </c>
      <c r="B1279" s="2">
        <f>Walmart_Sales_raw_data!C1279</f>
        <v>572887.78</v>
      </c>
      <c r="C1279" t="str">
        <f>IF(B1279&gt;=Walmart_Sales_raw_data!$C$6437,"High","low")</f>
        <v>low</v>
      </c>
    </row>
    <row r="1280" spans="1:3">
      <c r="A1280" s="1">
        <v>9</v>
      </c>
      <c r="B1280" s="2">
        <f>Walmart_Sales_raw_data!C1280</f>
        <v>576879.15</v>
      </c>
      <c r="C1280" t="str">
        <f>IF(B1280&gt;=Walmart_Sales_raw_data!$C$6437,"High","low")</f>
        <v>low</v>
      </c>
    </row>
    <row r="1281" spans="1:3">
      <c r="A1281" s="3">
        <v>9</v>
      </c>
      <c r="B1281" s="2">
        <f>Walmart_Sales_raw_data!C1281</f>
        <v>565812.29</v>
      </c>
      <c r="C1281" t="str">
        <f>IF(B1281&gt;=Walmart_Sales_raw_data!$C$6437,"High","low")</f>
        <v>low</v>
      </c>
    </row>
    <row r="1282" spans="1:3">
      <c r="A1282" s="1">
        <v>9</v>
      </c>
      <c r="B1282" s="2">
        <f>Walmart_Sales_raw_data!C1282</f>
        <v>523427.35</v>
      </c>
      <c r="C1282" t="str">
        <f>IF(B1282&gt;=Walmart_Sales_raw_data!$C$6437,"High","low")</f>
        <v>low</v>
      </c>
    </row>
    <row r="1283" spans="1:3">
      <c r="A1283" s="3">
        <v>9</v>
      </c>
      <c r="B1283" s="2">
        <f>Walmart_Sales_raw_data!C1283</f>
        <v>533756.88</v>
      </c>
      <c r="C1283" t="str">
        <f>IF(B1283&gt;=Walmart_Sales_raw_data!$C$6437,"High","low")</f>
        <v>low</v>
      </c>
    </row>
    <row r="1284" spans="1:3">
      <c r="A1284" s="1">
        <v>9</v>
      </c>
      <c r="B1284" s="2">
        <f>Walmart_Sales_raw_data!C1284</f>
        <v>516361.06</v>
      </c>
      <c r="C1284" t="str">
        <f>IF(B1284&gt;=Walmart_Sales_raw_data!$C$6437,"High","low")</f>
        <v>low</v>
      </c>
    </row>
    <row r="1285" spans="1:3">
      <c r="A1285" s="3">
        <v>9</v>
      </c>
      <c r="B1285" s="2">
        <f>Walmart_Sales_raw_data!C1285</f>
        <v>606755.3</v>
      </c>
      <c r="C1285" t="str">
        <f>IF(B1285&gt;=Walmart_Sales_raw_data!$C$6437,"High","low")</f>
        <v>low</v>
      </c>
    </row>
    <row r="1286" spans="1:3">
      <c r="A1286" s="1">
        <v>9</v>
      </c>
      <c r="B1286" s="2">
        <f>Walmart_Sales_raw_data!C1286</f>
        <v>558464.8</v>
      </c>
      <c r="C1286" t="str">
        <f>IF(B1286&gt;=Walmart_Sales_raw_data!$C$6437,"High","low")</f>
        <v>low</v>
      </c>
    </row>
    <row r="1287" spans="1:3">
      <c r="A1287" s="3">
        <v>9</v>
      </c>
      <c r="B1287" s="2">
        <f>Walmart_Sales_raw_data!C1287</f>
        <v>542009.46</v>
      </c>
      <c r="C1287" t="str">
        <f>IF(B1287&gt;=Walmart_Sales_raw_data!$C$6437,"High","low")</f>
        <v>low</v>
      </c>
    </row>
    <row r="1288" spans="1:3">
      <c r="A1288" s="1">
        <v>9</v>
      </c>
      <c r="B1288" s="2">
        <f>Walmart_Sales_raw_data!C1288</f>
        <v>549731.49</v>
      </c>
      <c r="C1288" t="str">
        <f>IF(B1288&gt;=Walmart_Sales_raw_data!$C$6437,"High","low")</f>
        <v>low</v>
      </c>
    </row>
    <row r="1289" spans="1:3">
      <c r="A1289" s="3">
        <v>10</v>
      </c>
      <c r="B1289" s="2">
        <f>Walmart_Sales_raw_data!C1289</f>
        <v>2193048.75</v>
      </c>
      <c r="C1289" t="str">
        <f>IF(B1289&gt;=Walmart_Sales_raw_data!$C$6437,"High","low")</f>
        <v>High</v>
      </c>
    </row>
    <row r="1290" spans="1:3">
      <c r="A1290" s="1">
        <v>10</v>
      </c>
      <c r="B1290" s="2">
        <f>Walmart_Sales_raw_data!C1290</f>
        <v>2176028.52</v>
      </c>
      <c r="C1290" t="str">
        <f>IF(B1290&gt;=Walmart_Sales_raw_data!$C$6437,"High","low")</f>
        <v>High</v>
      </c>
    </row>
    <row r="1291" spans="1:3">
      <c r="A1291" s="3">
        <v>10</v>
      </c>
      <c r="B1291" s="2">
        <f>Walmart_Sales_raw_data!C1291</f>
        <v>2113432.58</v>
      </c>
      <c r="C1291" t="str">
        <f>IF(B1291&gt;=Walmart_Sales_raw_data!$C$6437,"High","low")</f>
        <v>High</v>
      </c>
    </row>
    <row r="1292" spans="1:3">
      <c r="A1292" s="1">
        <v>10</v>
      </c>
      <c r="B1292" s="2">
        <f>Walmart_Sales_raw_data!C1292</f>
        <v>2006774.96</v>
      </c>
      <c r="C1292" t="str">
        <f>IF(B1292&gt;=Walmart_Sales_raw_data!$C$6437,"High","low")</f>
        <v>High</v>
      </c>
    </row>
    <row r="1293" spans="1:3">
      <c r="A1293" s="3">
        <v>10</v>
      </c>
      <c r="B1293" s="2">
        <f>Walmart_Sales_raw_data!C1293</f>
        <v>1987090.09</v>
      </c>
      <c r="C1293" t="str">
        <f>IF(B1293&gt;=Walmart_Sales_raw_data!$C$6437,"High","low")</f>
        <v>High</v>
      </c>
    </row>
    <row r="1294" spans="1:3">
      <c r="A1294" s="1">
        <v>10</v>
      </c>
      <c r="B1294" s="2">
        <f>Walmart_Sales_raw_data!C1294</f>
        <v>1941346.13</v>
      </c>
      <c r="C1294" t="str">
        <f>IF(B1294&gt;=Walmart_Sales_raw_data!$C$6437,"High","low")</f>
        <v>High</v>
      </c>
    </row>
    <row r="1295" spans="1:3">
      <c r="A1295" s="3">
        <v>10</v>
      </c>
      <c r="B1295" s="2">
        <f>Walmart_Sales_raw_data!C1295</f>
        <v>1946875.06</v>
      </c>
      <c r="C1295" t="str">
        <f>IF(B1295&gt;=Walmart_Sales_raw_data!$C$6437,"High","low")</f>
        <v>High</v>
      </c>
    </row>
    <row r="1296" spans="1:3">
      <c r="A1296" s="1">
        <v>10</v>
      </c>
      <c r="B1296" s="2">
        <f>Walmart_Sales_raw_data!C1296</f>
        <v>1893532.46</v>
      </c>
      <c r="C1296" t="str">
        <f>IF(B1296&gt;=Walmart_Sales_raw_data!$C$6437,"High","low")</f>
        <v>High</v>
      </c>
    </row>
    <row r="1297" spans="1:3">
      <c r="A1297" s="3">
        <v>10</v>
      </c>
      <c r="B1297" s="2">
        <f>Walmart_Sales_raw_data!C1297</f>
        <v>2138651.97</v>
      </c>
      <c r="C1297" t="str">
        <f>IF(B1297&gt;=Walmart_Sales_raw_data!$C$6437,"High","low")</f>
        <v>High</v>
      </c>
    </row>
    <row r="1298" spans="1:3">
      <c r="A1298" s="1">
        <v>10</v>
      </c>
      <c r="B1298" s="2">
        <f>Walmart_Sales_raw_data!C1298</f>
        <v>2041069.37</v>
      </c>
      <c r="C1298" t="str">
        <f>IF(B1298&gt;=Walmart_Sales_raw_data!$C$6437,"High","low")</f>
        <v>High</v>
      </c>
    </row>
    <row r="1299" spans="1:3">
      <c r="A1299" s="3">
        <v>10</v>
      </c>
      <c r="B1299" s="2">
        <f>Walmart_Sales_raw_data!C1299</f>
        <v>1826241.44</v>
      </c>
      <c r="C1299" t="str">
        <f>IF(B1299&gt;=Walmart_Sales_raw_data!$C$6437,"High","low")</f>
        <v>High</v>
      </c>
    </row>
    <row r="1300" spans="1:3">
      <c r="A1300" s="1">
        <v>10</v>
      </c>
      <c r="B1300" s="2">
        <f>Walmart_Sales_raw_data!C1300</f>
        <v>1829521.83</v>
      </c>
      <c r="C1300" t="str">
        <f>IF(B1300&gt;=Walmart_Sales_raw_data!$C$6437,"High","low")</f>
        <v>High</v>
      </c>
    </row>
    <row r="1301" spans="1:3">
      <c r="A1301" s="3">
        <v>10</v>
      </c>
      <c r="B1301" s="2">
        <f>Walmart_Sales_raw_data!C1301</f>
        <v>1790694.59</v>
      </c>
      <c r="C1301" t="str">
        <f>IF(B1301&gt;=Walmart_Sales_raw_data!$C$6437,"High","low")</f>
        <v>High</v>
      </c>
    </row>
    <row r="1302" spans="1:3">
      <c r="A1302" s="1">
        <v>10</v>
      </c>
      <c r="B1302" s="2">
        <f>Walmart_Sales_raw_data!C1302</f>
        <v>1921432.16</v>
      </c>
      <c r="C1302" t="str">
        <f>IF(B1302&gt;=Walmart_Sales_raw_data!$C$6437,"High","low")</f>
        <v>High</v>
      </c>
    </row>
    <row r="1303" spans="1:3">
      <c r="A1303" s="3">
        <v>10</v>
      </c>
      <c r="B1303" s="2">
        <f>Walmart_Sales_raw_data!C1303</f>
        <v>1808056.41</v>
      </c>
      <c r="C1303" t="str">
        <f>IF(B1303&gt;=Walmart_Sales_raw_data!$C$6437,"High","low")</f>
        <v>High</v>
      </c>
    </row>
    <row r="1304" spans="1:3">
      <c r="A1304" s="1">
        <v>10</v>
      </c>
      <c r="B1304" s="2">
        <f>Walmart_Sales_raw_data!C1304</f>
        <v>1847613.58</v>
      </c>
      <c r="C1304" t="str">
        <f>IF(B1304&gt;=Walmart_Sales_raw_data!$C$6437,"High","low")</f>
        <v>High</v>
      </c>
    </row>
    <row r="1305" spans="1:3">
      <c r="A1305" s="3">
        <v>10</v>
      </c>
      <c r="B1305" s="2">
        <f>Walmart_Sales_raw_data!C1305</f>
        <v>1904618.17</v>
      </c>
      <c r="C1305" t="str">
        <f>IF(B1305&gt;=Walmart_Sales_raw_data!$C$6437,"High","low")</f>
        <v>High</v>
      </c>
    </row>
    <row r="1306" spans="1:3">
      <c r="A1306" s="1">
        <v>10</v>
      </c>
      <c r="B1306" s="2">
        <f>Walmart_Sales_raw_data!C1306</f>
        <v>1931406.28</v>
      </c>
      <c r="C1306" t="str">
        <f>IF(B1306&gt;=Walmart_Sales_raw_data!$C$6437,"High","low")</f>
        <v>High</v>
      </c>
    </row>
    <row r="1307" spans="1:3">
      <c r="A1307" s="3">
        <v>10</v>
      </c>
      <c r="B1307" s="2">
        <f>Walmart_Sales_raw_data!C1307</f>
        <v>1827521.71</v>
      </c>
      <c r="C1307" t="str">
        <f>IF(B1307&gt;=Walmart_Sales_raw_data!$C$6437,"High","low")</f>
        <v>High</v>
      </c>
    </row>
    <row r="1308" spans="1:3">
      <c r="A1308" s="1">
        <v>10</v>
      </c>
      <c r="B1308" s="2">
        <f>Walmart_Sales_raw_data!C1308</f>
        <v>1837636.24</v>
      </c>
      <c r="C1308" t="str">
        <f>IF(B1308&gt;=Walmart_Sales_raw_data!$C$6437,"High","low")</f>
        <v>High</v>
      </c>
    </row>
    <row r="1309" spans="1:3">
      <c r="A1309" s="3">
        <v>10</v>
      </c>
      <c r="B1309" s="2">
        <f>Walmart_Sales_raw_data!C1309</f>
        <v>1768172.31</v>
      </c>
      <c r="C1309" t="str">
        <f>IF(B1309&gt;=Walmart_Sales_raw_data!$C$6437,"High","low")</f>
        <v>High</v>
      </c>
    </row>
    <row r="1310" spans="1:3">
      <c r="A1310" s="1">
        <v>10</v>
      </c>
      <c r="B1310" s="2">
        <f>Walmart_Sales_raw_data!C1310</f>
        <v>1845893.87</v>
      </c>
      <c r="C1310" t="str">
        <f>IF(B1310&gt;=Walmart_Sales_raw_data!$C$6437,"High","low")</f>
        <v>High</v>
      </c>
    </row>
    <row r="1311" spans="1:3">
      <c r="A1311" s="3">
        <v>10</v>
      </c>
      <c r="B1311" s="2">
        <f>Walmart_Sales_raw_data!C1311</f>
        <v>1769793.37</v>
      </c>
      <c r="C1311" t="str">
        <f>IF(B1311&gt;=Walmart_Sales_raw_data!$C$6437,"High","low")</f>
        <v>High</v>
      </c>
    </row>
    <row r="1312" spans="1:3">
      <c r="A1312" s="1">
        <v>10</v>
      </c>
      <c r="B1312" s="2">
        <f>Walmart_Sales_raw_data!C1312</f>
        <v>1828052.47</v>
      </c>
      <c r="C1312" t="str">
        <f>IF(B1312&gt;=Walmart_Sales_raw_data!$C$6437,"High","low")</f>
        <v>High</v>
      </c>
    </row>
    <row r="1313" spans="1:3">
      <c r="A1313" s="3">
        <v>10</v>
      </c>
      <c r="B1313" s="2">
        <f>Walmart_Sales_raw_data!C1313</f>
        <v>1831676.03</v>
      </c>
      <c r="C1313" t="str">
        <f>IF(B1313&gt;=Walmart_Sales_raw_data!$C$6437,"High","low")</f>
        <v>High</v>
      </c>
    </row>
    <row r="1314" spans="1:3">
      <c r="A1314" s="1">
        <v>10</v>
      </c>
      <c r="B1314" s="2">
        <f>Walmart_Sales_raw_data!C1314</f>
        <v>1832664.03</v>
      </c>
      <c r="C1314" t="str">
        <f>IF(B1314&gt;=Walmart_Sales_raw_data!$C$6437,"High","low")</f>
        <v>High</v>
      </c>
    </row>
    <row r="1315" spans="1:3">
      <c r="A1315" s="3">
        <v>10</v>
      </c>
      <c r="B1315" s="2">
        <f>Walmart_Sales_raw_data!C1315</f>
        <v>1949236.09</v>
      </c>
      <c r="C1315" t="str">
        <f>IF(B1315&gt;=Walmart_Sales_raw_data!$C$6437,"High","low")</f>
        <v>High</v>
      </c>
    </row>
    <row r="1316" spans="1:3">
      <c r="A1316" s="1">
        <v>10</v>
      </c>
      <c r="B1316" s="2">
        <f>Walmart_Sales_raw_data!C1316</f>
        <v>1962996.7</v>
      </c>
      <c r="C1316" t="str">
        <f>IF(B1316&gt;=Walmart_Sales_raw_data!$C$6437,"High","low")</f>
        <v>High</v>
      </c>
    </row>
    <row r="1317" spans="1:3">
      <c r="A1317" s="3">
        <v>10</v>
      </c>
      <c r="B1317" s="2">
        <f>Walmart_Sales_raw_data!C1317</f>
        <v>1983190.56</v>
      </c>
      <c r="C1317" t="str">
        <f>IF(B1317&gt;=Walmart_Sales_raw_data!$C$6437,"High","low")</f>
        <v>High</v>
      </c>
    </row>
    <row r="1318" spans="1:3">
      <c r="A1318" s="1">
        <v>10</v>
      </c>
      <c r="B1318" s="2">
        <f>Walmart_Sales_raw_data!C1318</f>
        <v>1727565.42</v>
      </c>
      <c r="C1318" t="str">
        <f>IF(B1318&gt;=Walmart_Sales_raw_data!$C$6437,"High","low")</f>
        <v>High</v>
      </c>
    </row>
    <row r="1319" spans="1:3">
      <c r="A1319" s="3">
        <v>10</v>
      </c>
      <c r="B1319" s="2">
        <f>Walmart_Sales_raw_data!C1319</f>
        <v>1766331.45</v>
      </c>
      <c r="C1319" t="str">
        <f>IF(B1319&gt;=Walmart_Sales_raw_data!$C$6437,"High","low")</f>
        <v>High</v>
      </c>
    </row>
    <row r="1320" spans="1:3">
      <c r="A1320" s="1">
        <v>10</v>
      </c>
      <c r="B1320" s="2">
        <f>Walmart_Sales_raw_data!C1320</f>
        <v>1720530.23</v>
      </c>
      <c r="C1320" t="str">
        <f>IF(B1320&gt;=Walmart_Sales_raw_data!$C$6437,"High","low")</f>
        <v>High</v>
      </c>
    </row>
    <row r="1321" spans="1:3">
      <c r="A1321" s="3">
        <v>10</v>
      </c>
      <c r="B1321" s="2">
        <f>Walmart_Sales_raw_data!C1321</f>
        <v>1716755.78</v>
      </c>
      <c r="C1321" t="str">
        <f>IF(B1321&gt;=Walmart_Sales_raw_data!$C$6437,"High","low")</f>
        <v>High</v>
      </c>
    </row>
    <row r="1322" spans="1:3">
      <c r="A1322" s="1">
        <v>10</v>
      </c>
      <c r="B1322" s="2">
        <f>Walmart_Sales_raw_data!C1322</f>
        <v>1655036.75</v>
      </c>
      <c r="C1322" t="str">
        <f>IF(B1322&gt;=Walmart_Sales_raw_data!$C$6437,"High","low")</f>
        <v>High</v>
      </c>
    </row>
    <row r="1323" spans="1:3">
      <c r="A1323" s="3">
        <v>10</v>
      </c>
      <c r="B1323" s="2">
        <f>Walmart_Sales_raw_data!C1323</f>
        <v>1645892.97</v>
      </c>
      <c r="C1323" t="str">
        <f>IF(B1323&gt;=Walmart_Sales_raw_data!$C$6437,"High","low")</f>
        <v>High</v>
      </c>
    </row>
    <row r="1324" spans="1:3">
      <c r="A1324" s="1">
        <v>10</v>
      </c>
      <c r="B1324" s="2">
        <f>Walmart_Sales_raw_data!C1324</f>
        <v>1772192.42</v>
      </c>
      <c r="C1324" t="str">
        <f>IF(B1324&gt;=Walmart_Sales_raw_data!$C$6437,"High","low")</f>
        <v>High</v>
      </c>
    </row>
    <row r="1325" spans="1:3">
      <c r="A1325" s="3">
        <v>10</v>
      </c>
      <c r="B1325" s="2">
        <f>Walmart_Sales_raw_data!C1325</f>
        <v>1703850.25</v>
      </c>
      <c r="C1325" t="str">
        <f>IF(B1325&gt;=Walmart_Sales_raw_data!$C$6437,"High","low")</f>
        <v>High</v>
      </c>
    </row>
    <row r="1326" spans="1:3">
      <c r="A1326" s="1">
        <v>10</v>
      </c>
      <c r="B1326" s="2">
        <f>Walmart_Sales_raw_data!C1326</f>
        <v>1740234.06</v>
      </c>
      <c r="C1326" t="str">
        <f>IF(B1326&gt;=Walmart_Sales_raw_data!$C$6437,"High","low")</f>
        <v>High</v>
      </c>
    </row>
    <row r="1327" spans="1:3">
      <c r="A1327" s="3">
        <v>10</v>
      </c>
      <c r="B1327" s="2">
        <f>Walmart_Sales_raw_data!C1327</f>
        <v>1741308.56</v>
      </c>
      <c r="C1327" t="str">
        <f>IF(B1327&gt;=Walmart_Sales_raw_data!$C$6437,"High","low")</f>
        <v>High</v>
      </c>
    </row>
    <row r="1328" spans="1:3">
      <c r="A1328" s="1">
        <v>10</v>
      </c>
      <c r="B1328" s="2">
        <f>Walmart_Sales_raw_data!C1328</f>
        <v>1832211.96</v>
      </c>
      <c r="C1328" t="str">
        <f>IF(B1328&gt;=Walmart_Sales_raw_data!$C$6437,"High","low")</f>
        <v>High</v>
      </c>
    </row>
    <row r="1329" spans="1:3">
      <c r="A1329" s="3">
        <v>10</v>
      </c>
      <c r="B1329" s="2">
        <f>Walmart_Sales_raw_data!C1329</f>
        <v>1895901.59</v>
      </c>
      <c r="C1329" t="str">
        <f>IF(B1329&gt;=Walmart_Sales_raw_data!$C$6437,"High","low")</f>
        <v>High</v>
      </c>
    </row>
    <row r="1330" spans="1:3">
      <c r="A1330" s="1">
        <v>10</v>
      </c>
      <c r="B1330" s="2">
        <f>Walmart_Sales_raw_data!C1330</f>
        <v>1949177.13</v>
      </c>
      <c r="C1330" t="str">
        <f>IF(B1330&gt;=Walmart_Sales_raw_data!$C$6437,"High","low")</f>
        <v>High</v>
      </c>
    </row>
    <row r="1331" spans="1:3">
      <c r="A1331" s="3">
        <v>10</v>
      </c>
      <c r="B1331" s="2">
        <f>Walmart_Sales_raw_data!C1331</f>
        <v>2939946.38</v>
      </c>
      <c r="C1331" t="str">
        <f>IF(B1331&gt;=Walmart_Sales_raw_data!$C$6437,"High","low")</f>
        <v>High</v>
      </c>
    </row>
    <row r="1332" spans="1:3">
      <c r="A1332" s="1">
        <v>10</v>
      </c>
      <c r="B1332" s="2">
        <f>Walmart_Sales_raw_data!C1332</f>
        <v>2251206.64</v>
      </c>
      <c r="C1332" t="str">
        <f>IF(B1332&gt;=Walmart_Sales_raw_data!$C$6437,"High","low")</f>
        <v>High</v>
      </c>
    </row>
    <row r="1333" spans="1:3">
      <c r="A1333" s="3">
        <v>10</v>
      </c>
      <c r="B1333" s="2">
        <f>Walmart_Sales_raw_data!C1333</f>
        <v>2411790.21</v>
      </c>
      <c r="C1333" t="str">
        <f>IF(B1333&gt;=Walmart_Sales_raw_data!$C$6437,"High","low")</f>
        <v>High</v>
      </c>
    </row>
    <row r="1334" spans="1:3">
      <c r="A1334" s="1">
        <v>10</v>
      </c>
      <c r="B1334" s="2">
        <f>Walmart_Sales_raw_data!C1334</f>
        <v>2811646.85</v>
      </c>
      <c r="C1334" t="str">
        <f>IF(B1334&gt;=Walmart_Sales_raw_data!$C$6437,"High","low")</f>
        <v>High</v>
      </c>
    </row>
    <row r="1335" spans="1:3">
      <c r="A1335" s="3">
        <v>10</v>
      </c>
      <c r="B1335" s="2">
        <f>Walmart_Sales_raw_data!C1335</f>
        <v>3749057.69</v>
      </c>
      <c r="C1335" t="str">
        <f>IF(B1335&gt;=Walmart_Sales_raw_data!$C$6437,"High","low")</f>
        <v>High</v>
      </c>
    </row>
    <row r="1336" spans="1:3">
      <c r="A1336" s="1">
        <v>10</v>
      </c>
      <c r="B1336" s="2">
        <f>Walmart_Sales_raw_data!C1336</f>
        <v>1707298.14</v>
      </c>
      <c r="C1336" t="str">
        <f>IF(B1336&gt;=Walmart_Sales_raw_data!$C$6437,"High","low")</f>
        <v>High</v>
      </c>
    </row>
    <row r="1337" spans="1:3">
      <c r="A1337" s="3">
        <v>10</v>
      </c>
      <c r="B1337" s="2">
        <f>Walmart_Sales_raw_data!C1337</f>
        <v>1714309.9</v>
      </c>
      <c r="C1337" t="str">
        <f>IF(B1337&gt;=Walmart_Sales_raw_data!$C$6437,"High","low")</f>
        <v>High</v>
      </c>
    </row>
    <row r="1338" spans="1:3">
      <c r="A1338" s="1">
        <v>10</v>
      </c>
      <c r="B1338" s="2">
        <f>Walmart_Sales_raw_data!C1338</f>
        <v>1710803.59</v>
      </c>
      <c r="C1338" t="str">
        <f>IF(B1338&gt;=Walmart_Sales_raw_data!$C$6437,"High","low")</f>
        <v>High</v>
      </c>
    </row>
    <row r="1339" spans="1:3">
      <c r="A1339" s="3">
        <v>10</v>
      </c>
      <c r="B1339" s="2">
        <f>Walmart_Sales_raw_data!C1339</f>
        <v>1677556.18</v>
      </c>
      <c r="C1339" t="str">
        <f>IF(B1339&gt;=Walmart_Sales_raw_data!$C$6437,"High","low")</f>
        <v>High</v>
      </c>
    </row>
    <row r="1340" spans="1:3">
      <c r="A1340" s="1">
        <v>10</v>
      </c>
      <c r="B1340" s="2">
        <f>Walmart_Sales_raw_data!C1340</f>
        <v>1715769.05</v>
      </c>
      <c r="C1340" t="str">
        <f>IF(B1340&gt;=Walmart_Sales_raw_data!$C$6437,"High","low")</f>
        <v>High</v>
      </c>
    </row>
    <row r="1341" spans="1:3">
      <c r="A1341" s="3">
        <v>10</v>
      </c>
      <c r="B1341" s="2">
        <f>Walmart_Sales_raw_data!C1341</f>
        <v>1968045.91</v>
      </c>
      <c r="C1341" t="str">
        <f>IF(B1341&gt;=Walmart_Sales_raw_data!$C$6437,"High","low")</f>
        <v>High</v>
      </c>
    </row>
    <row r="1342" spans="1:3">
      <c r="A1342" s="1">
        <v>10</v>
      </c>
      <c r="B1342" s="2">
        <f>Walmart_Sales_raw_data!C1342</f>
        <v>2115408.31</v>
      </c>
      <c r="C1342" t="str">
        <f>IF(B1342&gt;=Walmart_Sales_raw_data!$C$6437,"High","low")</f>
        <v>High</v>
      </c>
    </row>
    <row r="1343" spans="1:3">
      <c r="A1343" s="3">
        <v>10</v>
      </c>
      <c r="B1343" s="2">
        <f>Walmart_Sales_raw_data!C1343</f>
        <v>2106934.55</v>
      </c>
      <c r="C1343" t="str">
        <f>IF(B1343&gt;=Walmart_Sales_raw_data!$C$6437,"High","low")</f>
        <v>High</v>
      </c>
    </row>
    <row r="1344" spans="1:3">
      <c r="A1344" s="1">
        <v>10</v>
      </c>
      <c r="B1344" s="2">
        <f>Walmart_Sales_raw_data!C1344</f>
        <v>1967996.71</v>
      </c>
      <c r="C1344" t="str">
        <f>IF(B1344&gt;=Walmart_Sales_raw_data!$C$6437,"High","low")</f>
        <v>High</v>
      </c>
    </row>
    <row r="1345" spans="1:3">
      <c r="A1345" s="3">
        <v>10</v>
      </c>
      <c r="B1345" s="2">
        <f>Walmart_Sales_raw_data!C1345</f>
        <v>1958003.19</v>
      </c>
      <c r="C1345" t="str">
        <f>IF(B1345&gt;=Walmart_Sales_raw_data!$C$6437,"High","low")</f>
        <v>High</v>
      </c>
    </row>
    <row r="1346" spans="1:3">
      <c r="A1346" s="1">
        <v>10</v>
      </c>
      <c r="B1346" s="2">
        <f>Walmart_Sales_raw_data!C1346</f>
        <v>1933469.15</v>
      </c>
      <c r="C1346" t="str">
        <f>IF(B1346&gt;=Walmart_Sales_raw_data!$C$6437,"High","low")</f>
        <v>High</v>
      </c>
    </row>
    <row r="1347" spans="1:3">
      <c r="A1347" s="3">
        <v>10</v>
      </c>
      <c r="B1347" s="2">
        <f>Walmart_Sales_raw_data!C1347</f>
        <v>1884734.31</v>
      </c>
      <c r="C1347" t="str">
        <f>IF(B1347&gt;=Walmart_Sales_raw_data!$C$6437,"High","low")</f>
        <v>High</v>
      </c>
    </row>
    <row r="1348" spans="1:3">
      <c r="A1348" s="1">
        <v>10</v>
      </c>
      <c r="B1348" s="2">
        <f>Walmart_Sales_raw_data!C1348</f>
        <v>1815798.85</v>
      </c>
      <c r="C1348" t="str">
        <f>IF(B1348&gt;=Walmart_Sales_raw_data!$C$6437,"High","low")</f>
        <v>High</v>
      </c>
    </row>
    <row r="1349" spans="1:3">
      <c r="A1349" s="3">
        <v>10</v>
      </c>
      <c r="B1349" s="2">
        <f>Walmart_Sales_raw_data!C1349</f>
        <v>1827733.18</v>
      </c>
      <c r="C1349" t="str">
        <f>IF(B1349&gt;=Walmart_Sales_raw_data!$C$6437,"High","low")</f>
        <v>High</v>
      </c>
    </row>
    <row r="1350" spans="1:3">
      <c r="A1350" s="1">
        <v>10</v>
      </c>
      <c r="B1350" s="2">
        <f>Walmart_Sales_raw_data!C1350</f>
        <v>1870720.73</v>
      </c>
      <c r="C1350" t="str">
        <f>IF(B1350&gt;=Walmart_Sales_raw_data!$C$6437,"High","low")</f>
        <v>High</v>
      </c>
    </row>
    <row r="1351" spans="1:3">
      <c r="A1351" s="3">
        <v>10</v>
      </c>
      <c r="B1351" s="2">
        <f>Walmart_Sales_raw_data!C1351</f>
        <v>1781767.22</v>
      </c>
      <c r="C1351" t="str">
        <f>IF(B1351&gt;=Walmart_Sales_raw_data!$C$6437,"High","low")</f>
        <v>High</v>
      </c>
    </row>
    <row r="1352" spans="1:3">
      <c r="A1352" s="1">
        <v>10</v>
      </c>
      <c r="B1352" s="2">
        <f>Walmart_Sales_raw_data!C1352</f>
        <v>2004831.14</v>
      </c>
      <c r="C1352" t="str">
        <f>IF(B1352&gt;=Walmart_Sales_raw_data!$C$6437,"High","low")</f>
        <v>High</v>
      </c>
    </row>
    <row r="1353" spans="1:3">
      <c r="A1353" s="3">
        <v>10</v>
      </c>
      <c r="B1353" s="2">
        <f>Walmart_Sales_raw_data!C1353</f>
        <v>1873646.34</v>
      </c>
      <c r="C1353" t="str">
        <f>IF(B1353&gt;=Walmart_Sales_raw_data!$C$6437,"High","low")</f>
        <v>High</v>
      </c>
    </row>
    <row r="1354" spans="1:3">
      <c r="A1354" s="1">
        <v>10</v>
      </c>
      <c r="B1354" s="2">
        <f>Walmart_Sales_raw_data!C1354</f>
        <v>1841369.99</v>
      </c>
      <c r="C1354" t="str">
        <f>IF(B1354&gt;=Walmart_Sales_raw_data!$C$6437,"High","low")</f>
        <v>High</v>
      </c>
    </row>
    <row r="1355" spans="1:3">
      <c r="A1355" s="3">
        <v>10</v>
      </c>
      <c r="B1355" s="2">
        <f>Walmart_Sales_raw_data!C1355</f>
        <v>1712995.44</v>
      </c>
      <c r="C1355" t="str">
        <f>IF(B1355&gt;=Walmart_Sales_raw_data!$C$6437,"High","low")</f>
        <v>High</v>
      </c>
    </row>
    <row r="1356" spans="1:3">
      <c r="A1356" s="1">
        <v>10</v>
      </c>
      <c r="B1356" s="2">
        <f>Walmart_Sales_raw_data!C1356</f>
        <v>1720908.01</v>
      </c>
      <c r="C1356" t="str">
        <f>IF(B1356&gt;=Walmart_Sales_raw_data!$C$6437,"High","low")</f>
        <v>High</v>
      </c>
    </row>
    <row r="1357" spans="1:3">
      <c r="A1357" s="3">
        <v>10</v>
      </c>
      <c r="B1357" s="2">
        <f>Walmart_Sales_raw_data!C1357</f>
        <v>1743000.38</v>
      </c>
      <c r="C1357" t="str">
        <f>IF(B1357&gt;=Walmart_Sales_raw_data!$C$6437,"High","low")</f>
        <v>High</v>
      </c>
    </row>
    <row r="1358" spans="1:3">
      <c r="A1358" s="1">
        <v>10</v>
      </c>
      <c r="B1358" s="2">
        <f>Walmart_Sales_raw_data!C1358</f>
        <v>1792210.89</v>
      </c>
      <c r="C1358" t="str">
        <f>IF(B1358&gt;=Walmart_Sales_raw_data!$C$6437,"High","low")</f>
        <v>High</v>
      </c>
    </row>
    <row r="1359" spans="1:3">
      <c r="A1359" s="3">
        <v>10</v>
      </c>
      <c r="B1359" s="2">
        <f>Walmart_Sales_raw_data!C1359</f>
        <v>1740063.1</v>
      </c>
      <c r="C1359" t="str">
        <f>IF(B1359&gt;=Walmart_Sales_raw_data!$C$6437,"High","low")</f>
        <v>High</v>
      </c>
    </row>
    <row r="1360" spans="1:3">
      <c r="A1360" s="1">
        <v>10</v>
      </c>
      <c r="B1360" s="2">
        <f>Walmart_Sales_raw_data!C1360</f>
        <v>1817934.76</v>
      </c>
      <c r="C1360" t="str">
        <f>IF(B1360&gt;=Walmart_Sales_raw_data!$C$6437,"High","low")</f>
        <v>High</v>
      </c>
    </row>
    <row r="1361" spans="1:3">
      <c r="A1361" s="3">
        <v>10</v>
      </c>
      <c r="B1361" s="2">
        <f>Walmart_Sales_raw_data!C1361</f>
        <v>1711813.13</v>
      </c>
      <c r="C1361" t="str">
        <f>IF(B1361&gt;=Walmart_Sales_raw_data!$C$6437,"High","low")</f>
        <v>High</v>
      </c>
    </row>
    <row r="1362" spans="1:3">
      <c r="A1362" s="1">
        <v>10</v>
      </c>
      <c r="B1362" s="2">
        <f>Walmart_Sales_raw_data!C1362</f>
        <v>1751369.75</v>
      </c>
      <c r="C1362" t="str">
        <f>IF(B1362&gt;=Walmart_Sales_raw_data!$C$6437,"High","low")</f>
        <v>High</v>
      </c>
    </row>
    <row r="1363" spans="1:3">
      <c r="A1363" s="3">
        <v>10</v>
      </c>
      <c r="B1363" s="2">
        <f>Walmart_Sales_raw_data!C1363</f>
        <v>1699708.38</v>
      </c>
      <c r="C1363" t="str">
        <f>IF(B1363&gt;=Walmart_Sales_raw_data!$C$6437,"High","low")</f>
        <v>High</v>
      </c>
    </row>
    <row r="1364" spans="1:3">
      <c r="A1364" s="1">
        <v>10</v>
      </c>
      <c r="B1364" s="2">
        <f>Walmart_Sales_raw_data!C1364</f>
        <v>1775068.4</v>
      </c>
      <c r="C1364" t="str">
        <f>IF(B1364&gt;=Walmart_Sales_raw_data!$C$6437,"High","low")</f>
        <v>High</v>
      </c>
    </row>
    <row r="1365" spans="1:3">
      <c r="A1365" s="3">
        <v>10</v>
      </c>
      <c r="B1365" s="2">
        <f>Walmart_Sales_raw_data!C1365</f>
        <v>1774342.61</v>
      </c>
      <c r="C1365" t="str">
        <f>IF(B1365&gt;=Walmart_Sales_raw_data!$C$6437,"High","low")</f>
        <v>High</v>
      </c>
    </row>
    <row r="1366" spans="1:3">
      <c r="A1366" s="1">
        <v>10</v>
      </c>
      <c r="B1366" s="2">
        <f>Walmart_Sales_raw_data!C1366</f>
        <v>1745841.33</v>
      </c>
      <c r="C1366" t="str">
        <f>IF(B1366&gt;=Walmart_Sales_raw_data!$C$6437,"High","low")</f>
        <v>High</v>
      </c>
    </row>
    <row r="1367" spans="1:3">
      <c r="A1367" s="3">
        <v>10</v>
      </c>
      <c r="B1367" s="2">
        <f>Walmart_Sales_raw_data!C1367</f>
        <v>1886299.98</v>
      </c>
      <c r="C1367" t="str">
        <f>IF(B1367&gt;=Walmart_Sales_raw_data!$C$6437,"High","low")</f>
        <v>High</v>
      </c>
    </row>
    <row r="1368" spans="1:3">
      <c r="A1368" s="1">
        <v>10</v>
      </c>
      <c r="B1368" s="2">
        <f>Walmart_Sales_raw_data!C1368</f>
        <v>1917397.63</v>
      </c>
      <c r="C1368" t="str">
        <f>IF(B1368&gt;=Walmart_Sales_raw_data!$C$6437,"High","low")</f>
        <v>High</v>
      </c>
    </row>
    <row r="1369" spans="1:3">
      <c r="A1369" s="3">
        <v>10</v>
      </c>
      <c r="B1369" s="2">
        <f>Walmart_Sales_raw_data!C1369</f>
        <v>1954849.68</v>
      </c>
      <c r="C1369" t="str">
        <f>IF(B1369&gt;=Walmart_Sales_raw_data!$C$6437,"High","low")</f>
        <v>High</v>
      </c>
    </row>
    <row r="1370" spans="1:3">
      <c r="A1370" s="1">
        <v>10</v>
      </c>
      <c r="B1370" s="2">
        <f>Walmart_Sales_raw_data!C1370</f>
        <v>1728399.07</v>
      </c>
      <c r="C1370" t="str">
        <f>IF(B1370&gt;=Walmart_Sales_raw_data!$C$6437,"High","low")</f>
        <v>High</v>
      </c>
    </row>
    <row r="1371" spans="1:3">
      <c r="A1371" s="3">
        <v>10</v>
      </c>
      <c r="B1371" s="2">
        <f>Walmart_Sales_raw_data!C1371</f>
        <v>1758587.35</v>
      </c>
      <c r="C1371" t="str">
        <f>IF(B1371&gt;=Walmart_Sales_raw_data!$C$6437,"High","low")</f>
        <v>High</v>
      </c>
    </row>
    <row r="1372" spans="1:3">
      <c r="A1372" s="1">
        <v>10</v>
      </c>
      <c r="B1372" s="2">
        <f>Walmart_Sales_raw_data!C1372</f>
        <v>1670579.82</v>
      </c>
      <c r="C1372" t="str">
        <f>IF(B1372&gt;=Walmart_Sales_raw_data!$C$6437,"High","low")</f>
        <v>High</v>
      </c>
    </row>
    <row r="1373" spans="1:3">
      <c r="A1373" s="3">
        <v>10</v>
      </c>
      <c r="B1373" s="2">
        <f>Walmart_Sales_raw_data!C1373</f>
        <v>1650894.3</v>
      </c>
      <c r="C1373" t="str">
        <f>IF(B1373&gt;=Walmart_Sales_raw_data!$C$6437,"High","low")</f>
        <v>High</v>
      </c>
    </row>
    <row r="1374" spans="1:3">
      <c r="A1374" s="1">
        <v>10</v>
      </c>
      <c r="B1374" s="2">
        <f>Walmart_Sales_raw_data!C1374</f>
        <v>1685910.53</v>
      </c>
      <c r="C1374" t="str">
        <f>IF(B1374&gt;=Walmart_Sales_raw_data!$C$6437,"High","low")</f>
        <v>High</v>
      </c>
    </row>
    <row r="1375" spans="1:3">
      <c r="A1375" s="3">
        <v>10</v>
      </c>
      <c r="B1375" s="2">
        <f>Walmart_Sales_raw_data!C1375</f>
        <v>1627707.31</v>
      </c>
      <c r="C1375" t="str">
        <f>IF(B1375&gt;=Walmart_Sales_raw_data!$C$6437,"High","low")</f>
        <v>High</v>
      </c>
    </row>
    <row r="1376" spans="1:3">
      <c r="A1376" s="1">
        <v>10</v>
      </c>
      <c r="B1376" s="2">
        <f>Walmart_Sales_raw_data!C1376</f>
        <v>1788227.6</v>
      </c>
      <c r="C1376" t="str">
        <f>IF(B1376&gt;=Walmart_Sales_raw_data!$C$6437,"High","low")</f>
        <v>High</v>
      </c>
    </row>
    <row r="1377" spans="1:3">
      <c r="A1377" s="3">
        <v>10</v>
      </c>
      <c r="B1377" s="2">
        <f>Walmart_Sales_raw_data!C1377</f>
        <v>1704753.02</v>
      </c>
      <c r="C1377" t="str">
        <f>IF(B1377&gt;=Walmart_Sales_raw_data!$C$6437,"High","low")</f>
        <v>High</v>
      </c>
    </row>
    <row r="1378" spans="1:3">
      <c r="A1378" s="1">
        <v>10</v>
      </c>
      <c r="B1378" s="2">
        <f>Walmart_Sales_raw_data!C1378</f>
        <v>1745928.56</v>
      </c>
      <c r="C1378" t="str">
        <f>IF(B1378&gt;=Walmart_Sales_raw_data!$C$6437,"High","low")</f>
        <v>High</v>
      </c>
    </row>
    <row r="1379" spans="1:3">
      <c r="A1379" s="3">
        <v>10</v>
      </c>
      <c r="B1379" s="2">
        <f>Walmart_Sales_raw_data!C1379</f>
        <v>1771792.97</v>
      </c>
      <c r="C1379" t="str">
        <f>IF(B1379&gt;=Walmart_Sales_raw_data!$C$6437,"High","low")</f>
        <v>High</v>
      </c>
    </row>
    <row r="1380" spans="1:3">
      <c r="A1380" s="1">
        <v>10</v>
      </c>
      <c r="B1380" s="2">
        <f>Walmart_Sales_raw_data!C1380</f>
        <v>1904438.59</v>
      </c>
      <c r="C1380" t="str">
        <f>IF(B1380&gt;=Walmart_Sales_raw_data!$C$6437,"High","low")</f>
        <v>High</v>
      </c>
    </row>
    <row r="1381" spans="1:3">
      <c r="A1381" s="3">
        <v>10</v>
      </c>
      <c r="B1381" s="2">
        <f>Walmart_Sales_raw_data!C1381</f>
        <v>2076570.84</v>
      </c>
      <c r="C1381" t="str">
        <f>IF(B1381&gt;=Walmart_Sales_raw_data!$C$6437,"High","low")</f>
        <v>High</v>
      </c>
    </row>
    <row r="1382" spans="1:3">
      <c r="A1382" s="1">
        <v>10</v>
      </c>
      <c r="B1382" s="2">
        <f>Walmart_Sales_raw_data!C1382</f>
        <v>1869087.85</v>
      </c>
      <c r="C1382" t="str">
        <f>IF(B1382&gt;=Walmart_Sales_raw_data!$C$6437,"High","low")</f>
        <v>High</v>
      </c>
    </row>
    <row r="1383" spans="1:3">
      <c r="A1383" s="3">
        <v>10</v>
      </c>
      <c r="B1383" s="2">
        <f>Walmart_Sales_raw_data!C1383</f>
        <v>2950198.64</v>
      </c>
      <c r="C1383" t="str">
        <f>IF(B1383&gt;=Walmart_Sales_raw_data!$C$6437,"High","low")</f>
        <v>High</v>
      </c>
    </row>
    <row r="1384" spans="1:3">
      <c r="A1384" s="1">
        <v>10</v>
      </c>
      <c r="B1384" s="2">
        <f>Walmart_Sales_raw_data!C1384</f>
        <v>2068097.18</v>
      </c>
      <c r="C1384" t="str">
        <f>IF(B1384&gt;=Walmart_Sales_raw_data!$C$6437,"High","low")</f>
        <v>High</v>
      </c>
    </row>
    <row r="1385" spans="1:3">
      <c r="A1385" s="3">
        <v>10</v>
      </c>
      <c r="B1385" s="2">
        <f>Walmart_Sales_raw_data!C1385</f>
        <v>2429310.9</v>
      </c>
      <c r="C1385" t="str">
        <f>IF(B1385&gt;=Walmart_Sales_raw_data!$C$6437,"High","low")</f>
        <v>High</v>
      </c>
    </row>
    <row r="1386" spans="1:3">
      <c r="A1386" s="1">
        <v>10</v>
      </c>
      <c r="B1386" s="2">
        <f>Walmart_Sales_raw_data!C1386</f>
        <v>2555031.18</v>
      </c>
      <c r="C1386" t="str">
        <f>IF(B1386&gt;=Walmart_Sales_raw_data!$C$6437,"High","low")</f>
        <v>High</v>
      </c>
    </row>
    <row r="1387" spans="1:3">
      <c r="A1387" s="3">
        <v>10</v>
      </c>
      <c r="B1387" s="2">
        <f>Walmart_Sales_raw_data!C1387</f>
        <v>3487986.89</v>
      </c>
      <c r="C1387" t="str">
        <f>IF(B1387&gt;=Walmart_Sales_raw_data!$C$6437,"High","low")</f>
        <v>High</v>
      </c>
    </row>
    <row r="1388" spans="1:3">
      <c r="A1388" s="1">
        <v>10</v>
      </c>
      <c r="B1388" s="2">
        <f>Walmart_Sales_raw_data!C1388</f>
        <v>1930690.37</v>
      </c>
      <c r="C1388" t="str">
        <f>IF(B1388&gt;=Walmart_Sales_raw_data!$C$6437,"High","low")</f>
        <v>High</v>
      </c>
    </row>
    <row r="1389" spans="1:3">
      <c r="A1389" s="3">
        <v>10</v>
      </c>
      <c r="B1389" s="2">
        <f>Walmart_Sales_raw_data!C1389</f>
        <v>1683401.78</v>
      </c>
      <c r="C1389" t="str">
        <f>IF(B1389&gt;=Walmart_Sales_raw_data!$C$6437,"High","low")</f>
        <v>High</v>
      </c>
    </row>
    <row r="1390" spans="1:3">
      <c r="A1390" s="1">
        <v>10</v>
      </c>
      <c r="B1390" s="2">
        <f>Walmart_Sales_raw_data!C1390</f>
        <v>1711562.73</v>
      </c>
      <c r="C1390" t="str">
        <f>IF(B1390&gt;=Walmart_Sales_raw_data!$C$6437,"High","low")</f>
        <v>High</v>
      </c>
    </row>
    <row r="1391" spans="1:3">
      <c r="A1391" s="3">
        <v>10</v>
      </c>
      <c r="B1391" s="2">
        <f>Walmart_Sales_raw_data!C1391</f>
        <v>1675562.94</v>
      </c>
      <c r="C1391" t="str">
        <f>IF(B1391&gt;=Walmart_Sales_raw_data!$C$6437,"High","low")</f>
        <v>High</v>
      </c>
    </row>
    <row r="1392" spans="1:3">
      <c r="A1392" s="1">
        <v>10</v>
      </c>
      <c r="B1392" s="2">
        <f>Walmart_Sales_raw_data!C1392</f>
        <v>1632406</v>
      </c>
      <c r="C1392" t="str">
        <f>IF(B1392&gt;=Walmart_Sales_raw_data!$C$6437,"High","low")</f>
        <v>High</v>
      </c>
    </row>
    <row r="1393" spans="1:3">
      <c r="A1393" s="3">
        <v>10</v>
      </c>
      <c r="B1393" s="2">
        <f>Walmart_Sales_raw_data!C1393</f>
        <v>1867403.01</v>
      </c>
      <c r="C1393" t="str">
        <f>IF(B1393&gt;=Walmart_Sales_raw_data!$C$6437,"High","low")</f>
        <v>High</v>
      </c>
    </row>
    <row r="1394" spans="1:3">
      <c r="A1394" s="1">
        <v>10</v>
      </c>
      <c r="B1394" s="2">
        <f>Walmart_Sales_raw_data!C1394</f>
        <v>2218595.8</v>
      </c>
      <c r="C1394" t="str">
        <f>IF(B1394&gt;=Walmart_Sales_raw_data!$C$6437,"High","low")</f>
        <v>High</v>
      </c>
    </row>
    <row r="1395" spans="1:3">
      <c r="A1395" s="3">
        <v>10</v>
      </c>
      <c r="B1395" s="2">
        <f>Walmart_Sales_raw_data!C1395</f>
        <v>2168709.76</v>
      </c>
      <c r="C1395" t="str">
        <f>IF(B1395&gt;=Walmart_Sales_raw_data!$C$6437,"High","low")</f>
        <v>High</v>
      </c>
    </row>
    <row r="1396" spans="1:3">
      <c r="A1396" s="1">
        <v>10</v>
      </c>
      <c r="B1396" s="2">
        <f>Walmart_Sales_raw_data!C1396</f>
        <v>2039415.74</v>
      </c>
      <c r="C1396" t="str">
        <f>IF(B1396&gt;=Walmart_Sales_raw_data!$C$6437,"High","low")</f>
        <v>High</v>
      </c>
    </row>
    <row r="1397" spans="1:3">
      <c r="A1397" s="3">
        <v>10</v>
      </c>
      <c r="B1397" s="2">
        <f>Walmart_Sales_raw_data!C1397</f>
        <v>1990371.02</v>
      </c>
      <c r="C1397" t="str">
        <f>IF(B1397&gt;=Walmart_Sales_raw_data!$C$6437,"High","low")</f>
        <v>High</v>
      </c>
    </row>
    <row r="1398" spans="1:3">
      <c r="A1398" s="1">
        <v>10</v>
      </c>
      <c r="B1398" s="2">
        <f>Walmart_Sales_raw_data!C1398</f>
        <v>1917483.1</v>
      </c>
      <c r="C1398" t="str">
        <f>IF(B1398&gt;=Walmart_Sales_raw_data!$C$6437,"High","low")</f>
        <v>High</v>
      </c>
    </row>
    <row r="1399" spans="1:3">
      <c r="A1399" s="3">
        <v>10</v>
      </c>
      <c r="B1399" s="2">
        <f>Walmart_Sales_raw_data!C1399</f>
        <v>1930814.66</v>
      </c>
      <c r="C1399" t="str">
        <f>IF(B1399&gt;=Walmart_Sales_raw_data!$C$6437,"High","low")</f>
        <v>High</v>
      </c>
    </row>
    <row r="1400" spans="1:3">
      <c r="A1400" s="1">
        <v>10</v>
      </c>
      <c r="B1400" s="2">
        <f>Walmart_Sales_raw_data!C1400</f>
        <v>1837457.69</v>
      </c>
      <c r="C1400" t="str">
        <f>IF(B1400&gt;=Walmart_Sales_raw_data!$C$6437,"High","low")</f>
        <v>High</v>
      </c>
    </row>
    <row r="1401" spans="1:3">
      <c r="A1401" s="3">
        <v>10</v>
      </c>
      <c r="B1401" s="2">
        <f>Walmart_Sales_raw_data!C1401</f>
        <v>1815760.42</v>
      </c>
      <c r="C1401" t="str">
        <f>IF(B1401&gt;=Walmart_Sales_raw_data!$C$6437,"High","low")</f>
        <v>High</v>
      </c>
    </row>
    <row r="1402" spans="1:3">
      <c r="A1402" s="1">
        <v>10</v>
      </c>
      <c r="B1402" s="2">
        <f>Walmart_Sales_raw_data!C1402</f>
        <v>2163384.17</v>
      </c>
      <c r="C1402" t="str">
        <f>IF(B1402&gt;=Walmart_Sales_raw_data!$C$6437,"High","low")</f>
        <v>High</v>
      </c>
    </row>
    <row r="1403" spans="1:3">
      <c r="A1403" s="3">
        <v>10</v>
      </c>
      <c r="B1403" s="2">
        <f>Walmart_Sales_raw_data!C1403</f>
        <v>1974687.51</v>
      </c>
      <c r="C1403" t="str">
        <f>IF(B1403&gt;=Walmart_Sales_raw_data!$C$6437,"High","low")</f>
        <v>High</v>
      </c>
    </row>
    <row r="1404" spans="1:3">
      <c r="A1404" s="1">
        <v>10</v>
      </c>
      <c r="B1404" s="2">
        <f>Walmart_Sales_raw_data!C1404</f>
        <v>1777166.53</v>
      </c>
      <c r="C1404" t="str">
        <f>IF(B1404&gt;=Walmart_Sales_raw_data!$C$6437,"High","low")</f>
        <v>High</v>
      </c>
    </row>
    <row r="1405" spans="1:3">
      <c r="A1405" s="3">
        <v>10</v>
      </c>
      <c r="B1405" s="2">
        <f>Walmart_Sales_raw_data!C1405</f>
        <v>1712987.56</v>
      </c>
      <c r="C1405" t="str">
        <f>IF(B1405&gt;=Walmart_Sales_raw_data!$C$6437,"High","low")</f>
        <v>High</v>
      </c>
    </row>
    <row r="1406" spans="1:3">
      <c r="A1406" s="1">
        <v>10</v>
      </c>
      <c r="B1406" s="2">
        <f>Walmart_Sales_raw_data!C1406</f>
        <v>1821364.42</v>
      </c>
      <c r="C1406" t="str">
        <f>IF(B1406&gt;=Walmart_Sales_raw_data!$C$6437,"High","low")</f>
        <v>High</v>
      </c>
    </row>
    <row r="1407" spans="1:3">
      <c r="A1407" s="3">
        <v>10</v>
      </c>
      <c r="B1407" s="2">
        <f>Walmart_Sales_raw_data!C1407</f>
        <v>1792345.3</v>
      </c>
      <c r="C1407" t="str">
        <f>IF(B1407&gt;=Walmart_Sales_raw_data!$C$6437,"High","low")</f>
        <v>High</v>
      </c>
    </row>
    <row r="1408" spans="1:3">
      <c r="A1408" s="1">
        <v>10</v>
      </c>
      <c r="B1408" s="2">
        <f>Walmart_Sales_raw_data!C1408</f>
        <v>1795152.73</v>
      </c>
      <c r="C1408" t="str">
        <f>IF(B1408&gt;=Walmart_Sales_raw_data!$C$6437,"High","low")</f>
        <v>High</v>
      </c>
    </row>
    <row r="1409" spans="1:3">
      <c r="A1409" s="3">
        <v>10</v>
      </c>
      <c r="B1409" s="2">
        <f>Walmart_Sales_raw_data!C1409</f>
        <v>1830939.1</v>
      </c>
      <c r="C1409" t="str">
        <f>IF(B1409&gt;=Walmart_Sales_raw_data!$C$6437,"High","low")</f>
        <v>High</v>
      </c>
    </row>
    <row r="1410" spans="1:3">
      <c r="A1410" s="1">
        <v>10</v>
      </c>
      <c r="B1410" s="2">
        <f>Walmart_Sales_raw_data!C1410</f>
        <v>1767471.48</v>
      </c>
      <c r="C1410" t="str">
        <f>IF(B1410&gt;=Walmart_Sales_raw_data!$C$6437,"High","low")</f>
        <v>High</v>
      </c>
    </row>
    <row r="1411" spans="1:3">
      <c r="A1411" s="3">
        <v>10</v>
      </c>
      <c r="B1411" s="2">
        <f>Walmart_Sales_raw_data!C1411</f>
        <v>1840491.41</v>
      </c>
      <c r="C1411" t="str">
        <f>IF(B1411&gt;=Walmart_Sales_raw_data!$C$6437,"High","low")</f>
        <v>High</v>
      </c>
    </row>
    <row r="1412" spans="1:3">
      <c r="A1412" s="1">
        <v>10</v>
      </c>
      <c r="B1412" s="2">
        <f>Walmart_Sales_raw_data!C1412</f>
        <v>1811562.88</v>
      </c>
      <c r="C1412" t="str">
        <f>IF(B1412&gt;=Walmart_Sales_raw_data!$C$6437,"High","low")</f>
        <v>High</v>
      </c>
    </row>
    <row r="1413" spans="1:3">
      <c r="A1413" s="3">
        <v>10</v>
      </c>
      <c r="B1413" s="2">
        <f>Walmart_Sales_raw_data!C1413</f>
        <v>1755334.18</v>
      </c>
      <c r="C1413" t="str">
        <f>IF(B1413&gt;=Walmart_Sales_raw_data!$C$6437,"High","low")</f>
        <v>High</v>
      </c>
    </row>
    <row r="1414" spans="1:3">
      <c r="A1414" s="1">
        <v>10</v>
      </c>
      <c r="B1414" s="2">
        <f>Walmart_Sales_raw_data!C1414</f>
        <v>1707481.9</v>
      </c>
      <c r="C1414" t="str">
        <f>IF(B1414&gt;=Walmart_Sales_raw_data!$C$6437,"High","low")</f>
        <v>High</v>
      </c>
    </row>
    <row r="1415" spans="1:3">
      <c r="A1415" s="3">
        <v>10</v>
      </c>
      <c r="B1415" s="2">
        <f>Walmart_Sales_raw_data!C1415</f>
        <v>1805999.79</v>
      </c>
      <c r="C1415" t="str">
        <f>IF(B1415&gt;=Walmart_Sales_raw_data!$C$6437,"High","low")</f>
        <v>High</v>
      </c>
    </row>
    <row r="1416" spans="1:3">
      <c r="A1416" s="1">
        <v>10</v>
      </c>
      <c r="B1416" s="2">
        <f>Walmart_Sales_raw_data!C1416</f>
        <v>1765571.91</v>
      </c>
      <c r="C1416" t="str">
        <f>IF(B1416&gt;=Walmart_Sales_raw_data!$C$6437,"High","low")</f>
        <v>High</v>
      </c>
    </row>
    <row r="1417" spans="1:3">
      <c r="A1417" s="3">
        <v>10</v>
      </c>
      <c r="B1417" s="2">
        <f>Walmart_Sales_raw_data!C1417</f>
        <v>1869967.03</v>
      </c>
      <c r="C1417" t="str">
        <f>IF(B1417&gt;=Walmart_Sales_raw_data!$C$6437,"High","low")</f>
        <v>High</v>
      </c>
    </row>
    <row r="1418" spans="1:3">
      <c r="A1418" s="1">
        <v>10</v>
      </c>
      <c r="B1418" s="2">
        <f>Walmart_Sales_raw_data!C1418</f>
        <v>1817603.66</v>
      </c>
      <c r="C1418" t="str">
        <f>IF(B1418&gt;=Walmart_Sales_raw_data!$C$6437,"High","low")</f>
        <v>High</v>
      </c>
    </row>
    <row r="1419" spans="1:3">
      <c r="A1419" s="3">
        <v>10</v>
      </c>
      <c r="B1419" s="2">
        <f>Walmart_Sales_raw_data!C1419</f>
        <v>1939440.09</v>
      </c>
      <c r="C1419" t="str">
        <f>IF(B1419&gt;=Walmart_Sales_raw_data!$C$6437,"High","low")</f>
        <v>High</v>
      </c>
    </row>
    <row r="1420" spans="1:3">
      <c r="A1420" s="1">
        <v>10</v>
      </c>
      <c r="B1420" s="2">
        <f>Walmart_Sales_raw_data!C1420</f>
        <v>1880436.94</v>
      </c>
      <c r="C1420" t="str">
        <f>IF(B1420&gt;=Walmart_Sales_raw_data!$C$6437,"High","low")</f>
        <v>High</v>
      </c>
    </row>
    <row r="1421" spans="1:3">
      <c r="A1421" s="3">
        <v>10</v>
      </c>
      <c r="B1421" s="2">
        <f>Walmart_Sales_raw_data!C1421</f>
        <v>1827797.4</v>
      </c>
      <c r="C1421" t="str">
        <f>IF(B1421&gt;=Walmart_Sales_raw_data!$C$6437,"High","low")</f>
        <v>High</v>
      </c>
    </row>
    <row r="1422" spans="1:3">
      <c r="A1422" s="1">
        <v>10</v>
      </c>
      <c r="B1422" s="2">
        <f>Walmart_Sales_raw_data!C1422</f>
        <v>1764984.15</v>
      </c>
      <c r="C1422" t="str">
        <f>IF(B1422&gt;=Walmart_Sales_raw_data!$C$6437,"High","low")</f>
        <v>High</v>
      </c>
    </row>
    <row r="1423" spans="1:3">
      <c r="A1423" s="3">
        <v>10</v>
      </c>
      <c r="B1423" s="2">
        <f>Walmart_Sales_raw_data!C1423</f>
        <v>1650285.54</v>
      </c>
      <c r="C1423" t="str">
        <f>IF(B1423&gt;=Walmart_Sales_raw_data!$C$6437,"High","low")</f>
        <v>High</v>
      </c>
    </row>
    <row r="1424" spans="1:3">
      <c r="A1424" s="1">
        <v>10</v>
      </c>
      <c r="B1424" s="2">
        <f>Walmart_Sales_raw_data!C1424</f>
        <v>1708283.28</v>
      </c>
      <c r="C1424" t="str">
        <f>IF(B1424&gt;=Walmart_Sales_raw_data!$C$6437,"High","low")</f>
        <v>High</v>
      </c>
    </row>
    <row r="1425" spans="1:3">
      <c r="A1425" s="3">
        <v>10</v>
      </c>
      <c r="B1425" s="2">
        <f>Walmart_Sales_raw_data!C1425</f>
        <v>1640168.99</v>
      </c>
      <c r="C1425" t="str">
        <f>IF(B1425&gt;=Walmart_Sales_raw_data!$C$6437,"High","low")</f>
        <v>High</v>
      </c>
    </row>
    <row r="1426" spans="1:3">
      <c r="A1426" s="1">
        <v>10</v>
      </c>
      <c r="B1426" s="2">
        <f>Walmart_Sales_raw_data!C1426</f>
        <v>1671857.57</v>
      </c>
      <c r="C1426" t="str">
        <f>IF(B1426&gt;=Walmart_Sales_raw_data!$C$6437,"High","low")</f>
        <v>High</v>
      </c>
    </row>
    <row r="1427" spans="1:3">
      <c r="A1427" s="3">
        <v>10</v>
      </c>
      <c r="B1427" s="2">
        <f>Walmart_Sales_raw_data!C1427</f>
        <v>1694862.41</v>
      </c>
      <c r="C1427" t="str">
        <f>IF(B1427&gt;=Walmart_Sales_raw_data!$C$6437,"High","low")</f>
        <v>High</v>
      </c>
    </row>
    <row r="1428" spans="1:3">
      <c r="A1428" s="1">
        <v>10</v>
      </c>
      <c r="B1428" s="2">
        <f>Walmart_Sales_raw_data!C1428</f>
        <v>1758971.38</v>
      </c>
      <c r="C1428" t="str">
        <f>IF(B1428&gt;=Walmart_Sales_raw_data!$C$6437,"High","low")</f>
        <v>High</v>
      </c>
    </row>
    <row r="1429" spans="1:3">
      <c r="A1429" s="3">
        <v>10</v>
      </c>
      <c r="B1429" s="2">
        <f>Walmart_Sales_raw_data!C1429</f>
        <v>1713889.11</v>
      </c>
      <c r="C1429" t="str">
        <f>IF(B1429&gt;=Walmart_Sales_raw_data!$C$6437,"High","low")</f>
        <v>High</v>
      </c>
    </row>
    <row r="1430" spans="1:3">
      <c r="A1430" s="1">
        <v>10</v>
      </c>
      <c r="B1430" s="2">
        <f>Walmart_Sales_raw_data!C1430</f>
        <v>1734834.82</v>
      </c>
      <c r="C1430" t="str">
        <f>IF(B1430&gt;=Walmart_Sales_raw_data!$C$6437,"High","low")</f>
        <v>High</v>
      </c>
    </row>
    <row r="1431" spans="1:3">
      <c r="A1431" s="3">
        <v>10</v>
      </c>
      <c r="B1431" s="2">
        <f>Walmart_Sales_raw_data!C1431</f>
        <v>1744349.05</v>
      </c>
      <c r="C1431" t="str">
        <f>IF(B1431&gt;=Walmart_Sales_raw_data!$C$6437,"High","low")</f>
        <v>High</v>
      </c>
    </row>
    <row r="1432" spans="1:3">
      <c r="A1432" s="1">
        <v>11</v>
      </c>
      <c r="B1432" s="2">
        <f>Walmart_Sales_raw_data!C1432</f>
        <v>1528008.64</v>
      </c>
      <c r="C1432" t="str">
        <f>IF(B1432&gt;=Walmart_Sales_raw_data!$C$6437,"High","low")</f>
        <v>High</v>
      </c>
    </row>
    <row r="1433" spans="1:3">
      <c r="A1433" s="3">
        <v>11</v>
      </c>
      <c r="B1433" s="2">
        <f>Walmart_Sales_raw_data!C1433</f>
        <v>1574684.08</v>
      </c>
      <c r="C1433" t="str">
        <f>IF(B1433&gt;=Walmart_Sales_raw_data!$C$6437,"High","low")</f>
        <v>High</v>
      </c>
    </row>
    <row r="1434" spans="1:3">
      <c r="A1434" s="1">
        <v>11</v>
      </c>
      <c r="B1434" s="2">
        <f>Walmart_Sales_raw_data!C1434</f>
        <v>1503298.7</v>
      </c>
      <c r="C1434" t="str">
        <f>IF(B1434&gt;=Walmart_Sales_raw_data!$C$6437,"High","low")</f>
        <v>High</v>
      </c>
    </row>
    <row r="1435" spans="1:3">
      <c r="A1435" s="3">
        <v>11</v>
      </c>
      <c r="B1435" s="2">
        <f>Walmart_Sales_raw_data!C1435</f>
        <v>1336404.65</v>
      </c>
      <c r="C1435" t="str">
        <f>IF(B1435&gt;=Walmart_Sales_raw_data!$C$6437,"High","low")</f>
        <v>High</v>
      </c>
    </row>
    <row r="1436" spans="1:3">
      <c r="A1436" s="1">
        <v>11</v>
      </c>
      <c r="B1436" s="2">
        <f>Walmart_Sales_raw_data!C1436</f>
        <v>1426622.65</v>
      </c>
      <c r="C1436" t="str">
        <f>IF(B1436&gt;=Walmart_Sales_raw_data!$C$6437,"High","low")</f>
        <v>High</v>
      </c>
    </row>
    <row r="1437" spans="1:3">
      <c r="A1437" s="3">
        <v>11</v>
      </c>
      <c r="B1437" s="2">
        <f>Walmart_Sales_raw_data!C1437</f>
        <v>1331883.16</v>
      </c>
      <c r="C1437" t="str">
        <f>IF(B1437&gt;=Walmart_Sales_raw_data!$C$6437,"High","low")</f>
        <v>High</v>
      </c>
    </row>
    <row r="1438" spans="1:3">
      <c r="A1438" s="1">
        <v>11</v>
      </c>
      <c r="B1438" s="2">
        <f>Walmart_Sales_raw_data!C1438</f>
        <v>1364207</v>
      </c>
      <c r="C1438" t="str">
        <f>IF(B1438&gt;=Walmart_Sales_raw_data!$C$6437,"High","low")</f>
        <v>High</v>
      </c>
    </row>
    <row r="1439" spans="1:3">
      <c r="A1439" s="3">
        <v>11</v>
      </c>
      <c r="B1439" s="2">
        <f>Walmart_Sales_raw_data!C1439</f>
        <v>1245624.27</v>
      </c>
      <c r="C1439" t="str">
        <f>IF(B1439&gt;=Walmart_Sales_raw_data!$C$6437,"High","low")</f>
        <v>High</v>
      </c>
    </row>
    <row r="1440" spans="1:3">
      <c r="A1440" s="1">
        <v>11</v>
      </c>
      <c r="B1440" s="2">
        <f>Walmart_Sales_raw_data!C1440</f>
        <v>1446210.26</v>
      </c>
      <c r="C1440" t="str">
        <f>IF(B1440&gt;=Walmart_Sales_raw_data!$C$6437,"High","low")</f>
        <v>High</v>
      </c>
    </row>
    <row r="1441" spans="1:3">
      <c r="A1441" s="3">
        <v>11</v>
      </c>
      <c r="B1441" s="2">
        <f>Walmart_Sales_raw_data!C1441</f>
        <v>1470308.32</v>
      </c>
      <c r="C1441" t="str">
        <f>IF(B1441&gt;=Walmart_Sales_raw_data!$C$6437,"High","low")</f>
        <v>High</v>
      </c>
    </row>
    <row r="1442" spans="1:3">
      <c r="A1442" s="1">
        <v>11</v>
      </c>
      <c r="B1442" s="2">
        <f>Walmart_Sales_raw_data!C1442</f>
        <v>1323243.35</v>
      </c>
      <c r="C1442" t="str">
        <f>IF(B1442&gt;=Walmart_Sales_raw_data!$C$6437,"High","low")</f>
        <v>High</v>
      </c>
    </row>
    <row r="1443" spans="1:3">
      <c r="A1443" s="3">
        <v>11</v>
      </c>
      <c r="B1443" s="2">
        <f>Walmart_Sales_raw_data!C1443</f>
        <v>1283766.55</v>
      </c>
      <c r="C1443" t="str">
        <f>IF(B1443&gt;=Walmart_Sales_raw_data!$C$6437,"High","low")</f>
        <v>High</v>
      </c>
    </row>
    <row r="1444" spans="1:3">
      <c r="A1444" s="1">
        <v>11</v>
      </c>
      <c r="B1444" s="2">
        <f>Walmart_Sales_raw_data!C1444</f>
        <v>1239766.89</v>
      </c>
      <c r="C1444" t="str">
        <f>IF(B1444&gt;=Walmart_Sales_raw_data!$C$6437,"High","low")</f>
        <v>High</v>
      </c>
    </row>
    <row r="1445" spans="1:3">
      <c r="A1445" s="3">
        <v>11</v>
      </c>
      <c r="B1445" s="2">
        <f>Walmart_Sales_raw_data!C1445</f>
        <v>1312329.78</v>
      </c>
      <c r="C1445" t="str">
        <f>IF(B1445&gt;=Walmart_Sales_raw_data!$C$6437,"High","low")</f>
        <v>High</v>
      </c>
    </row>
    <row r="1446" spans="1:3">
      <c r="A1446" s="1">
        <v>11</v>
      </c>
      <c r="B1446" s="2">
        <f>Walmart_Sales_raw_data!C1446</f>
        <v>1266796.13</v>
      </c>
      <c r="C1446" t="str">
        <f>IF(B1446&gt;=Walmart_Sales_raw_data!$C$6437,"High","low")</f>
        <v>High</v>
      </c>
    </row>
    <row r="1447" spans="1:3">
      <c r="A1447" s="3">
        <v>11</v>
      </c>
      <c r="B1447" s="2">
        <f>Walmart_Sales_raw_data!C1447</f>
        <v>1271646.62</v>
      </c>
      <c r="C1447" t="str">
        <f>IF(B1447&gt;=Walmart_Sales_raw_data!$C$6437,"High","low")</f>
        <v>High</v>
      </c>
    </row>
    <row r="1448" spans="1:3">
      <c r="A1448" s="1">
        <v>11</v>
      </c>
      <c r="B1448" s="2">
        <f>Walmart_Sales_raw_data!C1448</f>
        <v>1264272.52</v>
      </c>
      <c r="C1448" t="str">
        <f>IF(B1448&gt;=Walmart_Sales_raw_data!$C$6437,"High","low")</f>
        <v>High</v>
      </c>
    </row>
    <row r="1449" spans="1:3">
      <c r="A1449" s="3">
        <v>11</v>
      </c>
      <c r="B1449" s="2">
        <f>Walmart_Sales_raw_data!C1449</f>
        <v>1396322.19</v>
      </c>
      <c r="C1449" t="str">
        <f>IF(B1449&gt;=Walmart_Sales_raw_data!$C$6437,"High","low")</f>
        <v>High</v>
      </c>
    </row>
    <row r="1450" spans="1:3">
      <c r="A1450" s="1">
        <v>11</v>
      </c>
      <c r="B1450" s="2">
        <f>Walmart_Sales_raw_data!C1450</f>
        <v>1339570.85</v>
      </c>
      <c r="C1450" t="str">
        <f>IF(B1450&gt;=Walmart_Sales_raw_data!$C$6437,"High","low")</f>
        <v>High</v>
      </c>
    </row>
    <row r="1451" spans="1:3">
      <c r="A1451" s="3">
        <v>11</v>
      </c>
      <c r="B1451" s="2">
        <f>Walmart_Sales_raw_data!C1451</f>
        <v>1336522.92</v>
      </c>
      <c r="C1451" t="str">
        <f>IF(B1451&gt;=Walmart_Sales_raw_data!$C$6437,"High","low")</f>
        <v>High</v>
      </c>
    </row>
    <row r="1452" spans="1:3">
      <c r="A1452" s="1">
        <v>11</v>
      </c>
      <c r="B1452" s="2">
        <f>Walmart_Sales_raw_data!C1452</f>
        <v>1262025.08</v>
      </c>
      <c r="C1452" t="str">
        <f>IF(B1452&gt;=Walmart_Sales_raw_data!$C$6437,"High","low")</f>
        <v>High</v>
      </c>
    </row>
    <row r="1453" spans="1:3">
      <c r="A1453" s="3">
        <v>11</v>
      </c>
      <c r="B1453" s="2">
        <f>Walmart_Sales_raw_data!C1453</f>
        <v>1302600.14</v>
      </c>
      <c r="C1453" t="str">
        <f>IF(B1453&gt;=Walmart_Sales_raw_data!$C$6437,"High","low")</f>
        <v>High</v>
      </c>
    </row>
    <row r="1454" spans="1:3">
      <c r="A1454" s="1">
        <v>11</v>
      </c>
      <c r="B1454" s="2">
        <f>Walmart_Sales_raw_data!C1454</f>
        <v>1280156.47</v>
      </c>
      <c r="C1454" t="str">
        <f>IF(B1454&gt;=Walmart_Sales_raw_data!$C$6437,"High","low")</f>
        <v>High</v>
      </c>
    </row>
    <row r="1455" spans="1:3">
      <c r="A1455" s="3">
        <v>11</v>
      </c>
      <c r="B1455" s="2">
        <f>Walmart_Sales_raw_data!C1455</f>
        <v>1290609.54</v>
      </c>
      <c r="C1455" t="str">
        <f>IF(B1455&gt;=Walmart_Sales_raw_data!$C$6437,"High","low")</f>
        <v>High</v>
      </c>
    </row>
    <row r="1456" spans="1:3">
      <c r="A1456" s="1">
        <v>11</v>
      </c>
      <c r="B1456" s="2">
        <f>Walmart_Sales_raw_data!C1456</f>
        <v>1244390.03</v>
      </c>
      <c r="C1456" t="str">
        <f>IF(B1456&gt;=Walmart_Sales_raw_data!$C$6437,"High","low")</f>
        <v>High</v>
      </c>
    </row>
    <row r="1457" spans="1:3">
      <c r="A1457" s="3">
        <v>11</v>
      </c>
      <c r="B1457" s="2">
        <f>Walmart_Sales_raw_data!C1457</f>
        <v>1250178.89</v>
      </c>
      <c r="C1457" t="str">
        <f>IF(B1457&gt;=Walmart_Sales_raw_data!$C$6437,"High","low")</f>
        <v>High</v>
      </c>
    </row>
    <row r="1458" spans="1:3">
      <c r="A1458" s="1">
        <v>11</v>
      </c>
      <c r="B1458" s="2">
        <f>Walmart_Sales_raw_data!C1458</f>
        <v>1369634.92</v>
      </c>
      <c r="C1458" t="str">
        <f>IF(B1458&gt;=Walmart_Sales_raw_data!$C$6437,"High","low")</f>
        <v>High</v>
      </c>
    </row>
    <row r="1459" spans="1:3">
      <c r="A1459" s="3">
        <v>11</v>
      </c>
      <c r="B1459" s="2">
        <f>Walmart_Sales_raw_data!C1459</f>
        <v>1384339.1</v>
      </c>
      <c r="C1459" t="str">
        <f>IF(B1459&gt;=Walmart_Sales_raw_data!$C$6437,"High","low")</f>
        <v>High</v>
      </c>
    </row>
    <row r="1460" spans="1:3">
      <c r="A1460" s="1">
        <v>11</v>
      </c>
      <c r="B1460" s="2">
        <f>Walmart_Sales_raw_data!C1460</f>
        <v>1430192.37</v>
      </c>
      <c r="C1460" t="str">
        <f>IF(B1460&gt;=Walmart_Sales_raw_data!$C$6437,"High","low")</f>
        <v>High</v>
      </c>
    </row>
    <row r="1461" spans="1:3">
      <c r="A1461" s="3">
        <v>11</v>
      </c>
      <c r="B1461" s="2">
        <f>Walmart_Sales_raw_data!C1461</f>
        <v>1311263.07</v>
      </c>
      <c r="C1461" t="str">
        <f>IF(B1461&gt;=Walmart_Sales_raw_data!$C$6437,"High","low")</f>
        <v>High</v>
      </c>
    </row>
    <row r="1462" spans="1:3">
      <c r="A1462" s="1">
        <v>11</v>
      </c>
      <c r="B1462" s="2">
        <f>Walmart_Sales_raw_data!C1462</f>
        <v>1303914.27</v>
      </c>
      <c r="C1462" t="str">
        <f>IF(B1462&gt;=Walmart_Sales_raw_data!$C$6437,"High","low")</f>
        <v>High</v>
      </c>
    </row>
    <row r="1463" spans="1:3">
      <c r="A1463" s="3">
        <v>11</v>
      </c>
      <c r="B1463" s="2">
        <f>Walmart_Sales_raw_data!C1463</f>
        <v>1231428.46</v>
      </c>
      <c r="C1463" t="str">
        <f>IF(B1463&gt;=Walmart_Sales_raw_data!$C$6437,"High","low")</f>
        <v>High</v>
      </c>
    </row>
    <row r="1464" spans="1:3">
      <c r="A1464" s="1">
        <v>11</v>
      </c>
      <c r="B1464" s="2">
        <f>Walmart_Sales_raw_data!C1464</f>
        <v>1215676.31</v>
      </c>
      <c r="C1464" t="str">
        <f>IF(B1464&gt;=Walmart_Sales_raw_data!$C$6437,"High","low")</f>
        <v>High</v>
      </c>
    </row>
    <row r="1465" spans="1:3">
      <c r="A1465" s="3">
        <v>11</v>
      </c>
      <c r="B1465" s="2">
        <f>Walmart_Sales_raw_data!C1465</f>
        <v>1170103.25</v>
      </c>
      <c r="C1465" t="str">
        <f>IF(B1465&gt;=Walmart_Sales_raw_data!$C$6437,"High","low")</f>
        <v>High</v>
      </c>
    </row>
    <row r="1466" spans="1:3">
      <c r="A1466" s="1">
        <v>11</v>
      </c>
      <c r="B1466" s="2">
        <f>Walmart_Sales_raw_data!C1466</f>
        <v>1182490.46</v>
      </c>
      <c r="C1466" t="str">
        <f>IF(B1466&gt;=Walmart_Sales_raw_data!$C$6437,"High","low")</f>
        <v>High</v>
      </c>
    </row>
    <row r="1467" spans="1:3">
      <c r="A1467" s="3">
        <v>11</v>
      </c>
      <c r="B1467" s="2">
        <f>Walmart_Sales_raw_data!C1467</f>
        <v>1293472.8</v>
      </c>
      <c r="C1467" t="str">
        <f>IF(B1467&gt;=Walmart_Sales_raw_data!$C$6437,"High","low")</f>
        <v>High</v>
      </c>
    </row>
    <row r="1468" spans="1:3">
      <c r="A1468" s="1">
        <v>11</v>
      </c>
      <c r="B1468" s="2">
        <f>Walmart_Sales_raw_data!C1468</f>
        <v>1175003.67</v>
      </c>
      <c r="C1468" t="str">
        <f>IF(B1468&gt;=Walmart_Sales_raw_data!$C$6437,"High","low")</f>
        <v>High</v>
      </c>
    </row>
    <row r="1469" spans="1:3">
      <c r="A1469" s="3">
        <v>11</v>
      </c>
      <c r="B1469" s="2">
        <f>Walmart_Sales_raw_data!C1469</f>
        <v>1169831.38</v>
      </c>
      <c r="C1469" t="str">
        <f>IF(B1469&gt;=Walmart_Sales_raw_data!$C$6437,"High","low")</f>
        <v>High</v>
      </c>
    </row>
    <row r="1470" spans="1:3">
      <c r="A1470" s="1">
        <v>11</v>
      </c>
      <c r="B1470" s="2">
        <f>Walmart_Sales_raw_data!C1470</f>
        <v>1195036</v>
      </c>
      <c r="C1470" t="str">
        <f>IF(B1470&gt;=Walmart_Sales_raw_data!$C$6437,"High","low")</f>
        <v>High</v>
      </c>
    </row>
    <row r="1471" spans="1:3">
      <c r="A1471" s="3">
        <v>11</v>
      </c>
      <c r="B1471" s="2">
        <f>Walmart_Sales_raw_data!C1471</f>
        <v>1332759.13</v>
      </c>
      <c r="C1471" t="str">
        <f>IF(B1471&gt;=Walmart_Sales_raw_data!$C$6437,"High","low")</f>
        <v>High</v>
      </c>
    </row>
    <row r="1472" spans="1:3">
      <c r="A1472" s="1">
        <v>11</v>
      </c>
      <c r="B1472" s="2">
        <f>Walmart_Sales_raw_data!C1472</f>
        <v>1281675.6</v>
      </c>
      <c r="C1472" t="str">
        <f>IF(B1472&gt;=Walmart_Sales_raw_data!$C$6437,"High","low")</f>
        <v>High</v>
      </c>
    </row>
    <row r="1473" spans="1:3">
      <c r="A1473" s="3">
        <v>11</v>
      </c>
      <c r="B1473" s="2">
        <f>Walmart_Sales_raw_data!C1473</f>
        <v>1292346.57</v>
      </c>
      <c r="C1473" t="str">
        <f>IF(B1473&gt;=Walmart_Sales_raw_data!$C$6437,"High","low")</f>
        <v>High</v>
      </c>
    </row>
    <row r="1474" spans="1:3">
      <c r="A1474" s="1">
        <v>11</v>
      </c>
      <c r="B1474" s="2">
        <f>Walmart_Sales_raw_data!C1474</f>
        <v>1757242.51</v>
      </c>
      <c r="C1474" t="str">
        <f>IF(B1474&gt;=Walmart_Sales_raw_data!$C$6437,"High","low")</f>
        <v>High</v>
      </c>
    </row>
    <row r="1475" spans="1:3">
      <c r="A1475" s="3">
        <v>11</v>
      </c>
      <c r="B1475" s="2">
        <f>Walmart_Sales_raw_data!C1475</f>
        <v>1380522.64</v>
      </c>
      <c r="C1475" t="str">
        <f>IF(B1475&gt;=Walmart_Sales_raw_data!$C$6437,"High","low")</f>
        <v>High</v>
      </c>
    </row>
    <row r="1476" spans="1:3">
      <c r="A1476" s="1">
        <v>11</v>
      </c>
      <c r="B1476" s="2">
        <f>Walmart_Sales_raw_data!C1476</f>
        <v>1564516.43</v>
      </c>
      <c r="C1476" t="str">
        <f>IF(B1476&gt;=Walmart_Sales_raw_data!$C$6437,"High","low")</f>
        <v>High</v>
      </c>
    </row>
    <row r="1477" spans="1:3">
      <c r="A1477" s="3">
        <v>11</v>
      </c>
      <c r="B1477" s="2">
        <f>Walmart_Sales_raw_data!C1477</f>
        <v>1843971.15</v>
      </c>
      <c r="C1477" t="str">
        <f>IF(B1477&gt;=Walmart_Sales_raw_data!$C$6437,"High","low")</f>
        <v>High</v>
      </c>
    </row>
    <row r="1478" spans="1:3">
      <c r="A1478" s="1">
        <v>11</v>
      </c>
      <c r="B1478" s="2">
        <f>Walmart_Sales_raw_data!C1478</f>
        <v>2306265.36</v>
      </c>
      <c r="C1478" t="str">
        <f>IF(B1478&gt;=Walmart_Sales_raw_data!$C$6437,"High","low")</f>
        <v>High</v>
      </c>
    </row>
    <row r="1479" spans="1:3">
      <c r="A1479" s="3">
        <v>11</v>
      </c>
      <c r="B1479" s="2">
        <f>Walmart_Sales_raw_data!C1479</f>
        <v>1172003.1</v>
      </c>
      <c r="C1479" t="str">
        <f>IF(B1479&gt;=Walmart_Sales_raw_data!$C$6437,"High","low")</f>
        <v>High</v>
      </c>
    </row>
    <row r="1480" spans="1:3">
      <c r="A1480" s="1">
        <v>11</v>
      </c>
      <c r="B1480" s="2">
        <f>Walmart_Sales_raw_data!C1480</f>
        <v>1178905.44</v>
      </c>
      <c r="C1480" t="str">
        <f>IF(B1480&gt;=Walmart_Sales_raw_data!$C$6437,"High","low")</f>
        <v>High</v>
      </c>
    </row>
    <row r="1481" spans="1:3">
      <c r="A1481" s="3">
        <v>11</v>
      </c>
      <c r="B1481" s="2">
        <f>Walmart_Sales_raw_data!C1481</f>
        <v>1194449.78</v>
      </c>
      <c r="C1481" t="str">
        <f>IF(B1481&gt;=Walmart_Sales_raw_data!$C$6437,"High","low")</f>
        <v>High</v>
      </c>
    </row>
    <row r="1482" spans="1:3">
      <c r="A1482" s="1">
        <v>11</v>
      </c>
      <c r="B1482" s="2">
        <f>Walmart_Sales_raw_data!C1482</f>
        <v>1187776.19</v>
      </c>
      <c r="C1482" t="str">
        <f>IF(B1482&gt;=Walmart_Sales_raw_data!$C$6437,"High","low")</f>
        <v>High</v>
      </c>
    </row>
    <row r="1483" spans="1:3">
      <c r="A1483" s="3">
        <v>11</v>
      </c>
      <c r="B1483" s="2">
        <f>Walmart_Sales_raw_data!C1483</f>
        <v>1100418.69</v>
      </c>
      <c r="C1483" t="str">
        <f>IF(B1483&gt;=Walmart_Sales_raw_data!$C$6437,"High","low")</f>
        <v>High</v>
      </c>
    </row>
    <row r="1484" spans="1:3">
      <c r="A1484" s="1">
        <v>11</v>
      </c>
      <c r="B1484" s="2">
        <f>Walmart_Sales_raw_data!C1484</f>
        <v>1422546.05</v>
      </c>
      <c r="C1484" t="str">
        <f>IF(B1484&gt;=Walmart_Sales_raw_data!$C$6437,"High","low")</f>
        <v>High</v>
      </c>
    </row>
    <row r="1485" spans="1:3">
      <c r="A1485" s="3">
        <v>11</v>
      </c>
      <c r="B1485" s="2">
        <f>Walmart_Sales_raw_data!C1485</f>
        <v>1419236.9</v>
      </c>
      <c r="C1485" t="str">
        <f>IF(B1485&gt;=Walmart_Sales_raw_data!$C$6437,"High","low")</f>
        <v>High</v>
      </c>
    </row>
    <row r="1486" spans="1:3">
      <c r="A1486" s="1">
        <v>11</v>
      </c>
      <c r="B1486" s="2">
        <f>Walmart_Sales_raw_data!C1486</f>
        <v>1554747.15</v>
      </c>
      <c r="C1486" t="str">
        <f>IF(B1486&gt;=Walmart_Sales_raw_data!$C$6437,"High","low")</f>
        <v>High</v>
      </c>
    </row>
    <row r="1487" spans="1:3">
      <c r="A1487" s="3">
        <v>11</v>
      </c>
      <c r="B1487" s="2">
        <f>Walmart_Sales_raw_data!C1487</f>
        <v>1323999.36</v>
      </c>
      <c r="C1487" t="str">
        <f>IF(B1487&gt;=Walmart_Sales_raw_data!$C$6437,"High","low")</f>
        <v>High</v>
      </c>
    </row>
    <row r="1488" spans="1:3">
      <c r="A1488" s="1">
        <v>11</v>
      </c>
      <c r="B1488" s="2">
        <f>Walmart_Sales_raw_data!C1488</f>
        <v>1399456.99</v>
      </c>
      <c r="C1488" t="str">
        <f>IF(B1488&gt;=Walmart_Sales_raw_data!$C$6437,"High","low")</f>
        <v>High</v>
      </c>
    </row>
    <row r="1489" spans="1:3">
      <c r="A1489" s="3">
        <v>11</v>
      </c>
      <c r="B1489" s="2">
        <f>Walmart_Sales_raw_data!C1489</f>
        <v>1314557.31</v>
      </c>
      <c r="C1489" t="str">
        <f>IF(B1489&gt;=Walmart_Sales_raw_data!$C$6437,"High","low")</f>
        <v>High</v>
      </c>
    </row>
    <row r="1490" spans="1:3">
      <c r="A1490" s="1">
        <v>11</v>
      </c>
      <c r="B1490" s="2">
        <f>Walmart_Sales_raw_data!C1490</f>
        <v>1391813.69</v>
      </c>
      <c r="C1490" t="str">
        <f>IF(B1490&gt;=Walmart_Sales_raw_data!$C$6437,"High","low")</f>
        <v>High</v>
      </c>
    </row>
    <row r="1491" spans="1:3">
      <c r="A1491" s="3">
        <v>11</v>
      </c>
      <c r="B1491" s="2">
        <f>Walmart_Sales_raw_data!C1491</f>
        <v>1229777.24</v>
      </c>
      <c r="C1491" t="str">
        <f>IF(B1491&gt;=Walmart_Sales_raw_data!$C$6437,"High","low")</f>
        <v>High</v>
      </c>
    </row>
    <row r="1492" spans="1:3">
      <c r="A1492" s="1">
        <v>11</v>
      </c>
      <c r="B1492" s="2">
        <f>Walmart_Sales_raw_data!C1492</f>
        <v>1258674.12</v>
      </c>
      <c r="C1492" t="str">
        <f>IF(B1492&gt;=Walmart_Sales_raw_data!$C$6437,"High","low")</f>
        <v>High</v>
      </c>
    </row>
    <row r="1493" spans="1:3">
      <c r="A1493" s="3">
        <v>11</v>
      </c>
      <c r="B1493" s="2">
        <f>Walmart_Sales_raw_data!C1493</f>
        <v>1327401.06</v>
      </c>
      <c r="C1493" t="str">
        <f>IF(B1493&gt;=Walmart_Sales_raw_data!$C$6437,"High","low")</f>
        <v>High</v>
      </c>
    </row>
    <row r="1494" spans="1:3">
      <c r="A1494" s="1">
        <v>11</v>
      </c>
      <c r="B1494" s="2">
        <f>Walmart_Sales_raw_data!C1494</f>
        <v>1312905.8</v>
      </c>
      <c r="C1494" t="str">
        <f>IF(B1494&gt;=Walmart_Sales_raw_data!$C$6437,"High","low")</f>
        <v>High</v>
      </c>
    </row>
    <row r="1495" spans="1:3">
      <c r="A1495" s="3">
        <v>11</v>
      </c>
      <c r="B1495" s="2">
        <f>Walmart_Sales_raw_data!C1495</f>
        <v>1388118.53</v>
      </c>
      <c r="C1495" t="str">
        <f>IF(B1495&gt;=Walmart_Sales_raw_data!$C$6437,"High","low")</f>
        <v>High</v>
      </c>
    </row>
    <row r="1496" spans="1:3">
      <c r="A1496" s="1">
        <v>11</v>
      </c>
      <c r="B1496" s="2">
        <f>Walmart_Sales_raw_data!C1496</f>
        <v>1357589.89</v>
      </c>
      <c r="C1496" t="str">
        <f>IF(B1496&gt;=Walmart_Sales_raw_data!$C$6437,"High","low")</f>
        <v>High</v>
      </c>
    </row>
    <row r="1497" spans="1:3">
      <c r="A1497" s="3">
        <v>11</v>
      </c>
      <c r="B1497" s="2">
        <f>Walmart_Sales_raw_data!C1497</f>
        <v>1331453.41</v>
      </c>
      <c r="C1497" t="str">
        <f>IF(B1497&gt;=Walmart_Sales_raw_data!$C$6437,"High","low")</f>
        <v>High</v>
      </c>
    </row>
    <row r="1498" spans="1:3">
      <c r="A1498" s="1">
        <v>11</v>
      </c>
      <c r="B1498" s="2">
        <f>Walmart_Sales_raw_data!C1498</f>
        <v>1277959.42</v>
      </c>
      <c r="C1498" t="str">
        <f>IF(B1498&gt;=Walmart_Sales_raw_data!$C$6437,"High","low")</f>
        <v>High</v>
      </c>
    </row>
    <row r="1499" spans="1:3">
      <c r="A1499" s="3">
        <v>11</v>
      </c>
      <c r="B1499" s="2">
        <f>Walmart_Sales_raw_data!C1499</f>
        <v>1239466.97</v>
      </c>
      <c r="C1499" t="str">
        <f>IF(B1499&gt;=Walmart_Sales_raw_data!$C$6437,"High","low")</f>
        <v>High</v>
      </c>
    </row>
    <row r="1500" spans="1:3">
      <c r="A1500" s="1">
        <v>11</v>
      </c>
      <c r="B1500" s="2">
        <f>Walmart_Sales_raw_data!C1500</f>
        <v>1216876.52</v>
      </c>
      <c r="C1500" t="str">
        <f>IF(B1500&gt;=Walmart_Sales_raw_data!$C$6437,"High","low")</f>
        <v>High</v>
      </c>
    </row>
    <row r="1501" spans="1:3">
      <c r="A1501" s="3">
        <v>11</v>
      </c>
      <c r="B1501" s="2">
        <f>Walmart_Sales_raw_data!C1501</f>
        <v>1343637</v>
      </c>
      <c r="C1501" t="str">
        <f>IF(B1501&gt;=Walmart_Sales_raw_data!$C$6437,"High","low")</f>
        <v>High</v>
      </c>
    </row>
    <row r="1502" spans="1:3">
      <c r="A1502" s="1">
        <v>11</v>
      </c>
      <c r="B1502" s="2">
        <f>Walmart_Sales_raw_data!C1502</f>
        <v>1314626.75</v>
      </c>
      <c r="C1502" t="str">
        <f>IF(B1502&gt;=Walmart_Sales_raw_data!$C$6437,"High","low")</f>
        <v>High</v>
      </c>
    </row>
    <row r="1503" spans="1:3">
      <c r="A1503" s="3">
        <v>11</v>
      </c>
      <c r="B1503" s="2">
        <f>Walmart_Sales_raw_data!C1503</f>
        <v>1337506.74</v>
      </c>
      <c r="C1503" t="str">
        <f>IF(B1503&gt;=Walmart_Sales_raw_data!$C$6437,"High","low")</f>
        <v>High</v>
      </c>
    </row>
    <row r="1504" spans="1:3">
      <c r="A1504" s="1">
        <v>11</v>
      </c>
      <c r="B1504" s="2">
        <f>Walmart_Sales_raw_data!C1504</f>
        <v>1254587.84</v>
      </c>
      <c r="C1504" t="str">
        <f>IF(B1504&gt;=Walmart_Sales_raw_data!$C$6437,"High","low")</f>
        <v>High</v>
      </c>
    </row>
    <row r="1505" spans="1:3">
      <c r="A1505" s="3">
        <v>11</v>
      </c>
      <c r="B1505" s="2">
        <f>Walmart_Sales_raw_data!C1505</f>
        <v>1297472.06</v>
      </c>
      <c r="C1505" t="str">
        <f>IF(B1505&gt;=Walmart_Sales_raw_data!$C$6437,"High","low")</f>
        <v>High</v>
      </c>
    </row>
    <row r="1506" spans="1:3">
      <c r="A1506" s="1">
        <v>11</v>
      </c>
      <c r="B1506" s="2">
        <f>Walmart_Sales_raw_data!C1506</f>
        <v>1334627.96</v>
      </c>
      <c r="C1506" t="str">
        <f>IF(B1506&gt;=Walmart_Sales_raw_data!$C$6437,"High","low")</f>
        <v>High</v>
      </c>
    </row>
    <row r="1507" spans="1:3">
      <c r="A1507" s="3">
        <v>11</v>
      </c>
      <c r="B1507" s="2">
        <f>Walmart_Sales_raw_data!C1507</f>
        <v>1266546.73</v>
      </c>
      <c r="C1507" t="str">
        <f>IF(B1507&gt;=Walmart_Sales_raw_data!$C$6437,"High","low")</f>
        <v>High</v>
      </c>
    </row>
    <row r="1508" spans="1:3">
      <c r="A1508" s="1">
        <v>11</v>
      </c>
      <c r="B1508" s="2">
        <f>Walmart_Sales_raw_data!C1508</f>
        <v>1290576.44</v>
      </c>
      <c r="C1508" t="str">
        <f>IF(B1508&gt;=Walmart_Sales_raw_data!$C$6437,"High","low")</f>
        <v>High</v>
      </c>
    </row>
    <row r="1509" spans="1:3">
      <c r="A1509" s="3">
        <v>11</v>
      </c>
      <c r="B1509" s="2">
        <f>Walmart_Sales_raw_data!C1509</f>
        <v>1212938.67</v>
      </c>
      <c r="C1509" t="str">
        <f>IF(B1509&gt;=Walmart_Sales_raw_data!$C$6437,"High","low")</f>
        <v>High</v>
      </c>
    </row>
    <row r="1510" spans="1:3">
      <c r="A1510" s="1">
        <v>11</v>
      </c>
      <c r="B1510" s="2">
        <f>Walmart_Sales_raw_data!C1510</f>
        <v>1403198.94</v>
      </c>
      <c r="C1510" t="str">
        <f>IF(B1510&gt;=Walmart_Sales_raw_data!$C$6437,"High","low")</f>
        <v>High</v>
      </c>
    </row>
    <row r="1511" spans="1:3">
      <c r="A1511" s="3">
        <v>11</v>
      </c>
      <c r="B1511" s="2">
        <f>Walmart_Sales_raw_data!C1511</f>
        <v>1354188.43</v>
      </c>
      <c r="C1511" t="str">
        <f>IF(B1511&gt;=Walmart_Sales_raw_data!$C$6437,"High","low")</f>
        <v>High</v>
      </c>
    </row>
    <row r="1512" spans="1:3">
      <c r="A1512" s="1">
        <v>11</v>
      </c>
      <c r="B1512" s="2">
        <f>Walmart_Sales_raw_data!C1512</f>
        <v>1484169.74</v>
      </c>
      <c r="C1512" t="str">
        <f>IF(B1512&gt;=Walmart_Sales_raw_data!$C$6437,"High","low")</f>
        <v>High</v>
      </c>
    </row>
    <row r="1513" spans="1:3">
      <c r="A1513" s="3">
        <v>11</v>
      </c>
      <c r="B1513" s="2">
        <f>Walmart_Sales_raw_data!C1513</f>
        <v>1304706.75</v>
      </c>
      <c r="C1513" t="str">
        <f>IF(B1513&gt;=Walmart_Sales_raw_data!$C$6437,"High","low")</f>
        <v>High</v>
      </c>
    </row>
    <row r="1514" spans="1:3">
      <c r="A1514" s="1">
        <v>11</v>
      </c>
      <c r="B1514" s="2">
        <f>Walmart_Sales_raw_data!C1514</f>
        <v>1297792.41</v>
      </c>
      <c r="C1514" t="str">
        <f>IF(B1514&gt;=Walmart_Sales_raw_data!$C$6437,"High","low")</f>
        <v>High</v>
      </c>
    </row>
    <row r="1515" spans="1:3">
      <c r="A1515" s="3">
        <v>11</v>
      </c>
      <c r="B1515" s="2">
        <f>Walmart_Sales_raw_data!C1515</f>
        <v>1249439.95</v>
      </c>
      <c r="C1515" t="str">
        <f>IF(B1515&gt;=Walmart_Sales_raw_data!$C$6437,"High","low")</f>
        <v>High</v>
      </c>
    </row>
    <row r="1516" spans="1:3">
      <c r="A1516" s="1">
        <v>11</v>
      </c>
      <c r="B1516" s="2">
        <f>Walmart_Sales_raw_data!C1516</f>
        <v>1270816.01</v>
      </c>
      <c r="C1516" t="str">
        <f>IF(B1516&gt;=Walmart_Sales_raw_data!$C$6437,"High","low")</f>
        <v>High</v>
      </c>
    </row>
    <row r="1517" spans="1:3">
      <c r="A1517" s="3">
        <v>11</v>
      </c>
      <c r="B1517" s="2">
        <f>Walmart_Sales_raw_data!C1517</f>
        <v>1235775.15</v>
      </c>
      <c r="C1517" t="str">
        <f>IF(B1517&gt;=Walmart_Sales_raw_data!$C$6437,"High","low")</f>
        <v>High</v>
      </c>
    </row>
    <row r="1518" spans="1:3">
      <c r="A1518" s="1">
        <v>11</v>
      </c>
      <c r="B1518" s="2">
        <f>Walmart_Sales_raw_data!C1518</f>
        <v>1190515.83</v>
      </c>
      <c r="C1518" t="str">
        <f>IF(B1518&gt;=Walmart_Sales_raw_data!$C$6437,"High","low")</f>
        <v>High</v>
      </c>
    </row>
    <row r="1519" spans="1:3">
      <c r="A1519" s="3">
        <v>11</v>
      </c>
      <c r="B1519" s="2">
        <f>Walmart_Sales_raw_data!C1519</f>
        <v>1346271.06</v>
      </c>
      <c r="C1519" t="str">
        <f>IF(B1519&gt;=Walmart_Sales_raw_data!$C$6437,"High","low")</f>
        <v>High</v>
      </c>
    </row>
    <row r="1520" spans="1:3">
      <c r="A1520" s="1">
        <v>11</v>
      </c>
      <c r="B1520" s="2">
        <f>Walmart_Sales_raw_data!C1520</f>
        <v>1286388.96</v>
      </c>
      <c r="C1520" t="str">
        <f>IF(B1520&gt;=Walmart_Sales_raw_data!$C$6437,"High","low")</f>
        <v>High</v>
      </c>
    </row>
    <row r="1521" spans="1:3">
      <c r="A1521" s="3">
        <v>11</v>
      </c>
      <c r="B1521" s="2">
        <f>Walmart_Sales_raw_data!C1521</f>
        <v>1325107.53</v>
      </c>
      <c r="C1521" t="str">
        <f>IF(B1521&gt;=Walmart_Sales_raw_data!$C$6437,"High","low")</f>
        <v>High</v>
      </c>
    </row>
    <row r="1522" spans="1:3">
      <c r="A1522" s="1">
        <v>11</v>
      </c>
      <c r="B1522" s="2">
        <f>Walmart_Sales_raw_data!C1522</f>
        <v>1310684.1</v>
      </c>
      <c r="C1522" t="str">
        <f>IF(B1522&gt;=Walmart_Sales_raw_data!$C$6437,"High","low")</f>
        <v>High</v>
      </c>
    </row>
    <row r="1523" spans="1:3">
      <c r="A1523" s="3">
        <v>11</v>
      </c>
      <c r="B1523" s="2">
        <f>Walmart_Sales_raw_data!C1523</f>
        <v>1458287.38</v>
      </c>
      <c r="C1523" t="str">
        <f>IF(B1523&gt;=Walmart_Sales_raw_data!$C$6437,"High","low")</f>
        <v>High</v>
      </c>
    </row>
    <row r="1524" spans="1:3">
      <c r="A1524" s="1">
        <v>11</v>
      </c>
      <c r="B1524" s="2">
        <f>Walmart_Sales_raw_data!C1524</f>
        <v>1366053.69</v>
      </c>
      <c r="C1524" t="str">
        <f>IF(B1524&gt;=Walmart_Sales_raw_data!$C$6437,"High","low")</f>
        <v>High</v>
      </c>
    </row>
    <row r="1525" spans="1:3">
      <c r="A1525" s="3">
        <v>11</v>
      </c>
      <c r="B1525" s="2">
        <f>Walmart_Sales_raw_data!C1525</f>
        <v>1315091.63</v>
      </c>
      <c r="C1525" t="str">
        <f>IF(B1525&gt;=Walmart_Sales_raw_data!$C$6437,"High","low")</f>
        <v>High</v>
      </c>
    </row>
    <row r="1526" spans="1:3">
      <c r="A1526" s="1">
        <v>11</v>
      </c>
      <c r="B1526" s="2">
        <f>Walmart_Sales_raw_data!C1526</f>
        <v>1848953.48</v>
      </c>
      <c r="C1526" t="str">
        <f>IF(B1526&gt;=Walmart_Sales_raw_data!$C$6437,"High","low")</f>
        <v>High</v>
      </c>
    </row>
    <row r="1527" spans="1:3">
      <c r="A1527" s="3">
        <v>11</v>
      </c>
      <c r="B1527" s="2">
        <f>Walmart_Sales_raw_data!C1527</f>
        <v>1399322.44</v>
      </c>
      <c r="C1527" t="str">
        <f>IF(B1527&gt;=Walmart_Sales_raw_data!$C$6437,"High","low")</f>
        <v>High</v>
      </c>
    </row>
    <row r="1528" spans="1:3">
      <c r="A1528" s="1">
        <v>11</v>
      </c>
      <c r="B1528" s="2">
        <f>Walmart_Sales_raw_data!C1528</f>
        <v>1646655.94</v>
      </c>
      <c r="C1528" t="str">
        <f>IF(B1528&gt;=Walmart_Sales_raw_data!$C$6437,"High","low")</f>
        <v>High</v>
      </c>
    </row>
    <row r="1529" spans="1:3">
      <c r="A1529" s="3">
        <v>11</v>
      </c>
      <c r="B1529" s="2">
        <f>Walmart_Sales_raw_data!C1529</f>
        <v>1783910.06</v>
      </c>
      <c r="C1529" t="str">
        <f>IF(B1529&gt;=Walmart_Sales_raw_data!$C$6437,"High","low")</f>
        <v>High</v>
      </c>
    </row>
    <row r="1530" spans="1:3">
      <c r="A1530" s="1">
        <v>11</v>
      </c>
      <c r="B1530" s="2">
        <f>Walmart_Sales_raw_data!C1530</f>
        <v>2213518.5</v>
      </c>
      <c r="C1530" t="str">
        <f>IF(B1530&gt;=Walmart_Sales_raw_data!$C$6437,"High","low")</f>
        <v>High</v>
      </c>
    </row>
    <row r="1531" spans="1:3">
      <c r="A1531" s="3">
        <v>11</v>
      </c>
      <c r="B1531" s="2">
        <f>Walmart_Sales_raw_data!C1531</f>
        <v>1352084.21</v>
      </c>
      <c r="C1531" t="str">
        <f>IF(B1531&gt;=Walmart_Sales_raw_data!$C$6437,"High","low")</f>
        <v>High</v>
      </c>
    </row>
    <row r="1532" spans="1:3">
      <c r="A1532" s="1">
        <v>11</v>
      </c>
      <c r="B1532" s="2">
        <f>Walmart_Sales_raw_data!C1532</f>
        <v>1283885.55</v>
      </c>
      <c r="C1532" t="str">
        <f>IF(B1532&gt;=Walmart_Sales_raw_data!$C$6437,"High","low")</f>
        <v>High</v>
      </c>
    </row>
    <row r="1533" spans="1:3">
      <c r="A1533" s="3">
        <v>11</v>
      </c>
      <c r="B1533" s="2">
        <f>Walmart_Sales_raw_data!C1533</f>
        <v>1264736.59</v>
      </c>
      <c r="C1533" t="str">
        <f>IF(B1533&gt;=Walmart_Sales_raw_data!$C$6437,"High","low")</f>
        <v>High</v>
      </c>
    </row>
    <row r="1534" spans="1:3">
      <c r="A1534" s="1">
        <v>11</v>
      </c>
      <c r="B1534" s="2">
        <f>Walmart_Sales_raw_data!C1534</f>
        <v>1207303.29</v>
      </c>
      <c r="C1534" t="str">
        <f>IF(B1534&gt;=Walmart_Sales_raw_data!$C$6437,"High","low")</f>
        <v>High</v>
      </c>
    </row>
    <row r="1535" spans="1:3">
      <c r="A1535" s="3">
        <v>11</v>
      </c>
      <c r="B1535" s="2">
        <f>Walmart_Sales_raw_data!C1535</f>
        <v>1162675.85</v>
      </c>
      <c r="C1535" t="str">
        <f>IF(B1535&gt;=Walmart_Sales_raw_data!$C$6437,"High","low")</f>
        <v>High</v>
      </c>
    </row>
    <row r="1536" spans="1:3">
      <c r="A1536" s="1">
        <v>11</v>
      </c>
      <c r="B1536" s="2">
        <f>Walmart_Sales_raw_data!C1536</f>
        <v>1376732.18</v>
      </c>
      <c r="C1536" t="str">
        <f>IF(B1536&gt;=Walmart_Sales_raw_data!$C$6437,"High","low")</f>
        <v>High</v>
      </c>
    </row>
    <row r="1537" spans="1:3">
      <c r="A1537" s="3">
        <v>11</v>
      </c>
      <c r="B1537" s="2">
        <f>Walmart_Sales_raw_data!C1537</f>
        <v>1574287.76</v>
      </c>
      <c r="C1537" t="str">
        <f>IF(B1537&gt;=Walmart_Sales_raw_data!$C$6437,"High","low")</f>
        <v>High</v>
      </c>
    </row>
    <row r="1538" spans="1:3">
      <c r="A1538" s="1">
        <v>11</v>
      </c>
      <c r="B1538" s="2">
        <f>Walmart_Sales_raw_data!C1538</f>
        <v>1569607.94</v>
      </c>
      <c r="C1538" t="str">
        <f>IF(B1538&gt;=Walmart_Sales_raw_data!$C$6437,"High","low")</f>
        <v>High</v>
      </c>
    </row>
    <row r="1539" spans="1:3">
      <c r="A1539" s="3">
        <v>11</v>
      </c>
      <c r="B1539" s="2">
        <f>Walmart_Sales_raw_data!C1539</f>
        <v>1379473.03</v>
      </c>
      <c r="C1539" t="str">
        <f>IF(B1539&gt;=Walmart_Sales_raw_data!$C$6437,"High","low")</f>
        <v>High</v>
      </c>
    </row>
    <row r="1540" spans="1:3">
      <c r="A1540" s="1">
        <v>11</v>
      </c>
      <c r="B1540" s="2">
        <f>Walmart_Sales_raw_data!C1540</f>
        <v>1438383.44</v>
      </c>
      <c r="C1540" t="str">
        <f>IF(B1540&gt;=Walmart_Sales_raw_data!$C$6437,"High","low")</f>
        <v>High</v>
      </c>
    </row>
    <row r="1541" spans="1:3">
      <c r="A1541" s="3">
        <v>11</v>
      </c>
      <c r="B1541" s="2">
        <f>Walmart_Sales_raw_data!C1541</f>
        <v>1413382.76</v>
      </c>
      <c r="C1541" t="str">
        <f>IF(B1541&gt;=Walmart_Sales_raw_data!$C$6437,"High","low")</f>
        <v>High</v>
      </c>
    </row>
    <row r="1542" spans="1:3">
      <c r="A1542" s="1">
        <v>11</v>
      </c>
      <c r="B1542" s="2">
        <f>Walmart_Sales_raw_data!C1542</f>
        <v>1441884.28</v>
      </c>
      <c r="C1542" t="str">
        <f>IF(B1542&gt;=Walmart_Sales_raw_data!$C$6437,"High","low")</f>
        <v>High</v>
      </c>
    </row>
    <row r="1543" spans="1:3">
      <c r="A1543" s="3">
        <v>11</v>
      </c>
      <c r="B1543" s="2">
        <f>Walmart_Sales_raw_data!C1543</f>
        <v>1300593.61</v>
      </c>
      <c r="C1543" t="str">
        <f>IF(B1543&gt;=Walmart_Sales_raw_data!$C$6437,"High","low")</f>
        <v>High</v>
      </c>
    </row>
    <row r="1544" spans="1:3">
      <c r="A1544" s="1">
        <v>11</v>
      </c>
      <c r="B1544" s="2">
        <f>Walmart_Sales_raw_data!C1544</f>
        <v>1300104.03</v>
      </c>
      <c r="C1544" t="str">
        <f>IF(B1544&gt;=Walmart_Sales_raw_data!$C$6437,"High","low")</f>
        <v>High</v>
      </c>
    </row>
    <row r="1545" spans="1:3">
      <c r="A1545" s="3">
        <v>11</v>
      </c>
      <c r="B1545" s="2">
        <f>Walmart_Sales_raw_data!C1545</f>
        <v>1596325.01</v>
      </c>
      <c r="C1545" t="str">
        <f>IF(B1545&gt;=Walmart_Sales_raw_data!$C$6437,"High","low")</f>
        <v>High</v>
      </c>
    </row>
    <row r="1546" spans="1:3">
      <c r="A1546" s="1">
        <v>11</v>
      </c>
      <c r="B1546" s="2">
        <f>Walmart_Sales_raw_data!C1546</f>
        <v>1472752.01</v>
      </c>
      <c r="C1546" t="str">
        <f>IF(B1546&gt;=Walmart_Sales_raw_data!$C$6437,"High","low")</f>
        <v>High</v>
      </c>
    </row>
    <row r="1547" spans="1:3">
      <c r="A1547" s="3">
        <v>11</v>
      </c>
      <c r="B1547" s="2">
        <f>Walmart_Sales_raw_data!C1547</f>
        <v>1315356.99</v>
      </c>
      <c r="C1547" t="str">
        <f>IF(B1547&gt;=Walmart_Sales_raw_data!$C$6437,"High","low")</f>
        <v>High</v>
      </c>
    </row>
    <row r="1548" spans="1:3">
      <c r="A1548" s="1">
        <v>11</v>
      </c>
      <c r="B1548" s="2">
        <f>Walmart_Sales_raw_data!C1548</f>
        <v>1236238.29</v>
      </c>
      <c r="C1548" t="str">
        <f>IF(B1548&gt;=Walmart_Sales_raw_data!$C$6437,"High","low")</f>
        <v>High</v>
      </c>
    </row>
    <row r="1549" spans="1:3">
      <c r="A1549" s="3">
        <v>11</v>
      </c>
      <c r="B1549" s="2">
        <f>Walmart_Sales_raw_data!C1549</f>
        <v>1370251.22</v>
      </c>
      <c r="C1549" t="str">
        <f>IF(B1549&gt;=Walmart_Sales_raw_data!$C$6437,"High","low")</f>
        <v>High</v>
      </c>
    </row>
    <row r="1550" spans="1:3">
      <c r="A1550" s="1">
        <v>11</v>
      </c>
      <c r="B1550" s="2">
        <f>Walmart_Sales_raw_data!C1550</f>
        <v>1300147.07</v>
      </c>
      <c r="C1550" t="str">
        <f>IF(B1550&gt;=Walmart_Sales_raw_data!$C$6437,"High","low")</f>
        <v>High</v>
      </c>
    </row>
    <row r="1551" spans="1:3">
      <c r="A1551" s="3">
        <v>11</v>
      </c>
      <c r="B1551" s="2">
        <f>Walmart_Sales_raw_data!C1551</f>
        <v>1352442.31</v>
      </c>
      <c r="C1551" t="str">
        <f>IF(B1551&gt;=Walmart_Sales_raw_data!$C$6437,"High","low")</f>
        <v>High</v>
      </c>
    </row>
    <row r="1552" spans="1:3">
      <c r="A1552" s="1">
        <v>11</v>
      </c>
      <c r="B1552" s="2">
        <f>Walmart_Sales_raw_data!C1552</f>
        <v>1297335.87</v>
      </c>
      <c r="C1552" t="str">
        <f>IF(B1552&gt;=Walmart_Sales_raw_data!$C$6437,"High","low")</f>
        <v>High</v>
      </c>
    </row>
    <row r="1553" spans="1:3">
      <c r="A1553" s="3">
        <v>11</v>
      </c>
      <c r="B1553" s="2">
        <f>Walmart_Sales_raw_data!C1553</f>
        <v>1361595.33</v>
      </c>
      <c r="C1553" t="str">
        <f>IF(B1553&gt;=Walmart_Sales_raw_data!$C$6437,"High","low")</f>
        <v>High</v>
      </c>
    </row>
    <row r="1554" spans="1:3">
      <c r="A1554" s="1">
        <v>11</v>
      </c>
      <c r="B1554" s="2">
        <f>Walmart_Sales_raw_data!C1554</f>
        <v>1414343.53</v>
      </c>
      <c r="C1554" t="str">
        <f>IF(B1554&gt;=Walmart_Sales_raw_data!$C$6437,"High","low")</f>
        <v>High</v>
      </c>
    </row>
    <row r="1555" spans="1:3">
      <c r="A1555" s="3">
        <v>11</v>
      </c>
      <c r="B1555" s="2">
        <f>Walmart_Sales_raw_data!C1555</f>
        <v>1417875.42</v>
      </c>
      <c r="C1555" t="str">
        <f>IF(B1555&gt;=Walmart_Sales_raw_data!$C$6437,"High","low")</f>
        <v>High</v>
      </c>
    </row>
    <row r="1556" spans="1:3">
      <c r="A1556" s="1">
        <v>11</v>
      </c>
      <c r="B1556" s="2">
        <f>Walmart_Sales_raw_data!C1556</f>
        <v>1355680.3</v>
      </c>
      <c r="C1556" t="str">
        <f>IF(B1556&gt;=Walmart_Sales_raw_data!$C$6437,"High","low")</f>
        <v>High</v>
      </c>
    </row>
    <row r="1557" spans="1:3">
      <c r="A1557" s="3">
        <v>11</v>
      </c>
      <c r="B1557" s="2">
        <f>Walmart_Sales_raw_data!C1557</f>
        <v>1297028.6</v>
      </c>
      <c r="C1557" t="str">
        <f>IF(B1557&gt;=Walmart_Sales_raw_data!$C$6437,"High","low")</f>
        <v>High</v>
      </c>
    </row>
    <row r="1558" spans="1:3">
      <c r="A1558" s="1">
        <v>11</v>
      </c>
      <c r="B1558" s="2">
        <f>Walmart_Sales_raw_data!C1558</f>
        <v>1461129.94</v>
      </c>
      <c r="C1558" t="str">
        <f>IF(B1558&gt;=Walmart_Sales_raw_data!$C$6437,"High","low")</f>
        <v>High</v>
      </c>
    </row>
    <row r="1559" spans="1:3">
      <c r="A1559" s="3">
        <v>11</v>
      </c>
      <c r="B1559" s="2">
        <f>Walmart_Sales_raw_data!C1559</f>
        <v>1320239.51</v>
      </c>
      <c r="C1559" t="str">
        <f>IF(B1559&gt;=Walmart_Sales_raw_data!$C$6437,"High","low")</f>
        <v>High</v>
      </c>
    </row>
    <row r="1560" spans="1:3">
      <c r="A1560" s="1">
        <v>11</v>
      </c>
      <c r="B1560" s="2">
        <f>Walmart_Sales_raw_data!C1560</f>
        <v>1344483.81</v>
      </c>
      <c r="C1560" t="str">
        <f>IF(B1560&gt;=Walmart_Sales_raw_data!$C$6437,"High","low")</f>
        <v>High</v>
      </c>
    </row>
    <row r="1561" spans="1:3">
      <c r="A1561" s="3">
        <v>11</v>
      </c>
      <c r="B1561" s="2">
        <f>Walmart_Sales_raw_data!C1561</f>
        <v>1272395.02</v>
      </c>
      <c r="C1561" t="str">
        <f>IF(B1561&gt;=Walmart_Sales_raw_data!$C$6437,"High","low")</f>
        <v>High</v>
      </c>
    </row>
    <row r="1562" spans="1:3">
      <c r="A1562" s="1">
        <v>11</v>
      </c>
      <c r="B1562" s="2">
        <f>Walmart_Sales_raw_data!C1562</f>
        <v>1399341.07</v>
      </c>
      <c r="C1562" t="str">
        <f>IF(B1562&gt;=Walmart_Sales_raw_data!$C$6437,"High","low")</f>
        <v>High</v>
      </c>
    </row>
    <row r="1563" spans="1:3">
      <c r="A1563" s="3">
        <v>11</v>
      </c>
      <c r="B1563" s="2">
        <f>Walmart_Sales_raw_data!C1563</f>
        <v>1388973.65</v>
      </c>
      <c r="C1563" t="str">
        <f>IF(B1563&gt;=Walmart_Sales_raw_data!$C$6437,"High","low")</f>
        <v>High</v>
      </c>
    </row>
    <row r="1564" spans="1:3">
      <c r="A1564" s="1">
        <v>11</v>
      </c>
      <c r="B1564" s="2">
        <f>Walmart_Sales_raw_data!C1564</f>
        <v>1421307.2</v>
      </c>
      <c r="C1564" t="str">
        <f>IF(B1564&gt;=Walmart_Sales_raw_data!$C$6437,"High","low")</f>
        <v>High</v>
      </c>
    </row>
    <row r="1565" spans="1:3">
      <c r="A1565" s="3">
        <v>11</v>
      </c>
      <c r="B1565" s="2">
        <f>Walmart_Sales_raw_data!C1565</f>
        <v>1409515.73</v>
      </c>
      <c r="C1565" t="str">
        <f>IF(B1565&gt;=Walmart_Sales_raw_data!$C$6437,"High","low")</f>
        <v>High</v>
      </c>
    </row>
    <row r="1566" spans="1:3">
      <c r="A1566" s="1">
        <v>11</v>
      </c>
      <c r="B1566" s="2">
        <f>Walmart_Sales_raw_data!C1566</f>
        <v>1372872.35</v>
      </c>
      <c r="C1566" t="str">
        <f>IF(B1566&gt;=Walmart_Sales_raw_data!$C$6437,"High","low")</f>
        <v>High</v>
      </c>
    </row>
    <row r="1567" spans="1:3">
      <c r="A1567" s="3">
        <v>11</v>
      </c>
      <c r="B1567" s="2">
        <f>Walmart_Sales_raw_data!C1567</f>
        <v>1304584.4</v>
      </c>
      <c r="C1567" t="str">
        <f>IF(B1567&gt;=Walmart_Sales_raw_data!$C$6437,"High","low")</f>
        <v>High</v>
      </c>
    </row>
    <row r="1568" spans="1:3">
      <c r="A1568" s="1">
        <v>11</v>
      </c>
      <c r="B1568" s="2">
        <f>Walmart_Sales_raw_data!C1568</f>
        <v>1267675.05</v>
      </c>
      <c r="C1568" t="str">
        <f>IF(B1568&gt;=Walmart_Sales_raw_data!$C$6437,"High","low")</f>
        <v>High</v>
      </c>
    </row>
    <row r="1569" spans="1:3">
      <c r="A1569" s="3">
        <v>11</v>
      </c>
      <c r="B1569" s="2">
        <f>Walmart_Sales_raw_data!C1569</f>
        <v>1326132.98</v>
      </c>
      <c r="C1569" t="str">
        <f>IF(B1569&gt;=Walmart_Sales_raw_data!$C$6437,"High","low")</f>
        <v>High</v>
      </c>
    </row>
    <row r="1570" spans="1:3">
      <c r="A1570" s="1">
        <v>11</v>
      </c>
      <c r="B1570" s="2">
        <f>Walmart_Sales_raw_data!C1570</f>
        <v>1227430.73</v>
      </c>
      <c r="C1570" t="str">
        <f>IF(B1570&gt;=Walmart_Sales_raw_data!$C$6437,"High","low")</f>
        <v>High</v>
      </c>
    </row>
    <row r="1571" spans="1:3">
      <c r="A1571" s="3">
        <v>11</v>
      </c>
      <c r="B1571" s="2">
        <f>Walmart_Sales_raw_data!C1571</f>
        <v>1422794.26</v>
      </c>
      <c r="C1571" t="str">
        <f>IF(B1571&gt;=Walmart_Sales_raw_data!$C$6437,"High","low")</f>
        <v>High</v>
      </c>
    </row>
    <row r="1572" spans="1:3">
      <c r="A1572" s="1">
        <v>11</v>
      </c>
      <c r="B1572" s="2">
        <f>Walmart_Sales_raw_data!C1572</f>
        <v>1311965.09</v>
      </c>
      <c r="C1572" t="str">
        <f>IF(B1572&gt;=Walmart_Sales_raw_data!$C$6437,"High","low")</f>
        <v>High</v>
      </c>
    </row>
    <row r="1573" spans="1:3">
      <c r="A1573" s="3">
        <v>11</v>
      </c>
      <c r="B1573" s="2">
        <f>Walmart_Sales_raw_data!C1573</f>
        <v>1232073.18</v>
      </c>
      <c r="C1573" t="str">
        <f>IF(B1573&gt;=Walmart_Sales_raw_data!$C$6437,"High","low")</f>
        <v>High</v>
      </c>
    </row>
    <row r="1574" spans="1:3">
      <c r="A1574" s="1">
        <v>11</v>
      </c>
      <c r="B1574" s="2">
        <f>Walmart_Sales_raw_data!C1574</f>
        <v>1200729.45</v>
      </c>
      <c r="C1574" t="str">
        <f>IF(B1574&gt;=Walmart_Sales_raw_data!$C$6437,"High","low")</f>
        <v>High</v>
      </c>
    </row>
    <row r="1575" spans="1:3">
      <c r="A1575" s="3">
        <v>12</v>
      </c>
      <c r="B1575" s="2">
        <f>Walmart_Sales_raw_data!C1575</f>
        <v>1100046.37</v>
      </c>
      <c r="C1575" t="str">
        <f>IF(B1575&gt;=Walmart_Sales_raw_data!$C$6437,"High","low")</f>
        <v>High</v>
      </c>
    </row>
    <row r="1576" spans="1:3">
      <c r="A1576" s="1">
        <v>12</v>
      </c>
      <c r="B1576" s="2">
        <f>Walmart_Sales_raw_data!C1576</f>
        <v>1117863.33</v>
      </c>
      <c r="C1576" t="str">
        <f>IF(B1576&gt;=Walmart_Sales_raw_data!$C$6437,"High","low")</f>
        <v>High</v>
      </c>
    </row>
    <row r="1577" spans="1:3">
      <c r="A1577" s="3">
        <v>12</v>
      </c>
      <c r="B1577" s="2">
        <f>Walmart_Sales_raw_data!C1577</f>
        <v>1095421.65</v>
      </c>
      <c r="C1577" t="str">
        <f>IF(B1577&gt;=Walmart_Sales_raw_data!$C$6437,"High","low")</f>
        <v>High</v>
      </c>
    </row>
    <row r="1578" spans="1:3">
      <c r="A1578" s="1">
        <v>12</v>
      </c>
      <c r="B1578" s="2">
        <f>Walmart_Sales_raw_data!C1578</f>
        <v>1048617.17</v>
      </c>
      <c r="C1578" t="str">
        <f>IF(B1578&gt;=Walmart_Sales_raw_data!$C$6437,"High","low")</f>
        <v>High</v>
      </c>
    </row>
    <row r="1579" spans="1:3">
      <c r="A1579" s="3">
        <v>12</v>
      </c>
      <c r="B1579" s="2">
        <f>Walmart_Sales_raw_data!C1579</f>
        <v>1077018.27</v>
      </c>
      <c r="C1579" t="str">
        <f>IF(B1579&gt;=Walmart_Sales_raw_data!$C$6437,"High","low")</f>
        <v>High</v>
      </c>
    </row>
    <row r="1580" spans="1:3">
      <c r="A1580" s="1">
        <v>12</v>
      </c>
      <c r="B1580" s="2">
        <f>Walmart_Sales_raw_data!C1580</f>
        <v>985594.23</v>
      </c>
      <c r="C1580" t="str">
        <f>IF(B1580&gt;=Walmart_Sales_raw_data!$C$6437,"High","low")</f>
        <v>low</v>
      </c>
    </row>
    <row r="1581" spans="1:3">
      <c r="A1581" s="3">
        <v>12</v>
      </c>
      <c r="B1581" s="2">
        <f>Walmart_Sales_raw_data!C1581</f>
        <v>972088.34</v>
      </c>
      <c r="C1581" t="str">
        <f>IF(B1581&gt;=Walmart_Sales_raw_data!$C$6437,"High","low")</f>
        <v>low</v>
      </c>
    </row>
    <row r="1582" spans="1:3">
      <c r="A1582" s="1">
        <v>12</v>
      </c>
      <c r="B1582" s="2">
        <f>Walmart_Sales_raw_data!C1582</f>
        <v>981615.81</v>
      </c>
      <c r="C1582" t="str">
        <f>IF(B1582&gt;=Walmart_Sales_raw_data!$C$6437,"High","low")</f>
        <v>low</v>
      </c>
    </row>
    <row r="1583" spans="1:3">
      <c r="A1583" s="3">
        <v>12</v>
      </c>
      <c r="B1583" s="2">
        <f>Walmart_Sales_raw_data!C1583</f>
        <v>1011822.3</v>
      </c>
      <c r="C1583" t="str">
        <f>IF(B1583&gt;=Walmart_Sales_raw_data!$C$6437,"High","low")</f>
        <v>low</v>
      </c>
    </row>
    <row r="1584" spans="1:3">
      <c r="A1584" s="1">
        <v>12</v>
      </c>
      <c r="B1584" s="2">
        <f>Walmart_Sales_raw_data!C1584</f>
        <v>1041238.87</v>
      </c>
      <c r="C1584" t="str">
        <f>IF(B1584&gt;=Walmart_Sales_raw_data!$C$6437,"High","low")</f>
        <v>low</v>
      </c>
    </row>
    <row r="1585" spans="1:3">
      <c r="A1585" s="3">
        <v>12</v>
      </c>
      <c r="B1585" s="2">
        <f>Walmart_Sales_raw_data!C1585</f>
        <v>957997.52</v>
      </c>
      <c r="C1585" t="str">
        <f>IF(B1585&gt;=Walmart_Sales_raw_data!$C$6437,"High","low")</f>
        <v>low</v>
      </c>
    </row>
    <row r="1586" spans="1:3">
      <c r="A1586" s="1">
        <v>12</v>
      </c>
      <c r="B1586" s="2">
        <f>Walmart_Sales_raw_data!C1586</f>
        <v>993833.44</v>
      </c>
      <c r="C1586" t="str">
        <f>IF(B1586&gt;=Walmart_Sales_raw_data!$C$6437,"High","low")</f>
        <v>low</v>
      </c>
    </row>
    <row r="1587" spans="1:3">
      <c r="A1587" s="3">
        <v>12</v>
      </c>
      <c r="B1587" s="2">
        <f>Walmart_Sales_raw_data!C1587</f>
        <v>954220.22</v>
      </c>
      <c r="C1587" t="str">
        <f>IF(B1587&gt;=Walmart_Sales_raw_data!$C$6437,"High","low")</f>
        <v>low</v>
      </c>
    </row>
    <row r="1588" spans="1:3">
      <c r="A1588" s="1">
        <v>12</v>
      </c>
      <c r="B1588" s="2">
        <f>Walmart_Sales_raw_data!C1588</f>
        <v>1043240.27</v>
      </c>
      <c r="C1588" t="str">
        <f>IF(B1588&gt;=Walmart_Sales_raw_data!$C$6437,"High","low")</f>
        <v>low</v>
      </c>
    </row>
    <row r="1589" spans="1:3">
      <c r="A1589" s="3">
        <v>12</v>
      </c>
      <c r="B1589" s="2">
        <f>Walmart_Sales_raw_data!C1589</f>
        <v>966054.97</v>
      </c>
      <c r="C1589" t="str">
        <f>IF(B1589&gt;=Walmart_Sales_raw_data!$C$6437,"High","low")</f>
        <v>low</v>
      </c>
    </row>
    <row r="1590" spans="1:3">
      <c r="A1590" s="1">
        <v>12</v>
      </c>
      <c r="B1590" s="2">
        <f>Walmart_Sales_raw_data!C1590</f>
        <v>958374.56</v>
      </c>
      <c r="C1590" t="str">
        <f>IF(B1590&gt;=Walmart_Sales_raw_data!$C$6437,"High","low")</f>
        <v>low</v>
      </c>
    </row>
    <row r="1591" spans="1:3">
      <c r="A1591" s="3">
        <v>12</v>
      </c>
      <c r="B1591" s="2">
        <f>Walmart_Sales_raw_data!C1591</f>
        <v>955451.16</v>
      </c>
      <c r="C1591" t="str">
        <f>IF(B1591&gt;=Walmart_Sales_raw_data!$C$6437,"High","low")</f>
        <v>low</v>
      </c>
    </row>
    <row r="1592" spans="1:3">
      <c r="A1592" s="1">
        <v>12</v>
      </c>
      <c r="B1592" s="2">
        <f>Walmart_Sales_raw_data!C1592</f>
        <v>1049357.36</v>
      </c>
      <c r="C1592" t="str">
        <f>IF(B1592&gt;=Walmart_Sales_raw_data!$C$6437,"High","low")</f>
        <v>High</v>
      </c>
    </row>
    <row r="1593" spans="1:3">
      <c r="A1593" s="3">
        <v>12</v>
      </c>
      <c r="B1593" s="2">
        <f>Walmart_Sales_raw_data!C1593</f>
        <v>1016039.71</v>
      </c>
      <c r="C1593" t="str">
        <f>IF(B1593&gt;=Walmart_Sales_raw_data!$C$6437,"High","low")</f>
        <v>low</v>
      </c>
    </row>
    <row r="1594" spans="1:3">
      <c r="A1594" s="1">
        <v>12</v>
      </c>
      <c r="B1594" s="2">
        <f>Walmart_Sales_raw_data!C1594</f>
        <v>956211.2</v>
      </c>
      <c r="C1594" t="str">
        <f>IF(B1594&gt;=Walmart_Sales_raw_data!$C$6437,"High","low")</f>
        <v>low</v>
      </c>
    </row>
    <row r="1595" spans="1:3">
      <c r="A1595" s="3">
        <v>12</v>
      </c>
      <c r="B1595" s="2">
        <f>Walmart_Sales_raw_data!C1595</f>
        <v>958007.69</v>
      </c>
      <c r="C1595" t="str">
        <f>IF(B1595&gt;=Walmart_Sales_raw_data!$C$6437,"High","low")</f>
        <v>low</v>
      </c>
    </row>
    <row r="1596" spans="1:3">
      <c r="A1596" s="1">
        <v>12</v>
      </c>
      <c r="B1596" s="2">
        <f>Walmart_Sales_raw_data!C1596</f>
        <v>951957.31</v>
      </c>
      <c r="C1596" t="str">
        <f>IF(B1596&gt;=Walmart_Sales_raw_data!$C$6437,"High","low")</f>
        <v>low</v>
      </c>
    </row>
    <row r="1597" spans="1:3">
      <c r="A1597" s="3">
        <v>12</v>
      </c>
      <c r="B1597" s="2">
        <f>Walmart_Sales_raw_data!C1597</f>
        <v>943506.28</v>
      </c>
      <c r="C1597" t="str">
        <f>IF(B1597&gt;=Walmart_Sales_raw_data!$C$6437,"High","low")</f>
        <v>low</v>
      </c>
    </row>
    <row r="1598" spans="1:3">
      <c r="A1598" s="1">
        <v>12</v>
      </c>
      <c r="B1598" s="2">
        <f>Walmart_Sales_raw_data!C1598</f>
        <v>916402.76</v>
      </c>
      <c r="C1598" t="str">
        <f>IF(B1598&gt;=Walmart_Sales_raw_data!$C$6437,"High","low")</f>
        <v>low</v>
      </c>
    </row>
    <row r="1599" spans="1:3">
      <c r="A1599" s="3">
        <v>12</v>
      </c>
      <c r="B1599" s="2">
        <f>Walmart_Sales_raw_data!C1599</f>
        <v>912403.67</v>
      </c>
      <c r="C1599" t="str">
        <f>IF(B1599&gt;=Walmart_Sales_raw_data!$C$6437,"High","low")</f>
        <v>low</v>
      </c>
    </row>
    <row r="1600" spans="1:3">
      <c r="A1600" s="1">
        <v>12</v>
      </c>
      <c r="B1600" s="2">
        <f>Walmart_Sales_raw_data!C1600</f>
        <v>913548.25</v>
      </c>
      <c r="C1600" t="str">
        <f>IF(B1600&gt;=Walmart_Sales_raw_data!$C$6437,"High","low")</f>
        <v>low</v>
      </c>
    </row>
    <row r="1601" spans="1:3">
      <c r="A1601" s="3">
        <v>12</v>
      </c>
      <c r="B1601" s="2">
        <f>Walmart_Sales_raw_data!C1601</f>
        <v>967576.95</v>
      </c>
      <c r="C1601" t="str">
        <f>IF(B1601&gt;=Walmart_Sales_raw_data!$C$6437,"High","low")</f>
        <v>low</v>
      </c>
    </row>
    <row r="1602" spans="1:3">
      <c r="A1602" s="1">
        <v>12</v>
      </c>
      <c r="B1602" s="2">
        <f>Walmart_Sales_raw_data!C1602</f>
        <v>928264.4</v>
      </c>
      <c r="C1602" t="str">
        <f>IF(B1602&gt;=Walmart_Sales_raw_data!$C$6437,"High","low")</f>
        <v>low</v>
      </c>
    </row>
    <row r="1603" spans="1:3">
      <c r="A1603" s="3">
        <v>12</v>
      </c>
      <c r="B1603" s="2">
        <f>Walmart_Sales_raw_data!C1603</f>
        <v>948447.34</v>
      </c>
      <c r="C1603" t="str">
        <f>IF(B1603&gt;=Walmart_Sales_raw_data!$C$6437,"High","low")</f>
        <v>low</v>
      </c>
    </row>
    <row r="1604" spans="1:3">
      <c r="A1604" s="1">
        <v>12</v>
      </c>
      <c r="B1604" s="2">
        <f>Walmart_Sales_raw_data!C1604</f>
        <v>1004516.46</v>
      </c>
      <c r="C1604" t="str">
        <f>IF(B1604&gt;=Walmart_Sales_raw_data!$C$6437,"High","low")</f>
        <v>low</v>
      </c>
    </row>
    <row r="1605" spans="1:3">
      <c r="A1605" s="3">
        <v>12</v>
      </c>
      <c r="B1605" s="2">
        <f>Walmart_Sales_raw_data!C1605</f>
        <v>1075758.55</v>
      </c>
      <c r="C1605" t="str">
        <f>IF(B1605&gt;=Walmart_Sales_raw_data!$C$6437,"High","low")</f>
        <v>High</v>
      </c>
    </row>
    <row r="1606" spans="1:3">
      <c r="A1606" s="1">
        <v>12</v>
      </c>
      <c r="B1606" s="2">
        <f>Walmart_Sales_raw_data!C1606</f>
        <v>903119.03</v>
      </c>
      <c r="C1606" t="str">
        <f>IF(B1606&gt;=Walmart_Sales_raw_data!$C$6437,"High","low")</f>
        <v>low</v>
      </c>
    </row>
    <row r="1607" spans="1:3">
      <c r="A1607" s="3">
        <v>12</v>
      </c>
      <c r="B1607" s="2">
        <f>Walmart_Sales_raw_data!C1607</f>
        <v>852882.61</v>
      </c>
      <c r="C1607" t="str">
        <f>IF(B1607&gt;=Walmart_Sales_raw_data!$C$6437,"High","low")</f>
        <v>low</v>
      </c>
    </row>
    <row r="1608" spans="1:3">
      <c r="A1608" s="1">
        <v>12</v>
      </c>
      <c r="B1608" s="2">
        <f>Walmart_Sales_raw_data!C1608</f>
        <v>851919.34</v>
      </c>
      <c r="C1608" t="str">
        <f>IF(B1608&gt;=Walmart_Sales_raw_data!$C$6437,"High","low")</f>
        <v>low</v>
      </c>
    </row>
    <row r="1609" spans="1:3">
      <c r="A1609" s="3">
        <v>12</v>
      </c>
      <c r="B1609" s="2">
        <f>Walmart_Sales_raw_data!C1609</f>
        <v>850936.26</v>
      </c>
      <c r="C1609" t="str">
        <f>IF(B1609&gt;=Walmart_Sales_raw_data!$C$6437,"High","low")</f>
        <v>low</v>
      </c>
    </row>
    <row r="1610" spans="1:3">
      <c r="A1610" s="1">
        <v>12</v>
      </c>
      <c r="B1610" s="2">
        <f>Walmart_Sales_raw_data!C1610</f>
        <v>918335.68</v>
      </c>
      <c r="C1610" t="str">
        <f>IF(B1610&gt;=Walmart_Sales_raw_data!$C$6437,"High","low")</f>
        <v>low</v>
      </c>
    </row>
    <row r="1611" spans="1:3">
      <c r="A1611" s="3">
        <v>12</v>
      </c>
      <c r="B1611" s="2">
        <f>Walmart_Sales_raw_data!C1611</f>
        <v>862419.84</v>
      </c>
      <c r="C1611" t="str">
        <f>IF(B1611&gt;=Walmart_Sales_raw_data!$C$6437,"High","low")</f>
        <v>low</v>
      </c>
    </row>
    <row r="1612" spans="1:3">
      <c r="A1612" s="1">
        <v>12</v>
      </c>
      <c r="B1612" s="2">
        <f>Walmart_Sales_raw_data!C1612</f>
        <v>857883.46</v>
      </c>
      <c r="C1612" t="str">
        <f>IF(B1612&gt;=Walmart_Sales_raw_data!$C$6437,"High","low")</f>
        <v>low</v>
      </c>
    </row>
    <row r="1613" spans="1:3">
      <c r="A1613" s="3">
        <v>12</v>
      </c>
      <c r="B1613" s="2">
        <f>Walmart_Sales_raw_data!C1613</f>
        <v>955294.7</v>
      </c>
      <c r="C1613" t="str">
        <f>IF(B1613&gt;=Walmart_Sales_raw_data!$C$6437,"High","low")</f>
        <v>low</v>
      </c>
    </row>
    <row r="1614" spans="1:3">
      <c r="A1614" s="1">
        <v>12</v>
      </c>
      <c r="B1614" s="2">
        <f>Walmart_Sales_raw_data!C1614</f>
        <v>929690.71</v>
      </c>
      <c r="C1614" t="str">
        <f>IF(B1614&gt;=Walmart_Sales_raw_data!$C$6437,"High","low")</f>
        <v>low</v>
      </c>
    </row>
    <row r="1615" spans="1:3">
      <c r="A1615" s="3">
        <v>12</v>
      </c>
      <c r="B1615" s="2">
        <f>Walmart_Sales_raw_data!C1615</f>
        <v>942475.24</v>
      </c>
      <c r="C1615" t="str">
        <f>IF(B1615&gt;=Walmart_Sales_raw_data!$C$6437,"High","low")</f>
        <v>low</v>
      </c>
    </row>
    <row r="1616" spans="1:3">
      <c r="A1616" s="1">
        <v>12</v>
      </c>
      <c r="B1616" s="2">
        <f>Walmart_Sales_raw_data!C1616</f>
        <v>894493.7</v>
      </c>
      <c r="C1616" t="str">
        <f>IF(B1616&gt;=Walmart_Sales_raw_data!$C$6437,"High","low")</f>
        <v>low</v>
      </c>
    </row>
    <row r="1617" spans="1:3">
      <c r="A1617" s="3">
        <v>12</v>
      </c>
      <c r="B1617" s="2">
        <f>Walmart_Sales_raw_data!C1617</f>
        <v>1601377.41</v>
      </c>
      <c r="C1617" t="str">
        <f>IF(B1617&gt;=Walmart_Sales_raw_data!$C$6437,"High","low")</f>
        <v>High</v>
      </c>
    </row>
    <row r="1618" spans="1:3">
      <c r="A1618" s="1">
        <v>12</v>
      </c>
      <c r="B1618" s="2">
        <f>Walmart_Sales_raw_data!C1618</f>
        <v>1069533.17</v>
      </c>
      <c r="C1618" t="str">
        <f>IF(B1618&gt;=Walmart_Sales_raw_data!$C$6437,"High","low")</f>
        <v>High</v>
      </c>
    </row>
    <row r="1619" spans="1:3">
      <c r="A1619" s="3">
        <v>12</v>
      </c>
      <c r="B1619" s="2">
        <f>Walmart_Sales_raw_data!C1619</f>
        <v>1121934.15</v>
      </c>
      <c r="C1619" t="str">
        <f>IF(B1619&gt;=Walmart_Sales_raw_data!$C$6437,"High","low")</f>
        <v>High</v>
      </c>
    </row>
    <row r="1620" spans="1:3">
      <c r="A1620" s="1">
        <v>12</v>
      </c>
      <c r="B1620" s="2">
        <f>Walmart_Sales_raw_data!C1620</f>
        <v>1295605.35</v>
      </c>
      <c r="C1620" t="str">
        <f>IF(B1620&gt;=Walmart_Sales_raw_data!$C$6437,"High","low")</f>
        <v>High</v>
      </c>
    </row>
    <row r="1621" spans="1:3">
      <c r="A1621" s="3">
        <v>12</v>
      </c>
      <c r="B1621" s="2">
        <f>Walmart_Sales_raw_data!C1621</f>
        <v>1768249.89</v>
      </c>
      <c r="C1621" t="str">
        <f>IF(B1621&gt;=Walmart_Sales_raw_data!$C$6437,"High","low")</f>
        <v>High</v>
      </c>
    </row>
    <row r="1622" spans="1:3">
      <c r="A1622" s="1">
        <v>12</v>
      </c>
      <c r="B1622" s="2">
        <f>Walmart_Sales_raw_data!C1622</f>
        <v>891736.91</v>
      </c>
      <c r="C1622" t="str">
        <f>IF(B1622&gt;=Walmart_Sales_raw_data!$C$6437,"High","low")</f>
        <v>low</v>
      </c>
    </row>
    <row r="1623" spans="1:3">
      <c r="A1623" s="3">
        <v>12</v>
      </c>
      <c r="B1623" s="2">
        <f>Walmart_Sales_raw_data!C1623</f>
        <v>910110.24</v>
      </c>
      <c r="C1623" t="str">
        <f>IF(B1623&gt;=Walmart_Sales_raw_data!$C$6437,"High","low")</f>
        <v>low</v>
      </c>
    </row>
    <row r="1624" spans="1:3">
      <c r="A1624" s="1">
        <v>12</v>
      </c>
      <c r="B1624" s="2">
        <f>Walmart_Sales_raw_data!C1624</f>
        <v>812011.8</v>
      </c>
      <c r="C1624" t="str">
        <f>IF(B1624&gt;=Walmart_Sales_raw_data!$C$6437,"High","low")</f>
        <v>low</v>
      </c>
    </row>
    <row r="1625" spans="1:3">
      <c r="A1625" s="3">
        <v>12</v>
      </c>
      <c r="B1625" s="2">
        <f>Walmart_Sales_raw_data!C1625</f>
        <v>802105.5</v>
      </c>
      <c r="C1625" t="str">
        <f>IF(B1625&gt;=Walmart_Sales_raw_data!$C$6437,"High","low")</f>
        <v>low</v>
      </c>
    </row>
    <row r="1626" spans="1:3">
      <c r="A1626" s="1">
        <v>12</v>
      </c>
      <c r="B1626" s="2">
        <f>Walmart_Sales_raw_data!C1626</f>
        <v>873119.06</v>
      </c>
      <c r="C1626" t="str">
        <f>IF(B1626&gt;=Walmart_Sales_raw_data!$C$6437,"High","low")</f>
        <v>low</v>
      </c>
    </row>
    <row r="1627" spans="1:3">
      <c r="A1627" s="3">
        <v>12</v>
      </c>
      <c r="B1627" s="2">
        <f>Walmart_Sales_raw_data!C1627</f>
        <v>1046068.17</v>
      </c>
      <c r="C1627" t="str">
        <f>IF(B1627&gt;=Walmart_Sales_raw_data!$C$6437,"High","low")</f>
        <v>low</v>
      </c>
    </row>
    <row r="1628" spans="1:3">
      <c r="A1628" s="1">
        <v>12</v>
      </c>
      <c r="B1628" s="2">
        <f>Walmart_Sales_raw_data!C1628</f>
        <v>1086421.57</v>
      </c>
      <c r="C1628" t="str">
        <f>IF(B1628&gt;=Walmart_Sales_raw_data!$C$6437,"High","low")</f>
        <v>High</v>
      </c>
    </row>
    <row r="1629" spans="1:3">
      <c r="A1629" s="3">
        <v>12</v>
      </c>
      <c r="B1629" s="2">
        <f>Walmart_Sales_raw_data!C1629</f>
        <v>1128485.1</v>
      </c>
      <c r="C1629" t="str">
        <f>IF(B1629&gt;=Walmart_Sales_raw_data!$C$6437,"High","low")</f>
        <v>High</v>
      </c>
    </row>
    <row r="1630" spans="1:3">
      <c r="A1630" s="1">
        <v>12</v>
      </c>
      <c r="B1630" s="2">
        <f>Walmart_Sales_raw_data!C1630</f>
        <v>1046203.72</v>
      </c>
      <c r="C1630" t="str">
        <f>IF(B1630&gt;=Walmart_Sales_raw_data!$C$6437,"High","low")</f>
        <v>low</v>
      </c>
    </row>
    <row r="1631" spans="1:3">
      <c r="A1631" s="3">
        <v>12</v>
      </c>
      <c r="B1631" s="2">
        <f>Walmart_Sales_raw_data!C1631</f>
        <v>1085248.21</v>
      </c>
      <c r="C1631" t="str">
        <f>IF(B1631&gt;=Walmart_Sales_raw_data!$C$6437,"High","low")</f>
        <v>High</v>
      </c>
    </row>
    <row r="1632" spans="1:3">
      <c r="A1632" s="1">
        <v>12</v>
      </c>
      <c r="B1632" s="2">
        <f>Walmart_Sales_raw_data!C1632</f>
        <v>997672.62</v>
      </c>
      <c r="C1632" t="str">
        <f>IF(B1632&gt;=Walmart_Sales_raw_data!$C$6437,"High","low")</f>
        <v>low</v>
      </c>
    </row>
    <row r="1633" spans="1:3">
      <c r="A1633" s="3">
        <v>12</v>
      </c>
      <c r="B1633" s="2">
        <f>Walmart_Sales_raw_data!C1633</f>
        <v>1009502.01</v>
      </c>
      <c r="C1633" t="str">
        <f>IF(B1633&gt;=Walmart_Sales_raw_data!$C$6437,"High","low")</f>
        <v>low</v>
      </c>
    </row>
    <row r="1634" spans="1:3">
      <c r="A1634" s="1">
        <v>12</v>
      </c>
      <c r="B1634" s="2">
        <f>Walmart_Sales_raw_data!C1634</f>
        <v>954107.32</v>
      </c>
      <c r="C1634" t="str">
        <f>IF(B1634&gt;=Walmart_Sales_raw_data!$C$6437,"High","low")</f>
        <v>low</v>
      </c>
    </row>
    <row r="1635" spans="1:3">
      <c r="A1635" s="3">
        <v>12</v>
      </c>
      <c r="B1635" s="2">
        <f>Walmart_Sales_raw_data!C1635</f>
        <v>1005463.49</v>
      </c>
      <c r="C1635" t="str">
        <f>IF(B1635&gt;=Walmart_Sales_raw_data!$C$6437,"High","low")</f>
        <v>low</v>
      </c>
    </row>
    <row r="1636" spans="1:3">
      <c r="A1636" s="1">
        <v>12</v>
      </c>
      <c r="B1636" s="2">
        <f>Walmart_Sales_raw_data!C1636</f>
        <v>998362.05</v>
      </c>
      <c r="C1636" t="str">
        <f>IF(B1636&gt;=Walmart_Sales_raw_data!$C$6437,"High","low")</f>
        <v>low</v>
      </c>
    </row>
    <row r="1637" spans="1:3">
      <c r="A1637" s="3">
        <v>12</v>
      </c>
      <c r="B1637" s="2">
        <f>Walmart_Sales_raw_data!C1637</f>
        <v>990951.77</v>
      </c>
      <c r="C1637" t="str">
        <f>IF(B1637&gt;=Walmart_Sales_raw_data!$C$6437,"High","low")</f>
        <v>low</v>
      </c>
    </row>
    <row r="1638" spans="1:3">
      <c r="A1638" s="1">
        <v>12</v>
      </c>
      <c r="B1638" s="2">
        <f>Walmart_Sales_raw_data!C1638</f>
        <v>1016019.47</v>
      </c>
      <c r="C1638" t="str">
        <f>IF(B1638&gt;=Walmart_Sales_raw_data!$C$6437,"High","low")</f>
        <v>low</v>
      </c>
    </row>
    <row r="1639" spans="1:3">
      <c r="A1639" s="3">
        <v>12</v>
      </c>
      <c r="B1639" s="2">
        <f>Walmart_Sales_raw_data!C1639</f>
        <v>994966.1</v>
      </c>
      <c r="C1639" t="str">
        <f>IF(B1639&gt;=Walmart_Sales_raw_data!$C$6437,"High","low")</f>
        <v>low</v>
      </c>
    </row>
    <row r="1640" spans="1:3">
      <c r="A1640" s="1">
        <v>12</v>
      </c>
      <c r="B1640" s="2">
        <f>Walmart_Sales_raw_data!C1640</f>
        <v>1021154.48</v>
      </c>
      <c r="C1640" t="str">
        <f>IF(B1640&gt;=Walmart_Sales_raw_data!$C$6437,"High","low")</f>
        <v>low</v>
      </c>
    </row>
    <row r="1641" spans="1:3">
      <c r="A1641" s="3">
        <v>12</v>
      </c>
      <c r="B1641" s="2">
        <f>Walmart_Sales_raw_data!C1641</f>
        <v>977033.5</v>
      </c>
      <c r="C1641" t="str">
        <f>IF(B1641&gt;=Walmart_Sales_raw_data!$C$6437,"High","low")</f>
        <v>low</v>
      </c>
    </row>
    <row r="1642" spans="1:3">
      <c r="A1642" s="1">
        <v>12</v>
      </c>
      <c r="B1642" s="2">
        <f>Walmart_Sales_raw_data!C1642</f>
        <v>924134.99</v>
      </c>
      <c r="C1642" t="str">
        <f>IF(B1642&gt;=Walmart_Sales_raw_data!$C$6437,"High","low")</f>
        <v>low</v>
      </c>
    </row>
    <row r="1643" spans="1:3">
      <c r="A1643" s="3">
        <v>12</v>
      </c>
      <c r="B1643" s="2">
        <f>Walmart_Sales_raw_data!C1643</f>
        <v>964332.51</v>
      </c>
      <c r="C1643" t="str">
        <f>IF(B1643&gt;=Walmart_Sales_raw_data!$C$6437,"High","low")</f>
        <v>low</v>
      </c>
    </row>
    <row r="1644" spans="1:3">
      <c r="A1644" s="1">
        <v>12</v>
      </c>
      <c r="B1644" s="2">
        <f>Walmart_Sales_raw_data!C1644</f>
        <v>970328.68</v>
      </c>
      <c r="C1644" t="str">
        <f>IF(B1644&gt;=Walmart_Sales_raw_data!$C$6437,"High","low")</f>
        <v>low</v>
      </c>
    </row>
    <row r="1645" spans="1:3">
      <c r="A1645" s="3">
        <v>12</v>
      </c>
      <c r="B1645" s="2">
        <f>Walmart_Sales_raw_data!C1645</f>
        <v>996937.95</v>
      </c>
      <c r="C1645" t="str">
        <f>IF(B1645&gt;=Walmart_Sales_raw_data!$C$6437,"High","low")</f>
        <v>low</v>
      </c>
    </row>
    <row r="1646" spans="1:3">
      <c r="A1646" s="1">
        <v>12</v>
      </c>
      <c r="B1646" s="2">
        <f>Walmart_Sales_raw_data!C1646</f>
        <v>986504.93</v>
      </c>
      <c r="C1646" t="str">
        <f>IF(B1646&gt;=Walmart_Sales_raw_data!$C$6437,"High","low")</f>
        <v>low</v>
      </c>
    </row>
    <row r="1647" spans="1:3">
      <c r="A1647" s="3">
        <v>12</v>
      </c>
      <c r="B1647" s="2">
        <f>Walmart_Sales_raw_data!C1647</f>
        <v>997282.75</v>
      </c>
      <c r="C1647" t="str">
        <f>IF(B1647&gt;=Walmart_Sales_raw_data!$C$6437,"High","low")</f>
        <v>low</v>
      </c>
    </row>
    <row r="1648" spans="1:3">
      <c r="A1648" s="1">
        <v>12</v>
      </c>
      <c r="B1648" s="2">
        <f>Walmart_Sales_raw_data!C1648</f>
        <v>961993.34</v>
      </c>
      <c r="C1648" t="str">
        <f>IF(B1648&gt;=Walmart_Sales_raw_data!$C$6437,"High","low")</f>
        <v>low</v>
      </c>
    </row>
    <row r="1649" spans="1:3">
      <c r="A1649" s="3">
        <v>12</v>
      </c>
      <c r="B1649" s="2">
        <f>Walmart_Sales_raw_data!C1649</f>
        <v>943717.38</v>
      </c>
      <c r="C1649" t="str">
        <f>IF(B1649&gt;=Walmart_Sales_raw_data!$C$6437,"High","low")</f>
        <v>low</v>
      </c>
    </row>
    <row r="1650" spans="1:3">
      <c r="A1650" s="1">
        <v>12</v>
      </c>
      <c r="B1650" s="2">
        <f>Walmart_Sales_raw_data!C1650</f>
        <v>936001.98</v>
      </c>
      <c r="C1650" t="str">
        <f>IF(B1650&gt;=Walmart_Sales_raw_data!$C$6437,"High","low")</f>
        <v>low</v>
      </c>
    </row>
    <row r="1651" spans="1:3">
      <c r="A1651" s="3">
        <v>12</v>
      </c>
      <c r="B1651" s="2">
        <f>Walmart_Sales_raw_data!C1651</f>
        <v>922231.92</v>
      </c>
      <c r="C1651" t="str">
        <f>IF(B1651&gt;=Walmart_Sales_raw_data!$C$6437,"High","low")</f>
        <v>low</v>
      </c>
    </row>
    <row r="1652" spans="1:3">
      <c r="A1652" s="1">
        <v>12</v>
      </c>
      <c r="B1652" s="2">
        <f>Walmart_Sales_raw_data!C1652</f>
        <v>890547.07</v>
      </c>
      <c r="C1652" t="str">
        <f>IF(B1652&gt;=Walmart_Sales_raw_data!$C$6437,"High","low")</f>
        <v>low</v>
      </c>
    </row>
    <row r="1653" spans="1:3">
      <c r="A1653" s="3">
        <v>12</v>
      </c>
      <c r="B1653" s="2">
        <f>Walmart_Sales_raw_data!C1653</f>
        <v>988712.52</v>
      </c>
      <c r="C1653" t="str">
        <f>IF(B1653&gt;=Walmart_Sales_raw_data!$C$6437,"High","low")</f>
        <v>low</v>
      </c>
    </row>
    <row r="1654" spans="1:3">
      <c r="A1654" s="1">
        <v>12</v>
      </c>
      <c r="B1654" s="2">
        <f>Walmart_Sales_raw_data!C1654</f>
        <v>955913.68</v>
      </c>
      <c r="C1654" t="str">
        <f>IF(B1654&gt;=Walmart_Sales_raw_data!$C$6437,"High","low")</f>
        <v>low</v>
      </c>
    </row>
    <row r="1655" spans="1:3">
      <c r="A1655" s="3">
        <v>12</v>
      </c>
      <c r="B1655" s="2">
        <f>Walmart_Sales_raw_data!C1655</f>
        <v>966817.24</v>
      </c>
      <c r="C1655" t="str">
        <f>IF(B1655&gt;=Walmart_Sales_raw_data!$C$6437,"High","low")</f>
        <v>low</v>
      </c>
    </row>
    <row r="1656" spans="1:3">
      <c r="A1656" s="1">
        <v>12</v>
      </c>
      <c r="B1656" s="2">
        <f>Walmart_Sales_raw_data!C1656</f>
        <v>1017593.47</v>
      </c>
      <c r="C1656" t="str">
        <f>IF(B1656&gt;=Walmart_Sales_raw_data!$C$6437,"High","low")</f>
        <v>low</v>
      </c>
    </row>
    <row r="1657" spans="1:3">
      <c r="A1657" s="3">
        <v>12</v>
      </c>
      <c r="B1657" s="2">
        <f>Walmart_Sales_raw_data!C1657</f>
        <v>1052051.45</v>
      </c>
      <c r="C1657" t="str">
        <f>IF(B1657&gt;=Walmart_Sales_raw_data!$C$6437,"High","low")</f>
        <v>High</v>
      </c>
    </row>
    <row r="1658" spans="1:3">
      <c r="A1658" s="1">
        <v>12</v>
      </c>
      <c r="B1658" s="2">
        <f>Walmart_Sales_raw_data!C1658</f>
        <v>922850.57</v>
      </c>
      <c r="C1658" t="str">
        <f>IF(B1658&gt;=Walmart_Sales_raw_data!$C$6437,"High","low")</f>
        <v>low</v>
      </c>
    </row>
    <row r="1659" spans="1:3">
      <c r="A1659" s="3">
        <v>12</v>
      </c>
      <c r="B1659" s="2">
        <f>Walmart_Sales_raw_data!C1659</f>
        <v>889290.23</v>
      </c>
      <c r="C1659" t="str">
        <f>IF(B1659&gt;=Walmart_Sales_raw_data!$C$6437,"High","low")</f>
        <v>low</v>
      </c>
    </row>
    <row r="1660" spans="1:3">
      <c r="A1660" s="1">
        <v>12</v>
      </c>
      <c r="B1660" s="2">
        <f>Walmart_Sales_raw_data!C1660</f>
        <v>871692.74</v>
      </c>
      <c r="C1660" t="str">
        <f>IF(B1660&gt;=Walmart_Sales_raw_data!$C$6437,"High","low")</f>
        <v>low</v>
      </c>
    </row>
    <row r="1661" spans="1:3">
      <c r="A1661" s="3">
        <v>12</v>
      </c>
      <c r="B1661" s="2">
        <f>Walmart_Sales_raw_data!C1661</f>
        <v>866401.45</v>
      </c>
      <c r="C1661" t="str">
        <f>IF(B1661&gt;=Walmart_Sales_raw_data!$C$6437,"High","low")</f>
        <v>low</v>
      </c>
    </row>
    <row r="1662" spans="1:3">
      <c r="A1662" s="1">
        <v>12</v>
      </c>
      <c r="B1662" s="2">
        <f>Walmart_Sales_raw_data!C1662</f>
        <v>951244.66</v>
      </c>
      <c r="C1662" t="str">
        <f>IF(B1662&gt;=Walmart_Sales_raw_data!$C$6437,"High","low")</f>
        <v>low</v>
      </c>
    </row>
    <row r="1663" spans="1:3">
      <c r="A1663" s="3">
        <v>12</v>
      </c>
      <c r="B1663" s="2">
        <f>Walmart_Sales_raw_data!C1663</f>
        <v>927600.01</v>
      </c>
      <c r="C1663" t="str">
        <f>IF(B1663&gt;=Walmart_Sales_raw_data!$C$6437,"High","low")</f>
        <v>low</v>
      </c>
    </row>
    <row r="1664" spans="1:3">
      <c r="A1664" s="1">
        <v>12</v>
      </c>
      <c r="B1664" s="2">
        <f>Walmart_Sales_raw_data!C1664</f>
        <v>938604.58</v>
      </c>
      <c r="C1664" t="str">
        <f>IF(B1664&gt;=Walmart_Sales_raw_data!$C$6437,"High","low")</f>
        <v>low</v>
      </c>
    </row>
    <row r="1665" spans="1:3">
      <c r="A1665" s="3">
        <v>12</v>
      </c>
      <c r="B1665" s="2">
        <f>Walmart_Sales_raw_data!C1665</f>
        <v>990926.38</v>
      </c>
      <c r="C1665" t="str">
        <f>IF(B1665&gt;=Walmart_Sales_raw_data!$C$6437,"High","low")</f>
        <v>low</v>
      </c>
    </row>
    <row r="1666" spans="1:3">
      <c r="A1666" s="1">
        <v>12</v>
      </c>
      <c r="B1666" s="2">
        <f>Walmart_Sales_raw_data!C1666</f>
        <v>1051944.79</v>
      </c>
      <c r="C1666" t="str">
        <f>IF(B1666&gt;=Walmart_Sales_raw_data!$C$6437,"High","low")</f>
        <v>High</v>
      </c>
    </row>
    <row r="1667" spans="1:3">
      <c r="A1667" s="3">
        <v>12</v>
      </c>
      <c r="B1667" s="2">
        <f>Walmart_Sales_raw_data!C1667</f>
        <v>1095091.53</v>
      </c>
      <c r="C1667" t="str">
        <f>IF(B1667&gt;=Walmart_Sales_raw_data!$C$6437,"High","low")</f>
        <v>High</v>
      </c>
    </row>
    <row r="1668" spans="1:3">
      <c r="A1668" s="1">
        <v>12</v>
      </c>
      <c r="B1668" s="2">
        <f>Walmart_Sales_raw_data!C1668</f>
        <v>970641.34</v>
      </c>
      <c r="C1668" t="str">
        <f>IF(B1668&gt;=Walmart_Sales_raw_data!$C$6437,"High","low")</f>
        <v>low</v>
      </c>
    </row>
    <row r="1669" spans="1:3">
      <c r="A1669" s="3">
        <v>12</v>
      </c>
      <c r="B1669" s="2">
        <f>Walmart_Sales_raw_data!C1669</f>
        <v>1591920.42</v>
      </c>
      <c r="C1669" t="str">
        <f>IF(B1669&gt;=Walmart_Sales_raw_data!$C$6437,"High","low")</f>
        <v>High</v>
      </c>
    </row>
    <row r="1670" spans="1:3">
      <c r="A1670" s="1">
        <v>12</v>
      </c>
      <c r="B1670" s="2">
        <f>Walmart_Sales_raw_data!C1670</f>
        <v>1071383.1</v>
      </c>
      <c r="C1670" t="str">
        <f>IF(B1670&gt;=Walmart_Sales_raw_data!$C$6437,"High","low")</f>
        <v>High</v>
      </c>
    </row>
    <row r="1671" spans="1:3">
      <c r="A1671" s="3">
        <v>12</v>
      </c>
      <c r="B1671" s="2">
        <f>Walmart_Sales_raw_data!C1671</f>
        <v>1189646.45</v>
      </c>
      <c r="C1671" t="str">
        <f>IF(B1671&gt;=Walmart_Sales_raw_data!$C$6437,"High","low")</f>
        <v>High</v>
      </c>
    </row>
    <row r="1672" spans="1:3">
      <c r="A1672" s="1">
        <v>12</v>
      </c>
      <c r="B1672" s="2">
        <f>Walmart_Sales_raw_data!C1672</f>
        <v>1293404.18</v>
      </c>
      <c r="C1672" t="str">
        <f>IF(B1672&gt;=Walmart_Sales_raw_data!$C$6437,"High","low")</f>
        <v>High</v>
      </c>
    </row>
    <row r="1673" spans="1:3">
      <c r="A1673" s="3">
        <v>12</v>
      </c>
      <c r="B1673" s="2">
        <f>Walmart_Sales_raw_data!C1673</f>
        <v>1617612.03</v>
      </c>
      <c r="C1673" t="str">
        <f>IF(B1673&gt;=Walmart_Sales_raw_data!$C$6437,"High","low")</f>
        <v>High</v>
      </c>
    </row>
    <row r="1674" spans="1:3">
      <c r="A1674" s="1">
        <v>12</v>
      </c>
      <c r="B1674" s="2">
        <f>Walmart_Sales_raw_data!C1674</f>
        <v>1111638.07</v>
      </c>
      <c r="C1674" t="str">
        <f>IF(B1674&gt;=Walmart_Sales_raw_data!$C$6437,"High","low")</f>
        <v>High</v>
      </c>
    </row>
    <row r="1675" spans="1:3">
      <c r="A1675" s="3">
        <v>12</v>
      </c>
      <c r="B1675" s="2">
        <f>Walmart_Sales_raw_data!C1675</f>
        <v>945823.65</v>
      </c>
      <c r="C1675" t="str">
        <f>IF(B1675&gt;=Walmart_Sales_raw_data!$C$6437,"High","low")</f>
        <v>low</v>
      </c>
    </row>
    <row r="1676" spans="1:3">
      <c r="A1676" s="1">
        <v>12</v>
      </c>
      <c r="B1676" s="2">
        <f>Walmart_Sales_raw_data!C1676</f>
        <v>865467.86</v>
      </c>
      <c r="C1676" t="str">
        <f>IF(B1676&gt;=Walmart_Sales_raw_data!$C$6437,"High","low")</f>
        <v>low</v>
      </c>
    </row>
    <row r="1677" spans="1:3">
      <c r="A1677" s="3">
        <v>12</v>
      </c>
      <c r="B1677" s="2">
        <f>Walmart_Sales_raw_data!C1677</f>
        <v>855922.64</v>
      </c>
      <c r="C1677" t="str">
        <f>IF(B1677&gt;=Walmart_Sales_raw_data!$C$6437,"High","low")</f>
        <v>low</v>
      </c>
    </row>
    <row r="1678" spans="1:3">
      <c r="A1678" s="1">
        <v>12</v>
      </c>
      <c r="B1678" s="2">
        <f>Walmart_Sales_raw_data!C1678</f>
        <v>888203.69</v>
      </c>
      <c r="C1678" t="str">
        <f>IF(B1678&gt;=Walmart_Sales_raw_data!$C$6437,"High","low")</f>
        <v>low</v>
      </c>
    </row>
    <row r="1679" spans="1:3">
      <c r="A1679" s="3">
        <v>12</v>
      </c>
      <c r="B1679" s="2">
        <f>Walmart_Sales_raw_data!C1679</f>
        <v>1058767.95</v>
      </c>
      <c r="C1679" t="str">
        <f>IF(B1679&gt;=Walmart_Sales_raw_data!$C$6437,"High","low")</f>
        <v>High</v>
      </c>
    </row>
    <row r="1680" spans="1:3">
      <c r="A1680" s="1">
        <v>12</v>
      </c>
      <c r="B1680" s="2">
        <f>Walmart_Sales_raw_data!C1680</f>
        <v>1199330.85</v>
      </c>
      <c r="C1680" t="str">
        <f>IF(B1680&gt;=Walmart_Sales_raw_data!$C$6437,"High","low")</f>
        <v>High</v>
      </c>
    </row>
    <row r="1681" spans="1:3">
      <c r="A1681" s="3">
        <v>12</v>
      </c>
      <c r="B1681" s="2">
        <f>Walmart_Sales_raw_data!C1681</f>
        <v>1240048.85</v>
      </c>
      <c r="C1681" t="str">
        <f>IF(B1681&gt;=Walmart_Sales_raw_data!$C$6437,"High","low")</f>
        <v>High</v>
      </c>
    </row>
    <row r="1682" spans="1:3">
      <c r="A1682" s="1">
        <v>12</v>
      </c>
      <c r="B1682" s="2">
        <f>Walmart_Sales_raw_data!C1682</f>
        <v>1112034.72</v>
      </c>
      <c r="C1682" t="str">
        <f>IF(B1682&gt;=Walmart_Sales_raw_data!$C$6437,"High","low")</f>
        <v>High</v>
      </c>
    </row>
    <row r="1683" spans="1:3">
      <c r="A1683" s="3">
        <v>12</v>
      </c>
      <c r="B1683" s="2">
        <f>Walmart_Sales_raw_data!C1683</f>
        <v>1147636.96</v>
      </c>
      <c r="C1683" t="str">
        <f>IF(B1683&gt;=Walmart_Sales_raw_data!$C$6437,"High","low")</f>
        <v>High</v>
      </c>
    </row>
    <row r="1684" spans="1:3">
      <c r="A1684" s="1">
        <v>12</v>
      </c>
      <c r="B1684" s="2">
        <f>Walmart_Sales_raw_data!C1684</f>
        <v>1113208.57</v>
      </c>
      <c r="C1684" t="str">
        <f>IF(B1684&gt;=Walmart_Sales_raw_data!$C$6437,"High","low")</f>
        <v>High</v>
      </c>
    </row>
    <row r="1685" spans="1:3">
      <c r="A1685" s="3">
        <v>12</v>
      </c>
      <c r="B1685" s="2">
        <f>Walmart_Sales_raw_data!C1685</f>
        <v>1088498.52</v>
      </c>
      <c r="C1685" t="str">
        <f>IF(B1685&gt;=Walmart_Sales_raw_data!$C$6437,"High","low")</f>
        <v>High</v>
      </c>
    </row>
    <row r="1686" spans="1:3">
      <c r="A1686" s="1">
        <v>12</v>
      </c>
      <c r="B1686" s="2">
        <f>Walmart_Sales_raw_data!C1686</f>
        <v>1045419.87</v>
      </c>
      <c r="C1686" t="str">
        <f>IF(B1686&gt;=Walmart_Sales_raw_data!$C$6437,"High","low")</f>
        <v>low</v>
      </c>
    </row>
    <row r="1687" spans="1:3">
      <c r="A1687" s="3">
        <v>12</v>
      </c>
      <c r="B1687" s="2">
        <f>Walmart_Sales_raw_data!C1687</f>
        <v>1025382.22</v>
      </c>
      <c r="C1687" t="str">
        <f>IF(B1687&gt;=Walmart_Sales_raw_data!$C$6437,"High","low")</f>
        <v>low</v>
      </c>
    </row>
    <row r="1688" spans="1:3">
      <c r="A1688" s="1">
        <v>12</v>
      </c>
      <c r="B1688" s="2">
        <f>Walmart_Sales_raw_data!C1688</f>
        <v>1128765.71</v>
      </c>
      <c r="C1688" t="str">
        <f>IF(B1688&gt;=Walmart_Sales_raw_data!$C$6437,"High","low")</f>
        <v>High</v>
      </c>
    </row>
    <row r="1689" spans="1:3">
      <c r="A1689" s="3">
        <v>12</v>
      </c>
      <c r="B1689" s="2">
        <f>Walmart_Sales_raw_data!C1689</f>
        <v>1083811.19</v>
      </c>
      <c r="C1689" t="str">
        <f>IF(B1689&gt;=Walmart_Sales_raw_data!$C$6437,"High","low")</f>
        <v>High</v>
      </c>
    </row>
    <row r="1690" spans="1:3">
      <c r="A1690" s="1">
        <v>12</v>
      </c>
      <c r="B1690" s="2">
        <f>Walmart_Sales_raw_data!C1690</f>
        <v>1006486.96</v>
      </c>
      <c r="C1690" t="str">
        <f>IF(B1690&gt;=Walmart_Sales_raw_data!$C$6437,"High","low")</f>
        <v>low</v>
      </c>
    </row>
    <row r="1691" spans="1:3">
      <c r="A1691" s="3">
        <v>12</v>
      </c>
      <c r="B1691" s="2">
        <f>Walmart_Sales_raw_data!C1691</f>
        <v>1004252.38</v>
      </c>
      <c r="C1691" t="str">
        <f>IF(B1691&gt;=Walmart_Sales_raw_data!$C$6437,"High","low")</f>
        <v>low</v>
      </c>
    </row>
    <row r="1692" spans="1:3">
      <c r="A1692" s="1">
        <v>12</v>
      </c>
      <c r="B1692" s="2">
        <f>Walmart_Sales_raw_data!C1692</f>
        <v>1073433.69</v>
      </c>
      <c r="C1692" t="str">
        <f>IF(B1692&gt;=Walmart_Sales_raw_data!$C$6437,"High","low")</f>
        <v>High</v>
      </c>
    </row>
    <row r="1693" spans="1:3">
      <c r="A1693" s="3">
        <v>12</v>
      </c>
      <c r="B1693" s="2">
        <f>Walmart_Sales_raw_data!C1693</f>
        <v>1041995.22</v>
      </c>
      <c r="C1693" t="str">
        <f>IF(B1693&gt;=Walmart_Sales_raw_data!$C$6437,"High","low")</f>
        <v>low</v>
      </c>
    </row>
    <row r="1694" spans="1:3">
      <c r="A1694" s="1">
        <v>12</v>
      </c>
      <c r="B1694" s="2">
        <f>Walmart_Sales_raw_data!C1694</f>
        <v>1020486.05</v>
      </c>
      <c r="C1694" t="str">
        <f>IF(B1694&gt;=Walmart_Sales_raw_data!$C$6437,"High","low")</f>
        <v>low</v>
      </c>
    </row>
    <row r="1695" spans="1:3">
      <c r="A1695" s="3">
        <v>12</v>
      </c>
      <c r="B1695" s="2">
        <f>Walmart_Sales_raw_data!C1695</f>
        <v>991514.21</v>
      </c>
      <c r="C1695" t="str">
        <f>IF(B1695&gt;=Walmart_Sales_raw_data!$C$6437,"High","low")</f>
        <v>low</v>
      </c>
    </row>
    <row r="1696" spans="1:3">
      <c r="A1696" s="1">
        <v>12</v>
      </c>
      <c r="B1696" s="2">
        <f>Walmart_Sales_raw_data!C1696</f>
        <v>981345.2</v>
      </c>
      <c r="C1696" t="str">
        <f>IF(B1696&gt;=Walmart_Sales_raw_data!$C$6437,"High","low")</f>
        <v>low</v>
      </c>
    </row>
    <row r="1697" spans="1:3">
      <c r="A1697" s="3">
        <v>12</v>
      </c>
      <c r="B1697" s="2">
        <f>Walmart_Sales_raw_data!C1697</f>
        <v>1086231.47</v>
      </c>
      <c r="C1697" t="str">
        <f>IF(B1697&gt;=Walmart_Sales_raw_data!$C$6437,"High","low")</f>
        <v>High</v>
      </c>
    </row>
    <row r="1698" spans="1:3">
      <c r="A1698" s="1">
        <v>12</v>
      </c>
      <c r="B1698" s="2">
        <f>Walmart_Sales_raw_data!C1698</f>
        <v>1019555.51</v>
      </c>
      <c r="C1698" t="str">
        <f>IF(B1698&gt;=Walmart_Sales_raw_data!$C$6437,"High","low")</f>
        <v>low</v>
      </c>
    </row>
    <row r="1699" spans="1:3">
      <c r="A1699" s="3">
        <v>12</v>
      </c>
      <c r="B1699" s="2">
        <f>Walmart_Sales_raw_data!C1699</f>
        <v>981386.25</v>
      </c>
      <c r="C1699" t="str">
        <f>IF(B1699&gt;=Walmart_Sales_raw_data!$C$6437,"High","low")</f>
        <v>low</v>
      </c>
    </row>
    <row r="1700" spans="1:3">
      <c r="A1700" s="1">
        <v>12</v>
      </c>
      <c r="B1700" s="2">
        <f>Walmart_Sales_raw_data!C1700</f>
        <v>943124.74</v>
      </c>
      <c r="C1700" t="str">
        <f>IF(B1700&gt;=Walmart_Sales_raw_data!$C$6437,"High","low")</f>
        <v>low</v>
      </c>
    </row>
    <row r="1701" spans="1:3">
      <c r="A1701" s="3">
        <v>12</v>
      </c>
      <c r="B1701" s="2">
        <f>Walmart_Sales_raw_data!C1701</f>
        <v>1014898.78</v>
      </c>
      <c r="C1701" t="str">
        <f>IF(B1701&gt;=Walmart_Sales_raw_data!$C$6437,"High","low")</f>
        <v>low</v>
      </c>
    </row>
    <row r="1702" spans="1:3">
      <c r="A1702" s="1">
        <v>12</v>
      </c>
      <c r="B1702" s="2">
        <f>Walmart_Sales_raw_data!C1702</f>
        <v>960312.75</v>
      </c>
      <c r="C1702" t="str">
        <f>IF(B1702&gt;=Walmart_Sales_raw_data!$C$6437,"High","low")</f>
        <v>low</v>
      </c>
    </row>
    <row r="1703" spans="1:3">
      <c r="A1703" s="3">
        <v>12</v>
      </c>
      <c r="B1703" s="2">
        <f>Walmart_Sales_raw_data!C1703</f>
        <v>941550.34</v>
      </c>
      <c r="C1703" t="str">
        <f>IF(B1703&gt;=Walmart_Sales_raw_data!$C$6437,"High","low")</f>
        <v>low</v>
      </c>
    </row>
    <row r="1704" spans="1:3">
      <c r="A1704" s="1">
        <v>12</v>
      </c>
      <c r="B1704" s="2">
        <f>Walmart_Sales_raw_data!C1704</f>
        <v>916967.92</v>
      </c>
      <c r="C1704" t="str">
        <f>IF(B1704&gt;=Walmart_Sales_raw_data!$C$6437,"High","low")</f>
        <v>low</v>
      </c>
    </row>
    <row r="1705" spans="1:3">
      <c r="A1705" s="3">
        <v>12</v>
      </c>
      <c r="B1705" s="2">
        <f>Walmart_Sales_raw_data!C1705</f>
        <v>958667.23</v>
      </c>
      <c r="C1705" t="str">
        <f>IF(B1705&gt;=Walmart_Sales_raw_data!$C$6437,"High","low")</f>
        <v>low</v>
      </c>
    </row>
    <row r="1706" spans="1:3">
      <c r="A1706" s="1">
        <v>12</v>
      </c>
      <c r="B1706" s="2">
        <f>Walmart_Sales_raw_data!C1706</f>
        <v>984689.9</v>
      </c>
      <c r="C1706" t="str">
        <f>IF(B1706&gt;=Walmart_Sales_raw_data!$C$6437,"High","low")</f>
        <v>low</v>
      </c>
    </row>
    <row r="1707" spans="1:3">
      <c r="A1707" s="3">
        <v>12</v>
      </c>
      <c r="B1707" s="2">
        <f>Walmart_Sales_raw_data!C1707</f>
        <v>1005003.12</v>
      </c>
      <c r="C1707" t="str">
        <f>IF(B1707&gt;=Walmart_Sales_raw_data!$C$6437,"High","low")</f>
        <v>low</v>
      </c>
    </row>
    <row r="1708" spans="1:3">
      <c r="A1708" s="1">
        <v>12</v>
      </c>
      <c r="B1708" s="2">
        <f>Walmart_Sales_raw_data!C1708</f>
        <v>1048101.39</v>
      </c>
      <c r="C1708" t="str">
        <f>IF(B1708&gt;=Walmart_Sales_raw_data!$C$6437,"High","low")</f>
        <v>High</v>
      </c>
    </row>
    <row r="1709" spans="1:3">
      <c r="A1709" s="3">
        <v>12</v>
      </c>
      <c r="B1709" s="2">
        <f>Walmart_Sales_raw_data!C1709</f>
        <v>1061943.49</v>
      </c>
      <c r="C1709" t="str">
        <f>IF(B1709&gt;=Walmart_Sales_raw_data!$C$6437,"High","low")</f>
        <v>High</v>
      </c>
    </row>
    <row r="1710" spans="1:3">
      <c r="A1710" s="1">
        <v>12</v>
      </c>
      <c r="B1710" s="2">
        <f>Walmart_Sales_raw_data!C1710</f>
        <v>955146.04</v>
      </c>
      <c r="C1710" t="str">
        <f>IF(B1710&gt;=Walmart_Sales_raw_data!$C$6437,"High","low")</f>
        <v>low</v>
      </c>
    </row>
    <row r="1711" spans="1:3">
      <c r="A1711" s="3">
        <v>12</v>
      </c>
      <c r="B1711" s="2">
        <f>Walmart_Sales_raw_data!C1711</f>
        <v>885892.37</v>
      </c>
      <c r="C1711" t="str">
        <f>IF(B1711&gt;=Walmart_Sales_raw_data!$C$6437,"High","low")</f>
        <v>low</v>
      </c>
    </row>
    <row r="1712" spans="1:3">
      <c r="A1712" s="1">
        <v>12</v>
      </c>
      <c r="B1712" s="2">
        <f>Walmart_Sales_raw_data!C1712</f>
        <v>922735.37</v>
      </c>
      <c r="C1712" t="str">
        <f>IF(B1712&gt;=Walmart_Sales_raw_data!$C$6437,"High","low")</f>
        <v>low</v>
      </c>
    </row>
    <row r="1713" spans="1:3">
      <c r="A1713" s="3">
        <v>12</v>
      </c>
      <c r="B1713" s="2">
        <f>Walmart_Sales_raw_data!C1713</f>
        <v>880415.67</v>
      </c>
      <c r="C1713" t="str">
        <f>IF(B1713&gt;=Walmart_Sales_raw_data!$C$6437,"High","low")</f>
        <v>low</v>
      </c>
    </row>
    <row r="1714" spans="1:3">
      <c r="A1714" s="1">
        <v>12</v>
      </c>
      <c r="B1714" s="2">
        <f>Walmart_Sales_raw_data!C1714</f>
        <v>979825.92</v>
      </c>
      <c r="C1714" t="str">
        <f>IF(B1714&gt;=Walmart_Sales_raw_data!$C$6437,"High","low")</f>
        <v>low</v>
      </c>
    </row>
    <row r="1715" spans="1:3">
      <c r="A1715" s="3">
        <v>12</v>
      </c>
      <c r="B1715" s="2">
        <f>Walmart_Sales_raw_data!C1715</f>
        <v>934917.47</v>
      </c>
      <c r="C1715" t="str">
        <f>IF(B1715&gt;=Walmart_Sales_raw_data!$C$6437,"High","low")</f>
        <v>low</v>
      </c>
    </row>
    <row r="1716" spans="1:3">
      <c r="A1716" s="1">
        <v>12</v>
      </c>
      <c r="B1716" s="2">
        <f>Walmart_Sales_raw_data!C1716</f>
        <v>960945.43</v>
      </c>
      <c r="C1716" t="str">
        <f>IF(B1716&gt;=Walmart_Sales_raw_data!$C$6437,"High","low")</f>
        <v>low</v>
      </c>
    </row>
    <row r="1717" spans="1:3">
      <c r="A1717" s="3">
        <v>12</v>
      </c>
      <c r="B1717" s="2">
        <f>Walmart_Sales_raw_data!C1717</f>
        <v>974697.6</v>
      </c>
      <c r="C1717" t="str">
        <f>IF(B1717&gt;=Walmart_Sales_raw_data!$C$6437,"High","low")</f>
        <v>low</v>
      </c>
    </row>
    <row r="1718" spans="1:3">
      <c r="A1718" s="1">
        <v>13</v>
      </c>
      <c r="B1718" s="2">
        <f>Walmart_Sales_raw_data!C1718</f>
        <v>1967220.53</v>
      </c>
      <c r="C1718" t="str">
        <f>IF(B1718&gt;=Walmart_Sales_raw_data!$C$6437,"High","low")</f>
        <v>High</v>
      </c>
    </row>
    <row r="1719" spans="1:3">
      <c r="A1719" s="3">
        <v>13</v>
      </c>
      <c r="B1719" s="2">
        <f>Walmart_Sales_raw_data!C1719</f>
        <v>2030933.46</v>
      </c>
      <c r="C1719" t="str">
        <f>IF(B1719&gt;=Walmart_Sales_raw_data!$C$6437,"High","low")</f>
        <v>High</v>
      </c>
    </row>
    <row r="1720" spans="1:3">
      <c r="A1720" s="1">
        <v>13</v>
      </c>
      <c r="B1720" s="2">
        <f>Walmart_Sales_raw_data!C1720</f>
        <v>1970274.64</v>
      </c>
      <c r="C1720" t="str">
        <f>IF(B1720&gt;=Walmart_Sales_raw_data!$C$6437,"High","low")</f>
        <v>High</v>
      </c>
    </row>
    <row r="1721" spans="1:3">
      <c r="A1721" s="3">
        <v>13</v>
      </c>
      <c r="B1721" s="2">
        <f>Walmart_Sales_raw_data!C1721</f>
        <v>1817850.32</v>
      </c>
      <c r="C1721" t="str">
        <f>IF(B1721&gt;=Walmart_Sales_raw_data!$C$6437,"High","low")</f>
        <v>High</v>
      </c>
    </row>
    <row r="1722" spans="1:3">
      <c r="A1722" s="1">
        <v>13</v>
      </c>
      <c r="B1722" s="2">
        <f>Walmart_Sales_raw_data!C1722</f>
        <v>1939980.43</v>
      </c>
      <c r="C1722" t="str">
        <f>IF(B1722&gt;=Walmart_Sales_raw_data!$C$6437,"High","low")</f>
        <v>High</v>
      </c>
    </row>
    <row r="1723" spans="1:3">
      <c r="A1723" s="3">
        <v>13</v>
      </c>
      <c r="B1723" s="2">
        <f>Walmart_Sales_raw_data!C1723</f>
        <v>1840686.94</v>
      </c>
      <c r="C1723" t="str">
        <f>IF(B1723&gt;=Walmart_Sales_raw_data!$C$6437,"High","low")</f>
        <v>High</v>
      </c>
    </row>
    <row r="1724" spans="1:3">
      <c r="A1724" s="1">
        <v>13</v>
      </c>
      <c r="B1724" s="2">
        <f>Walmart_Sales_raw_data!C1724</f>
        <v>1879794.89</v>
      </c>
      <c r="C1724" t="str">
        <f>IF(B1724&gt;=Walmart_Sales_raw_data!$C$6437,"High","low")</f>
        <v>High</v>
      </c>
    </row>
    <row r="1725" spans="1:3">
      <c r="A1725" s="3">
        <v>13</v>
      </c>
      <c r="B1725" s="2">
        <f>Walmart_Sales_raw_data!C1725</f>
        <v>1882095.98</v>
      </c>
      <c r="C1725" t="str">
        <f>IF(B1725&gt;=Walmart_Sales_raw_data!$C$6437,"High","low")</f>
        <v>High</v>
      </c>
    </row>
    <row r="1726" spans="1:3">
      <c r="A1726" s="1">
        <v>13</v>
      </c>
      <c r="B1726" s="2">
        <f>Walmart_Sales_raw_data!C1726</f>
        <v>2142482.14</v>
      </c>
      <c r="C1726" t="str">
        <f>IF(B1726&gt;=Walmart_Sales_raw_data!$C$6437,"High","low")</f>
        <v>High</v>
      </c>
    </row>
    <row r="1727" spans="1:3">
      <c r="A1727" s="3">
        <v>13</v>
      </c>
      <c r="B1727" s="2">
        <f>Walmart_Sales_raw_data!C1727</f>
        <v>1898321.33</v>
      </c>
      <c r="C1727" t="str">
        <f>IF(B1727&gt;=Walmart_Sales_raw_data!$C$6437,"High","low")</f>
        <v>High</v>
      </c>
    </row>
    <row r="1728" spans="1:3">
      <c r="A1728" s="1">
        <v>13</v>
      </c>
      <c r="B1728" s="2">
        <f>Walmart_Sales_raw_data!C1728</f>
        <v>1819660.44</v>
      </c>
      <c r="C1728" t="str">
        <f>IF(B1728&gt;=Walmart_Sales_raw_data!$C$6437,"High","low")</f>
        <v>High</v>
      </c>
    </row>
    <row r="1729" spans="1:3">
      <c r="A1729" s="3">
        <v>13</v>
      </c>
      <c r="B1729" s="2">
        <f>Walmart_Sales_raw_data!C1729</f>
        <v>1909330.77</v>
      </c>
      <c r="C1729" t="str">
        <f>IF(B1729&gt;=Walmart_Sales_raw_data!$C$6437,"High","low")</f>
        <v>High</v>
      </c>
    </row>
    <row r="1730" spans="1:3">
      <c r="A1730" s="1">
        <v>13</v>
      </c>
      <c r="B1730" s="2">
        <f>Walmart_Sales_raw_data!C1730</f>
        <v>1785823.37</v>
      </c>
      <c r="C1730" t="str">
        <f>IF(B1730&gt;=Walmart_Sales_raw_data!$C$6437,"High","low")</f>
        <v>High</v>
      </c>
    </row>
    <row r="1731" spans="1:3">
      <c r="A1731" s="3">
        <v>13</v>
      </c>
      <c r="B1731" s="2">
        <f>Walmart_Sales_raw_data!C1731</f>
        <v>2005478.46</v>
      </c>
      <c r="C1731" t="str">
        <f>IF(B1731&gt;=Walmart_Sales_raw_data!$C$6437,"High","low")</f>
        <v>High</v>
      </c>
    </row>
    <row r="1732" spans="1:3">
      <c r="A1732" s="1">
        <v>13</v>
      </c>
      <c r="B1732" s="2">
        <f>Walmart_Sales_raw_data!C1732</f>
        <v>1890273.44</v>
      </c>
      <c r="C1732" t="str">
        <f>IF(B1732&gt;=Walmart_Sales_raw_data!$C$6437,"High","low")</f>
        <v>High</v>
      </c>
    </row>
    <row r="1733" spans="1:3">
      <c r="A1733" s="3">
        <v>13</v>
      </c>
      <c r="B1733" s="2">
        <f>Walmart_Sales_raw_data!C1733</f>
        <v>1853657.6</v>
      </c>
      <c r="C1733" t="str">
        <f>IF(B1733&gt;=Walmart_Sales_raw_data!$C$6437,"High","low")</f>
        <v>High</v>
      </c>
    </row>
    <row r="1734" spans="1:3">
      <c r="A1734" s="1">
        <v>13</v>
      </c>
      <c r="B1734" s="2">
        <f>Walmart_Sales_raw_data!C1734</f>
        <v>1877358.86</v>
      </c>
      <c r="C1734" t="str">
        <f>IF(B1734&gt;=Walmart_Sales_raw_data!$C$6437,"High","low")</f>
        <v>High</v>
      </c>
    </row>
    <row r="1735" spans="1:3">
      <c r="A1735" s="3">
        <v>13</v>
      </c>
      <c r="B1735" s="2">
        <f>Walmart_Sales_raw_data!C1735</f>
        <v>2022705.22</v>
      </c>
      <c r="C1735" t="str">
        <f>IF(B1735&gt;=Walmart_Sales_raw_data!$C$6437,"High","low")</f>
        <v>High</v>
      </c>
    </row>
    <row r="1736" spans="1:3">
      <c r="A1736" s="1">
        <v>13</v>
      </c>
      <c r="B1736" s="2">
        <f>Walmart_Sales_raw_data!C1736</f>
        <v>2037880.96</v>
      </c>
      <c r="C1736" t="str">
        <f>IF(B1736&gt;=Walmart_Sales_raw_data!$C$6437,"High","low")</f>
        <v>High</v>
      </c>
    </row>
    <row r="1737" spans="1:3">
      <c r="A1737" s="3">
        <v>13</v>
      </c>
      <c r="B1737" s="2">
        <f>Walmart_Sales_raw_data!C1737</f>
        <v>2003435.31</v>
      </c>
      <c r="C1737" t="str">
        <f>IF(B1737&gt;=Walmart_Sales_raw_data!$C$6437,"High","low")</f>
        <v>High</v>
      </c>
    </row>
    <row r="1738" spans="1:3">
      <c r="A1738" s="1">
        <v>13</v>
      </c>
      <c r="B1738" s="2">
        <f>Walmart_Sales_raw_data!C1738</f>
        <v>1970340.25</v>
      </c>
      <c r="C1738" t="str">
        <f>IF(B1738&gt;=Walmart_Sales_raw_data!$C$6437,"High","low")</f>
        <v>High</v>
      </c>
    </row>
    <row r="1739" spans="1:3">
      <c r="A1739" s="3">
        <v>13</v>
      </c>
      <c r="B1739" s="2">
        <f>Walmart_Sales_raw_data!C1739</f>
        <v>2018314.71</v>
      </c>
      <c r="C1739" t="str">
        <f>IF(B1739&gt;=Walmart_Sales_raw_data!$C$6437,"High","low")</f>
        <v>High</v>
      </c>
    </row>
    <row r="1740" spans="1:3">
      <c r="A1740" s="1">
        <v>13</v>
      </c>
      <c r="B1740" s="2">
        <f>Walmart_Sales_raw_data!C1740</f>
        <v>1870843.9</v>
      </c>
      <c r="C1740" t="str">
        <f>IF(B1740&gt;=Walmart_Sales_raw_data!$C$6437,"High","low")</f>
        <v>High</v>
      </c>
    </row>
    <row r="1741" spans="1:3">
      <c r="A1741" s="3">
        <v>13</v>
      </c>
      <c r="B1741" s="2">
        <f>Walmart_Sales_raw_data!C1741</f>
        <v>1932231.05</v>
      </c>
      <c r="C1741" t="str">
        <f>IF(B1741&gt;=Walmart_Sales_raw_data!$C$6437,"High","low")</f>
        <v>High</v>
      </c>
    </row>
    <row r="1742" spans="1:3">
      <c r="A1742" s="1">
        <v>13</v>
      </c>
      <c r="B1742" s="2">
        <f>Walmart_Sales_raw_data!C1742</f>
        <v>1907351.2</v>
      </c>
      <c r="C1742" t="str">
        <f>IF(B1742&gt;=Walmart_Sales_raw_data!$C$6437,"High","low")</f>
        <v>High</v>
      </c>
    </row>
    <row r="1743" spans="1:3">
      <c r="A1743" s="3">
        <v>13</v>
      </c>
      <c r="B1743" s="2">
        <f>Walmart_Sales_raw_data!C1743</f>
        <v>1817887.23</v>
      </c>
      <c r="C1743" t="str">
        <f>IF(B1743&gt;=Walmart_Sales_raw_data!$C$6437,"High","low")</f>
        <v>High</v>
      </c>
    </row>
    <row r="1744" spans="1:3">
      <c r="A1744" s="1">
        <v>13</v>
      </c>
      <c r="B1744" s="2">
        <f>Walmart_Sales_raw_data!C1744</f>
        <v>1969121.45</v>
      </c>
      <c r="C1744" t="str">
        <f>IF(B1744&gt;=Walmart_Sales_raw_data!$C$6437,"High","low")</f>
        <v>High</v>
      </c>
    </row>
    <row r="1745" spans="1:3">
      <c r="A1745" s="3">
        <v>13</v>
      </c>
      <c r="B1745" s="2">
        <f>Walmart_Sales_raw_data!C1745</f>
        <v>1877592.55</v>
      </c>
      <c r="C1745" t="str">
        <f>IF(B1745&gt;=Walmart_Sales_raw_data!$C$6437,"High","low")</f>
        <v>High</v>
      </c>
    </row>
    <row r="1746" spans="1:3">
      <c r="A1746" s="1">
        <v>13</v>
      </c>
      <c r="B1746" s="2">
        <f>Walmart_Sales_raw_data!C1746</f>
        <v>1997397.63</v>
      </c>
      <c r="C1746" t="str">
        <f>IF(B1746&gt;=Walmart_Sales_raw_data!$C$6437,"High","low")</f>
        <v>High</v>
      </c>
    </row>
    <row r="1747" spans="1:3">
      <c r="A1747" s="3">
        <v>13</v>
      </c>
      <c r="B1747" s="2">
        <f>Walmart_Sales_raw_data!C1747</f>
        <v>1908278.27</v>
      </c>
      <c r="C1747" t="str">
        <f>IF(B1747&gt;=Walmart_Sales_raw_data!$C$6437,"High","low")</f>
        <v>High</v>
      </c>
    </row>
    <row r="1748" spans="1:3">
      <c r="A1748" s="1">
        <v>13</v>
      </c>
      <c r="B1748" s="2">
        <f>Walmart_Sales_raw_data!C1748</f>
        <v>1911852.58</v>
      </c>
      <c r="C1748" t="str">
        <f>IF(B1748&gt;=Walmart_Sales_raw_data!$C$6437,"High","low")</f>
        <v>High</v>
      </c>
    </row>
    <row r="1749" spans="1:3">
      <c r="A1749" s="3">
        <v>13</v>
      </c>
      <c r="B1749" s="2">
        <f>Walmart_Sales_raw_data!C1749</f>
        <v>1772143.94</v>
      </c>
      <c r="C1749" t="str">
        <f>IF(B1749&gt;=Walmart_Sales_raw_data!$C$6437,"High","low")</f>
        <v>High</v>
      </c>
    </row>
    <row r="1750" spans="1:3">
      <c r="A1750" s="1">
        <v>13</v>
      </c>
      <c r="B1750" s="2">
        <f>Walmart_Sales_raw_data!C1750</f>
        <v>1790279.74</v>
      </c>
      <c r="C1750" t="str">
        <f>IF(B1750&gt;=Walmart_Sales_raw_data!$C$6437,"High","low")</f>
        <v>High</v>
      </c>
    </row>
    <row r="1751" spans="1:3">
      <c r="A1751" s="3">
        <v>13</v>
      </c>
      <c r="B1751" s="2">
        <f>Walmart_Sales_raw_data!C1751</f>
        <v>1705655.09</v>
      </c>
      <c r="C1751" t="str">
        <f>IF(B1751&gt;=Walmart_Sales_raw_data!$C$6437,"High","low")</f>
        <v>High</v>
      </c>
    </row>
    <row r="1752" spans="1:3">
      <c r="A1752" s="1">
        <v>13</v>
      </c>
      <c r="B1752" s="2">
        <f>Walmart_Sales_raw_data!C1752</f>
        <v>1765584.48</v>
      </c>
      <c r="C1752" t="str">
        <f>IF(B1752&gt;=Walmart_Sales_raw_data!$C$6437,"High","low")</f>
        <v>High</v>
      </c>
    </row>
    <row r="1753" spans="1:3">
      <c r="A1753" s="3">
        <v>13</v>
      </c>
      <c r="B1753" s="2">
        <f>Walmart_Sales_raw_data!C1753</f>
        <v>1871924.07</v>
      </c>
      <c r="C1753" t="str">
        <f>IF(B1753&gt;=Walmart_Sales_raw_data!$C$6437,"High","low")</f>
        <v>High</v>
      </c>
    </row>
    <row r="1754" spans="1:3">
      <c r="A1754" s="1">
        <v>13</v>
      </c>
      <c r="B1754" s="2">
        <f>Walmart_Sales_raw_data!C1754</f>
        <v>1851431.06</v>
      </c>
      <c r="C1754" t="str">
        <f>IF(B1754&gt;=Walmart_Sales_raw_data!$C$6437,"High","low")</f>
        <v>High</v>
      </c>
    </row>
    <row r="1755" spans="1:3">
      <c r="A1755" s="3">
        <v>13</v>
      </c>
      <c r="B1755" s="2">
        <f>Walmart_Sales_raw_data!C1755</f>
        <v>1796949.59</v>
      </c>
      <c r="C1755" t="str">
        <f>IF(B1755&gt;=Walmart_Sales_raw_data!$C$6437,"High","low")</f>
        <v>High</v>
      </c>
    </row>
    <row r="1756" spans="1:3">
      <c r="A1756" s="1">
        <v>13</v>
      </c>
      <c r="B1756" s="2">
        <f>Walmart_Sales_raw_data!C1756</f>
        <v>1887895.07</v>
      </c>
      <c r="C1756" t="str">
        <f>IF(B1756&gt;=Walmart_Sales_raw_data!$C$6437,"High","low")</f>
        <v>High</v>
      </c>
    </row>
    <row r="1757" spans="1:3">
      <c r="A1757" s="3">
        <v>13</v>
      </c>
      <c r="B1757" s="2">
        <f>Walmart_Sales_raw_data!C1757</f>
        <v>1854967.66</v>
      </c>
      <c r="C1757" t="str">
        <f>IF(B1757&gt;=Walmart_Sales_raw_data!$C$6437,"High","low")</f>
        <v>High</v>
      </c>
    </row>
    <row r="1758" spans="1:3">
      <c r="A1758" s="1">
        <v>13</v>
      </c>
      <c r="B1758" s="2">
        <f>Walmart_Sales_raw_data!C1758</f>
        <v>1939964.63</v>
      </c>
      <c r="C1758" t="str">
        <f>IF(B1758&gt;=Walmart_Sales_raw_data!$C$6437,"High","low")</f>
        <v>High</v>
      </c>
    </row>
    <row r="1759" spans="1:3">
      <c r="A1759" s="3">
        <v>13</v>
      </c>
      <c r="B1759" s="2">
        <f>Walmart_Sales_raw_data!C1759</f>
        <v>1925393.91</v>
      </c>
      <c r="C1759" t="str">
        <f>IF(B1759&gt;=Walmart_Sales_raw_data!$C$6437,"High","low")</f>
        <v>High</v>
      </c>
    </row>
    <row r="1760" spans="1:3">
      <c r="A1760" s="1">
        <v>13</v>
      </c>
      <c r="B1760" s="2">
        <f>Walmart_Sales_raw_data!C1760</f>
        <v>2766400.05</v>
      </c>
      <c r="C1760" t="str">
        <f>IF(B1760&gt;=Walmart_Sales_raw_data!$C$6437,"High","low")</f>
        <v>High</v>
      </c>
    </row>
    <row r="1761" spans="1:3">
      <c r="A1761" s="3">
        <v>13</v>
      </c>
      <c r="B1761" s="2">
        <f>Walmart_Sales_raw_data!C1761</f>
        <v>2083379.89</v>
      </c>
      <c r="C1761" t="str">
        <f>IF(B1761&gt;=Walmart_Sales_raw_data!$C$6437,"High","low")</f>
        <v>High</v>
      </c>
    </row>
    <row r="1762" spans="1:3">
      <c r="A1762" s="1">
        <v>13</v>
      </c>
      <c r="B1762" s="2">
        <f>Walmart_Sales_raw_data!C1762</f>
        <v>2461468.35</v>
      </c>
      <c r="C1762" t="str">
        <f>IF(B1762&gt;=Walmart_Sales_raw_data!$C$6437,"High","low")</f>
        <v>High</v>
      </c>
    </row>
    <row r="1763" spans="1:3">
      <c r="A1763" s="3">
        <v>13</v>
      </c>
      <c r="B1763" s="2">
        <f>Walmart_Sales_raw_data!C1763</f>
        <v>2771646.81</v>
      </c>
      <c r="C1763" t="str">
        <f>IF(B1763&gt;=Walmart_Sales_raw_data!$C$6437,"High","low")</f>
        <v>High</v>
      </c>
    </row>
    <row r="1764" spans="1:3">
      <c r="A1764" s="1">
        <v>13</v>
      </c>
      <c r="B1764" s="2">
        <f>Walmart_Sales_raw_data!C1764</f>
        <v>3595903.2</v>
      </c>
      <c r="C1764" t="str">
        <f>IF(B1764&gt;=Walmart_Sales_raw_data!$C$6437,"High","low")</f>
        <v>High</v>
      </c>
    </row>
    <row r="1765" spans="1:3">
      <c r="A1765" s="3">
        <v>13</v>
      </c>
      <c r="B1765" s="2">
        <f>Walmart_Sales_raw_data!C1765</f>
        <v>1675292</v>
      </c>
      <c r="C1765" t="str">
        <f>IF(B1765&gt;=Walmart_Sales_raw_data!$C$6437,"High","low")</f>
        <v>High</v>
      </c>
    </row>
    <row r="1766" spans="1:3">
      <c r="A1766" s="1">
        <v>13</v>
      </c>
      <c r="B1766" s="2">
        <f>Walmart_Sales_raw_data!C1766</f>
        <v>1744544.39</v>
      </c>
      <c r="C1766" t="str">
        <f>IF(B1766&gt;=Walmart_Sales_raw_data!$C$6437,"High","low")</f>
        <v>High</v>
      </c>
    </row>
    <row r="1767" spans="1:3">
      <c r="A1767" s="3">
        <v>13</v>
      </c>
      <c r="B1767" s="2">
        <f>Walmart_Sales_raw_data!C1767</f>
        <v>1682316.31</v>
      </c>
      <c r="C1767" t="str">
        <f>IF(B1767&gt;=Walmart_Sales_raw_data!$C$6437,"High","low")</f>
        <v>High</v>
      </c>
    </row>
    <row r="1768" spans="1:3">
      <c r="A1768" s="1">
        <v>13</v>
      </c>
      <c r="B1768" s="2">
        <f>Walmart_Sales_raw_data!C1768</f>
        <v>1770177.37</v>
      </c>
      <c r="C1768" t="str">
        <f>IF(B1768&gt;=Walmart_Sales_raw_data!$C$6437,"High","low")</f>
        <v>High</v>
      </c>
    </row>
    <row r="1769" spans="1:3">
      <c r="A1769" s="3">
        <v>13</v>
      </c>
      <c r="B1769" s="2">
        <f>Walmart_Sales_raw_data!C1769</f>
        <v>1633663.12</v>
      </c>
      <c r="C1769" t="str">
        <f>IF(B1769&gt;=Walmart_Sales_raw_data!$C$6437,"High","low")</f>
        <v>High</v>
      </c>
    </row>
    <row r="1770" spans="1:3">
      <c r="A1770" s="1">
        <v>13</v>
      </c>
      <c r="B1770" s="2">
        <f>Walmart_Sales_raw_data!C1770</f>
        <v>1848186.58</v>
      </c>
      <c r="C1770" t="str">
        <f>IF(B1770&gt;=Walmart_Sales_raw_data!$C$6437,"High","low")</f>
        <v>High</v>
      </c>
    </row>
    <row r="1771" spans="1:3">
      <c r="A1771" s="3">
        <v>13</v>
      </c>
      <c r="B1771" s="2">
        <f>Walmart_Sales_raw_data!C1771</f>
        <v>1944438.9</v>
      </c>
      <c r="C1771" t="str">
        <f>IF(B1771&gt;=Walmart_Sales_raw_data!$C$6437,"High","low")</f>
        <v>High</v>
      </c>
    </row>
    <row r="1772" spans="1:3">
      <c r="A1772" s="1">
        <v>13</v>
      </c>
      <c r="B1772" s="2">
        <f>Walmart_Sales_raw_data!C1772</f>
        <v>2003480.59</v>
      </c>
      <c r="C1772" t="str">
        <f>IF(B1772&gt;=Walmart_Sales_raw_data!$C$6437,"High","low")</f>
        <v>High</v>
      </c>
    </row>
    <row r="1773" spans="1:3">
      <c r="A1773" s="3">
        <v>13</v>
      </c>
      <c r="B1773" s="2">
        <f>Walmart_Sales_raw_data!C1773</f>
        <v>1831933.95</v>
      </c>
      <c r="C1773" t="str">
        <f>IF(B1773&gt;=Walmart_Sales_raw_data!$C$6437,"High","low")</f>
        <v>High</v>
      </c>
    </row>
    <row r="1774" spans="1:3">
      <c r="A1774" s="1">
        <v>13</v>
      </c>
      <c r="B1774" s="2">
        <f>Walmart_Sales_raw_data!C1774</f>
        <v>1894960.68</v>
      </c>
      <c r="C1774" t="str">
        <f>IF(B1774&gt;=Walmart_Sales_raw_data!$C$6437,"High","low")</f>
        <v>High</v>
      </c>
    </row>
    <row r="1775" spans="1:3">
      <c r="A1775" s="3">
        <v>13</v>
      </c>
      <c r="B1775" s="2">
        <f>Walmart_Sales_raw_data!C1775</f>
        <v>1852432.58</v>
      </c>
      <c r="C1775" t="str">
        <f>IF(B1775&gt;=Walmart_Sales_raw_data!$C$6437,"High","low")</f>
        <v>High</v>
      </c>
    </row>
    <row r="1776" spans="1:3">
      <c r="A1776" s="1">
        <v>13</v>
      </c>
      <c r="B1776" s="2">
        <f>Walmart_Sales_raw_data!C1776</f>
        <v>1852443.78</v>
      </c>
      <c r="C1776" t="str">
        <f>IF(B1776&gt;=Walmart_Sales_raw_data!$C$6437,"High","low")</f>
        <v>High</v>
      </c>
    </row>
    <row r="1777" spans="1:3">
      <c r="A1777" s="3">
        <v>13</v>
      </c>
      <c r="B1777" s="2">
        <f>Walmart_Sales_raw_data!C1777</f>
        <v>1807545.43</v>
      </c>
      <c r="C1777" t="str">
        <f>IF(B1777&gt;=Walmart_Sales_raw_data!$C$6437,"High","low")</f>
        <v>High</v>
      </c>
    </row>
    <row r="1778" spans="1:3">
      <c r="A1778" s="1">
        <v>13</v>
      </c>
      <c r="B1778" s="2">
        <f>Walmart_Sales_raw_data!C1778</f>
        <v>1864238.64</v>
      </c>
      <c r="C1778" t="str">
        <f>IF(B1778&gt;=Walmart_Sales_raw_data!$C$6437,"High","low")</f>
        <v>High</v>
      </c>
    </row>
    <row r="1779" spans="1:3">
      <c r="A1779" s="3">
        <v>13</v>
      </c>
      <c r="B1779" s="2">
        <f>Walmart_Sales_raw_data!C1779</f>
        <v>1887465.04</v>
      </c>
      <c r="C1779" t="str">
        <f>IF(B1779&gt;=Walmart_Sales_raw_data!$C$6437,"High","low")</f>
        <v>High</v>
      </c>
    </row>
    <row r="1780" spans="1:3">
      <c r="A1780" s="1">
        <v>13</v>
      </c>
      <c r="B1780" s="2">
        <f>Walmart_Sales_raw_data!C1780</f>
        <v>1950994.04</v>
      </c>
      <c r="C1780" t="str">
        <f>IF(B1780&gt;=Walmart_Sales_raw_data!$C$6437,"High","low")</f>
        <v>High</v>
      </c>
    </row>
    <row r="1781" spans="1:3">
      <c r="A1781" s="3">
        <v>13</v>
      </c>
      <c r="B1781" s="2">
        <f>Walmart_Sales_raw_data!C1781</f>
        <v>2124316.34</v>
      </c>
      <c r="C1781" t="str">
        <f>IF(B1781&gt;=Walmart_Sales_raw_data!$C$6437,"High","low")</f>
        <v>High</v>
      </c>
    </row>
    <row r="1782" spans="1:3">
      <c r="A1782" s="1">
        <v>13</v>
      </c>
      <c r="B1782" s="2">
        <f>Walmart_Sales_raw_data!C1782</f>
        <v>1895583.12</v>
      </c>
      <c r="C1782" t="str">
        <f>IF(B1782&gt;=Walmart_Sales_raw_data!$C$6437,"High","low")</f>
        <v>High</v>
      </c>
    </row>
    <row r="1783" spans="1:3">
      <c r="A1783" s="3">
        <v>13</v>
      </c>
      <c r="B1783" s="2">
        <f>Walmart_Sales_raw_data!C1783</f>
        <v>1986380.4</v>
      </c>
      <c r="C1783" t="str">
        <f>IF(B1783&gt;=Walmart_Sales_raw_data!$C$6437,"High","low")</f>
        <v>High</v>
      </c>
    </row>
    <row r="1784" spans="1:3">
      <c r="A1784" s="1">
        <v>13</v>
      </c>
      <c r="B1784" s="2">
        <f>Walmart_Sales_raw_data!C1784</f>
        <v>1958823.56</v>
      </c>
      <c r="C1784" t="str">
        <f>IF(B1784&gt;=Walmart_Sales_raw_data!$C$6437,"High","low")</f>
        <v>High</v>
      </c>
    </row>
    <row r="1785" spans="1:3">
      <c r="A1785" s="3">
        <v>13</v>
      </c>
      <c r="B1785" s="2">
        <f>Walmart_Sales_raw_data!C1785</f>
        <v>1860923.55</v>
      </c>
      <c r="C1785" t="str">
        <f>IF(B1785&gt;=Walmart_Sales_raw_data!$C$6437,"High","low")</f>
        <v>High</v>
      </c>
    </row>
    <row r="1786" spans="1:3">
      <c r="A1786" s="1">
        <v>13</v>
      </c>
      <c r="B1786" s="2">
        <f>Walmart_Sales_raw_data!C1786</f>
        <v>1866369.93</v>
      </c>
      <c r="C1786" t="str">
        <f>IF(B1786&gt;=Walmart_Sales_raw_data!$C$6437,"High","low")</f>
        <v>High</v>
      </c>
    </row>
    <row r="1787" spans="1:3">
      <c r="A1787" s="3">
        <v>13</v>
      </c>
      <c r="B1787" s="2">
        <f>Walmart_Sales_raw_data!C1787</f>
        <v>1935593.87</v>
      </c>
      <c r="C1787" t="str">
        <f>IF(B1787&gt;=Walmart_Sales_raw_data!$C$6437,"High","low")</f>
        <v>High</v>
      </c>
    </row>
    <row r="1788" spans="1:3">
      <c r="A1788" s="1">
        <v>13</v>
      </c>
      <c r="B1788" s="2">
        <f>Walmart_Sales_raw_data!C1788</f>
        <v>1997816.98</v>
      </c>
      <c r="C1788" t="str">
        <f>IF(B1788&gt;=Walmart_Sales_raw_data!$C$6437,"High","low")</f>
        <v>High</v>
      </c>
    </row>
    <row r="1789" spans="1:3">
      <c r="A1789" s="3">
        <v>13</v>
      </c>
      <c r="B1789" s="2">
        <f>Walmart_Sales_raw_data!C1789</f>
        <v>2086433.49</v>
      </c>
      <c r="C1789" t="str">
        <f>IF(B1789&gt;=Walmart_Sales_raw_data!$C$6437,"High","low")</f>
        <v>High</v>
      </c>
    </row>
    <row r="1790" spans="1:3">
      <c r="A1790" s="1">
        <v>13</v>
      </c>
      <c r="B1790" s="2">
        <f>Walmart_Sales_raw_data!C1790</f>
        <v>2009163.08</v>
      </c>
      <c r="C1790" t="str">
        <f>IF(B1790&gt;=Walmart_Sales_raw_data!$C$6437,"High","low")</f>
        <v>High</v>
      </c>
    </row>
    <row r="1791" spans="1:3">
      <c r="A1791" s="3">
        <v>13</v>
      </c>
      <c r="B1791" s="2">
        <f>Walmart_Sales_raw_data!C1791</f>
        <v>2048035.74</v>
      </c>
      <c r="C1791" t="str">
        <f>IF(B1791&gt;=Walmart_Sales_raw_data!$C$6437,"High","low")</f>
        <v>High</v>
      </c>
    </row>
    <row r="1792" spans="1:3">
      <c r="A1792" s="1">
        <v>13</v>
      </c>
      <c r="B1792" s="2">
        <f>Walmart_Sales_raw_data!C1792</f>
        <v>2021699.38</v>
      </c>
      <c r="C1792" t="str">
        <f>IF(B1792&gt;=Walmart_Sales_raw_data!$C$6437,"High","low")</f>
        <v>High</v>
      </c>
    </row>
    <row r="1793" spans="1:3">
      <c r="A1793" s="3">
        <v>13</v>
      </c>
      <c r="B1793" s="2">
        <f>Walmart_Sales_raw_data!C1793</f>
        <v>1956813.31</v>
      </c>
      <c r="C1793" t="str">
        <f>IF(B1793&gt;=Walmart_Sales_raw_data!$C$6437,"High","low")</f>
        <v>High</v>
      </c>
    </row>
    <row r="1794" spans="1:3">
      <c r="A1794" s="1">
        <v>13</v>
      </c>
      <c r="B1794" s="2">
        <f>Walmart_Sales_raw_data!C1794</f>
        <v>1987089.36</v>
      </c>
      <c r="C1794" t="str">
        <f>IF(B1794&gt;=Walmart_Sales_raw_data!$C$6437,"High","low")</f>
        <v>High</v>
      </c>
    </row>
    <row r="1795" spans="1:3">
      <c r="A1795" s="3">
        <v>13</v>
      </c>
      <c r="B1795" s="2">
        <f>Walmart_Sales_raw_data!C1795</f>
        <v>1880785.69</v>
      </c>
      <c r="C1795" t="str">
        <f>IF(B1795&gt;=Walmart_Sales_raw_data!$C$6437,"High","low")</f>
        <v>High</v>
      </c>
    </row>
    <row r="1796" spans="1:3">
      <c r="A1796" s="1">
        <v>13</v>
      </c>
      <c r="B1796" s="2">
        <f>Walmart_Sales_raw_data!C1796</f>
        <v>2076231.8</v>
      </c>
      <c r="C1796" t="str">
        <f>IF(B1796&gt;=Walmart_Sales_raw_data!$C$6437,"High","low")</f>
        <v>High</v>
      </c>
    </row>
    <row r="1797" spans="1:3">
      <c r="A1797" s="3">
        <v>13</v>
      </c>
      <c r="B1797" s="2">
        <f>Walmart_Sales_raw_data!C1797</f>
        <v>1970341.38</v>
      </c>
      <c r="C1797" t="str">
        <f>IF(B1797&gt;=Walmart_Sales_raw_data!$C$6437,"High","low")</f>
        <v>High</v>
      </c>
    </row>
    <row r="1798" spans="1:3">
      <c r="A1798" s="1">
        <v>13</v>
      </c>
      <c r="B1798" s="2">
        <f>Walmart_Sales_raw_data!C1798</f>
        <v>2090340.98</v>
      </c>
      <c r="C1798" t="str">
        <f>IF(B1798&gt;=Walmart_Sales_raw_data!$C$6437,"High","low")</f>
        <v>High</v>
      </c>
    </row>
    <row r="1799" spans="1:3">
      <c r="A1799" s="3">
        <v>13</v>
      </c>
      <c r="B1799" s="2">
        <f>Walmart_Sales_raw_data!C1799</f>
        <v>2035244.54</v>
      </c>
      <c r="C1799" t="str">
        <f>IF(B1799&gt;=Walmart_Sales_raw_data!$C$6437,"High","low")</f>
        <v>High</v>
      </c>
    </row>
    <row r="1800" spans="1:3">
      <c r="A1800" s="1">
        <v>13</v>
      </c>
      <c r="B1800" s="2">
        <f>Walmart_Sales_raw_data!C1800</f>
        <v>1953628.82</v>
      </c>
      <c r="C1800" t="str">
        <f>IF(B1800&gt;=Walmart_Sales_raw_data!$C$6437,"High","low")</f>
        <v>High</v>
      </c>
    </row>
    <row r="1801" spans="1:3">
      <c r="A1801" s="3">
        <v>13</v>
      </c>
      <c r="B1801" s="2">
        <f>Walmart_Sales_raw_data!C1801</f>
        <v>1872921.31</v>
      </c>
      <c r="C1801" t="str">
        <f>IF(B1801&gt;=Walmart_Sales_raw_data!$C$6437,"High","low")</f>
        <v>High</v>
      </c>
    </row>
    <row r="1802" spans="1:3">
      <c r="A1802" s="1">
        <v>13</v>
      </c>
      <c r="B1802" s="2">
        <f>Walmart_Sales_raw_data!C1802</f>
        <v>1923223.82</v>
      </c>
      <c r="C1802" t="str">
        <f>IF(B1802&gt;=Walmart_Sales_raw_data!$C$6437,"High","low")</f>
        <v>High</v>
      </c>
    </row>
    <row r="1803" spans="1:3">
      <c r="A1803" s="3">
        <v>13</v>
      </c>
      <c r="B1803" s="2">
        <f>Walmart_Sales_raw_data!C1803</f>
        <v>1847430.96</v>
      </c>
      <c r="C1803" t="str">
        <f>IF(B1803&gt;=Walmart_Sales_raw_data!$C$6437,"High","low")</f>
        <v>High</v>
      </c>
    </row>
    <row r="1804" spans="1:3">
      <c r="A1804" s="1">
        <v>13</v>
      </c>
      <c r="B1804" s="2">
        <f>Walmart_Sales_raw_data!C1804</f>
        <v>1835662.69</v>
      </c>
      <c r="C1804" t="str">
        <f>IF(B1804&gt;=Walmart_Sales_raw_data!$C$6437,"High","low")</f>
        <v>High</v>
      </c>
    </row>
    <row r="1805" spans="1:3">
      <c r="A1805" s="3">
        <v>13</v>
      </c>
      <c r="B1805" s="2">
        <f>Walmart_Sales_raw_data!C1805</f>
        <v>2067232.56</v>
      </c>
      <c r="C1805" t="str">
        <f>IF(B1805&gt;=Walmart_Sales_raw_data!$C$6437,"High","low")</f>
        <v>High</v>
      </c>
    </row>
    <row r="1806" spans="1:3">
      <c r="A1806" s="1">
        <v>13</v>
      </c>
      <c r="B1806" s="2">
        <f>Walmart_Sales_raw_data!C1806</f>
        <v>1929659.07</v>
      </c>
      <c r="C1806" t="str">
        <f>IF(B1806&gt;=Walmart_Sales_raw_data!$C$6437,"High","low")</f>
        <v>High</v>
      </c>
    </row>
    <row r="1807" spans="1:3">
      <c r="A1807" s="3">
        <v>13</v>
      </c>
      <c r="B1807" s="2">
        <f>Walmart_Sales_raw_data!C1807</f>
        <v>1973544.27</v>
      </c>
      <c r="C1807" t="str">
        <f>IF(B1807&gt;=Walmart_Sales_raw_data!$C$6437,"High","low")</f>
        <v>High</v>
      </c>
    </row>
    <row r="1808" spans="1:3">
      <c r="A1808" s="1">
        <v>13</v>
      </c>
      <c r="B1808" s="2">
        <f>Walmart_Sales_raw_data!C1808</f>
        <v>1948733.81</v>
      </c>
      <c r="C1808" t="str">
        <f>IF(B1808&gt;=Walmart_Sales_raw_data!$C$6437,"High","low")</f>
        <v>High</v>
      </c>
    </row>
    <row r="1809" spans="1:3">
      <c r="A1809" s="3">
        <v>13</v>
      </c>
      <c r="B1809" s="2">
        <f>Walmart_Sales_raw_data!C1809</f>
        <v>2036317.54</v>
      </c>
      <c r="C1809" t="str">
        <f>IF(B1809&gt;=Walmart_Sales_raw_data!$C$6437,"High","low")</f>
        <v>High</v>
      </c>
    </row>
    <row r="1810" spans="1:3">
      <c r="A1810" s="1">
        <v>13</v>
      </c>
      <c r="B1810" s="2">
        <f>Walmart_Sales_raw_data!C1810</f>
        <v>2111592.09</v>
      </c>
      <c r="C1810" t="str">
        <f>IF(B1810&gt;=Walmart_Sales_raw_data!$C$6437,"High","low")</f>
        <v>High</v>
      </c>
    </row>
    <row r="1811" spans="1:3">
      <c r="A1811" s="3">
        <v>13</v>
      </c>
      <c r="B1811" s="2">
        <f>Walmart_Sales_raw_data!C1811</f>
        <v>2016323.51</v>
      </c>
      <c r="C1811" t="str">
        <f>IF(B1811&gt;=Walmart_Sales_raw_data!$C$6437,"High","low")</f>
        <v>High</v>
      </c>
    </row>
    <row r="1812" spans="1:3">
      <c r="A1812" s="1">
        <v>13</v>
      </c>
      <c r="B1812" s="2">
        <f>Walmart_Sales_raw_data!C1812</f>
        <v>2864170.61</v>
      </c>
      <c r="C1812" t="str">
        <f>IF(B1812&gt;=Walmart_Sales_raw_data!$C$6437,"High","low")</f>
        <v>High</v>
      </c>
    </row>
    <row r="1813" spans="1:3">
      <c r="A1813" s="3">
        <v>13</v>
      </c>
      <c r="B1813" s="2">
        <f>Walmart_Sales_raw_data!C1813</f>
        <v>2051315.66</v>
      </c>
      <c r="C1813" t="str">
        <f>IF(B1813&gt;=Walmart_Sales_raw_data!$C$6437,"High","low")</f>
        <v>High</v>
      </c>
    </row>
    <row r="1814" spans="1:3">
      <c r="A1814" s="1">
        <v>13</v>
      </c>
      <c r="B1814" s="2">
        <f>Walmart_Sales_raw_data!C1814</f>
        <v>2462779.06</v>
      </c>
      <c r="C1814" t="str">
        <f>IF(B1814&gt;=Walmart_Sales_raw_data!$C$6437,"High","low")</f>
        <v>High</v>
      </c>
    </row>
    <row r="1815" spans="1:3">
      <c r="A1815" s="3">
        <v>13</v>
      </c>
      <c r="B1815" s="2">
        <f>Walmart_Sales_raw_data!C1815</f>
        <v>2760346.71</v>
      </c>
      <c r="C1815" t="str">
        <f>IF(B1815&gt;=Walmart_Sales_raw_data!$C$6437,"High","low")</f>
        <v>High</v>
      </c>
    </row>
    <row r="1816" spans="1:3">
      <c r="A1816" s="1">
        <v>13</v>
      </c>
      <c r="B1816" s="2">
        <f>Walmart_Sales_raw_data!C1816</f>
        <v>3556766.03</v>
      </c>
      <c r="C1816" t="str">
        <f>IF(B1816&gt;=Walmart_Sales_raw_data!$C$6437,"High","low")</f>
        <v>High</v>
      </c>
    </row>
    <row r="1817" spans="1:3">
      <c r="A1817" s="3">
        <v>13</v>
      </c>
      <c r="B1817" s="2">
        <f>Walmart_Sales_raw_data!C1817</f>
        <v>1969056.91</v>
      </c>
      <c r="C1817" t="str">
        <f>IF(B1817&gt;=Walmart_Sales_raw_data!$C$6437,"High","low")</f>
        <v>High</v>
      </c>
    </row>
    <row r="1818" spans="1:3">
      <c r="A1818" s="1">
        <v>13</v>
      </c>
      <c r="B1818" s="2">
        <f>Walmart_Sales_raw_data!C1818</f>
        <v>1865752.78</v>
      </c>
      <c r="C1818" t="str">
        <f>IF(B1818&gt;=Walmart_Sales_raw_data!$C$6437,"High","low")</f>
        <v>High</v>
      </c>
    </row>
    <row r="1819" spans="1:3">
      <c r="A1819" s="3">
        <v>13</v>
      </c>
      <c r="B1819" s="2">
        <f>Walmart_Sales_raw_data!C1819</f>
        <v>1794962.64</v>
      </c>
      <c r="C1819" t="str">
        <f>IF(B1819&gt;=Walmart_Sales_raw_data!$C$6437,"High","low")</f>
        <v>High</v>
      </c>
    </row>
    <row r="1820" spans="1:3">
      <c r="A1820" s="1">
        <v>13</v>
      </c>
      <c r="B1820" s="2">
        <f>Walmart_Sales_raw_data!C1820</f>
        <v>1811606.21</v>
      </c>
      <c r="C1820" t="str">
        <f>IF(B1820&gt;=Walmart_Sales_raw_data!$C$6437,"High","low")</f>
        <v>High</v>
      </c>
    </row>
    <row r="1821" spans="1:3">
      <c r="A1821" s="3">
        <v>13</v>
      </c>
      <c r="B1821" s="2">
        <f>Walmart_Sales_raw_data!C1821</f>
        <v>1733983.09</v>
      </c>
      <c r="C1821" t="str">
        <f>IF(B1821&gt;=Walmart_Sales_raw_data!$C$6437,"High","low")</f>
        <v>High</v>
      </c>
    </row>
    <row r="1822" spans="1:3">
      <c r="A1822" s="1">
        <v>13</v>
      </c>
      <c r="B1822" s="2">
        <f>Walmart_Sales_raw_data!C1822</f>
        <v>1927780.74</v>
      </c>
      <c r="C1822" t="str">
        <f>IF(B1822&gt;=Walmart_Sales_raw_data!$C$6437,"High","low")</f>
        <v>High</v>
      </c>
    </row>
    <row r="1823" spans="1:3">
      <c r="A1823" s="3">
        <v>13</v>
      </c>
      <c r="B1823" s="2">
        <f>Walmart_Sales_raw_data!C1823</f>
        <v>2069284.57</v>
      </c>
      <c r="C1823" t="str">
        <f>IF(B1823&gt;=Walmart_Sales_raw_data!$C$6437,"High","low")</f>
        <v>High</v>
      </c>
    </row>
    <row r="1824" spans="1:3">
      <c r="A1824" s="1">
        <v>13</v>
      </c>
      <c r="B1824" s="2">
        <f>Walmart_Sales_raw_data!C1824</f>
        <v>2214477.06</v>
      </c>
      <c r="C1824" t="str">
        <f>IF(B1824&gt;=Walmart_Sales_raw_data!$C$6437,"High","low")</f>
        <v>High</v>
      </c>
    </row>
    <row r="1825" spans="1:3">
      <c r="A1825" s="3">
        <v>13</v>
      </c>
      <c r="B1825" s="2">
        <f>Walmart_Sales_raw_data!C1825</f>
        <v>1929768.03</v>
      </c>
      <c r="C1825" t="str">
        <f>IF(B1825&gt;=Walmart_Sales_raw_data!$C$6437,"High","low")</f>
        <v>High</v>
      </c>
    </row>
    <row r="1826" spans="1:3">
      <c r="A1826" s="1">
        <v>13</v>
      </c>
      <c r="B1826" s="2">
        <f>Walmart_Sales_raw_data!C1826</f>
        <v>1969742.76</v>
      </c>
      <c r="C1826" t="str">
        <f>IF(B1826&gt;=Walmart_Sales_raw_data!$C$6437,"High","low")</f>
        <v>High</v>
      </c>
    </row>
    <row r="1827" spans="1:3">
      <c r="A1827" s="3">
        <v>13</v>
      </c>
      <c r="B1827" s="2">
        <f>Walmart_Sales_raw_data!C1827</f>
        <v>1986445.65</v>
      </c>
      <c r="C1827" t="str">
        <f>IF(B1827&gt;=Walmart_Sales_raw_data!$C$6437,"High","low")</f>
        <v>High</v>
      </c>
    </row>
    <row r="1828" spans="1:3">
      <c r="A1828" s="1">
        <v>13</v>
      </c>
      <c r="B1828" s="2">
        <f>Walmart_Sales_raw_data!C1828</f>
        <v>2025582.62</v>
      </c>
      <c r="C1828" t="str">
        <f>IF(B1828&gt;=Walmart_Sales_raw_data!$C$6437,"High","low")</f>
        <v>High</v>
      </c>
    </row>
    <row r="1829" spans="1:3">
      <c r="A1829" s="3">
        <v>13</v>
      </c>
      <c r="B1829" s="2">
        <f>Walmart_Sales_raw_data!C1829</f>
        <v>1904421.74</v>
      </c>
      <c r="C1829" t="str">
        <f>IF(B1829&gt;=Walmart_Sales_raw_data!$C$6437,"High","low")</f>
        <v>High</v>
      </c>
    </row>
    <row r="1830" spans="1:3">
      <c r="A1830" s="1">
        <v>13</v>
      </c>
      <c r="B1830" s="2">
        <f>Walmart_Sales_raw_data!C1830</f>
        <v>1948982.7</v>
      </c>
      <c r="C1830" t="str">
        <f>IF(B1830&gt;=Walmart_Sales_raw_data!$C$6437,"High","low")</f>
        <v>High</v>
      </c>
    </row>
    <row r="1831" spans="1:3">
      <c r="A1831" s="3">
        <v>13</v>
      </c>
      <c r="B1831" s="2">
        <f>Walmart_Sales_raw_data!C1831</f>
        <v>2271614.76</v>
      </c>
      <c r="C1831" t="str">
        <f>IF(B1831&gt;=Walmart_Sales_raw_data!$C$6437,"High","low")</f>
        <v>High</v>
      </c>
    </row>
    <row r="1832" spans="1:3">
      <c r="A1832" s="1">
        <v>13</v>
      </c>
      <c r="B1832" s="2">
        <f>Walmart_Sales_raw_data!C1832</f>
        <v>2057637.86</v>
      </c>
      <c r="C1832" t="str">
        <f>IF(B1832&gt;=Walmart_Sales_raw_data!$C$6437,"High","low")</f>
        <v>High</v>
      </c>
    </row>
    <row r="1833" spans="1:3">
      <c r="A1833" s="3">
        <v>13</v>
      </c>
      <c r="B1833" s="2">
        <f>Walmart_Sales_raw_data!C1833</f>
        <v>1955689.12</v>
      </c>
      <c r="C1833" t="str">
        <f>IF(B1833&gt;=Walmart_Sales_raw_data!$C$6437,"High","low")</f>
        <v>High</v>
      </c>
    </row>
    <row r="1834" spans="1:3">
      <c r="A1834" s="1">
        <v>13</v>
      </c>
      <c r="B1834" s="2">
        <f>Walmart_Sales_raw_data!C1834</f>
        <v>1970121.65</v>
      </c>
      <c r="C1834" t="str">
        <f>IF(B1834&gt;=Walmart_Sales_raw_data!$C$6437,"High","low")</f>
        <v>High</v>
      </c>
    </row>
    <row r="1835" spans="1:3">
      <c r="A1835" s="3">
        <v>13</v>
      </c>
      <c r="B1835" s="2">
        <f>Walmart_Sales_raw_data!C1835</f>
        <v>1995994.51</v>
      </c>
      <c r="C1835" t="str">
        <f>IF(B1835&gt;=Walmart_Sales_raw_data!$C$6437,"High","low")</f>
        <v>High</v>
      </c>
    </row>
    <row r="1836" spans="1:3">
      <c r="A1836" s="1">
        <v>13</v>
      </c>
      <c r="B1836" s="2">
        <f>Walmart_Sales_raw_data!C1836</f>
        <v>2080764.17</v>
      </c>
      <c r="C1836" t="str">
        <f>IF(B1836&gt;=Walmart_Sales_raw_data!$C$6437,"High","low")</f>
        <v>High</v>
      </c>
    </row>
    <row r="1837" spans="1:3">
      <c r="A1837" s="3">
        <v>13</v>
      </c>
      <c r="B1837" s="2">
        <f>Walmart_Sales_raw_data!C1837</f>
        <v>2131900.55</v>
      </c>
      <c r="C1837" t="str">
        <f>IF(B1837&gt;=Walmart_Sales_raw_data!$C$6437,"High","low")</f>
        <v>High</v>
      </c>
    </row>
    <row r="1838" spans="1:3">
      <c r="A1838" s="1">
        <v>13</v>
      </c>
      <c r="B1838" s="2">
        <f>Walmart_Sales_raw_data!C1838</f>
        <v>2043349.41</v>
      </c>
      <c r="C1838" t="str">
        <f>IF(B1838&gt;=Walmart_Sales_raw_data!$C$6437,"High","low")</f>
        <v>High</v>
      </c>
    </row>
    <row r="1839" spans="1:3">
      <c r="A1839" s="3">
        <v>13</v>
      </c>
      <c r="B1839" s="2">
        <f>Walmart_Sales_raw_data!C1839</f>
        <v>2035431.39</v>
      </c>
      <c r="C1839" t="str">
        <f>IF(B1839&gt;=Walmart_Sales_raw_data!$C$6437,"High","low")</f>
        <v>High</v>
      </c>
    </row>
    <row r="1840" spans="1:3">
      <c r="A1840" s="1">
        <v>13</v>
      </c>
      <c r="B1840" s="2">
        <f>Walmart_Sales_raw_data!C1840</f>
        <v>2182437.9</v>
      </c>
      <c r="C1840" t="str">
        <f>IF(B1840&gt;=Walmart_Sales_raw_data!$C$6437,"High","low")</f>
        <v>High</v>
      </c>
    </row>
    <row r="1841" spans="1:3">
      <c r="A1841" s="3">
        <v>13</v>
      </c>
      <c r="B1841" s="2">
        <f>Walmart_Sales_raw_data!C1841</f>
        <v>2152229.11</v>
      </c>
      <c r="C1841" t="str">
        <f>IF(B1841&gt;=Walmart_Sales_raw_data!$C$6437,"High","low")</f>
        <v>High</v>
      </c>
    </row>
    <row r="1842" spans="1:3">
      <c r="A1842" s="1">
        <v>13</v>
      </c>
      <c r="B1842" s="2">
        <f>Walmart_Sales_raw_data!C1842</f>
        <v>2094373</v>
      </c>
      <c r="C1842" t="str">
        <f>IF(B1842&gt;=Walmart_Sales_raw_data!$C$6437,"High","low")</f>
        <v>High</v>
      </c>
    </row>
    <row r="1843" spans="1:3">
      <c r="A1843" s="3">
        <v>13</v>
      </c>
      <c r="B1843" s="2">
        <f>Walmart_Sales_raw_data!C1843</f>
        <v>2037663.71</v>
      </c>
      <c r="C1843" t="str">
        <f>IF(B1843&gt;=Walmart_Sales_raw_data!$C$6437,"High","low")</f>
        <v>High</v>
      </c>
    </row>
    <row r="1844" spans="1:3">
      <c r="A1844" s="1">
        <v>13</v>
      </c>
      <c r="B1844" s="2">
        <f>Walmart_Sales_raw_data!C1844</f>
        <v>2184980.35</v>
      </c>
      <c r="C1844" t="str">
        <f>IF(B1844&gt;=Walmart_Sales_raw_data!$C$6437,"High","low")</f>
        <v>High</v>
      </c>
    </row>
    <row r="1845" spans="1:3">
      <c r="A1845" s="3">
        <v>13</v>
      </c>
      <c r="B1845" s="2">
        <f>Walmart_Sales_raw_data!C1845</f>
        <v>2002750.99</v>
      </c>
      <c r="C1845" t="str">
        <f>IF(B1845&gt;=Walmart_Sales_raw_data!$C$6437,"High","low")</f>
        <v>High</v>
      </c>
    </row>
    <row r="1846" spans="1:3">
      <c r="A1846" s="1">
        <v>13</v>
      </c>
      <c r="B1846" s="2">
        <f>Walmart_Sales_raw_data!C1846</f>
        <v>2053089.32</v>
      </c>
      <c r="C1846" t="str">
        <f>IF(B1846&gt;=Walmart_Sales_raw_data!$C$6437,"High","low")</f>
        <v>High</v>
      </c>
    </row>
    <row r="1847" spans="1:3">
      <c r="A1847" s="3">
        <v>13</v>
      </c>
      <c r="B1847" s="2">
        <f>Walmart_Sales_raw_data!C1847</f>
        <v>1914430.53</v>
      </c>
      <c r="C1847" t="str">
        <f>IF(B1847&gt;=Walmart_Sales_raw_data!$C$6437,"High","low")</f>
        <v>High</v>
      </c>
    </row>
    <row r="1848" spans="1:3">
      <c r="A1848" s="1">
        <v>13</v>
      </c>
      <c r="B1848" s="2">
        <f>Walmart_Sales_raw_data!C1848</f>
        <v>2044148.23</v>
      </c>
      <c r="C1848" t="str">
        <f>IF(B1848&gt;=Walmart_Sales_raw_data!$C$6437,"High","low")</f>
        <v>High</v>
      </c>
    </row>
    <row r="1849" spans="1:3">
      <c r="A1849" s="3">
        <v>13</v>
      </c>
      <c r="B1849" s="2">
        <f>Walmart_Sales_raw_data!C1849</f>
        <v>2041019.92</v>
      </c>
      <c r="C1849" t="str">
        <f>IF(B1849&gt;=Walmart_Sales_raw_data!$C$6437,"High","low")</f>
        <v>High</v>
      </c>
    </row>
    <row r="1850" spans="1:3">
      <c r="A1850" s="1">
        <v>13</v>
      </c>
      <c r="B1850" s="2">
        <f>Walmart_Sales_raw_data!C1850</f>
        <v>2095769.18</v>
      </c>
      <c r="C1850" t="str">
        <f>IF(B1850&gt;=Walmart_Sales_raw_data!$C$6437,"High","low")</f>
        <v>High</v>
      </c>
    </row>
    <row r="1851" spans="1:3">
      <c r="A1851" s="3">
        <v>13</v>
      </c>
      <c r="B1851" s="2">
        <f>Walmart_Sales_raw_data!C1851</f>
        <v>2059458.25</v>
      </c>
      <c r="C1851" t="str">
        <f>IF(B1851&gt;=Walmart_Sales_raw_data!$C$6437,"High","low")</f>
        <v>High</v>
      </c>
    </row>
    <row r="1852" spans="1:3">
      <c r="A1852" s="1">
        <v>13</v>
      </c>
      <c r="B1852" s="2">
        <f>Walmart_Sales_raw_data!C1852</f>
        <v>2073855.42</v>
      </c>
      <c r="C1852" t="str">
        <f>IF(B1852&gt;=Walmart_Sales_raw_data!$C$6437,"High","low")</f>
        <v>High</v>
      </c>
    </row>
    <row r="1853" spans="1:3">
      <c r="A1853" s="3">
        <v>13</v>
      </c>
      <c r="B1853" s="2">
        <f>Walmart_Sales_raw_data!C1853</f>
        <v>2165796.31</v>
      </c>
      <c r="C1853" t="str">
        <f>IF(B1853&gt;=Walmart_Sales_raw_data!$C$6437,"High","low")</f>
        <v>High</v>
      </c>
    </row>
    <row r="1854" spans="1:3">
      <c r="A1854" s="1">
        <v>13</v>
      </c>
      <c r="B1854" s="2">
        <f>Walmart_Sales_raw_data!C1854</f>
        <v>1919917.03</v>
      </c>
      <c r="C1854" t="str">
        <f>IF(B1854&gt;=Walmart_Sales_raw_data!$C$6437,"High","low")</f>
        <v>High</v>
      </c>
    </row>
    <row r="1855" spans="1:3">
      <c r="A1855" s="3">
        <v>13</v>
      </c>
      <c r="B1855" s="2">
        <f>Walmart_Sales_raw_data!C1855</f>
        <v>1938379.66</v>
      </c>
      <c r="C1855" t="str">
        <f>IF(B1855&gt;=Walmart_Sales_raw_data!$C$6437,"High","low")</f>
        <v>High</v>
      </c>
    </row>
    <row r="1856" spans="1:3">
      <c r="A1856" s="1">
        <v>13</v>
      </c>
      <c r="B1856" s="2">
        <f>Walmart_Sales_raw_data!C1856</f>
        <v>1927664.11</v>
      </c>
      <c r="C1856" t="str">
        <f>IF(B1856&gt;=Walmart_Sales_raw_data!$C$6437,"High","low")</f>
        <v>High</v>
      </c>
    </row>
    <row r="1857" spans="1:3">
      <c r="A1857" s="3">
        <v>13</v>
      </c>
      <c r="B1857" s="2">
        <f>Walmart_Sales_raw_data!C1857</f>
        <v>2041918.74</v>
      </c>
      <c r="C1857" t="str">
        <f>IF(B1857&gt;=Walmart_Sales_raw_data!$C$6437,"High","low")</f>
        <v>High</v>
      </c>
    </row>
    <row r="1858" spans="1:3">
      <c r="A1858" s="1">
        <v>13</v>
      </c>
      <c r="B1858" s="2">
        <f>Walmart_Sales_raw_data!C1858</f>
        <v>1999079.44</v>
      </c>
      <c r="C1858" t="str">
        <f>IF(B1858&gt;=Walmart_Sales_raw_data!$C$6437,"High","low")</f>
        <v>High</v>
      </c>
    </row>
    <row r="1859" spans="1:3">
      <c r="A1859" s="3">
        <v>13</v>
      </c>
      <c r="B1859" s="2">
        <f>Walmart_Sales_raw_data!C1859</f>
        <v>2018010.15</v>
      </c>
      <c r="C1859" t="str">
        <f>IF(B1859&gt;=Walmart_Sales_raw_data!$C$6437,"High","low")</f>
        <v>High</v>
      </c>
    </row>
    <row r="1860" spans="1:3">
      <c r="A1860" s="1">
        <v>13</v>
      </c>
      <c r="B1860" s="2">
        <f>Walmart_Sales_raw_data!C1860</f>
        <v>2035189.66</v>
      </c>
      <c r="C1860" t="str">
        <f>IF(B1860&gt;=Walmart_Sales_raw_data!$C$6437,"High","low")</f>
        <v>High</v>
      </c>
    </row>
    <row r="1861" spans="1:3">
      <c r="A1861" s="3">
        <v>14</v>
      </c>
      <c r="B1861" s="2">
        <f>Walmart_Sales_raw_data!C1861</f>
        <v>2623469.95</v>
      </c>
      <c r="C1861" t="str">
        <f>IF(B1861&gt;=Walmart_Sales_raw_data!$C$6437,"High","low")</f>
        <v>High</v>
      </c>
    </row>
    <row r="1862" spans="1:3">
      <c r="A1862" s="1">
        <v>14</v>
      </c>
      <c r="B1862" s="2">
        <f>Walmart_Sales_raw_data!C1862</f>
        <v>1704218.84</v>
      </c>
      <c r="C1862" t="str">
        <f>IF(B1862&gt;=Walmart_Sales_raw_data!$C$6437,"High","low")</f>
        <v>High</v>
      </c>
    </row>
    <row r="1863" spans="1:3">
      <c r="A1863" s="3">
        <v>14</v>
      </c>
      <c r="B1863" s="2">
        <f>Walmart_Sales_raw_data!C1863</f>
        <v>2204556.7</v>
      </c>
      <c r="C1863" t="str">
        <f>IF(B1863&gt;=Walmart_Sales_raw_data!$C$6437,"High","low")</f>
        <v>High</v>
      </c>
    </row>
    <row r="1864" spans="1:3">
      <c r="A1864" s="1">
        <v>14</v>
      </c>
      <c r="B1864" s="2">
        <f>Walmart_Sales_raw_data!C1864</f>
        <v>2095591.63</v>
      </c>
      <c r="C1864" t="str">
        <f>IF(B1864&gt;=Walmart_Sales_raw_data!$C$6437,"High","low")</f>
        <v>High</v>
      </c>
    </row>
    <row r="1865" spans="1:3">
      <c r="A1865" s="3">
        <v>14</v>
      </c>
      <c r="B1865" s="2">
        <f>Walmart_Sales_raw_data!C1865</f>
        <v>2237544.75</v>
      </c>
      <c r="C1865" t="str">
        <f>IF(B1865&gt;=Walmart_Sales_raw_data!$C$6437,"High","low")</f>
        <v>High</v>
      </c>
    </row>
    <row r="1866" spans="1:3">
      <c r="A1866" s="1">
        <v>14</v>
      </c>
      <c r="B1866" s="2">
        <f>Walmart_Sales_raw_data!C1866</f>
        <v>2156035.06</v>
      </c>
      <c r="C1866" t="str">
        <f>IF(B1866&gt;=Walmart_Sales_raw_data!$C$6437,"High","low")</f>
        <v>High</v>
      </c>
    </row>
    <row r="1867" spans="1:3">
      <c r="A1867" s="3">
        <v>14</v>
      </c>
      <c r="B1867" s="2">
        <f>Walmart_Sales_raw_data!C1867</f>
        <v>2066219.3</v>
      </c>
      <c r="C1867" t="str">
        <f>IF(B1867&gt;=Walmart_Sales_raw_data!$C$6437,"High","low")</f>
        <v>High</v>
      </c>
    </row>
    <row r="1868" spans="1:3">
      <c r="A1868" s="1">
        <v>14</v>
      </c>
      <c r="B1868" s="2">
        <f>Walmart_Sales_raw_data!C1868</f>
        <v>2050396.27</v>
      </c>
      <c r="C1868" t="str">
        <f>IF(B1868&gt;=Walmart_Sales_raw_data!$C$6437,"High","low")</f>
        <v>High</v>
      </c>
    </row>
    <row r="1869" spans="1:3">
      <c r="A1869" s="3">
        <v>14</v>
      </c>
      <c r="B1869" s="2">
        <f>Walmart_Sales_raw_data!C1869</f>
        <v>2495630.51</v>
      </c>
      <c r="C1869" t="str">
        <f>IF(B1869&gt;=Walmart_Sales_raw_data!$C$6437,"High","low")</f>
        <v>High</v>
      </c>
    </row>
    <row r="1870" spans="1:3">
      <c r="A1870" s="1">
        <v>14</v>
      </c>
      <c r="B1870" s="2">
        <f>Walmart_Sales_raw_data!C1870</f>
        <v>2258781.28</v>
      </c>
      <c r="C1870" t="str">
        <f>IF(B1870&gt;=Walmart_Sales_raw_data!$C$6437,"High","low")</f>
        <v>High</v>
      </c>
    </row>
    <row r="1871" spans="1:3">
      <c r="A1871" s="3">
        <v>14</v>
      </c>
      <c r="B1871" s="2">
        <f>Walmart_Sales_raw_data!C1871</f>
        <v>2121788.61</v>
      </c>
      <c r="C1871" t="str">
        <f>IF(B1871&gt;=Walmart_Sales_raw_data!$C$6437,"High","low")</f>
        <v>High</v>
      </c>
    </row>
    <row r="1872" spans="1:3">
      <c r="A1872" s="1">
        <v>14</v>
      </c>
      <c r="B1872" s="2">
        <f>Walmart_Sales_raw_data!C1872</f>
        <v>2138144.91</v>
      </c>
      <c r="C1872" t="str">
        <f>IF(B1872&gt;=Walmart_Sales_raw_data!$C$6437,"High","low")</f>
        <v>High</v>
      </c>
    </row>
    <row r="1873" spans="1:3">
      <c r="A1873" s="3">
        <v>14</v>
      </c>
      <c r="B1873" s="2">
        <f>Walmart_Sales_raw_data!C1873</f>
        <v>2082355.12</v>
      </c>
      <c r="C1873" t="str">
        <f>IF(B1873&gt;=Walmart_Sales_raw_data!$C$6437,"High","low")</f>
        <v>High</v>
      </c>
    </row>
    <row r="1874" spans="1:3">
      <c r="A1874" s="1">
        <v>14</v>
      </c>
      <c r="B1874" s="2">
        <f>Walmart_Sales_raw_data!C1874</f>
        <v>2370116.52</v>
      </c>
      <c r="C1874" t="str">
        <f>IF(B1874&gt;=Walmart_Sales_raw_data!$C$6437,"High","low")</f>
        <v>High</v>
      </c>
    </row>
    <row r="1875" spans="1:3">
      <c r="A1875" s="3">
        <v>14</v>
      </c>
      <c r="B1875" s="2">
        <f>Walmart_Sales_raw_data!C1875</f>
        <v>2129771.13</v>
      </c>
      <c r="C1875" t="str">
        <f>IF(B1875&gt;=Walmart_Sales_raw_data!$C$6437,"High","low")</f>
        <v>High</v>
      </c>
    </row>
    <row r="1876" spans="1:3">
      <c r="A1876" s="1">
        <v>14</v>
      </c>
      <c r="B1876" s="2">
        <f>Walmart_Sales_raw_data!C1876</f>
        <v>2108187.1</v>
      </c>
      <c r="C1876" t="str">
        <f>IF(B1876&gt;=Walmart_Sales_raw_data!$C$6437,"High","low")</f>
        <v>High</v>
      </c>
    </row>
    <row r="1877" spans="1:3">
      <c r="A1877" s="3">
        <v>14</v>
      </c>
      <c r="B1877" s="2">
        <f>Walmart_Sales_raw_data!C1877</f>
        <v>2227152.16</v>
      </c>
      <c r="C1877" t="str">
        <f>IF(B1877&gt;=Walmart_Sales_raw_data!$C$6437,"High","low")</f>
        <v>High</v>
      </c>
    </row>
    <row r="1878" spans="1:3">
      <c r="A1878" s="1">
        <v>14</v>
      </c>
      <c r="B1878" s="2">
        <f>Walmart_Sales_raw_data!C1878</f>
        <v>2363601.47</v>
      </c>
      <c r="C1878" t="str">
        <f>IF(B1878&gt;=Walmart_Sales_raw_data!$C$6437,"High","low")</f>
        <v>High</v>
      </c>
    </row>
    <row r="1879" spans="1:3">
      <c r="A1879" s="3">
        <v>14</v>
      </c>
      <c r="B1879" s="2">
        <f>Walmart_Sales_raw_data!C1879</f>
        <v>2249570.04</v>
      </c>
      <c r="C1879" t="str">
        <f>IF(B1879&gt;=Walmart_Sales_raw_data!$C$6437,"High","low")</f>
        <v>High</v>
      </c>
    </row>
    <row r="1880" spans="1:3">
      <c r="A1880" s="1">
        <v>14</v>
      </c>
      <c r="B1880" s="2">
        <f>Walmart_Sales_raw_data!C1880</f>
        <v>2248645.59</v>
      </c>
      <c r="C1880" t="str">
        <f>IF(B1880&gt;=Walmart_Sales_raw_data!$C$6437,"High","low")</f>
        <v>High</v>
      </c>
    </row>
    <row r="1881" spans="1:3">
      <c r="A1881" s="3">
        <v>14</v>
      </c>
      <c r="B1881" s="2">
        <f>Walmart_Sales_raw_data!C1881</f>
        <v>2246179.91</v>
      </c>
      <c r="C1881" t="str">
        <f>IF(B1881&gt;=Walmart_Sales_raw_data!$C$6437,"High","low")</f>
        <v>High</v>
      </c>
    </row>
    <row r="1882" spans="1:3">
      <c r="A1882" s="1">
        <v>14</v>
      </c>
      <c r="B1882" s="2">
        <f>Walmart_Sales_raw_data!C1882</f>
        <v>2334788.42</v>
      </c>
      <c r="C1882" t="str">
        <f>IF(B1882&gt;=Walmart_Sales_raw_data!$C$6437,"High","low")</f>
        <v>High</v>
      </c>
    </row>
    <row r="1883" spans="1:3">
      <c r="A1883" s="3">
        <v>14</v>
      </c>
      <c r="B1883" s="2">
        <f>Walmart_Sales_raw_data!C1883</f>
        <v>2236209.13</v>
      </c>
      <c r="C1883" t="str">
        <f>IF(B1883&gt;=Walmart_Sales_raw_data!$C$6437,"High","low")</f>
        <v>High</v>
      </c>
    </row>
    <row r="1884" spans="1:3">
      <c r="A1884" s="1">
        <v>14</v>
      </c>
      <c r="B1884" s="2">
        <f>Walmart_Sales_raw_data!C1884</f>
        <v>2130287.27</v>
      </c>
      <c r="C1884" t="str">
        <f>IF(B1884&gt;=Walmart_Sales_raw_data!$C$6437,"High","low")</f>
        <v>High</v>
      </c>
    </row>
    <row r="1885" spans="1:3">
      <c r="A1885" s="3">
        <v>14</v>
      </c>
      <c r="B1885" s="2">
        <f>Walmart_Sales_raw_data!C1885</f>
        <v>2044155.39</v>
      </c>
      <c r="C1885" t="str">
        <f>IF(B1885&gt;=Walmart_Sales_raw_data!$C$6437,"High","low")</f>
        <v>High</v>
      </c>
    </row>
    <row r="1886" spans="1:3">
      <c r="A1886" s="1">
        <v>14</v>
      </c>
      <c r="B1886" s="2">
        <f>Walmart_Sales_raw_data!C1886</f>
        <v>2054843.28</v>
      </c>
      <c r="C1886" t="str">
        <f>IF(B1886&gt;=Walmart_Sales_raw_data!$C$6437,"High","low")</f>
        <v>High</v>
      </c>
    </row>
    <row r="1887" spans="1:3">
      <c r="A1887" s="3">
        <v>14</v>
      </c>
      <c r="B1887" s="2">
        <f>Walmart_Sales_raw_data!C1887</f>
        <v>2219813.5</v>
      </c>
      <c r="C1887" t="str">
        <f>IF(B1887&gt;=Walmart_Sales_raw_data!$C$6437,"High","low")</f>
        <v>High</v>
      </c>
    </row>
    <row r="1888" spans="1:3">
      <c r="A1888" s="1">
        <v>14</v>
      </c>
      <c r="B1888" s="2">
        <f>Walmart_Sales_raw_data!C1888</f>
        <v>2052984.81</v>
      </c>
      <c r="C1888" t="str">
        <f>IF(B1888&gt;=Walmart_Sales_raw_data!$C$6437,"High","low")</f>
        <v>High</v>
      </c>
    </row>
    <row r="1889" spans="1:3">
      <c r="A1889" s="3">
        <v>14</v>
      </c>
      <c r="B1889" s="2">
        <f>Walmart_Sales_raw_data!C1889</f>
        <v>2057138.31</v>
      </c>
      <c r="C1889" t="str">
        <f>IF(B1889&gt;=Walmart_Sales_raw_data!$C$6437,"High","low")</f>
        <v>High</v>
      </c>
    </row>
    <row r="1890" spans="1:3">
      <c r="A1890" s="1">
        <v>14</v>
      </c>
      <c r="B1890" s="2">
        <f>Walmart_Sales_raw_data!C1890</f>
        <v>2020332.07</v>
      </c>
      <c r="C1890" t="str">
        <f>IF(B1890&gt;=Walmart_Sales_raw_data!$C$6437,"High","low")</f>
        <v>High</v>
      </c>
    </row>
    <row r="1891" spans="1:3">
      <c r="A1891" s="3">
        <v>14</v>
      </c>
      <c r="B1891" s="2">
        <f>Walmart_Sales_raw_data!C1891</f>
        <v>2182563.66</v>
      </c>
      <c r="C1891" t="str">
        <f>IF(B1891&gt;=Walmart_Sales_raw_data!$C$6437,"High","low")</f>
        <v>High</v>
      </c>
    </row>
    <row r="1892" spans="1:3">
      <c r="A1892" s="1">
        <v>14</v>
      </c>
      <c r="B1892" s="2">
        <f>Walmart_Sales_raw_data!C1892</f>
        <v>2191767.76</v>
      </c>
      <c r="C1892" t="str">
        <f>IF(B1892&gt;=Walmart_Sales_raw_data!$C$6437,"High","low")</f>
        <v>High</v>
      </c>
    </row>
    <row r="1893" spans="1:3">
      <c r="A1893" s="3">
        <v>14</v>
      </c>
      <c r="B1893" s="2">
        <f>Walmart_Sales_raw_data!C1893</f>
        <v>1953539.85</v>
      </c>
      <c r="C1893" t="str">
        <f>IF(B1893&gt;=Walmart_Sales_raw_data!$C$6437,"High","low")</f>
        <v>High</v>
      </c>
    </row>
    <row r="1894" spans="1:3">
      <c r="A1894" s="1">
        <v>14</v>
      </c>
      <c r="B1894" s="2">
        <f>Walmart_Sales_raw_data!C1894</f>
        <v>1879891.13</v>
      </c>
      <c r="C1894" t="str">
        <f>IF(B1894&gt;=Walmart_Sales_raw_data!$C$6437,"High","low")</f>
        <v>High</v>
      </c>
    </row>
    <row r="1895" spans="1:3">
      <c r="A1895" s="3">
        <v>14</v>
      </c>
      <c r="B1895" s="2">
        <f>Walmart_Sales_raw_data!C1895</f>
        <v>1855703.66</v>
      </c>
      <c r="C1895" t="str">
        <f>IF(B1895&gt;=Walmart_Sales_raw_data!$C$6437,"High","low")</f>
        <v>High</v>
      </c>
    </row>
    <row r="1896" spans="1:3">
      <c r="A1896" s="1">
        <v>14</v>
      </c>
      <c r="B1896" s="2">
        <f>Walmart_Sales_raw_data!C1896</f>
        <v>2091663.2</v>
      </c>
      <c r="C1896" t="str">
        <f>IF(B1896&gt;=Walmart_Sales_raw_data!$C$6437,"High","low")</f>
        <v>High</v>
      </c>
    </row>
    <row r="1897" spans="1:3">
      <c r="A1897" s="3">
        <v>14</v>
      </c>
      <c r="B1897" s="2">
        <f>Walmart_Sales_raw_data!C1897</f>
        <v>1932162.63</v>
      </c>
      <c r="C1897" t="str">
        <f>IF(B1897&gt;=Walmart_Sales_raw_data!$C$6437,"High","low")</f>
        <v>High</v>
      </c>
    </row>
    <row r="1898" spans="1:3">
      <c r="A1898" s="1">
        <v>14</v>
      </c>
      <c r="B1898" s="2">
        <f>Walmart_Sales_raw_data!C1898</f>
        <v>1936621.09</v>
      </c>
      <c r="C1898" t="str">
        <f>IF(B1898&gt;=Walmart_Sales_raw_data!$C$6437,"High","low")</f>
        <v>High</v>
      </c>
    </row>
    <row r="1899" spans="1:3">
      <c r="A1899" s="3">
        <v>14</v>
      </c>
      <c r="B1899" s="2">
        <f>Walmart_Sales_raw_data!C1899</f>
        <v>1984768.34</v>
      </c>
      <c r="C1899" t="str">
        <f>IF(B1899&gt;=Walmart_Sales_raw_data!$C$6437,"High","low")</f>
        <v>High</v>
      </c>
    </row>
    <row r="1900" spans="1:3">
      <c r="A1900" s="1">
        <v>14</v>
      </c>
      <c r="B1900" s="2">
        <f>Walmart_Sales_raw_data!C1900</f>
        <v>2078417.47</v>
      </c>
      <c r="C1900" t="str">
        <f>IF(B1900&gt;=Walmart_Sales_raw_data!$C$6437,"High","low")</f>
        <v>High</v>
      </c>
    </row>
    <row r="1901" spans="1:3">
      <c r="A1901" s="3">
        <v>14</v>
      </c>
      <c r="B1901" s="2">
        <f>Walmart_Sales_raw_data!C1901</f>
        <v>2092189.06</v>
      </c>
      <c r="C1901" t="str">
        <f>IF(B1901&gt;=Walmart_Sales_raw_data!$C$6437,"High","low")</f>
        <v>High</v>
      </c>
    </row>
    <row r="1902" spans="1:3">
      <c r="A1902" s="1">
        <v>14</v>
      </c>
      <c r="B1902" s="2">
        <f>Walmart_Sales_raw_data!C1902</f>
        <v>1968462.58</v>
      </c>
      <c r="C1902" t="str">
        <f>IF(B1902&gt;=Walmart_Sales_raw_data!$C$6437,"High","low")</f>
        <v>High</v>
      </c>
    </row>
    <row r="1903" spans="1:3">
      <c r="A1903" s="3">
        <v>14</v>
      </c>
      <c r="B1903" s="2">
        <f>Walmart_Sales_raw_data!C1903</f>
        <v>2921709.71</v>
      </c>
      <c r="C1903" t="str">
        <f>IF(B1903&gt;=Walmart_Sales_raw_data!$C$6437,"High","low")</f>
        <v>High</v>
      </c>
    </row>
    <row r="1904" spans="1:3">
      <c r="A1904" s="1">
        <v>14</v>
      </c>
      <c r="B1904" s="2">
        <f>Walmart_Sales_raw_data!C1904</f>
        <v>2258489.63</v>
      </c>
      <c r="C1904" t="str">
        <f>IF(B1904&gt;=Walmart_Sales_raw_data!$C$6437,"High","low")</f>
        <v>High</v>
      </c>
    </row>
    <row r="1905" spans="1:3">
      <c r="A1905" s="3">
        <v>14</v>
      </c>
      <c r="B1905" s="2">
        <f>Walmart_Sales_raw_data!C1905</f>
        <v>2600519.26</v>
      </c>
      <c r="C1905" t="str">
        <f>IF(B1905&gt;=Walmart_Sales_raw_data!$C$6437,"High","low")</f>
        <v>High</v>
      </c>
    </row>
    <row r="1906" spans="1:3">
      <c r="A1906" s="1">
        <v>14</v>
      </c>
      <c r="B1906" s="2">
        <f>Walmart_Sales_raw_data!C1906</f>
        <v>2762861.41</v>
      </c>
      <c r="C1906" t="str">
        <f>IF(B1906&gt;=Walmart_Sales_raw_data!$C$6437,"High","low")</f>
        <v>High</v>
      </c>
    </row>
    <row r="1907" spans="1:3">
      <c r="A1907" s="3">
        <v>14</v>
      </c>
      <c r="B1907" s="2">
        <f>Walmart_Sales_raw_data!C1907</f>
        <v>3818686.45</v>
      </c>
      <c r="C1907" t="str">
        <f>IF(B1907&gt;=Walmart_Sales_raw_data!$C$6437,"High","low")</f>
        <v>High</v>
      </c>
    </row>
    <row r="1908" spans="1:3">
      <c r="A1908" s="1">
        <v>14</v>
      </c>
      <c r="B1908" s="2">
        <f>Walmart_Sales_raw_data!C1908</f>
        <v>1623716.46</v>
      </c>
      <c r="C1908" t="str">
        <f>IF(B1908&gt;=Walmart_Sales_raw_data!$C$6437,"High","low")</f>
        <v>High</v>
      </c>
    </row>
    <row r="1909" spans="1:3">
      <c r="A1909" s="3">
        <v>14</v>
      </c>
      <c r="B1909" s="2">
        <f>Walmart_Sales_raw_data!C1909</f>
        <v>1864746.1</v>
      </c>
      <c r="C1909" t="str">
        <f>IF(B1909&gt;=Walmart_Sales_raw_data!$C$6437,"High","low")</f>
        <v>High</v>
      </c>
    </row>
    <row r="1910" spans="1:3">
      <c r="A1910" s="1">
        <v>14</v>
      </c>
      <c r="B1910" s="2">
        <f>Walmart_Sales_raw_data!C1910</f>
        <v>1699095.9</v>
      </c>
      <c r="C1910" t="str">
        <f>IF(B1910&gt;=Walmart_Sales_raw_data!$C$6437,"High","low")</f>
        <v>High</v>
      </c>
    </row>
    <row r="1911" spans="1:3">
      <c r="A1911" s="3">
        <v>14</v>
      </c>
      <c r="B1911" s="2">
        <f>Walmart_Sales_raw_data!C1911</f>
        <v>1743188.87</v>
      </c>
      <c r="C1911" t="str">
        <f>IF(B1911&gt;=Walmart_Sales_raw_data!$C$6437,"High","low")</f>
        <v>High</v>
      </c>
    </row>
    <row r="1912" spans="1:3">
      <c r="A1912" s="1">
        <v>14</v>
      </c>
      <c r="B1912" s="2">
        <f>Walmart_Sales_raw_data!C1912</f>
        <v>1613718.38</v>
      </c>
      <c r="C1912" t="str">
        <f>IF(B1912&gt;=Walmart_Sales_raw_data!$C$6437,"High","low")</f>
        <v>High</v>
      </c>
    </row>
    <row r="1913" spans="1:3">
      <c r="A1913" s="3">
        <v>14</v>
      </c>
      <c r="B1913" s="2">
        <f>Walmart_Sales_raw_data!C1913</f>
        <v>1995891.87</v>
      </c>
      <c r="C1913" t="str">
        <f>IF(B1913&gt;=Walmart_Sales_raw_data!$C$6437,"High","low")</f>
        <v>High</v>
      </c>
    </row>
    <row r="1914" spans="1:3">
      <c r="A1914" s="1">
        <v>14</v>
      </c>
      <c r="B1914" s="2">
        <f>Walmart_Sales_raw_data!C1914</f>
        <v>1980405.03</v>
      </c>
      <c r="C1914" t="str">
        <f>IF(B1914&gt;=Walmart_Sales_raw_data!$C$6437,"High","low")</f>
        <v>High</v>
      </c>
    </row>
    <row r="1915" spans="1:3">
      <c r="A1915" s="3">
        <v>14</v>
      </c>
      <c r="B1915" s="2">
        <f>Walmart_Sales_raw_data!C1915</f>
        <v>2019031.67</v>
      </c>
      <c r="C1915" t="str">
        <f>IF(B1915&gt;=Walmart_Sales_raw_data!$C$6437,"High","low")</f>
        <v>High</v>
      </c>
    </row>
    <row r="1916" spans="1:3">
      <c r="A1916" s="1">
        <v>14</v>
      </c>
      <c r="B1916" s="2">
        <f>Walmart_Sales_raw_data!C1916</f>
        <v>1875708.88</v>
      </c>
      <c r="C1916" t="str">
        <f>IF(B1916&gt;=Walmart_Sales_raw_data!$C$6437,"High","low")</f>
        <v>High</v>
      </c>
    </row>
    <row r="1917" spans="1:3">
      <c r="A1917" s="3">
        <v>14</v>
      </c>
      <c r="B1917" s="2">
        <f>Walmart_Sales_raw_data!C1917</f>
        <v>2041215.61</v>
      </c>
      <c r="C1917" t="str">
        <f>IF(B1917&gt;=Walmart_Sales_raw_data!$C$6437,"High","low")</f>
        <v>High</v>
      </c>
    </row>
    <row r="1918" spans="1:3">
      <c r="A1918" s="1">
        <v>14</v>
      </c>
      <c r="B1918" s="2">
        <f>Walmart_Sales_raw_data!C1918</f>
        <v>1931104.67</v>
      </c>
      <c r="C1918" t="str">
        <f>IF(B1918&gt;=Walmart_Sales_raw_data!$C$6437,"High","low")</f>
        <v>High</v>
      </c>
    </row>
    <row r="1919" spans="1:3">
      <c r="A1919" s="3">
        <v>14</v>
      </c>
      <c r="B1919" s="2">
        <f>Walmart_Sales_raw_data!C1919</f>
        <v>1932491.42</v>
      </c>
      <c r="C1919" t="str">
        <f>IF(B1919&gt;=Walmart_Sales_raw_data!$C$6437,"High","low")</f>
        <v>High</v>
      </c>
    </row>
    <row r="1920" spans="1:3">
      <c r="A1920" s="1">
        <v>14</v>
      </c>
      <c r="B1920" s="2">
        <f>Walmart_Sales_raw_data!C1920</f>
        <v>1879451.23</v>
      </c>
      <c r="C1920" t="str">
        <f>IF(B1920&gt;=Walmart_Sales_raw_data!$C$6437,"High","low")</f>
        <v>High</v>
      </c>
    </row>
    <row r="1921" spans="1:3">
      <c r="A1921" s="3">
        <v>14</v>
      </c>
      <c r="B1921" s="2">
        <f>Walmart_Sales_raw_data!C1921</f>
        <v>1869110.55</v>
      </c>
      <c r="C1921" t="str">
        <f>IF(B1921&gt;=Walmart_Sales_raw_data!$C$6437,"High","low")</f>
        <v>High</v>
      </c>
    </row>
    <row r="1922" spans="1:3">
      <c r="A1922" s="1">
        <v>14</v>
      </c>
      <c r="B1922" s="2">
        <f>Walmart_Sales_raw_data!C1922</f>
        <v>2037798.88</v>
      </c>
      <c r="C1922" t="str">
        <f>IF(B1922&gt;=Walmart_Sales_raw_data!$C$6437,"High","low")</f>
        <v>High</v>
      </c>
    </row>
    <row r="1923" spans="1:3">
      <c r="A1923" s="3">
        <v>14</v>
      </c>
      <c r="B1923" s="2">
        <f>Walmart_Sales_raw_data!C1923</f>
        <v>1974960.86</v>
      </c>
      <c r="C1923" t="str">
        <f>IF(B1923&gt;=Walmart_Sales_raw_data!$C$6437,"High","low")</f>
        <v>High</v>
      </c>
    </row>
    <row r="1924" spans="1:3">
      <c r="A1924" s="1">
        <v>14</v>
      </c>
      <c r="B1924" s="2">
        <f>Walmart_Sales_raw_data!C1924</f>
        <v>2256461.39</v>
      </c>
      <c r="C1924" t="str">
        <f>IF(B1924&gt;=Walmart_Sales_raw_data!$C$6437,"High","low")</f>
        <v>High</v>
      </c>
    </row>
    <row r="1925" spans="1:3">
      <c r="A1925" s="3">
        <v>14</v>
      </c>
      <c r="B1925" s="2">
        <f>Walmart_Sales_raw_data!C1925</f>
        <v>1930617.64</v>
      </c>
      <c r="C1925" t="str">
        <f>IF(B1925&gt;=Walmart_Sales_raw_data!$C$6437,"High","low")</f>
        <v>High</v>
      </c>
    </row>
    <row r="1926" spans="1:3">
      <c r="A1926" s="1">
        <v>14</v>
      </c>
      <c r="B1926" s="2">
        <f>Walmart_Sales_raw_data!C1926</f>
        <v>2095599.93</v>
      </c>
      <c r="C1926" t="str">
        <f>IF(B1926&gt;=Walmart_Sales_raw_data!$C$6437,"High","low")</f>
        <v>High</v>
      </c>
    </row>
    <row r="1927" spans="1:3">
      <c r="A1927" s="3">
        <v>14</v>
      </c>
      <c r="B1927" s="2">
        <f>Walmart_Sales_raw_data!C1927</f>
        <v>2004330.3</v>
      </c>
      <c r="C1927" t="str">
        <f>IF(B1927&gt;=Walmart_Sales_raw_data!$C$6437,"High","low")</f>
        <v>High</v>
      </c>
    </row>
    <row r="1928" spans="1:3">
      <c r="A1928" s="1">
        <v>14</v>
      </c>
      <c r="B1928" s="2">
        <f>Walmart_Sales_raw_data!C1928</f>
        <v>1959967.8</v>
      </c>
      <c r="C1928" t="str">
        <f>IF(B1928&gt;=Walmart_Sales_raw_data!$C$6437,"High","low")</f>
        <v>High</v>
      </c>
    </row>
    <row r="1929" spans="1:3">
      <c r="A1929" s="3">
        <v>14</v>
      </c>
      <c r="B1929" s="2">
        <f>Walmart_Sales_raw_data!C1929</f>
        <v>2080694.24</v>
      </c>
      <c r="C1929" t="str">
        <f>IF(B1929&gt;=Walmart_Sales_raw_data!$C$6437,"High","low")</f>
        <v>High</v>
      </c>
    </row>
    <row r="1930" spans="1:3">
      <c r="A1930" s="1">
        <v>14</v>
      </c>
      <c r="B1930" s="2">
        <f>Walmart_Sales_raw_data!C1930</f>
        <v>2079899.47</v>
      </c>
      <c r="C1930" t="str">
        <f>IF(B1930&gt;=Walmart_Sales_raw_data!$C$6437,"High","low")</f>
        <v>High</v>
      </c>
    </row>
    <row r="1931" spans="1:3">
      <c r="A1931" s="3">
        <v>14</v>
      </c>
      <c r="B1931" s="2">
        <f>Walmart_Sales_raw_data!C1931</f>
        <v>2132446</v>
      </c>
      <c r="C1931" t="str">
        <f>IF(B1931&gt;=Walmart_Sales_raw_data!$C$6437,"High","low")</f>
        <v>High</v>
      </c>
    </row>
    <row r="1932" spans="1:3">
      <c r="A1932" s="1">
        <v>14</v>
      </c>
      <c r="B1932" s="2">
        <f>Walmart_Sales_raw_data!C1932</f>
        <v>2082083.34</v>
      </c>
      <c r="C1932" t="str">
        <f>IF(B1932&gt;=Walmart_Sales_raw_data!$C$6437,"High","low")</f>
        <v>High</v>
      </c>
    </row>
    <row r="1933" spans="1:3">
      <c r="A1933" s="3">
        <v>14</v>
      </c>
      <c r="B1933" s="2">
        <f>Walmart_Sales_raw_data!C1933</f>
        <v>2069523.52</v>
      </c>
      <c r="C1933" t="str">
        <f>IF(B1933&gt;=Walmart_Sales_raw_data!$C$6437,"High","low")</f>
        <v>High</v>
      </c>
    </row>
    <row r="1934" spans="1:3">
      <c r="A1934" s="1">
        <v>14</v>
      </c>
      <c r="B1934" s="2">
        <f>Walmart_Sales_raw_data!C1934</f>
        <v>2074668.19</v>
      </c>
      <c r="C1934" t="str">
        <f>IF(B1934&gt;=Walmart_Sales_raw_data!$C$6437,"High","low")</f>
        <v>High</v>
      </c>
    </row>
    <row r="1935" spans="1:3">
      <c r="A1935" s="3">
        <v>14</v>
      </c>
      <c r="B1935" s="2">
        <f>Walmart_Sales_raw_data!C1935</f>
        <v>2063401.06</v>
      </c>
      <c r="C1935" t="str">
        <f>IF(B1935&gt;=Walmart_Sales_raw_data!$C$6437,"High","low")</f>
        <v>High</v>
      </c>
    </row>
    <row r="1936" spans="1:3">
      <c r="A1936" s="1">
        <v>14</v>
      </c>
      <c r="B1936" s="2">
        <f>Walmart_Sales_raw_data!C1936</f>
        <v>1953544.76</v>
      </c>
      <c r="C1936" t="str">
        <f>IF(B1936&gt;=Walmart_Sales_raw_data!$C$6437,"High","low")</f>
        <v>High</v>
      </c>
    </row>
    <row r="1937" spans="1:3">
      <c r="A1937" s="3">
        <v>14</v>
      </c>
      <c r="B1937" s="2">
        <f>Walmart_Sales_raw_data!C1937</f>
        <v>1882070.88</v>
      </c>
      <c r="C1937" t="str">
        <f>IF(B1937&gt;=Walmart_Sales_raw_data!$C$6437,"High","low")</f>
        <v>High</v>
      </c>
    </row>
    <row r="1938" spans="1:3">
      <c r="A1938" s="1">
        <v>14</v>
      </c>
      <c r="B1938" s="2">
        <f>Walmart_Sales_raw_data!C1938</f>
        <v>1871021.01</v>
      </c>
      <c r="C1938" t="str">
        <f>IF(B1938&gt;=Walmart_Sales_raw_data!$C$6437,"High","low")</f>
        <v>High</v>
      </c>
    </row>
    <row r="1939" spans="1:3">
      <c r="A1939" s="3">
        <v>14</v>
      </c>
      <c r="B1939" s="2">
        <f>Walmart_Sales_raw_data!C1939</f>
        <v>2066020.69</v>
      </c>
      <c r="C1939" t="str">
        <f>IF(B1939&gt;=Walmart_Sales_raw_data!$C$6437,"High","low")</f>
        <v>High</v>
      </c>
    </row>
    <row r="1940" spans="1:3">
      <c r="A1940" s="1">
        <v>14</v>
      </c>
      <c r="B1940" s="2">
        <f>Walmart_Sales_raw_data!C1940</f>
        <v>1928773.82</v>
      </c>
      <c r="C1940" t="str">
        <f>IF(B1940&gt;=Walmart_Sales_raw_data!$C$6437,"High","low")</f>
        <v>High</v>
      </c>
    </row>
    <row r="1941" spans="1:3">
      <c r="A1941" s="3">
        <v>14</v>
      </c>
      <c r="B1941" s="2">
        <f>Walmart_Sales_raw_data!C1941</f>
        <v>1896873.99</v>
      </c>
      <c r="C1941" t="str">
        <f>IF(B1941&gt;=Walmart_Sales_raw_data!$C$6437,"High","low")</f>
        <v>High</v>
      </c>
    </row>
    <row r="1942" spans="1:3">
      <c r="A1942" s="1">
        <v>14</v>
      </c>
      <c r="B1942" s="2">
        <f>Walmart_Sales_raw_data!C1942</f>
        <v>2273470.62</v>
      </c>
      <c r="C1942" t="str">
        <f>IF(B1942&gt;=Walmart_Sales_raw_data!$C$6437,"High","low")</f>
        <v>High</v>
      </c>
    </row>
    <row r="1943" spans="1:3">
      <c r="A1943" s="3">
        <v>14</v>
      </c>
      <c r="B1943" s="2">
        <f>Walmart_Sales_raw_data!C1943</f>
        <v>1750891.47</v>
      </c>
      <c r="C1943" t="str">
        <f>IF(B1943&gt;=Walmart_Sales_raw_data!$C$6437,"High","low")</f>
        <v>High</v>
      </c>
    </row>
    <row r="1944" spans="1:3">
      <c r="A1944" s="1">
        <v>14</v>
      </c>
      <c r="B1944" s="2">
        <f>Walmart_Sales_raw_data!C1944</f>
        <v>2202742.9</v>
      </c>
      <c r="C1944" t="str">
        <f>IF(B1944&gt;=Walmart_Sales_raw_data!$C$6437,"High","low")</f>
        <v>High</v>
      </c>
    </row>
    <row r="1945" spans="1:3">
      <c r="A1945" s="3">
        <v>14</v>
      </c>
      <c r="B1945" s="2">
        <f>Walmart_Sales_raw_data!C1945</f>
        <v>1864637.89</v>
      </c>
      <c r="C1945" t="str">
        <f>IF(B1945&gt;=Walmart_Sales_raw_data!$C$6437,"High","low")</f>
        <v>High</v>
      </c>
    </row>
    <row r="1946" spans="1:3">
      <c r="A1946" s="1">
        <v>14</v>
      </c>
      <c r="B1946" s="2">
        <f>Walmart_Sales_raw_data!C1946</f>
        <v>1871555.64</v>
      </c>
      <c r="C1946" t="str">
        <f>IF(B1946&gt;=Walmart_Sales_raw_data!$C$6437,"High","low")</f>
        <v>High</v>
      </c>
    </row>
    <row r="1947" spans="1:3">
      <c r="A1947" s="3">
        <v>14</v>
      </c>
      <c r="B1947" s="2">
        <f>Walmart_Sales_raw_data!C1947</f>
        <v>1809989.29</v>
      </c>
      <c r="C1947" t="str">
        <f>IF(B1947&gt;=Walmart_Sales_raw_data!$C$6437,"High","low")</f>
        <v>High</v>
      </c>
    </row>
    <row r="1948" spans="1:3">
      <c r="A1948" s="1">
        <v>14</v>
      </c>
      <c r="B1948" s="2">
        <f>Walmart_Sales_raw_data!C1948</f>
        <v>2078796.76</v>
      </c>
      <c r="C1948" t="str">
        <f>IF(B1948&gt;=Walmart_Sales_raw_data!$C$6437,"High","low")</f>
        <v>High</v>
      </c>
    </row>
    <row r="1949" spans="1:3">
      <c r="A1949" s="3">
        <v>14</v>
      </c>
      <c r="B1949" s="2">
        <f>Walmart_Sales_raw_data!C1949</f>
        <v>1890870.75</v>
      </c>
      <c r="C1949" t="str">
        <f>IF(B1949&gt;=Walmart_Sales_raw_data!$C$6437,"High","low")</f>
        <v>High</v>
      </c>
    </row>
    <row r="1950" spans="1:3">
      <c r="A1950" s="1">
        <v>14</v>
      </c>
      <c r="B1950" s="2">
        <f>Walmart_Sales_raw_data!C1950</f>
        <v>2009004.59</v>
      </c>
      <c r="C1950" t="str">
        <f>IF(B1950&gt;=Walmart_Sales_raw_data!$C$6437,"High","low")</f>
        <v>High</v>
      </c>
    </row>
    <row r="1951" spans="1:3">
      <c r="A1951" s="3">
        <v>14</v>
      </c>
      <c r="B1951" s="2">
        <f>Walmart_Sales_raw_data!C1951</f>
        <v>2056846.12</v>
      </c>
      <c r="C1951" t="str">
        <f>IF(B1951&gt;=Walmart_Sales_raw_data!$C$6437,"High","low")</f>
        <v>High</v>
      </c>
    </row>
    <row r="1952" spans="1:3">
      <c r="A1952" s="1">
        <v>14</v>
      </c>
      <c r="B1952" s="2">
        <f>Walmart_Sales_raw_data!C1952</f>
        <v>2174056.71</v>
      </c>
      <c r="C1952" t="str">
        <f>IF(B1952&gt;=Walmart_Sales_raw_data!$C$6437,"High","low")</f>
        <v>High</v>
      </c>
    </row>
    <row r="1953" spans="1:3">
      <c r="A1953" s="3">
        <v>14</v>
      </c>
      <c r="B1953" s="2">
        <f>Walmart_Sales_raw_data!C1953</f>
        <v>2081534.65</v>
      </c>
      <c r="C1953" t="str">
        <f>IF(B1953&gt;=Walmart_Sales_raw_data!$C$6437,"High","low")</f>
        <v>High</v>
      </c>
    </row>
    <row r="1954" spans="1:3">
      <c r="A1954" s="1">
        <v>14</v>
      </c>
      <c r="B1954" s="2">
        <f>Walmart_Sales_raw_data!C1954</f>
        <v>1969360.72</v>
      </c>
      <c r="C1954" t="str">
        <f>IF(B1954&gt;=Walmart_Sales_raw_data!$C$6437,"High","low")</f>
        <v>High</v>
      </c>
    </row>
    <row r="1955" spans="1:3">
      <c r="A1955" s="3">
        <v>14</v>
      </c>
      <c r="B1955" s="2">
        <f>Walmart_Sales_raw_data!C1955</f>
        <v>2685351.81</v>
      </c>
      <c r="C1955" t="str">
        <f>IF(B1955&gt;=Walmart_Sales_raw_data!$C$6437,"High","low")</f>
        <v>High</v>
      </c>
    </row>
    <row r="1956" spans="1:3">
      <c r="A1956" s="1">
        <v>14</v>
      </c>
      <c r="B1956" s="2">
        <f>Walmart_Sales_raw_data!C1956</f>
        <v>2143080.57</v>
      </c>
      <c r="C1956" t="str">
        <f>IF(B1956&gt;=Walmart_Sales_raw_data!$C$6437,"High","low")</f>
        <v>High</v>
      </c>
    </row>
    <row r="1957" spans="1:3">
      <c r="A1957" s="3">
        <v>14</v>
      </c>
      <c r="B1957" s="2">
        <f>Walmart_Sales_raw_data!C1957</f>
        <v>2470581.29</v>
      </c>
      <c r="C1957" t="str">
        <f>IF(B1957&gt;=Walmart_Sales_raw_data!$C$6437,"High","low")</f>
        <v>High</v>
      </c>
    </row>
    <row r="1958" spans="1:3">
      <c r="A1958" s="1">
        <v>14</v>
      </c>
      <c r="B1958" s="2">
        <f>Walmart_Sales_raw_data!C1958</f>
        <v>2594363.09</v>
      </c>
      <c r="C1958" t="str">
        <f>IF(B1958&gt;=Walmart_Sales_raw_data!$C$6437,"High","low")</f>
        <v>High</v>
      </c>
    </row>
    <row r="1959" spans="1:3">
      <c r="A1959" s="3">
        <v>14</v>
      </c>
      <c r="B1959" s="2">
        <f>Walmart_Sales_raw_data!C1959</f>
        <v>3369068.99</v>
      </c>
      <c r="C1959" t="str">
        <f>IF(B1959&gt;=Walmart_Sales_raw_data!$C$6437,"High","low")</f>
        <v>High</v>
      </c>
    </row>
    <row r="1960" spans="1:3">
      <c r="A1960" s="1">
        <v>14</v>
      </c>
      <c r="B1960" s="2">
        <f>Walmart_Sales_raw_data!C1960</f>
        <v>1914148.89</v>
      </c>
      <c r="C1960" t="str">
        <f>IF(B1960&gt;=Walmart_Sales_raw_data!$C$6437,"High","low")</f>
        <v>High</v>
      </c>
    </row>
    <row r="1961" spans="1:3">
      <c r="A1961" s="3">
        <v>14</v>
      </c>
      <c r="B1961" s="2">
        <f>Walmart_Sales_raw_data!C1961</f>
        <v>1859144.96</v>
      </c>
      <c r="C1961" t="str">
        <f>IF(B1961&gt;=Walmart_Sales_raw_data!$C$6437,"High","low")</f>
        <v>High</v>
      </c>
    </row>
    <row r="1962" spans="1:3">
      <c r="A1962" s="1">
        <v>14</v>
      </c>
      <c r="B1962" s="2">
        <f>Walmart_Sales_raw_data!C1962</f>
        <v>1696248.27</v>
      </c>
      <c r="C1962" t="str">
        <f>IF(B1962&gt;=Walmart_Sales_raw_data!$C$6437,"High","low")</f>
        <v>High</v>
      </c>
    </row>
    <row r="1963" spans="1:3">
      <c r="A1963" s="3">
        <v>14</v>
      </c>
      <c r="B1963" s="2">
        <f>Walmart_Sales_raw_data!C1963</f>
        <v>1789113.32</v>
      </c>
      <c r="C1963" t="str">
        <f>IF(B1963&gt;=Walmart_Sales_raw_data!$C$6437,"High","low")</f>
        <v>High</v>
      </c>
    </row>
    <row r="1964" spans="1:3">
      <c r="A1964" s="1">
        <v>14</v>
      </c>
      <c r="B1964" s="2">
        <f>Walmart_Sales_raw_data!C1964</f>
        <v>1595362.27</v>
      </c>
      <c r="C1964" t="str">
        <f>IF(B1964&gt;=Walmart_Sales_raw_data!$C$6437,"High","low")</f>
        <v>High</v>
      </c>
    </row>
    <row r="1965" spans="1:3">
      <c r="A1965" s="3">
        <v>14</v>
      </c>
      <c r="B1965" s="2">
        <f>Walmart_Sales_raw_data!C1965</f>
        <v>1877410.36</v>
      </c>
      <c r="C1965" t="str">
        <f>IF(B1965&gt;=Walmart_Sales_raw_data!$C$6437,"High","low")</f>
        <v>High</v>
      </c>
    </row>
    <row r="1966" spans="1:3">
      <c r="A1966" s="1">
        <v>14</v>
      </c>
      <c r="B1966" s="2">
        <f>Walmart_Sales_raw_data!C1966</f>
        <v>2077256.24</v>
      </c>
      <c r="C1966" t="str">
        <f>IF(B1966&gt;=Walmart_Sales_raw_data!$C$6437,"High","low")</f>
        <v>High</v>
      </c>
    </row>
    <row r="1967" spans="1:3">
      <c r="A1967" s="3">
        <v>14</v>
      </c>
      <c r="B1967" s="2">
        <f>Walmart_Sales_raw_data!C1967</f>
        <v>2020550.99</v>
      </c>
      <c r="C1967" t="str">
        <f>IF(B1967&gt;=Walmart_Sales_raw_data!$C$6437,"High","low")</f>
        <v>High</v>
      </c>
    </row>
    <row r="1968" spans="1:3">
      <c r="A1968" s="1">
        <v>14</v>
      </c>
      <c r="B1968" s="2">
        <f>Walmart_Sales_raw_data!C1968</f>
        <v>1875040.16</v>
      </c>
      <c r="C1968" t="str">
        <f>IF(B1968&gt;=Walmart_Sales_raw_data!$C$6437,"High","low")</f>
        <v>High</v>
      </c>
    </row>
    <row r="1969" spans="1:3">
      <c r="A1969" s="3">
        <v>14</v>
      </c>
      <c r="B1969" s="2">
        <f>Walmart_Sales_raw_data!C1969</f>
        <v>1926004.99</v>
      </c>
      <c r="C1969" t="str">
        <f>IF(B1969&gt;=Walmart_Sales_raw_data!$C$6437,"High","low")</f>
        <v>High</v>
      </c>
    </row>
    <row r="1970" spans="1:3">
      <c r="A1970" s="1">
        <v>14</v>
      </c>
      <c r="B1970" s="2">
        <f>Walmart_Sales_raw_data!C1970</f>
        <v>2020839.31</v>
      </c>
      <c r="C1970" t="str">
        <f>IF(B1970&gt;=Walmart_Sales_raw_data!$C$6437,"High","low")</f>
        <v>High</v>
      </c>
    </row>
    <row r="1971" spans="1:3">
      <c r="A1971" s="3">
        <v>14</v>
      </c>
      <c r="B1971" s="2">
        <f>Walmart_Sales_raw_data!C1971</f>
        <v>1941040.5</v>
      </c>
      <c r="C1971" t="str">
        <f>IF(B1971&gt;=Walmart_Sales_raw_data!$C$6437,"High","low")</f>
        <v>High</v>
      </c>
    </row>
    <row r="1972" spans="1:3">
      <c r="A1972" s="1">
        <v>14</v>
      </c>
      <c r="B1972" s="2">
        <f>Walmart_Sales_raw_data!C1972</f>
        <v>1893447.71</v>
      </c>
      <c r="C1972" t="str">
        <f>IF(B1972&gt;=Walmart_Sales_raw_data!$C$6437,"High","low")</f>
        <v>High</v>
      </c>
    </row>
    <row r="1973" spans="1:3">
      <c r="A1973" s="3">
        <v>14</v>
      </c>
      <c r="B1973" s="2">
        <f>Walmart_Sales_raw_data!C1973</f>
        <v>1905033.01</v>
      </c>
      <c r="C1973" t="str">
        <f>IF(B1973&gt;=Walmart_Sales_raw_data!$C$6437,"High","low")</f>
        <v>High</v>
      </c>
    </row>
    <row r="1974" spans="1:3">
      <c r="A1974" s="1">
        <v>14</v>
      </c>
      <c r="B1974" s="2">
        <f>Walmart_Sales_raw_data!C1974</f>
        <v>2376022.26</v>
      </c>
      <c r="C1974" t="str">
        <f>IF(B1974&gt;=Walmart_Sales_raw_data!$C$6437,"High","low")</f>
        <v>High</v>
      </c>
    </row>
    <row r="1975" spans="1:3">
      <c r="A1975" s="3">
        <v>14</v>
      </c>
      <c r="B1975" s="2">
        <f>Walmart_Sales_raw_data!C1975</f>
        <v>1912909.69</v>
      </c>
      <c r="C1975" t="str">
        <f>IF(B1975&gt;=Walmart_Sales_raw_data!$C$6437,"High","low")</f>
        <v>High</v>
      </c>
    </row>
    <row r="1976" spans="1:3">
      <c r="A1976" s="1">
        <v>14</v>
      </c>
      <c r="B1976" s="2">
        <f>Walmart_Sales_raw_data!C1976</f>
        <v>1875686.44</v>
      </c>
      <c r="C1976" t="str">
        <f>IF(B1976&gt;=Walmart_Sales_raw_data!$C$6437,"High","low")</f>
        <v>High</v>
      </c>
    </row>
    <row r="1977" spans="1:3">
      <c r="A1977" s="3">
        <v>14</v>
      </c>
      <c r="B1977" s="2">
        <f>Walmart_Sales_raw_data!C1977</f>
        <v>1784029.95</v>
      </c>
      <c r="C1977" t="str">
        <f>IF(B1977&gt;=Walmart_Sales_raw_data!$C$6437,"High","low")</f>
        <v>High</v>
      </c>
    </row>
    <row r="1978" spans="1:3">
      <c r="A1978" s="1">
        <v>14</v>
      </c>
      <c r="B1978" s="2">
        <f>Walmart_Sales_raw_data!C1978</f>
        <v>1949354.29</v>
      </c>
      <c r="C1978" t="str">
        <f>IF(B1978&gt;=Walmart_Sales_raw_data!$C$6437,"High","low")</f>
        <v>High</v>
      </c>
    </row>
    <row r="1979" spans="1:3">
      <c r="A1979" s="3">
        <v>14</v>
      </c>
      <c r="B1979" s="2">
        <f>Walmart_Sales_raw_data!C1979</f>
        <v>1987531.05</v>
      </c>
      <c r="C1979" t="str">
        <f>IF(B1979&gt;=Walmart_Sales_raw_data!$C$6437,"High","low")</f>
        <v>High</v>
      </c>
    </row>
    <row r="1980" spans="1:3">
      <c r="A1980" s="1">
        <v>14</v>
      </c>
      <c r="B1980" s="2">
        <f>Walmart_Sales_raw_data!C1980</f>
        <v>1932233.17</v>
      </c>
      <c r="C1980" t="str">
        <f>IF(B1980&gt;=Walmart_Sales_raw_data!$C$6437,"High","low")</f>
        <v>High</v>
      </c>
    </row>
    <row r="1981" spans="1:3">
      <c r="A1981" s="3">
        <v>14</v>
      </c>
      <c r="B1981" s="2">
        <f>Walmart_Sales_raw_data!C1981</f>
        <v>2030869.61</v>
      </c>
      <c r="C1981" t="str">
        <f>IF(B1981&gt;=Walmart_Sales_raw_data!$C$6437,"High","low")</f>
        <v>High</v>
      </c>
    </row>
    <row r="1982" spans="1:3">
      <c r="A1982" s="1">
        <v>14</v>
      </c>
      <c r="B1982" s="2">
        <f>Walmart_Sales_raw_data!C1982</f>
        <v>2049485.49</v>
      </c>
      <c r="C1982" t="str">
        <f>IF(B1982&gt;=Walmart_Sales_raw_data!$C$6437,"High","low")</f>
        <v>High</v>
      </c>
    </row>
    <row r="1983" spans="1:3">
      <c r="A1983" s="3">
        <v>14</v>
      </c>
      <c r="B1983" s="2">
        <f>Walmart_Sales_raw_data!C1983</f>
        <v>2099615.88</v>
      </c>
      <c r="C1983" t="str">
        <f>IF(B1983&gt;=Walmart_Sales_raw_data!$C$6437,"High","low")</f>
        <v>High</v>
      </c>
    </row>
    <row r="1984" spans="1:3">
      <c r="A1984" s="1">
        <v>14</v>
      </c>
      <c r="B1984" s="2">
        <f>Walmart_Sales_raw_data!C1984</f>
        <v>1905733.68</v>
      </c>
      <c r="C1984" t="str">
        <f>IF(B1984&gt;=Walmart_Sales_raw_data!$C$6437,"High","low")</f>
        <v>High</v>
      </c>
    </row>
    <row r="1985" spans="1:3">
      <c r="A1985" s="3">
        <v>14</v>
      </c>
      <c r="B1985" s="2">
        <f>Walmart_Sales_raw_data!C1985</f>
        <v>1660228.88</v>
      </c>
      <c r="C1985" t="str">
        <f>IF(B1985&gt;=Walmart_Sales_raw_data!$C$6437,"High","low")</f>
        <v>High</v>
      </c>
    </row>
    <row r="1986" spans="1:3">
      <c r="A1986" s="1">
        <v>14</v>
      </c>
      <c r="B1986" s="2">
        <f>Walmart_Sales_raw_data!C1986</f>
        <v>1591835.02</v>
      </c>
      <c r="C1986" t="str">
        <f>IF(B1986&gt;=Walmart_Sales_raw_data!$C$6437,"High","low")</f>
        <v>High</v>
      </c>
    </row>
    <row r="1987" spans="1:3">
      <c r="A1987" s="3">
        <v>14</v>
      </c>
      <c r="B1987" s="2">
        <f>Walmart_Sales_raw_data!C1987</f>
        <v>1862128.95</v>
      </c>
      <c r="C1987" t="str">
        <f>IF(B1987&gt;=Walmart_Sales_raw_data!$C$6437,"High","low")</f>
        <v>High</v>
      </c>
    </row>
    <row r="1988" spans="1:3">
      <c r="A1988" s="1">
        <v>14</v>
      </c>
      <c r="B1988" s="2">
        <f>Walmart_Sales_raw_data!C1988</f>
        <v>1544422.35</v>
      </c>
      <c r="C1988" t="str">
        <f>IF(B1988&gt;=Walmart_Sales_raw_data!$C$6437,"High","low")</f>
        <v>High</v>
      </c>
    </row>
    <row r="1989" spans="1:3">
      <c r="A1989" s="3">
        <v>14</v>
      </c>
      <c r="B1989" s="2">
        <f>Walmart_Sales_raw_data!C1989</f>
        <v>1553250.16</v>
      </c>
      <c r="C1989" t="str">
        <f>IF(B1989&gt;=Walmart_Sales_raw_data!$C$6437,"High","low")</f>
        <v>High</v>
      </c>
    </row>
    <row r="1990" spans="1:3">
      <c r="A1990" s="1">
        <v>14</v>
      </c>
      <c r="B1990" s="2">
        <f>Walmart_Sales_raw_data!C1990</f>
        <v>1479514.66</v>
      </c>
      <c r="C1990" t="str">
        <f>IF(B1990&gt;=Walmart_Sales_raw_data!$C$6437,"High","low")</f>
        <v>High</v>
      </c>
    </row>
    <row r="1991" spans="1:3">
      <c r="A1991" s="3">
        <v>14</v>
      </c>
      <c r="B1991" s="2">
        <f>Walmart_Sales_raw_data!C1991</f>
        <v>1656886.46</v>
      </c>
      <c r="C1991" t="str">
        <f>IF(B1991&gt;=Walmart_Sales_raw_data!$C$6437,"High","low")</f>
        <v>High</v>
      </c>
    </row>
    <row r="1992" spans="1:3">
      <c r="A1992" s="1">
        <v>14</v>
      </c>
      <c r="B1992" s="2">
        <f>Walmart_Sales_raw_data!C1992</f>
        <v>1648570.03</v>
      </c>
      <c r="C1992" t="str">
        <f>IF(B1992&gt;=Walmart_Sales_raw_data!$C$6437,"High","low")</f>
        <v>High</v>
      </c>
    </row>
    <row r="1993" spans="1:3">
      <c r="A1993" s="3">
        <v>14</v>
      </c>
      <c r="B1993" s="2">
        <f>Walmart_Sales_raw_data!C1993</f>
        <v>1660433.3</v>
      </c>
      <c r="C1993" t="str">
        <f>IF(B1993&gt;=Walmart_Sales_raw_data!$C$6437,"High","low")</f>
        <v>High</v>
      </c>
    </row>
    <row r="1994" spans="1:3">
      <c r="A1994" s="1">
        <v>14</v>
      </c>
      <c r="B1994" s="2">
        <f>Walmart_Sales_raw_data!C1994</f>
        <v>1621841.33</v>
      </c>
      <c r="C1994" t="str">
        <f>IF(B1994&gt;=Walmart_Sales_raw_data!$C$6437,"High","low")</f>
        <v>High</v>
      </c>
    </row>
    <row r="1995" spans="1:3">
      <c r="A1995" s="3">
        <v>14</v>
      </c>
      <c r="B1995" s="2">
        <f>Walmart_Sales_raw_data!C1995</f>
        <v>1613342.19</v>
      </c>
      <c r="C1995" t="str">
        <f>IF(B1995&gt;=Walmart_Sales_raw_data!$C$6437,"High","low")</f>
        <v>High</v>
      </c>
    </row>
    <row r="1996" spans="1:3">
      <c r="A1996" s="1">
        <v>14</v>
      </c>
      <c r="B1996" s="2">
        <f>Walmart_Sales_raw_data!C1996</f>
        <v>1904512.34</v>
      </c>
      <c r="C1996" t="str">
        <f>IF(B1996&gt;=Walmart_Sales_raw_data!$C$6437,"High","low")</f>
        <v>High</v>
      </c>
    </row>
    <row r="1997" spans="1:3">
      <c r="A1997" s="3">
        <v>14</v>
      </c>
      <c r="B1997" s="2">
        <f>Walmart_Sales_raw_data!C1997</f>
        <v>1554794.22</v>
      </c>
      <c r="C1997" t="str">
        <f>IF(B1997&gt;=Walmart_Sales_raw_data!$C$6437,"High","low")</f>
        <v>High</v>
      </c>
    </row>
    <row r="1998" spans="1:3">
      <c r="A1998" s="1">
        <v>14</v>
      </c>
      <c r="B1998" s="2">
        <f>Walmart_Sales_raw_data!C1998</f>
        <v>1565352.46</v>
      </c>
      <c r="C1998" t="str">
        <f>IF(B1998&gt;=Walmart_Sales_raw_data!$C$6437,"High","low")</f>
        <v>High</v>
      </c>
    </row>
    <row r="1999" spans="1:3">
      <c r="A1999" s="3">
        <v>14</v>
      </c>
      <c r="B1999" s="2">
        <f>Walmart_Sales_raw_data!C1999</f>
        <v>1522512.2</v>
      </c>
      <c r="C1999" t="str">
        <f>IF(B1999&gt;=Walmart_Sales_raw_data!$C$6437,"High","low")</f>
        <v>High</v>
      </c>
    </row>
    <row r="2000" spans="1:3">
      <c r="A2000" s="1">
        <v>14</v>
      </c>
      <c r="B2000" s="2">
        <f>Walmart_Sales_raw_data!C2000</f>
        <v>1687592.16</v>
      </c>
      <c r="C2000" t="str">
        <f>IF(B2000&gt;=Walmart_Sales_raw_data!$C$6437,"High","low")</f>
        <v>High</v>
      </c>
    </row>
    <row r="2001" spans="1:3">
      <c r="A2001" s="3">
        <v>14</v>
      </c>
      <c r="B2001" s="2">
        <f>Walmart_Sales_raw_data!C2001</f>
        <v>1639585.61</v>
      </c>
      <c r="C2001" t="str">
        <f>IF(B2001&gt;=Walmart_Sales_raw_data!$C$6437,"High","low")</f>
        <v>High</v>
      </c>
    </row>
    <row r="2002" spans="1:3">
      <c r="A2002" s="1">
        <v>14</v>
      </c>
      <c r="B2002" s="2">
        <f>Walmart_Sales_raw_data!C2002</f>
        <v>1590274.72</v>
      </c>
      <c r="C2002" t="str">
        <f>IF(B2002&gt;=Walmart_Sales_raw_data!$C$6437,"High","low")</f>
        <v>High</v>
      </c>
    </row>
    <row r="2003" spans="1:3">
      <c r="A2003" s="3">
        <v>14</v>
      </c>
      <c r="B2003" s="2">
        <f>Walmart_Sales_raw_data!C2003</f>
        <v>1704357.62</v>
      </c>
      <c r="C2003" t="str">
        <f>IF(B2003&gt;=Walmart_Sales_raw_data!$C$6437,"High","low")</f>
        <v>High</v>
      </c>
    </row>
    <row r="2004" spans="1:3">
      <c r="A2004" s="1">
        <v>15</v>
      </c>
      <c r="B2004" s="2">
        <f>Walmart_Sales_raw_data!C2004</f>
        <v>652122.44</v>
      </c>
      <c r="C2004" t="str">
        <f>IF(B2004&gt;=Walmart_Sales_raw_data!$C$6437,"High","low")</f>
        <v>low</v>
      </c>
    </row>
    <row r="2005" spans="1:3">
      <c r="A2005" s="3">
        <v>15</v>
      </c>
      <c r="B2005" s="2">
        <f>Walmart_Sales_raw_data!C2005</f>
        <v>682447.1</v>
      </c>
      <c r="C2005" t="str">
        <f>IF(B2005&gt;=Walmart_Sales_raw_data!$C$6437,"High","low")</f>
        <v>low</v>
      </c>
    </row>
    <row r="2006" spans="1:3">
      <c r="A2006" s="1">
        <v>15</v>
      </c>
      <c r="B2006" s="2">
        <f>Walmart_Sales_raw_data!C2006</f>
        <v>660838.75</v>
      </c>
      <c r="C2006" t="str">
        <f>IF(B2006&gt;=Walmart_Sales_raw_data!$C$6437,"High","low")</f>
        <v>low</v>
      </c>
    </row>
    <row r="2007" spans="1:3">
      <c r="A2007" s="3">
        <v>15</v>
      </c>
      <c r="B2007" s="2">
        <f>Walmart_Sales_raw_data!C2007</f>
        <v>564883.2</v>
      </c>
      <c r="C2007" t="str">
        <f>IF(B2007&gt;=Walmart_Sales_raw_data!$C$6437,"High","low")</f>
        <v>low</v>
      </c>
    </row>
    <row r="2008" spans="1:3">
      <c r="A2008" s="1">
        <v>15</v>
      </c>
      <c r="B2008" s="2">
        <f>Walmart_Sales_raw_data!C2008</f>
        <v>605325.43</v>
      </c>
      <c r="C2008" t="str">
        <f>IF(B2008&gt;=Walmart_Sales_raw_data!$C$6437,"High","low")</f>
        <v>low</v>
      </c>
    </row>
    <row r="2009" spans="1:3">
      <c r="A2009" s="3">
        <v>15</v>
      </c>
      <c r="B2009" s="2">
        <f>Walmart_Sales_raw_data!C2009</f>
        <v>604173.59</v>
      </c>
      <c r="C2009" t="str">
        <f>IF(B2009&gt;=Walmart_Sales_raw_data!$C$6437,"High","low")</f>
        <v>low</v>
      </c>
    </row>
    <row r="2010" spans="1:3">
      <c r="A2010" s="1">
        <v>15</v>
      </c>
      <c r="B2010" s="2">
        <f>Walmart_Sales_raw_data!C2010</f>
        <v>593710.67</v>
      </c>
      <c r="C2010" t="str">
        <f>IF(B2010&gt;=Walmart_Sales_raw_data!$C$6437,"High","low")</f>
        <v>low</v>
      </c>
    </row>
    <row r="2011" spans="1:3">
      <c r="A2011" s="3">
        <v>15</v>
      </c>
      <c r="B2011" s="2">
        <f>Walmart_Sales_raw_data!C2011</f>
        <v>592111.49</v>
      </c>
      <c r="C2011" t="str">
        <f>IF(B2011&gt;=Walmart_Sales_raw_data!$C$6437,"High","low")</f>
        <v>low</v>
      </c>
    </row>
    <row r="2012" spans="1:3">
      <c r="A2012" s="1">
        <v>15</v>
      </c>
      <c r="B2012" s="2">
        <f>Walmart_Sales_raw_data!C2012</f>
        <v>718470.71</v>
      </c>
      <c r="C2012" t="str">
        <f>IF(B2012&gt;=Walmart_Sales_raw_data!$C$6437,"High","low")</f>
        <v>low</v>
      </c>
    </row>
    <row r="2013" spans="1:3">
      <c r="A2013" s="3">
        <v>15</v>
      </c>
      <c r="B2013" s="2">
        <f>Walmart_Sales_raw_data!C2013</f>
        <v>634605.77</v>
      </c>
      <c r="C2013" t="str">
        <f>IF(B2013&gt;=Walmart_Sales_raw_data!$C$6437,"High","low")</f>
        <v>low</v>
      </c>
    </row>
    <row r="2014" spans="1:3">
      <c r="A2014" s="1">
        <v>15</v>
      </c>
      <c r="B2014" s="2">
        <f>Walmart_Sales_raw_data!C2014</f>
        <v>641208.65</v>
      </c>
      <c r="C2014" t="str">
        <f>IF(B2014&gt;=Walmart_Sales_raw_data!$C$6437,"High","low")</f>
        <v>low</v>
      </c>
    </row>
    <row r="2015" spans="1:3">
      <c r="A2015" s="3">
        <v>15</v>
      </c>
      <c r="B2015" s="2">
        <f>Walmart_Sales_raw_data!C2015</f>
        <v>643097.6</v>
      </c>
      <c r="C2015" t="str">
        <f>IF(B2015&gt;=Walmart_Sales_raw_data!$C$6437,"High","low")</f>
        <v>low</v>
      </c>
    </row>
    <row r="2016" spans="1:3">
      <c r="A2016" s="1">
        <v>15</v>
      </c>
      <c r="B2016" s="2">
        <f>Walmart_Sales_raw_data!C2016</f>
        <v>570791.11</v>
      </c>
      <c r="C2016" t="str">
        <f>IF(B2016&gt;=Walmart_Sales_raw_data!$C$6437,"High","low")</f>
        <v>low</v>
      </c>
    </row>
    <row r="2017" spans="1:3">
      <c r="A2017" s="3">
        <v>15</v>
      </c>
      <c r="B2017" s="2">
        <f>Walmart_Sales_raw_data!C2017</f>
        <v>661348.88</v>
      </c>
      <c r="C2017" t="str">
        <f>IF(B2017&gt;=Walmart_Sales_raw_data!$C$6437,"High","low")</f>
        <v>low</v>
      </c>
    </row>
    <row r="2018" spans="1:3">
      <c r="A2018" s="1">
        <v>15</v>
      </c>
      <c r="B2018" s="2">
        <f>Walmart_Sales_raw_data!C2018</f>
        <v>594385.2</v>
      </c>
      <c r="C2018" t="str">
        <f>IF(B2018&gt;=Walmart_Sales_raw_data!$C$6437,"High","low")</f>
        <v>low</v>
      </c>
    </row>
    <row r="2019" spans="1:3">
      <c r="A2019" s="3">
        <v>15</v>
      </c>
      <c r="B2019" s="2">
        <f>Walmart_Sales_raw_data!C2019</f>
        <v>616598.1</v>
      </c>
      <c r="C2019" t="str">
        <f>IF(B2019&gt;=Walmart_Sales_raw_data!$C$6437,"High","low")</f>
        <v>low</v>
      </c>
    </row>
    <row r="2020" spans="1:3">
      <c r="A2020" s="1">
        <v>15</v>
      </c>
      <c r="B2020" s="2">
        <f>Walmart_Sales_raw_data!C2020</f>
        <v>744772.88</v>
      </c>
      <c r="C2020" t="str">
        <f>IF(B2020&gt;=Walmart_Sales_raw_data!$C$6437,"High","low")</f>
        <v>low</v>
      </c>
    </row>
    <row r="2021" spans="1:3">
      <c r="A2021" s="3">
        <v>15</v>
      </c>
      <c r="B2021" s="2">
        <f>Walmart_Sales_raw_data!C2021</f>
        <v>693192.5</v>
      </c>
      <c r="C2021" t="str">
        <f>IF(B2021&gt;=Walmart_Sales_raw_data!$C$6437,"High","low")</f>
        <v>low</v>
      </c>
    </row>
    <row r="2022" spans="1:3">
      <c r="A2022" s="1">
        <v>15</v>
      </c>
      <c r="B2022" s="2">
        <f>Walmart_Sales_raw_data!C2022</f>
        <v>619337.29</v>
      </c>
      <c r="C2022" t="str">
        <f>IF(B2022&gt;=Walmart_Sales_raw_data!$C$6437,"High","low")</f>
        <v>low</v>
      </c>
    </row>
    <row r="2023" spans="1:3">
      <c r="A2023" s="3">
        <v>15</v>
      </c>
      <c r="B2023" s="2">
        <f>Walmart_Sales_raw_data!C2023</f>
        <v>652329.53</v>
      </c>
      <c r="C2023" t="str">
        <f>IF(B2023&gt;=Walmart_Sales_raw_data!$C$6437,"High","low")</f>
        <v>low</v>
      </c>
    </row>
    <row r="2024" spans="1:3">
      <c r="A2024" s="1">
        <v>15</v>
      </c>
      <c r="B2024" s="2">
        <f>Walmart_Sales_raw_data!C2024</f>
        <v>672194.03</v>
      </c>
      <c r="C2024" t="str">
        <f>IF(B2024&gt;=Walmart_Sales_raw_data!$C$6437,"High","low")</f>
        <v>low</v>
      </c>
    </row>
    <row r="2025" spans="1:3">
      <c r="A2025" s="3">
        <v>15</v>
      </c>
      <c r="B2025" s="2">
        <f>Walmart_Sales_raw_data!C2025</f>
        <v>709337.11</v>
      </c>
      <c r="C2025" t="str">
        <f>IF(B2025&gt;=Walmart_Sales_raw_data!$C$6437,"High","low")</f>
        <v>low</v>
      </c>
    </row>
    <row r="2026" spans="1:3">
      <c r="A2026" s="1">
        <v>15</v>
      </c>
      <c r="B2026" s="2">
        <f>Walmart_Sales_raw_data!C2026</f>
        <v>691497.62</v>
      </c>
      <c r="C2026" t="str">
        <f>IF(B2026&gt;=Walmart_Sales_raw_data!$C$6437,"High","low")</f>
        <v>low</v>
      </c>
    </row>
    <row r="2027" spans="1:3">
      <c r="A2027" s="3">
        <v>15</v>
      </c>
      <c r="B2027" s="2">
        <f>Walmart_Sales_raw_data!C2027</f>
        <v>633203.69</v>
      </c>
      <c r="C2027" t="str">
        <f>IF(B2027&gt;=Walmart_Sales_raw_data!$C$6437,"High","low")</f>
        <v>low</v>
      </c>
    </row>
    <row r="2028" spans="1:3">
      <c r="A2028" s="1">
        <v>15</v>
      </c>
      <c r="B2028" s="2">
        <f>Walmart_Sales_raw_data!C2028</f>
        <v>598553.43</v>
      </c>
      <c r="C2028" t="str">
        <f>IF(B2028&gt;=Walmart_Sales_raw_data!$C$6437,"High","low")</f>
        <v>low</v>
      </c>
    </row>
    <row r="2029" spans="1:3">
      <c r="A2029" s="3">
        <v>15</v>
      </c>
      <c r="B2029" s="2">
        <f>Walmart_Sales_raw_data!C2029</f>
        <v>619224.06</v>
      </c>
      <c r="C2029" t="str">
        <f>IF(B2029&gt;=Walmart_Sales_raw_data!$C$6437,"High","low")</f>
        <v>low</v>
      </c>
    </row>
    <row r="2030" spans="1:3">
      <c r="A2030" s="1">
        <v>15</v>
      </c>
      <c r="B2030" s="2">
        <f>Walmart_Sales_raw_data!C2030</f>
        <v>639651.24</v>
      </c>
      <c r="C2030" t="str">
        <f>IF(B2030&gt;=Walmart_Sales_raw_data!$C$6437,"High","low")</f>
        <v>low</v>
      </c>
    </row>
    <row r="2031" spans="1:3">
      <c r="A2031" s="3">
        <v>15</v>
      </c>
      <c r="B2031" s="2">
        <f>Walmart_Sales_raw_data!C2031</f>
        <v>622437.08</v>
      </c>
      <c r="C2031" t="str">
        <f>IF(B2031&gt;=Walmart_Sales_raw_data!$C$6437,"High","low")</f>
        <v>low</v>
      </c>
    </row>
    <row r="2032" spans="1:3">
      <c r="A2032" s="1">
        <v>15</v>
      </c>
      <c r="B2032" s="2">
        <f>Walmart_Sales_raw_data!C2032</f>
        <v>637090.44</v>
      </c>
      <c r="C2032" t="str">
        <f>IF(B2032&gt;=Walmart_Sales_raw_data!$C$6437,"High","low")</f>
        <v>low</v>
      </c>
    </row>
    <row r="2033" spans="1:3">
      <c r="A2033" s="3">
        <v>15</v>
      </c>
      <c r="B2033" s="2">
        <f>Walmart_Sales_raw_data!C2033</f>
        <v>649791.15</v>
      </c>
      <c r="C2033" t="str">
        <f>IF(B2033&gt;=Walmart_Sales_raw_data!$C$6437,"High","low")</f>
        <v>low</v>
      </c>
    </row>
    <row r="2034" spans="1:3">
      <c r="A2034" s="1">
        <v>15</v>
      </c>
      <c r="B2034" s="2">
        <f>Walmart_Sales_raw_data!C2034</f>
        <v>638647.21</v>
      </c>
      <c r="C2034" t="str">
        <f>IF(B2034&gt;=Walmart_Sales_raw_data!$C$6437,"High","low")</f>
        <v>low</v>
      </c>
    </row>
    <row r="2035" spans="1:3">
      <c r="A2035" s="3">
        <v>15</v>
      </c>
      <c r="B2035" s="2">
        <f>Walmart_Sales_raw_data!C2035</f>
        <v>641965.2</v>
      </c>
      <c r="C2035" t="str">
        <f>IF(B2035&gt;=Walmart_Sales_raw_data!$C$6437,"High","low")</f>
        <v>low</v>
      </c>
    </row>
    <row r="2036" spans="1:3">
      <c r="A2036" s="1">
        <v>15</v>
      </c>
      <c r="B2036" s="2">
        <f>Walmart_Sales_raw_data!C2036</f>
        <v>583210.87</v>
      </c>
      <c r="C2036" t="str">
        <f>IF(B2036&gt;=Walmart_Sales_raw_data!$C$6437,"High","low")</f>
        <v>low</v>
      </c>
    </row>
    <row r="2037" spans="1:3">
      <c r="A2037" s="3">
        <v>15</v>
      </c>
      <c r="B2037" s="2">
        <f>Walmart_Sales_raw_data!C2037</f>
        <v>548542.47</v>
      </c>
      <c r="C2037" t="str">
        <f>IF(B2037&gt;=Walmart_Sales_raw_data!$C$6437,"High","low")</f>
        <v>low</v>
      </c>
    </row>
    <row r="2038" spans="1:3">
      <c r="A2038" s="1">
        <v>15</v>
      </c>
      <c r="B2038" s="2">
        <f>Walmart_Sales_raw_data!C2038</f>
        <v>566945.95</v>
      </c>
      <c r="C2038" t="str">
        <f>IF(B2038&gt;=Walmart_Sales_raw_data!$C$6437,"High","low")</f>
        <v>low</v>
      </c>
    </row>
    <row r="2039" spans="1:3">
      <c r="A2039" s="3">
        <v>15</v>
      </c>
      <c r="B2039" s="2">
        <f>Walmart_Sales_raw_data!C2039</f>
        <v>591603.79</v>
      </c>
      <c r="C2039" t="str">
        <f>IF(B2039&gt;=Walmart_Sales_raw_data!$C$6437,"High","low")</f>
        <v>low</v>
      </c>
    </row>
    <row r="2040" spans="1:3">
      <c r="A2040" s="1">
        <v>15</v>
      </c>
      <c r="B2040" s="2">
        <f>Walmart_Sales_raw_data!C2040</f>
        <v>577011.26</v>
      </c>
      <c r="C2040" t="str">
        <f>IF(B2040&gt;=Walmart_Sales_raw_data!$C$6437,"High","low")</f>
        <v>low</v>
      </c>
    </row>
    <row r="2041" spans="1:3">
      <c r="A2041" s="3">
        <v>15</v>
      </c>
      <c r="B2041" s="2">
        <f>Walmart_Sales_raw_data!C2041</f>
        <v>600395.73</v>
      </c>
      <c r="C2041" t="str">
        <f>IF(B2041&gt;=Walmart_Sales_raw_data!$C$6437,"High","low")</f>
        <v>low</v>
      </c>
    </row>
    <row r="2042" spans="1:3">
      <c r="A2042" s="1">
        <v>15</v>
      </c>
      <c r="B2042" s="2">
        <f>Walmart_Sales_raw_data!C2042</f>
        <v>598301.5</v>
      </c>
      <c r="C2042" t="str">
        <f>IF(B2042&gt;=Walmart_Sales_raw_data!$C$6437,"High","low")</f>
        <v>low</v>
      </c>
    </row>
    <row r="2043" spans="1:3">
      <c r="A2043" s="3">
        <v>15</v>
      </c>
      <c r="B2043" s="2">
        <f>Walmart_Sales_raw_data!C2043</f>
        <v>612987.64</v>
      </c>
      <c r="C2043" t="str">
        <f>IF(B2043&gt;=Walmart_Sales_raw_data!$C$6437,"High","low")</f>
        <v>low</v>
      </c>
    </row>
    <row r="2044" spans="1:3">
      <c r="A2044" s="1">
        <v>15</v>
      </c>
      <c r="B2044" s="2">
        <f>Walmart_Sales_raw_data!C2044</f>
        <v>619639.74</v>
      </c>
      <c r="C2044" t="str">
        <f>IF(B2044&gt;=Walmart_Sales_raw_data!$C$6437,"High","low")</f>
        <v>low</v>
      </c>
    </row>
    <row r="2045" spans="1:3">
      <c r="A2045" s="3">
        <v>15</v>
      </c>
      <c r="B2045" s="2">
        <f>Walmart_Sales_raw_data!C2045</f>
        <v>608200.81</v>
      </c>
      <c r="C2045" t="str">
        <f>IF(B2045&gt;=Walmart_Sales_raw_data!$C$6437,"High","low")</f>
        <v>low</v>
      </c>
    </row>
    <row r="2046" spans="1:3">
      <c r="A2046" s="1">
        <v>15</v>
      </c>
      <c r="B2046" s="2">
        <f>Walmart_Sales_raw_data!C2046</f>
        <v>1120018.92</v>
      </c>
      <c r="C2046" t="str">
        <f>IF(B2046&gt;=Walmart_Sales_raw_data!$C$6437,"High","low")</f>
        <v>High</v>
      </c>
    </row>
    <row r="2047" spans="1:3">
      <c r="A2047" s="3">
        <v>15</v>
      </c>
      <c r="B2047" s="2">
        <f>Walmart_Sales_raw_data!C2047</f>
        <v>754134.95</v>
      </c>
      <c r="C2047" t="str">
        <f>IF(B2047&gt;=Walmart_Sales_raw_data!$C$6437,"High","low")</f>
        <v>low</v>
      </c>
    </row>
    <row r="2048" spans="1:3">
      <c r="A2048" s="1">
        <v>15</v>
      </c>
      <c r="B2048" s="2">
        <f>Walmart_Sales_raw_data!C2048</f>
        <v>847294.04</v>
      </c>
      <c r="C2048" t="str">
        <f>IF(B2048&gt;=Walmart_Sales_raw_data!$C$6437,"High","low")</f>
        <v>low</v>
      </c>
    </row>
    <row r="2049" spans="1:3">
      <c r="A2049" s="3">
        <v>15</v>
      </c>
      <c r="B2049" s="2">
        <f>Walmart_Sales_raw_data!C2049</f>
        <v>983825.15</v>
      </c>
      <c r="C2049" t="str">
        <f>IF(B2049&gt;=Walmart_Sales_raw_data!$C$6437,"High","low")</f>
        <v>low</v>
      </c>
    </row>
    <row r="2050" spans="1:3">
      <c r="A2050" s="1">
        <v>15</v>
      </c>
      <c r="B2050" s="2">
        <f>Walmart_Sales_raw_data!C2050</f>
        <v>1368318.17</v>
      </c>
      <c r="C2050" t="str">
        <f>IF(B2050&gt;=Walmart_Sales_raw_data!$C$6437,"High","low")</f>
        <v>High</v>
      </c>
    </row>
    <row r="2051" spans="1:3">
      <c r="A2051" s="3">
        <v>15</v>
      </c>
      <c r="B2051" s="2">
        <f>Walmart_Sales_raw_data!C2051</f>
        <v>543754.17</v>
      </c>
      <c r="C2051" t="str">
        <f>IF(B2051&gt;=Walmart_Sales_raw_data!$C$6437,"High","low")</f>
        <v>low</v>
      </c>
    </row>
    <row r="2052" spans="1:3">
      <c r="A2052" s="1">
        <v>15</v>
      </c>
      <c r="B2052" s="2">
        <f>Walmart_Sales_raw_data!C2052</f>
        <v>509640.77</v>
      </c>
      <c r="C2052" t="str">
        <f>IF(B2052&gt;=Walmart_Sales_raw_data!$C$6437,"High","low")</f>
        <v>low</v>
      </c>
    </row>
    <row r="2053" spans="1:3">
      <c r="A2053" s="3">
        <v>15</v>
      </c>
      <c r="B2053" s="2">
        <f>Walmart_Sales_raw_data!C2053</f>
        <v>479424.2</v>
      </c>
      <c r="C2053" t="str">
        <f>IF(B2053&gt;=Walmart_Sales_raw_data!$C$6437,"High","low")</f>
        <v>low</v>
      </c>
    </row>
    <row r="2054" spans="1:3">
      <c r="A2054" s="1">
        <v>15</v>
      </c>
      <c r="B2054" s="2">
        <f>Walmart_Sales_raw_data!C2054</f>
        <v>487311.03</v>
      </c>
      <c r="C2054" t="str">
        <f>IF(B2054&gt;=Walmart_Sales_raw_data!$C$6437,"High","low")</f>
        <v>low</v>
      </c>
    </row>
    <row r="2055" spans="1:3">
      <c r="A2055" s="3">
        <v>15</v>
      </c>
      <c r="B2055" s="2">
        <f>Walmart_Sales_raw_data!C2055</f>
        <v>481119.6</v>
      </c>
      <c r="C2055" t="str">
        <f>IF(B2055&gt;=Walmart_Sales_raw_data!$C$6437,"High","low")</f>
        <v>low</v>
      </c>
    </row>
    <row r="2056" spans="1:3">
      <c r="A2056" s="1">
        <v>15</v>
      </c>
      <c r="B2056" s="2">
        <f>Walmart_Sales_raw_data!C2056</f>
        <v>556550.85</v>
      </c>
      <c r="C2056" t="str">
        <f>IF(B2056&gt;=Walmart_Sales_raw_data!$C$6437,"High","low")</f>
        <v>low</v>
      </c>
    </row>
    <row r="2057" spans="1:3">
      <c r="A2057" s="3">
        <v>15</v>
      </c>
      <c r="B2057" s="2">
        <f>Walmart_Sales_raw_data!C2057</f>
        <v>582864.35</v>
      </c>
      <c r="C2057" t="str">
        <f>IF(B2057&gt;=Walmart_Sales_raw_data!$C$6437,"High","low")</f>
        <v>low</v>
      </c>
    </row>
    <row r="2058" spans="1:3">
      <c r="A2058" s="1">
        <v>15</v>
      </c>
      <c r="B2058" s="2">
        <f>Walmart_Sales_raw_data!C2058</f>
        <v>649993.5</v>
      </c>
      <c r="C2058" t="str">
        <f>IF(B2058&gt;=Walmart_Sales_raw_data!$C$6437,"High","low")</f>
        <v>low</v>
      </c>
    </row>
    <row r="2059" spans="1:3">
      <c r="A2059" s="3">
        <v>15</v>
      </c>
      <c r="B2059" s="2">
        <f>Walmart_Sales_raw_data!C2059</f>
        <v>547564.09</v>
      </c>
      <c r="C2059" t="str">
        <f>IF(B2059&gt;=Walmart_Sales_raw_data!$C$6437,"High","low")</f>
        <v>low</v>
      </c>
    </row>
    <row r="2060" spans="1:3">
      <c r="A2060" s="1">
        <v>15</v>
      </c>
      <c r="B2060" s="2">
        <f>Walmart_Sales_raw_data!C2060</f>
        <v>573374.49</v>
      </c>
      <c r="C2060" t="str">
        <f>IF(B2060&gt;=Walmart_Sales_raw_data!$C$6437,"High","low")</f>
        <v>low</v>
      </c>
    </row>
    <row r="2061" spans="1:3">
      <c r="A2061" s="3">
        <v>15</v>
      </c>
      <c r="B2061" s="2">
        <f>Walmart_Sales_raw_data!C2061</f>
        <v>537035.28</v>
      </c>
      <c r="C2061" t="str">
        <f>IF(B2061&gt;=Walmart_Sales_raw_data!$C$6437,"High","low")</f>
        <v>low</v>
      </c>
    </row>
    <row r="2062" spans="1:3">
      <c r="A2062" s="1">
        <v>15</v>
      </c>
      <c r="B2062" s="2">
        <f>Walmart_Sales_raw_data!C2062</f>
        <v>551553.99</v>
      </c>
      <c r="C2062" t="str">
        <f>IF(B2062&gt;=Walmart_Sales_raw_data!$C$6437,"High","low")</f>
        <v>low</v>
      </c>
    </row>
    <row r="2063" spans="1:3">
      <c r="A2063" s="3">
        <v>15</v>
      </c>
      <c r="B2063" s="2">
        <f>Walmart_Sales_raw_data!C2063</f>
        <v>527389.28</v>
      </c>
      <c r="C2063" t="str">
        <f>IF(B2063&gt;=Walmart_Sales_raw_data!$C$6437,"High","low")</f>
        <v>low</v>
      </c>
    </row>
    <row r="2064" spans="1:3">
      <c r="A2064" s="1">
        <v>15</v>
      </c>
      <c r="B2064" s="2">
        <f>Walmart_Sales_raw_data!C2064</f>
        <v>542556.05</v>
      </c>
      <c r="C2064" t="str">
        <f>IF(B2064&gt;=Walmart_Sales_raw_data!$C$6437,"High","low")</f>
        <v>low</v>
      </c>
    </row>
    <row r="2065" spans="1:3">
      <c r="A2065" s="3">
        <v>15</v>
      </c>
      <c r="B2065" s="2">
        <f>Walmart_Sales_raw_data!C2065</f>
        <v>587370.81</v>
      </c>
      <c r="C2065" t="str">
        <f>IF(B2065&gt;=Walmart_Sales_raw_data!$C$6437,"High","low")</f>
        <v>low</v>
      </c>
    </row>
    <row r="2066" spans="1:3">
      <c r="A2066" s="1">
        <v>15</v>
      </c>
      <c r="B2066" s="2">
        <f>Walmart_Sales_raw_data!C2066</f>
        <v>607691.36</v>
      </c>
      <c r="C2066" t="str">
        <f>IF(B2066&gt;=Walmart_Sales_raw_data!$C$6437,"High","low")</f>
        <v>low</v>
      </c>
    </row>
    <row r="2067" spans="1:3">
      <c r="A2067" s="3">
        <v>15</v>
      </c>
      <c r="B2067" s="2">
        <f>Walmart_Sales_raw_data!C2067</f>
        <v>655318.26</v>
      </c>
      <c r="C2067" t="str">
        <f>IF(B2067&gt;=Walmart_Sales_raw_data!$C$6437,"High","low")</f>
        <v>low</v>
      </c>
    </row>
    <row r="2068" spans="1:3">
      <c r="A2068" s="1">
        <v>15</v>
      </c>
      <c r="B2068" s="2">
        <f>Walmart_Sales_raw_data!C2068</f>
        <v>560764.41</v>
      </c>
      <c r="C2068" t="str">
        <f>IF(B2068&gt;=Walmart_Sales_raw_data!$C$6437,"High","low")</f>
        <v>low</v>
      </c>
    </row>
    <row r="2069" spans="1:3">
      <c r="A2069" s="3">
        <v>15</v>
      </c>
      <c r="B2069" s="2">
        <f>Walmart_Sales_raw_data!C2069</f>
        <v>630522.67</v>
      </c>
      <c r="C2069" t="str">
        <f>IF(B2069&gt;=Walmart_Sales_raw_data!$C$6437,"High","low")</f>
        <v>low</v>
      </c>
    </row>
    <row r="2070" spans="1:3">
      <c r="A2070" s="1">
        <v>15</v>
      </c>
      <c r="B2070" s="2">
        <f>Walmart_Sales_raw_data!C2070</f>
        <v>630482.91</v>
      </c>
      <c r="C2070" t="str">
        <f>IF(B2070&gt;=Walmart_Sales_raw_data!$C$6437,"High","low")</f>
        <v>low</v>
      </c>
    </row>
    <row r="2071" spans="1:3">
      <c r="A2071" s="3">
        <v>15</v>
      </c>
      <c r="B2071" s="2">
        <f>Walmart_Sales_raw_data!C2071</f>
        <v>593941.9</v>
      </c>
      <c r="C2071" t="str">
        <f>IF(B2071&gt;=Walmart_Sales_raw_data!$C$6437,"High","low")</f>
        <v>low</v>
      </c>
    </row>
    <row r="2072" spans="1:3">
      <c r="A2072" s="1">
        <v>15</v>
      </c>
      <c r="B2072" s="2">
        <f>Walmart_Sales_raw_data!C2072</f>
        <v>636193.24</v>
      </c>
      <c r="C2072" t="str">
        <f>IF(B2072&gt;=Walmart_Sales_raw_data!$C$6437,"High","low")</f>
        <v>low</v>
      </c>
    </row>
    <row r="2073" spans="1:3">
      <c r="A2073" s="3">
        <v>15</v>
      </c>
      <c r="B2073" s="2">
        <f>Walmart_Sales_raw_data!C2073</f>
        <v>695396.19</v>
      </c>
      <c r="C2073" t="str">
        <f>IF(B2073&gt;=Walmart_Sales_raw_data!$C$6437,"High","low")</f>
        <v>low</v>
      </c>
    </row>
    <row r="2074" spans="1:3">
      <c r="A2074" s="1">
        <v>15</v>
      </c>
      <c r="B2074" s="2">
        <f>Walmart_Sales_raw_data!C2074</f>
        <v>642679.81</v>
      </c>
      <c r="C2074" t="str">
        <f>IF(B2074&gt;=Walmart_Sales_raw_data!$C$6437,"High","low")</f>
        <v>low</v>
      </c>
    </row>
    <row r="2075" spans="1:3">
      <c r="A2075" s="3">
        <v>15</v>
      </c>
      <c r="B2075" s="2">
        <f>Walmart_Sales_raw_data!C2075</f>
        <v>639928.85</v>
      </c>
      <c r="C2075" t="str">
        <f>IF(B2075&gt;=Walmart_Sales_raw_data!$C$6437,"High","low")</f>
        <v>low</v>
      </c>
    </row>
    <row r="2076" spans="1:3">
      <c r="A2076" s="1">
        <v>15</v>
      </c>
      <c r="B2076" s="2">
        <f>Walmart_Sales_raw_data!C2076</f>
        <v>656594.95</v>
      </c>
      <c r="C2076" t="str">
        <f>IF(B2076&gt;=Walmart_Sales_raw_data!$C$6437,"High","low")</f>
        <v>low</v>
      </c>
    </row>
    <row r="2077" spans="1:3">
      <c r="A2077" s="3">
        <v>15</v>
      </c>
      <c r="B2077" s="2">
        <f>Walmart_Sales_raw_data!C2077</f>
        <v>674669.16</v>
      </c>
      <c r="C2077" t="str">
        <f>IF(B2077&gt;=Walmart_Sales_raw_data!$C$6437,"High","low")</f>
        <v>low</v>
      </c>
    </row>
    <row r="2078" spans="1:3">
      <c r="A2078" s="1">
        <v>15</v>
      </c>
      <c r="B2078" s="2">
        <f>Walmart_Sales_raw_data!C2078</f>
        <v>635118.48</v>
      </c>
      <c r="C2078" t="str">
        <f>IF(B2078&gt;=Walmart_Sales_raw_data!$C$6437,"High","low")</f>
        <v>low</v>
      </c>
    </row>
    <row r="2079" spans="1:3">
      <c r="A2079" s="3">
        <v>15</v>
      </c>
      <c r="B2079" s="2">
        <f>Walmart_Sales_raw_data!C2079</f>
        <v>624114.56</v>
      </c>
      <c r="C2079" t="str">
        <f>IF(B2079&gt;=Walmart_Sales_raw_data!$C$6437,"High","low")</f>
        <v>low</v>
      </c>
    </row>
    <row r="2080" spans="1:3">
      <c r="A2080" s="1">
        <v>15</v>
      </c>
      <c r="B2080" s="2">
        <f>Walmart_Sales_raw_data!C2080</f>
        <v>607475.44</v>
      </c>
      <c r="C2080" t="str">
        <f>IF(B2080&gt;=Walmart_Sales_raw_data!$C$6437,"High","low")</f>
        <v>low</v>
      </c>
    </row>
    <row r="2081" spans="1:3">
      <c r="A2081" s="3">
        <v>15</v>
      </c>
      <c r="B2081" s="2">
        <f>Walmart_Sales_raw_data!C2081</f>
        <v>577511.02</v>
      </c>
      <c r="C2081" t="str">
        <f>IF(B2081&gt;=Walmart_Sales_raw_data!$C$6437,"High","low")</f>
        <v>low</v>
      </c>
    </row>
    <row r="2082" spans="1:3">
      <c r="A2082" s="1">
        <v>15</v>
      </c>
      <c r="B2082" s="2">
        <f>Walmart_Sales_raw_data!C2082</f>
        <v>607961.21</v>
      </c>
      <c r="C2082" t="str">
        <f>IF(B2082&gt;=Walmart_Sales_raw_data!$C$6437,"High","low")</f>
        <v>low</v>
      </c>
    </row>
    <row r="2083" spans="1:3">
      <c r="A2083" s="3">
        <v>15</v>
      </c>
      <c r="B2083" s="2">
        <f>Walmart_Sales_raw_data!C2083</f>
        <v>590836.37</v>
      </c>
      <c r="C2083" t="str">
        <f>IF(B2083&gt;=Walmart_Sales_raw_data!$C$6437,"High","low")</f>
        <v>low</v>
      </c>
    </row>
    <row r="2084" spans="1:3">
      <c r="A2084" s="1">
        <v>15</v>
      </c>
      <c r="B2084" s="2">
        <f>Walmart_Sales_raw_data!C2084</f>
        <v>599488.98</v>
      </c>
      <c r="C2084" t="str">
        <f>IF(B2084&gt;=Walmart_Sales_raw_data!$C$6437,"High","low")</f>
        <v>low</v>
      </c>
    </row>
    <row r="2085" spans="1:3">
      <c r="A2085" s="3">
        <v>15</v>
      </c>
      <c r="B2085" s="2">
        <f>Walmart_Sales_raw_data!C2085</f>
        <v>605413.17</v>
      </c>
      <c r="C2085" t="str">
        <f>IF(B2085&gt;=Walmart_Sales_raw_data!$C$6437,"High","low")</f>
        <v>low</v>
      </c>
    </row>
    <row r="2086" spans="1:3">
      <c r="A2086" s="1">
        <v>15</v>
      </c>
      <c r="B2086" s="2">
        <f>Walmart_Sales_raw_data!C2086</f>
        <v>649159.68</v>
      </c>
      <c r="C2086" t="str">
        <f>IF(B2086&gt;=Walmart_Sales_raw_data!$C$6437,"High","low")</f>
        <v>low</v>
      </c>
    </row>
    <row r="2087" spans="1:3">
      <c r="A2087" s="3">
        <v>15</v>
      </c>
      <c r="B2087" s="2">
        <f>Walmart_Sales_raw_data!C2087</f>
        <v>607593.51</v>
      </c>
      <c r="C2087" t="str">
        <f>IF(B2087&gt;=Walmart_Sales_raw_data!$C$6437,"High","low")</f>
        <v>low</v>
      </c>
    </row>
    <row r="2088" spans="1:3">
      <c r="A2088" s="1">
        <v>15</v>
      </c>
      <c r="B2088" s="2">
        <f>Walmart_Sales_raw_data!C2088</f>
        <v>545052.34</v>
      </c>
      <c r="C2088" t="str">
        <f>IF(B2088&gt;=Walmart_Sales_raw_data!$C$6437,"High","low")</f>
        <v>low</v>
      </c>
    </row>
    <row r="2089" spans="1:3">
      <c r="A2089" s="3">
        <v>15</v>
      </c>
      <c r="B2089" s="2">
        <f>Walmart_Sales_raw_data!C2089</f>
        <v>545570.86</v>
      </c>
      <c r="C2089" t="str">
        <f>IF(B2089&gt;=Walmart_Sales_raw_data!$C$6437,"High","low")</f>
        <v>low</v>
      </c>
    </row>
    <row r="2090" spans="1:3">
      <c r="A2090" s="1">
        <v>15</v>
      </c>
      <c r="B2090" s="2">
        <f>Walmart_Sales_raw_data!C2090</f>
        <v>521297.31</v>
      </c>
      <c r="C2090" t="str">
        <f>IF(B2090&gt;=Walmart_Sales_raw_data!$C$6437,"High","low")</f>
        <v>low</v>
      </c>
    </row>
    <row r="2091" spans="1:3">
      <c r="A2091" s="3">
        <v>15</v>
      </c>
      <c r="B2091" s="2">
        <f>Walmart_Sales_raw_data!C2091</f>
        <v>579068.88</v>
      </c>
      <c r="C2091" t="str">
        <f>IF(B2091&gt;=Walmart_Sales_raw_data!$C$6437,"High","low")</f>
        <v>low</v>
      </c>
    </row>
    <row r="2092" spans="1:3">
      <c r="A2092" s="1">
        <v>15</v>
      </c>
      <c r="B2092" s="2">
        <f>Walmart_Sales_raw_data!C2092</f>
        <v>537300.94</v>
      </c>
      <c r="C2092" t="str">
        <f>IF(B2092&gt;=Walmart_Sales_raw_data!$C$6437,"High","low")</f>
        <v>low</v>
      </c>
    </row>
    <row r="2093" spans="1:3">
      <c r="A2093" s="3">
        <v>15</v>
      </c>
      <c r="B2093" s="2">
        <f>Walmart_Sales_raw_data!C2093</f>
        <v>603318.89</v>
      </c>
      <c r="C2093" t="str">
        <f>IF(B2093&gt;=Walmart_Sales_raw_data!$C$6437,"High","low")</f>
        <v>low</v>
      </c>
    </row>
    <row r="2094" spans="1:3">
      <c r="A2094" s="1">
        <v>15</v>
      </c>
      <c r="B2094" s="2">
        <f>Walmart_Sales_raw_data!C2094</f>
        <v>589842.69</v>
      </c>
      <c r="C2094" t="str">
        <f>IF(B2094&gt;=Walmart_Sales_raw_data!$C$6437,"High","low")</f>
        <v>low</v>
      </c>
    </row>
    <row r="2095" spans="1:3">
      <c r="A2095" s="3">
        <v>15</v>
      </c>
      <c r="B2095" s="2">
        <f>Walmart_Sales_raw_data!C2095</f>
        <v>615121.78</v>
      </c>
      <c r="C2095" t="str">
        <f>IF(B2095&gt;=Walmart_Sales_raw_data!$C$6437,"High","low")</f>
        <v>low</v>
      </c>
    </row>
    <row r="2096" spans="1:3">
      <c r="A2096" s="1">
        <v>15</v>
      </c>
      <c r="B2096" s="2">
        <f>Walmart_Sales_raw_data!C2096</f>
        <v>618949.82</v>
      </c>
      <c r="C2096" t="str">
        <f>IF(B2096&gt;=Walmart_Sales_raw_data!$C$6437,"High","low")</f>
        <v>low</v>
      </c>
    </row>
    <row r="2097" spans="1:3">
      <c r="A2097" s="3">
        <v>15</v>
      </c>
      <c r="B2097" s="2">
        <f>Walmart_Sales_raw_data!C2097</f>
        <v>597856.51</v>
      </c>
      <c r="C2097" t="str">
        <f>IF(B2097&gt;=Walmart_Sales_raw_data!$C$6437,"High","low")</f>
        <v>low</v>
      </c>
    </row>
    <row r="2098" spans="1:3">
      <c r="A2098" s="1">
        <v>15</v>
      </c>
      <c r="B2098" s="2">
        <f>Walmart_Sales_raw_data!C2098</f>
        <v>1066478.1</v>
      </c>
      <c r="C2098" t="str">
        <f>IF(B2098&gt;=Walmart_Sales_raw_data!$C$6437,"High","low")</f>
        <v>High</v>
      </c>
    </row>
    <row r="2099" spans="1:3">
      <c r="A2099" s="3">
        <v>15</v>
      </c>
      <c r="B2099" s="2">
        <f>Walmart_Sales_raw_data!C2099</f>
        <v>699028.66</v>
      </c>
      <c r="C2099" t="str">
        <f>IF(B2099&gt;=Walmart_Sales_raw_data!$C$6437,"High","low")</f>
        <v>low</v>
      </c>
    </row>
    <row r="2100" spans="1:3">
      <c r="A2100" s="1">
        <v>15</v>
      </c>
      <c r="B2100" s="2">
        <f>Walmart_Sales_raw_data!C2100</f>
        <v>764565.55</v>
      </c>
      <c r="C2100" t="str">
        <f>IF(B2100&gt;=Walmart_Sales_raw_data!$C$6437,"High","low")</f>
        <v>low</v>
      </c>
    </row>
    <row r="2101" spans="1:3">
      <c r="A2101" s="3">
        <v>15</v>
      </c>
      <c r="B2101" s="2">
        <f>Walmart_Sales_raw_data!C2101</f>
        <v>870415.49</v>
      </c>
      <c r="C2101" t="str">
        <f>IF(B2101&gt;=Walmart_Sales_raw_data!$C$6437,"High","low")</f>
        <v>low</v>
      </c>
    </row>
    <row r="2102" spans="1:3">
      <c r="A2102" s="1">
        <v>15</v>
      </c>
      <c r="B2102" s="2">
        <f>Walmart_Sales_raw_data!C2102</f>
        <v>1182691.87</v>
      </c>
      <c r="C2102" t="str">
        <f>IF(B2102&gt;=Walmart_Sales_raw_data!$C$6437,"High","low")</f>
        <v>High</v>
      </c>
    </row>
    <row r="2103" spans="1:3">
      <c r="A2103" s="3">
        <v>15</v>
      </c>
      <c r="B2103" s="2">
        <f>Walmart_Sales_raw_data!C2103</f>
        <v>603460.79</v>
      </c>
      <c r="C2103" t="str">
        <f>IF(B2103&gt;=Walmart_Sales_raw_data!$C$6437,"High","low")</f>
        <v>low</v>
      </c>
    </row>
    <row r="2104" spans="1:3">
      <c r="A2104" s="1">
        <v>15</v>
      </c>
      <c r="B2104" s="2">
        <f>Walmart_Sales_raw_data!C2104</f>
        <v>516087.65</v>
      </c>
      <c r="C2104" t="str">
        <f>IF(B2104&gt;=Walmart_Sales_raw_data!$C$6437,"High","low")</f>
        <v>low</v>
      </c>
    </row>
    <row r="2105" spans="1:3">
      <c r="A2105" s="3">
        <v>15</v>
      </c>
      <c r="B2105" s="2">
        <f>Walmart_Sales_raw_data!C2105</f>
        <v>454183.42</v>
      </c>
      <c r="C2105" t="str">
        <f>IF(B2105&gt;=Walmart_Sales_raw_data!$C$6437,"High","low")</f>
        <v>low</v>
      </c>
    </row>
    <row r="2106" spans="1:3">
      <c r="A2106" s="1">
        <v>15</v>
      </c>
      <c r="B2106" s="2">
        <f>Walmart_Sales_raw_data!C2106</f>
        <v>492721.85</v>
      </c>
      <c r="C2106" t="str">
        <f>IF(B2106&gt;=Walmart_Sales_raw_data!$C$6437,"High","low")</f>
        <v>low</v>
      </c>
    </row>
    <row r="2107" spans="1:3">
      <c r="A2107" s="3">
        <v>15</v>
      </c>
      <c r="B2107" s="2">
        <f>Walmart_Sales_raw_data!C2107</f>
        <v>466045.63</v>
      </c>
      <c r="C2107" t="str">
        <f>IF(B2107&gt;=Walmart_Sales_raw_data!$C$6437,"High","low")</f>
        <v>low</v>
      </c>
    </row>
    <row r="2108" spans="1:3">
      <c r="A2108" s="1">
        <v>15</v>
      </c>
      <c r="B2108" s="2">
        <f>Walmart_Sales_raw_data!C2108</f>
        <v>523831.64</v>
      </c>
      <c r="C2108" t="str">
        <f>IF(B2108&gt;=Walmart_Sales_raw_data!$C$6437,"High","low")</f>
        <v>low</v>
      </c>
    </row>
    <row r="2109" spans="1:3">
      <c r="A2109" s="3">
        <v>15</v>
      </c>
      <c r="B2109" s="2">
        <f>Walmart_Sales_raw_data!C2109</f>
        <v>628218.22</v>
      </c>
      <c r="C2109" t="str">
        <f>IF(B2109&gt;=Walmart_Sales_raw_data!$C$6437,"High","low")</f>
        <v>low</v>
      </c>
    </row>
    <row r="2110" spans="1:3">
      <c r="A2110" s="1">
        <v>15</v>
      </c>
      <c r="B2110" s="2">
        <f>Walmart_Sales_raw_data!C2110</f>
        <v>598502.83</v>
      </c>
      <c r="C2110" t="str">
        <f>IF(B2110&gt;=Walmart_Sales_raw_data!$C$6437,"High","low")</f>
        <v>low</v>
      </c>
    </row>
    <row r="2111" spans="1:3">
      <c r="A2111" s="3">
        <v>15</v>
      </c>
      <c r="B2111" s="2">
        <f>Walmart_Sales_raw_data!C2111</f>
        <v>561137.06</v>
      </c>
      <c r="C2111" t="str">
        <f>IF(B2111&gt;=Walmart_Sales_raw_data!$C$6437,"High","low")</f>
        <v>low</v>
      </c>
    </row>
    <row r="2112" spans="1:3">
      <c r="A2112" s="1">
        <v>15</v>
      </c>
      <c r="B2112" s="2">
        <f>Walmart_Sales_raw_data!C2112</f>
        <v>541292.64</v>
      </c>
      <c r="C2112" t="str">
        <f>IF(B2112&gt;=Walmart_Sales_raw_data!$C$6437,"High","low")</f>
        <v>low</v>
      </c>
    </row>
    <row r="2113" spans="1:3">
      <c r="A2113" s="3">
        <v>15</v>
      </c>
      <c r="B2113" s="2">
        <f>Walmart_Sales_raw_data!C2113</f>
        <v>545120.67</v>
      </c>
      <c r="C2113" t="str">
        <f>IF(B2113&gt;=Walmart_Sales_raw_data!$C$6437,"High","low")</f>
        <v>low</v>
      </c>
    </row>
    <row r="2114" spans="1:3">
      <c r="A2114" s="1">
        <v>15</v>
      </c>
      <c r="B2114" s="2">
        <f>Walmart_Sales_raw_data!C2114</f>
        <v>570611.23</v>
      </c>
      <c r="C2114" t="str">
        <f>IF(B2114&gt;=Walmart_Sales_raw_data!$C$6437,"High","low")</f>
        <v>low</v>
      </c>
    </row>
    <row r="2115" spans="1:3">
      <c r="A2115" s="3">
        <v>15</v>
      </c>
      <c r="B2115" s="2">
        <f>Walmart_Sales_raw_data!C2115</f>
        <v>565481.88</v>
      </c>
      <c r="C2115" t="str">
        <f>IF(B2115&gt;=Walmart_Sales_raw_data!$C$6437,"High","low")</f>
        <v>low</v>
      </c>
    </row>
    <row r="2116" spans="1:3">
      <c r="A2116" s="1">
        <v>15</v>
      </c>
      <c r="B2116" s="2">
        <f>Walmart_Sales_raw_data!C2116</f>
        <v>557547.25</v>
      </c>
      <c r="C2116" t="str">
        <f>IF(B2116&gt;=Walmart_Sales_raw_data!$C$6437,"High","low")</f>
        <v>low</v>
      </c>
    </row>
    <row r="2117" spans="1:3">
      <c r="A2117" s="3">
        <v>15</v>
      </c>
      <c r="B2117" s="2">
        <f>Walmart_Sales_raw_data!C2117</f>
        <v>659950.36</v>
      </c>
      <c r="C2117" t="str">
        <f>IF(B2117&gt;=Walmart_Sales_raw_data!$C$6437,"High","low")</f>
        <v>low</v>
      </c>
    </row>
    <row r="2118" spans="1:3">
      <c r="A2118" s="1">
        <v>15</v>
      </c>
      <c r="B2118" s="2">
        <f>Walmart_Sales_raw_data!C2118</f>
        <v>558585.13</v>
      </c>
      <c r="C2118" t="str">
        <f>IF(B2118&gt;=Walmart_Sales_raw_data!$C$6437,"High","low")</f>
        <v>low</v>
      </c>
    </row>
    <row r="2119" spans="1:3">
      <c r="A2119" s="3">
        <v>15</v>
      </c>
      <c r="B2119" s="2">
        <f>Walmart_Sales_raw_data!C2119</f>
        <v>534780.57</v>
      </c>
      <c r="C2119" t="str">
        <f>IF(B2119&gt;=Walmart_Sales_raw_data!$C$6437,"High","low")</f>
        <v>low</v>
      </c>
    </row>
    <row r="2120" spans="1:3">
      <c r="A2120" s="1">
        <v>15</v>
      </c>
      <c r="B2120" s="2">
        <f>Walmart_Sales_raw_data!C2120</f>
        <v>527402.62</v>
      </c>
      <c r="C2120" t="str">
        <f>IF(B2120&gt;=Walmart_Sales_raw_data!$C$6437,"High","low")</f>
        <v>low</v>
      </c>
    </row>
    <row r="2121" spans="1:3">
      <c r="A2121" s="3">
        <v>15</v>
      </c>
      <c r="B2121" s="2">
        <f>Walmart_Sales_raw_data!C2121</f>
        <v>577868.38</v>
      </c>
      <c r="C2121" t="str">
        <f>IF(B2121&gt;=Walmart_Sales_raw_data!$C$6437,"High","low")</f>
        <v>low</v>
      </c>
    </row>
    <row r="2122" spans="1:3">
      <c r="A2122" s="1">
        <v>15</v>
      </c>
      <c r="B2122" s="2">
        <f>Walmart_Sales_raw_data!C2122</f>
        <v>579539.95</v>
      </c>
      <c r="C2122" t="str">
        <f>IF(B2122&gt;=Walmart_Sales_raw_data!$C$6437,"High","low")</f>
        <v>low</v>
      </c>
    </row>
    <row r="2123" spans="1:3">
      <c r="A2123" s="3">
        <v>15</v>
      </c>
      <c r="B2123" s="2">
        <f>Walmart_Sales_raw_data!C2123</f>
        <v>600050.98</v>
      </c>
      <c r="C2123" t="str">
        <f>IF(B2123&gt;=Walmart_Sales_raw_data!$C$6437,"High","low")</f>
        <v>low</v>
      </c>
    </row>
    <row r="2124" spans="1:3">
      <c r="A2124" s="1">
        <v>15</v>
      </c>
      <c r="B2124" s="2">
        <f>Walmart_Sales_raw_data!C2124</f>
        <v>693780.42</v>
      </c>
      <c r="C2124" t="str">
        <f>IF(B2124&gt;=Walmart_Sales_raw_data!$C$6437,"High","low")</f>
        <v>low</v>
      </c>
    </row>
    <row r="2125" spans="1:3">
      <c r="A2125" s="3">
        <v>15</v>
      </c>
      <c r="B2125" s="2">
        <f>Walmart_Sales_raw_data!C2125</f>
        <v>663971.26</v>
      </c>
      <c r="C2125" t="str">
        <f>IF(B2125&gt;=Walmart_Sales_raw_data!$C$6437,"High","low")</f>
        <v>low</v>
      </c>
    </row>
    <row r="2126" spans="1:3">
      <c r="A2126" s="1">
        <v>15</v>
      </c>
      <c r="B2126" s="2">
        <f>Walmart_Sales_raw_data!C2126</f>
        <v>611390.67</v>
      </c>
      <c r="C2126" t="str">
        <f>IF(B2126&gt;=Walmart_Sales_raw_data!$C$6437,"High","low")</f>
        <v>low</v>
      </c>
    </row>
    <row r="2127" spans="1:3">
      <c r="A2127" s="3">
        <v>15</v>
      </c>
      <c r="B2127" s="2">
        <f>Walmart_Sales_raw_data!C2127</f>
        <v>636737.65</v>
      </c>
      <c r="C2127" t="str">
        <f>IF(B2127&gt;=Walmart_Sales_raw_data!$C$6437,"High","low")</f>
        <v>low</v>
      </c>
    </row>
    <row r="2128" spans="1:3">
      <c r="A2128" s="1">
        <v>15</v>
      </c>
      <c r="B2128" s="2">
        <f>Walmart_Sales_raw_data!C2128</f>
        <v>687085.6</v>
      </c>
      <c r="C2128" t="str">
        <f>IF(B2128&gt;=Walmart_Sales_raw_data!$C$6437,"High","low")</f>
        <v>low</v>
      </c>
    </row>
    <row r="2129" spans="1:3">
      <c r="A2129" s="3">
        <v>15</v>
      </c>
      <c r="B2129" s="2">
        <f>Walmart_Sales_raw_data!C2129</f>
        <v>624099.48</v>
      </c>
      <c r="C2129" t="str">
        <f>IF(B2129&gt;=Walmart_Sales_raw_data!$C$6437,"High","low")</f>
        <v>low</v>
      </c>
    </row>
    <row r="2130" spans="1:3">
      <c r="A2130" s="1">
        <v>15</v>
      </c>
      <c r="B2130" s="2">
        <f>Walmart_Sales_raw_data!C2130</f>
        <v>678024.75</v>
      </c>
      <c r="C2130" t="str">
        <f>IF(B2130&gt;=Walmart_Sales_raw_data!$C$6437,"High","low")</f>
        <v>low</v>
      </c>
    </row>
    <row r="2131" spans="1:3">
      <c r="A2131" s="3">
        <v>15</v>
      </c>
      <c r="B2131" s="2">
        <f>Walmart_Sales_raw_data!C2131</f>
        <v>591335.5</v>
      </c>
      <c r="C2131" t="str">
        <f>IF(B2131&gt;=Walmart_Sales_raw_data!$C$6437,"High","low")</f>
        <v>low</v>
      </c>
    </row>
    <row r="2132" spans="1:3">
      <c r="A2132" s="1">
        <v>15</v>
      </c>
      <c r="B2132" s="2">
        <f>Walmart_Sales_raw_data!C2132</f>
        <v>592369.22</v>
      </c>
      <c r="C2132" t="str">
        <f>IF(B2132&gt;=Walmart_Sales_raw_data!$C$6437,"High","low")</f>
        <v>low</v>
      </c>
    </row>
    <row r="2133" spans="1:3">
      <c r="A2133" s="3">
        <v>15</v>
      </c>
      <c r="B2133" s="2">
        <f>Walmart_Sales_raw_data!C2133</f>
        <v>571190.83</v>
      </c>
      <c r="C2133" t="str">
        <f>IF(B2133&gt;=Walmart_Sales_raw_data!$C$6437,"High","low")</f>
        <v>low</v>
      </c>
    </row>
    <row r="2134" spans="1:3">
      <c r="A2134" s="1">
        <v>15</v>
      </c>
      <c r="B2134" s="2">
        <f>Walmart_Sales_raw_data!C2134</f>
        <v>590739.62</v>
      </c>
      <c r="C2134" t="str">
        <f>IF(B2134&gt;=Walmart_Sales_raw_data!$C$6437,"High","low")</f>
        <v>low</v>
      </c>
    </row>
    <row r="2135" spans="1:3">
      <c r="A2135" s="3">
        <v>15</v>
      </c>
      <c r="B2135" s="2">
        <f>Walmart_Sales_raw_data!C2135</f>
        <v>590453.63</v>
      </c>
      <c r="C2135" t="str">
        <f>IF(B2135&gt;=Walmart_Sales_raw_data!$C$6437,"High","low")</f>
        <v>low</v>
      </c>
    </row>
    <row r="2136" spans="1:3">
      <c r="A2136" s="1">
        <v>15</v>
      </c>
      <c r="B2136" s="2">
        <f>Walmart_Sales_raw_data!C2136</f>
        <v>579738.2</v>
      </c>
      <c r="C2136" t="str">
        <f>IF(B2136&gt;=Walmart_Sales_raw_data!$C$6437,"High","low")</f>
        <v>low</v>
      </c>
    </row>
    <row r="2137" spans="1:3">
      <c r="A2137" s="3">
        <v>15</v>
      </c>
      <c r="B2137" s="2">
        <f>Walmart_Sales_raw_data!C2137</f>
        <v>606210.77</v>
      </c>
      <c r="C2137" t="str">
        <f>IF(B2137&gt;=Walmart_Sales_raw_data!$C$6437,"High","low")</f>
        <v>low</v>
      </c>
    </row>
    <row r="2138" spans="1:3">
      <c r="A2138" s="1">
        <v>15</v>
      </c>
      <c r="B2138" s="2">
        <f>Walmart_Sales_raw_data!C2138</f>
        <v>610185.32</v>
      </c>
      <c r="C2138" t="str">
        <f>IF(B2138&gt;=Walmart_Sales_raw_data!$C$6437,"High","low")</f>
        <v>low</v>
      </c>
    </row>
    <row r="2139" spans="1:3">
      <c r="A2139" s="3">
        <v>15</v>
      </c>
      <c r="B2139" s="2">
        <f>Walmart_Sales_raw_data!C2139</f>
        <v>587259.82</v>
      </c>
      <c r="C2139" t="str">
        <f>IF(B2139&gt;=Walmart_Sales_raw_data!$C$6437,"High","low")</f>
        <v>low</v>
      </c>
    </row>
    <row r="2140" spans="1:3">
      <c r="A2140" s="1">
        <v>15</v>
      </c>
      <c r="B2140" s="2">
        <f>Walmart_Sales_raw_data!C2140</f>
        <v>527509.76</v>
      </c>
      <c r="C2140" t="str">
        <f>IF(B2140&gt;=Walmart_Sales_raw_data!$C$6437,"High","low")</f>
        <v>low</v>
      </c>
    </row>
    <row r="2141" spans="1:3">
      <c r="A2141" s="3">
        <v>15</v>
      </c>
      <c r="B2141" s="2">
        <f>Walmart_Sales_raw_data!C2141</f>
        <v>533161.64</v>
      </c>
      <c r="C2141" t="str">
        <f>IF(B2141&gt;=Walmart_Sales_raw_data!$C$6437,"High","low")</f>
        <v>low</v>
      </c>
    </row>
    <row r="2142" spans="1:3">
      <c r="A2142" s="1">
        <v>15</v>
      </c>
      <c r="B2142" s="2">
        <f>Walmart_Sales_raw_data!C2142</f>
        <v>553901.97</v>
      </c>
      <c r="C2142" t="str">
        <f>IF(B2142&gt;=Walmart_Sales_raw_data!$C$6437,"High","low")</f>
        <v>low</v>
      </c>
    </row>
    <row r="2143" spans="1:3">
      <c r="A2143" s="3">
        <v>15</v>
      </c>
      <c r="B2143" s="2">
        <f>Walmart_Sales_raw_data!C2143</f>
        <v>573498.64</v>
      </c>
      <c r="C2143" t="str">
        <f>IF(B2143&gt;=Walmart_Sales_raw_data!$C$6437,"High","low")</f>
        <v>low</v>
      </c>
    </row>
    <row r="2144" spans="1:3">
      <c r="A2144" s="1">
        <v>15</v>
      </c>
      <c r="B2144" s="2">
        <f>Walmart_Sales_raw_data!C2144</f>
        <v>551799.63</v>
      </c>
      <c r="C2144" t="str">
        <f>IF(B2144&gt;=Walmart_Sales_raw_data!$C$6437,"High","low")</f>
        <v>low</v>
      </c>
    </row>
    <row r="2145" spans="1:3">
      <c r="A2145" s="3">
        <v>15</v>
      </c>
      <c r="B2145" s="2">
        <f>Walmart_Sales_raw_data!C2145</f>
        <v>555652.77</v>
      </c>
      <c r="C2145" t="str">
        <f>IF(B2145&gt;=Walmart_Sales_raw_data!$C$6437,"High","low")</f>
        <v>low</v>
      </c>
    </row>
    <row r="2146" spans="1:3">
      <c r="A2146" s="1">
        <v>15</v>
      </c>
      <c r="B2146" s="2">
        <f>Walmart_Sales_raw_data!C2146</f>
        <v>558473.6</v>
      </c>
      <c r="C2146" t="str">
        <f>IF(B2146&gt;=Walmart_Sales_raw_data!$C$6437,"High","low")</f>
        <v>low</v>
      </c>
    </row>
    <row r="2147" spans="1:3">
      <c r="A2147" s="3">
        <v>16</v>
      </c>
      <c r="B2147" s="2">
        <f>Walmart_Sales_raw_data!C2147</f>
        <v>477409.3</v>
      </c>
      <c r="C2147" t="str">
        <f>IF(B2147&gt;=Walmart_Sales_raw_data!$C$6437,"High","low")</f>
        <v>low</v>
      </c>
    </row>
    <row r="2148" spans="1:3">
      <c r="A2148" s="1">
        <v>16</v>
      </c>
      <c r="B2148" s="2">
        <f>Walmart_Sales_raw_data!C2148</f>
        <v>472044.28</v>
      </c>
      <c r="C2148" t="str">
        <f>IF(B2148&gt;=Walmart_Sales_raw_data!$C$6437,"High","low")</f>
        <v>low</v>
      </c>
    </row>
    <row r="2149" spans="1:3">
      <c r="A2149" s="3">
        <v>16</v>
      </c>
      <c r="B2149" s="2">
        <f>Walmart_Sales_raw_data!C2149</f>
        <v>469868.7</v>
      </c>
      <c r="C2149" t="str">
        <f>IF(B2149&gt;=Walmart_Sales_raw_data!$C$6437,"High","low")</f>
        <v>low</v>
      </c>
    </row>
    <row r="2150" spans="1:3">
      <c r="A2150" s="1">
        <v>16</v>
      </c>
      <c r="B2150" s="2">
        <f>Walmart_Sales_raw_data!C2150</f>
        <v>443242.17</v>
      </c>
      <c r="C2150" t="str">
        <f>IF(B2150&gt;=Walmart_Sales_raw_data!$C$6437,"High","low")</f>
        <v>low</v>
      </c>
    </row>
    <row r="2151" spans="1:3">
      <c r="A2151" s="3">
        <v>16</v>
      </c>
      <c r="B2151" s="2">
        <f>Walmart_Sales_raw_data!C2151</f>
        <v>444181.85</v>
      </c>
      <c r="C2151" t="str">
        <f>IF(B2151&gt;=Walmart_Sales_raw_data!$C$6437,"High","low")</f>
        <v>low</v>
      </c>
    </row>
    <row r="2152" spans="1:3">
      <c r="A2152" s="1">
        <v>16</v>
      </c>
      <c r="B2152" s="2">
        <f>Walmart_Sales_raw_data!C2152</f>
        <v>445393.74</v>
      </c>
      <c r="C2152" t="str">
        <f>IF(B2152&gt;=Walmart_Sales_raw_data!$C$6437,"High","low")</f>
        <v>low</v>
      </c>
    </row>
    <row r="2153" spans="1:3">
      <c r="A2153" s="3">
        <v>16</v>
      </c>
      <c r="B2153" s="2">
        <f>Walmart_Sales_raw_data!C2153</f>
        <v>504307.35</v>
      </c>
      <c r="C2153" t="str">
        <f>IF(B2153&gt;=Walmart_Sales_raw_data!$C$6437,"High","low")</f>
        <v>low</v>
      </c>
    </row>
    <row r="2154" spans="1:3">
      <c r="A2154" s="1">
        <v>16</v>
      </c>
      <c r="B2154" s="2">
        <f>Walmart_Sales_raw_data!C2154</f>
        <v>483177.2</v>
      </c>
      <c r="C2154" t="str">
        <f>IF(B2154&gt;=Walmart_Sales_raw_data!$C$6437,"High","low")</f>
        <v>low</v>
      </c>
    </row>
    <row r="2155" spans="1:3">
      <c r="A2155" s="3">
        <v>16</v>
      </c>
      <c r="B2155" s="2">
        <f>Walmart_Sales_raw_data!C2155</f>
        <v>490503.69</v>
      </c>
      <c r="C2155" t="str">
        <f>IF(B2155&gt;=Walmart_Sales_raw_data!$C$6437,"High","low")</f>
        <v>low</v>
      </c>
    </row>
    <row r="2156" spans="1:3">
      <c r="A2156" s="1">
        <v>16</v>
      </c>
      <c r="B2156" s="2">
        <f>Walmart_Sales_raw_data!C2156</f>
        <v>424083.99</v>
      </c>
      <c r="C2156" t="str">
        <f>IF(B2156&gt;=Walmart_Sales_raw_data!$C$6437,"High","low")</f>
        <v>low</v>
      </c>
    </row>
    <row r="2157" spans="1:3">
      <c r="A2157" s="3">
        <v>16</v>
      </c>
      <c r="B2157" s="2">
        <f>Walmart_Sales_raw_data!C2157</f>
        <v>436312.41</v>
      </c>
      <c r="C2157" t="str">
        <f>IF(B2157&gt;=Walmart_Sales_raw_data!$C$6437,"High","low")</f>
        <v>low</v>
      </c>
    </row>
    <row r="2158" spans="1:3">
      <c r="A2158" s="1">
        <v>16</v>
      </c>
      <c r="B2158" s="2">
        <f>Walmart_Sales_raw_data!C2158</f>
        <v>370230.94</v>
      </c>
      <c r="C2158" t="str">
        <f>IF(B2158&gt;=Walmart_Sales_raw_data!$C$6437,"High","low")</f>
        <v>low</v>
      </c>
    </row>
    <row r="2159" spans="1:3">
      <c r="A2159" s="3">
        <v>16</v>
      </c>
      <c r="B2159" s="2">
        <f>Walmart_Sales_raw_data!C2159</f>
        <v>383550.93</v>
      </c>
      <c r="C2159" t="str">
        <f>IF(B2159&gt;=Walmart_Sales_raw_data!$C$6437,"High","low")</f>
        <v>low</v>
      </c>
    </row>
    <row r="2160" spans="1:3">
      <c r="A2160" s="1">
        <v>16</v>
      </c>
      <c r="B2160" s="2">
        <f>Walmart_Sales_raw_data!C2160</f>
        <v>403217.22</v>
      </c>
      <c r="C2160" t="str">
        <f>IF(B2160&gt;=Walmart_Sales_raw_data!$C$6437,"High","low")</f>
        <v>low</v>
      </c>
    </row>
    <row r="2161" spans="1:3">
      <c r="A2161" s="3">
        <v>16</v>
      </c>
      <c r="B2161" s="2">
        <f>Walmart_Sales_raw_data!C2161</f>
        <v>401770.9</v>
      </c>
      <c r="C2161" t="str">
        <f>IF(B2161&gt;=Walmart_Sales_raw_data!$C$6437,"High","low")</f>
        <v>low</v>
      </c>
    </row>
    <row r="2162" spans="1:3">
      <c r="A2162" s="1">
        <v>16</v>
      </c>
      <c r="B2162" s="2">
        <f>Walmart_Sales_raw_data!C2162</f>
        <v>435300.51</v>
      </c>
      <c r="C2162" t="str">
        <f>IF(B2162&gt;=Walmart_Sales_raw_data!$C$6437,"High","low")</f>
        <v>low</v>
      </c>
    </row>
    <row r="2163" spans="1:3">
      <c r="A2163" s="3">
        <v>16</v>
      </c>
      <c r="B2163" s="2">
        <f>Walmart_Sales_raw_data!C2163</f>
        <v>479430</v>
      </c>
      <c r="C2163" t="str">
        <f>IF(B2163&gt;=Walmart_Sales_raw_data!$C$6437,"High","low")</f>
        <v>low</v>
      </c>
    </row>
    <row r="2164" spans="1:3">
      <c r="A2164" s="1">
        <v>16</v>
      </c>
      <c r="B2164" s="2">
        <f>Walmart_Sales_raw_data!C2164</f>
        <v>516295.81</v>
      </c>
      <c r="C2164" t="str">
        <f>IF(B2164&gt;=Walmart_Sales_raw_data!$C$6437,"High","low")</f>
        <v>low</v>
      </c>
    </row>
    <row r="2165" spans="1:3">
      <c r="A2165" s="3">
        <v>16</v>
      </c>
      <c r="B2165" s="2">
        <f>Walmart_Sales_raw_data!C2165</f>
        <v>535587.31</v>
      </c>
      <c r="C2165" t="str">
        <f>IF(B2165&gt;=Walmart_Sales_raw_data!$C$6437,"High","low")</f>
        <v>low</v>
      </c>
    </row>
    <row r="2166" spans="1:3">
      <c r="A2166" s="1">
        <v>16</v>
      </c>
      <c r="B2166" s="2">
        <f>Walmart_Sales_raw_data!C2166</f>
        <v>540149.85</v>
      </c>
      <c r="C2166" t="str">
        <f>IF(B2166&gt;=Walmart_Sales_raw_data!$C$6437,"High","low")</f>
        <v>low</v>
      </c>
    </row>
    <row r="2167" spans="1:3">
      <c r="A2167" s="3">
        <v>16</v>
      </c>
      <c r="B2167" s="2">
        <f>Walmart_Sales_raw_data!C2167</f>
        <v>546554.96</v>
      </c>
      <c r="C2167" t="str">
        <f>IF(B2167&gt;=Walmart_Sales_raw_data!$C$6437,"High","low")</f>
        <v>low</v>
      </c>
    </row>
    <row r="2168" spans="1:3">
      <c r="A2168" s="1">
        <v>16</v>
      </c>
      <c r="B2168" s="2">
        <f>Walmart_Sales_raw_data!C2168</f>
        <v>610641.42</v>
      </c>
      <c r="C2168" t="str">
        <f>IF(B2168&gt;=Walmart_Sales_raw_data!$C$6437,"High","low")</f>
        <v>low</v>
      </c>
    </row>
    <row r="2169" spans="1:3">
      <c r="A2169" s="3">
        <v>16</v>
      </c>
      <c r="B2169" s="2">
        <f>Walmart_Sales_raw_data!C2169</f>
        <v>614253.33</v>
      </c>
      <c r="C2169" t="str">
        <f>IF(B2169&gt;=Walmart_Sales_raw_data!$C$6437,"High","low")</f>
        <v>low</v>
      </c>
    </row>
    <row r="2170" spans="1:3">
      <c r="A2170" s="1">
        <v>16</v>
      </c>
      <c r="B2170" s="2">
        <f>Walmart_Sales_raw_data!C2170</f>
        <v>586583.69</v>
      </c>
      <c r="C2170" t="str">
        <f>IF(B2170&gt;=Walmart_Sales_raw_data!$C$6437,"High","low")</f>
        <v>low</v>
      </c>
    </row>
    <row r="2171" spans="1:3">
      <c r="A2171" s="3">
        <v>16</v>
      </c>
      <c r="B2171" s="2">
        <f>Walmart_Sales_raw_data!C2171</f>
        <v>588344.18</v>
      </c>
      <c r="C2171" t="str">
        <f>IF(B2171&gt;=Walmart_Sales_raw_data!$C$6437,"High","low")</f>
        <v>low</v>
      </c>
    </row>
    <row r="2172" spans="1:3">
      <c r="A2172" s="1">
        <v>16</v>
      </c>
      <c r="B2172" s="2">
        <f>Walmart_Sales_raw_data!C2172</f>
        <v>562633.67</v>
      </c>
      <c r="C2172" t="str">
        <f>IF(B2172&gt;=Walmart_Sales_raw_data!$C$6437,"High","low")</f>
        <v>low</v>
      </c>
    </row>
    <row r="2173" spans="1:3">
      <c r="A2173" s="3">
        <v>16</v>
      </c>
      <c r="B2173" s="2">
        <f>Walmart_Sales_raw_data!C2173</f>
        <v>586936.45</v>
      </c>
      <c r="C2173" t="str">
        <f>IF(B2173&gt;=Walmart_Sales_raw_data!$C$6437,"High","low")</f>
        <v>low</v>
      </c>
    </row>
    <row r="2174" spans="1:3">
      <c r="A2174" s="1">
        <v>16</v>
      </c>
      <c r="B2174" s="2">
        <f>Walmart_Sales_raw_data!C2174</f>
        <v>543757.97</v>
      </c>
      <c r="C2174" t="str">
        <f>IF(B2174&gt;=Walmart_Sales_raw_data!$C$6437,"High","low")</f>
        <v>low</v>
      </c>
    </row>
    <row r="2175" spans="1:3">
      <c r="A2175" s="3">
        <v>16</v>
      </c>
      <c r="B2175" s="2">
        <f>Walmart_Sales_raw_data!C2175</f>
        <v>521516.96</v>
      </c>
      <c r="C2175" t="str">
        <f>IF(B2175&gt;=Walmart_Sales_raw_data!$C$6437,"High","low")</f>
        <v>low</v>
      </c>
    </row>
    <row r="2176" spans="1:3">
      <c r="A2176" s="1">
        <v>16</v>
      </c>
      <c r="B2176" s="2">
        <f>Walmart_Sales_raw_data!C2176</f>
        <v>581010.52</v>
      </c>
      <c r="C2176" t="str">
        <f>IF(B2176&gt;=Walmart_Sales_raw_data!$C$6437,"High","low")</f>
        <v>low</v>
      </c>
    </row>
    <row r="2177" spans="1:3">
      <c r="A2177" s="3">
        <v>16</v>
      </c>
      <c r="B2177" s="2">
        <f>Walmart_Sales_raw_data!C2177</f>
        <v>542087.89</v>
      </c>
      <c r="C2177" t="str">
        <f>IF(B2177&gt;=Walmart_Sales_raw_data!$C$6437,"High","low")</f>
        <v>low</v>
      </c>
    </row>
    <row r="2178" spans="1:3">
      <c r="A2178" s="1">
        <v>16</v>
      </c>
      <c r="B2178" s="2">
        <f>Walmart_Sales_raw_data!C2178</f>
        <v>537518.57</v>
      </c>
      <c r="C2178" t="str">
        <f>IF(B2178&gt;=Walmart_Sales_raw_data!$C$6437,"High","low")</f>
        <v>low</v>
      </c>
    </row>
    <row r="2179" spans="1:3">
      <c r="A2179" s="3">
        <v>16</v>
      </c>
      <c r="B2179" s="2">
        <f>Walmart_Sales_raw_data!C2179</f>
        <v>522049.52</v>
      </c>
      <c r="C2179" t="str">
        <f>IF(B2179&gt;=Walmart_Sales_raw_data!$C$6437,"High","low")</f>
        <v>low</v>
      </c>
    </row>
    <row r="2180" spans="1:3">
      <c r="A2180" s="1">
        <v>16</v>
      </c>
      <c r="B2180" s="2">
        <f>Walmart_Sales_raw_data!C2180</f>
        <v>511330.32</v>
      </c>
      <c r="C2180" t="str">
        <f>IF(B2180&gt;=Walmart_Sales_raw_data!$C$6437,"High","low")</f>
        <v>low</v>
      </c>
    </row>
    <row r="2181" spans="1:3">
      <c r="A2181" s="3">
        <v>16</v>
      </c>
      <c r="B2181" s="2">
        <f>Walmart_Sales_raw_data!C2181</f>
        <v>463977.54</v>
      </c>
      <c r="C2181" t="str">
        <f>IF(B2181&gt;=Walmart_Sales_raw_data!$C$6437,"High","low")</f>
        <v>low</v>
      </c>
    </row>
    <row r="2182" spans="1:3">
      <c r="A2182" s="1">
        <v>16</v>
      </c>
      <c r="B2182" s="2">
        <f>Walmart_Sales_raw_data!C2182</f>
        <v>442894.2</v>
      </c>
      <c r="C2182" t="str">
        <f>IF(B2182&gt;=Walmart_Sales_raw_data!$C$6437,"High","low")</f>
        <v>low</v>
      </c>
    </row>
    <row r="2183" spans="1:3">
      <c r="A2183" s="3">
        <v>16</v>
      </c>
      <c r="B2183" s="2">
        <f>Walmart_Sales_raw_data!C2183</f>
        <v>452169.28</v>
      </c>
      <c r="C2183" t="str">
        <f>IF(B2183&gt;=Walmart_Sales_raw_data!$C$6437,"High","low")</f>
        <v>low</v>
      </c>
    </row>
    <row r="2184" spans="1:3">
      <c r="A2184" s="1">
        <v>16</v>
      </c>
      <c r="B2184" s="2">
        <f>Walmart_Sales_raw_data!C2184</f>
        <v>541216.92</v>
      </c>
      <c r="C2184" t="str">
        <f>IF(B2184&gt;=Walmart_Sales_raw_data!$C$6437,"High","low")</f>
        <v>low</v>
      </c>
    </row>
    <row r="2185" spans="1:3">
      <c r="A2185" s="3">
        <v>16</v>
      </c>
      <c r="B2185" s="2">
        <f>Walmart_Sales_raw_data!C2185</f>
        <v>495022.51</v>
      </c>
      <c r="C2185" t="str">
        <f>IF(B2185&gt;=Walmart_Sales_raw_data!$C$6437,"High","low")</f>
        <v>low</v>
      </c>
    </row>
    <row r="2186" spans="1:3">
      <c r="A2186" s="1">
        <v>16</v>
      </c>
      <c r="B2186" s="2">
        <f>Walmart_Sales_raw_data!C2186</f>
        <v>446905.02</v>
      </c>
      <c r="C2186" t="str">
        <f>IF(B2186&gt;=Walmart_Sales_raw_data!$C$6437,"High","low")</f>
        <v>low</v>
      </c>
    </row>
    <row r="2187" spans="1:3">
      <c r="A2187" s="3">
        <v>16</v>
      </c>
      <c r="B2187" s="2">
        <f>Walmart_Sales_raw_data!C2187</f>
        <v>453632.76</v>
      </c>
      <c r="C2187" t="str">
        <f>IF(B2187&gt;=Walmart_Sales_raw_data!$C$6437,"High","low")</f>
        <v>low</v>
      </c>
    </row>
    <row r="2188" spans="1:3">
      <c r="A2188" s="1">
        <v>16</v>
      </c>
      <c r="B2188" s="2">
        <f>Walmart_Sales_raw_data!C2188</f>
        <v>458634.68</v>
      </c>
      <c r="C2188" t="str">
        <f>IF(B2188&gt;=Walmart_Sales_raw_data!$C$6437,"High","low")</f>
        <v>low</v>
      </c>
    </row>
    <row r="2189" spans="1:3">
      <c r="A2189" s="3">
        <v>16</v>
      </c>
      <c r="B2189" s="2">
        <f>Walmart_Sales_raw_data!C2189</f>
        <v>651837.77</v>
      </c>
      <c r="C2189" t="str">
        <f>IF(B2189&gt;=Walmart_Sales_raw_data!$C$6437,"High","low")</f>
        <v>low</v>
      </c>
    </row>
    <row r="2190" spans="1:3">
      <c r="A2190" s="1">
        <v>16</v>
      </c>
      <c r="B2190" s="2">
        <f>Walmart_Sales_raw_data!C2190</f>
        <v>512260.59</v>
      </c>
      <c r="C2190" t="str">
        <f>IF(B2190&gt;=Walmart_Sales_raw_data!$C$6437,"High","low")</f>
        <v>low</v>
      </c>
    </row>
    <row r="2191" spans="1:3">
      <c r="A2191" s="3">
        <v>16</v>
      </c>
      <c r="B2191" s="2">
        <f>Walmart_Sales_raw_data!C2191</f>
        <v>570103.64</v>
      </c>
      <c r="C2191" t="str">
        <f>IF(B2191&gt;=Walmart_Sales_raw_data!$C$6437,"High","low")</f>
        <v>low</v>
      </c>
    </row>
    <row r="2192" spans="1:3">
      <c r="A2192" s="1">
        <v>16</v>
      </c>
      <c r="B2192" s="2">
        <f>Walmart_Sales_raw_data!C2192</f>
        <v>648652.01</v>
      </c>
      <c r="C2192" t="str">
        <f>IF(B2192&gt;=Walmart_Sales_raw_data!$C$6437,"High","low")</f>
        <v>low</v>
      </c>
    </row>
    <row r="2193" spans="1:3">
      <c r="A2193" s="3">
        <v>16</v>
      </c>
      <c r="B2193" s="2">
        <f>Walmart_Sales_raw_data!C2193</f>
        <v>1004730.69</v>
      </c>
      <c r="C2193" t="str">
        <f>IF(B2193&gt;=Walmart_Sales_raw_data!$C$6437,"High","low")</f>
        <v>low</v>
      </c>
    </row>
    <row r="2194" spans="1:3">
      <c r="A2194" s="1">
        <v>16</v>
      </c>
      <c r="B2194" s="2">
        <f>Walmart_Sales_raw_data!C2194</f>
        <v>575317.38</v>
      </c>
      <c r="C2194" t="str">
        <f>IF(B2194&gt;=Walmart_Sales_raw_data!$C$6437,"High","low")</f>
        <v>low</v>
      </c>
    </row>
    <row r="2195" spans="1:3">
      <c r="A2195" s="3">
        <v>16</v>
      </c>
      <c r="B2195" s="2">
        <f>Walmart_Sales_raw_data!C2195</f>
        <v>573545.96</v>
      </c>
      <c r="C2195" t="str">
        <f>IF(B2195&gt;=Walmart_Sales_raw_data!$C$6437,"High","low")</f>
        <v>low</v>
      </c>
    </row>
    <row r="2196" spans="1:3">
      <c r="A2196" s="1">
        <v>16</v>
      </c>
      <c r="B2196" s="2">
        <f>Walmart_Sales_raw_data!C2196</f>
        <v>470365.59</v>
      </c>
      <c r="C2196" t="str">
        <f>IF(B2196&gt;=Walmart_Sales_raw_data!$C$6437,"High","low")</f>
        <v>low</v>
      </c>
    </row>
    <row r="2197" spans="1:3">
      <c r="A2197" s="3">
        <v>16</v>
      </c>
      <c r="B2197" s="2">
        <f>Walmart_Sales_raw_data!C2197</f>
        <v>462888.13</v>
      </c>
      <c r="C2197" t="str">
        <f>IF(B2197&gt;=Walmart_Sales_raw_data!$C$6437,"High","low")</f>
        <v>low</v>
      </c>
    </row>
    <row r="2198" spans="1:3">
      <c r="A2198" s="1">
        <v>16</v>
      </c>
      <c r="B2198" s="2">
        <f>Walmart_Sales_raw_data!C2198</f>
        <v>448391.99</v>
      </c>
      <c r="C2198" t="str">
        <f>IF(B2198&gt;=Walmart_Sales_raw_data!$C$6437,"High","low")</f>
        <v>low</v>
      </c>
    </row>
    <row r="2199" spans="1:3">
      <c r="A2199" s="3">
        <v>16</v>
      </c>
      <c r="B2199" s="2">
        <f>Walmart_Sales_raw_data!C2199</f>
        <v>479263.15</v>
      </c>
      <c r="C2199" t="str">
        <f>IF(B2199&gt;=Walmart_Sales_raw_data!$C$6437,"High","low")</f>
        <v>low</v>
      </c>
    </row>
    <row r="2200" spans="1:3">
      <c r="A2200" s="1">
        <v>16</v>
      </c>
      <c r="B2200" s="2">
        <f>Walmart_Sales_raw_data!C2200</f>
        <v>466806.89</v>
      </c>
      <c r="C2200" t="str">
        <f>IF(B2200&gt;=Walmart_Sales_raw_data!$C$6437,"High","low")</f>
        <v>low</v>
      </c>
    </row>
    <row r="2201" spans="1:3">
      <c r="A2201" s="3">
        <v>16</v>
      </c>
      <c r="B2201" s="2">
        <f>Walmart_Sales_raw_data!C2201</f>
        <v>491179.79</v>
      </c>
      <c r="C2201" t="str">
        <f>IF(B2201&gt;=Walmart_Sales_raw_data!$C$6437,"High","low")</f>
        <v>low</v>
      </c>
    </row>
    <row r="2202" spans="1:3">
      <c r="A2202" s="1">
        <v>16</v>
      </c>
      <c r="B2202" s="2">
        <f>Walmart_Sales_raw_data!C2202</f>
        <v>475201.64</v>
      </c>
      <c r="C2202" t="str">
        <f>IF(B2202&gt;=Walmart_Sales_raw_data!$C$6437,"High","low")</f>
        <v>low</v>
      </c>
    </row>
    <row r="2203" spans="1:3">
      <c r="A2203" s="3">
        <v>16</v>
      </c>
      <c r="B2203" s="2">
        <f>Walmart_Sales_raw_data!C2203</f>
        <v>484829.07</v>
      </c>
      <c r="C2203" t="str">
        <f>IF(B2203&gt;=Walmart_Sales_raw_data!$C$6437,"High","low")</f>
        <v>low</v>
      </c>
    </row>
    <row r="2204" spans="1:3">
      <c r="A2204" s="1">
        <v>16</v>
      </c>
      <c r="B2204" s="2">
        <f>Walmart_Sales_raw_data!C2204</f>
        <v>457504.35</v>
      </c>
      <c r="C2204" t="str">
        <f>IF(B2204&gt;=Walmart_Sales_raw_data!$C$6437,"High","low")</f>
        <v>low</v>
      </c>
    </row>
    <row r="2205" spans="1:3">
      <c r="A2205" s="3">
        <v>16</v>
      </c>
      <c r="B2205" s="2">
        <f>Walmart_Sales_raw_data!C2205</f>
        <v>497373.49</v>
      </c>
      <c r="C2205" t="str">
        <f>IF(B2205&gt;=Walmart_Sales_raw_data!$C$6437,"High","low")</f>
        <v>low</v>
      </c>
    </row>
    <row r="2206" spans="1:3">
      <c r="A2206" s="1">
        <v>16</v>
      </c>
      <c r="B2206" s="2">
        <f>Walmart_Sales_raw_data!C2206</f>
        <v>465279.68</v>
      </c>
      <c r="C2206" t="str">
        <f>IF(B2206&gt;=Walmart_Sales_raw_data!$C$6437,"High","low")</f>
        <v>low</v>
      </c>
    </row>
    <row r="2207" spans="1:3">
      <c r="A2207" s="3">
        <v>16</v>
      </c>
      <c r="B2207" s="2">
        <f>Walmart_Sales_raw_data!C2207</f>
        <v>459756.11</v>
      </c>
      <c r="C2207" t="str">
        <f>IF(B2207&gt;=Walmart_Sales_raw_data!$C$6437,"High","low")</f>
        <v>low</v>
      </c>
    </row>
    <row r="2208" spans="1:3">
      <c r="A2208" s="1">
        <v>16</v>
      </c>
      <c r="B2208" s="2">
        <f>Walmart_Sales_raw_data!C2208</f>
        <v>439276.5</v>
      </c>
      <c r="C2208" t="str">
        <f>IF(B2208&gt;=Walmart_Sales_raw_data!$C$6437,"High","low")</f>
        <v>low</v>
      </c>
    </row>
    <row r="2209" spans="1:3">
      <c r="A2209" s="3">
        <v>16</v>
      </c>
      <c r="B2209" s="2">
        <f>Walmart_Sales_raw_data!C2209</f>
        <v>427855.24</v>
      </c>
      <c r="C2209" t="str">
        <f>IF(B2209&gt;=Walmart_Sales_raw_data!$C$6437,"High","low")</f>
        <v>low</v>
      </c>
    </row>
    <row r="2210" spans="1:3">
      <c r="A2210" s="1">
        <v>16</v>
      </c>
      <c r="B2210" s="2">
        <f>Walmart_Sales_raw_data!C2210</f>
        <v>368600</v>
      </c>
      <c r="C2210" t="str">
        <f>IF(B2210&gt;=Walmart_Sales_raw_data!$C$6437,"High","low")</f>
        <v>low</v>
      </c>
    </row>
    <row r="2211" spans="1:3">
      <c r="A2211" s="3">
        <v>16</v>
      </c>
      <c r="B2211" s="2">
        <f>Walmart_Sales_raw_data!C2211</f>
        <v>378100.31</v>
      </c>
      <c r="C2211" t="str">
        <f>IF(B2211&gt;=Walmart_Sales_raw_data!$C$6437,"High","low")</f>
        <v>low</v>
      </c>
    </row>
    <row r="2212" spans="1:3">
      <c r="A2212" s="1">
        <v>16</v>
      </c>
      <c r="B2212" s="2">
        <f>Walmart_Sales_raw_data!C2212</f>
        <v>423805.22</v>
      </c>
      <c r="C2212" t="str">
        <f>IF(B2212&gt;=Walmart_Sales_raw_data!$C$6437,"High","low")</f>
        <v>low</v>
      </c>
    </row>
    <row r="2213" spans="1:3">
      <c r="A2213" s="3">
        <v>16</v>
      </c>
      <c r="B2213" s="2">
        <f>Walmart_Sales_raw_data!C2213</f>
        <v>410406.95</v>
      </c>
      <c r="C2213" t="str">
        <f>IF(B2213&gt;=Walmart_Sales_raw_data!$C$6437,"High","low")</f>
        <v>low</v>
      </c>
    </row>
    <row r="2214" spans="1:3">
      <c r="A2214" s="1">
        <v>16</v>
      </c>
      <c r="B2214" s="2">
        <f>Walmart_Sales_raw_data!C2214</f>
        <v>435397.19</v>
      </c>
      <c r="C2214" t="str">
        <f>IF(B2214&gt;=Walmart_Sales_raw_data!$C$6437,"High","low")</f>
        <v>low</v>
      </c>
    </row>
    <row r="2215" spans="1:3">
      <c r="A2215" s="3">
        <v>16</v>
      </c>
      <c r="B2215" s="2">
        <f>Walmart_Sales_raw_data!C2215</f>
        <v>444718.68</v>
      </c>
      <c r="C2215" t="str">
        <f>IF(B2215&gt;=Walmart_Sales_raw_data!$C$6437,"High","low")</f>
        <v>low</v>
      </c>
    </row>
    <row r="2216" spans="1:3">
      <c r="A2216" s="1">
        <v>16</v>
      </c>
      <c r="B2216" s="2">
        <f>Walmart_Sales_raw_data!C2216</f>
        <v>531080.31</v>
      </c>
      <c r="C2216" t="str">
        <f>IF(B2216&gt;=Walmart_Sales_raw_data!$C$6437,"High","low")</f>
        <v>low</v>
      </c>
    </row>
    <row r="2217" spans="1:3">
      <c r="A2217" s="3">
        <v>16</v>
      </c>
      <c r="B2217" s="2">
        <f>Walmart_Sales_raw_data!C2217</f>
        <v>600952.06</v>
      </c>
      <c r="C2217" t="str">
        <f>IF(B2217&gt;=Walmart_Sales_raw_data!$C$6437,"High","low")</f>
        <v>low</v>
      </c>
    </row>
    <row r="2218" spans="1:3">
      <c r="A2218" s="1">
        <v>16</v>
      </c>
      <c r="B2218" s="2">
        <f>Walmart_Sales_raw_data!C2218</f>
        <v>581546.23</v>
      </c>
      <c r="C2218" t="str">
        <f>IF(B2218&gt;=Walmart_Sales_raw_data!$C$6437,"High","low")</f>
        <v>low</v>
      </c>
    </row>
    <row r="2219" spans="1:3">
      <c r="A2219" s="3">
        <v>16</v>
      </c>
      <c r="B2219" s="2">
        <f>Walmart_Sales_raw_data!C2219</f>
        <v>569105.03</v>
      </c>
      <c r="C2219" t="str">
        <f>IF(B2219&gt;=Walmart_Sales_raw_data!$C$6437,"High","low")</f>
        <v>low</v>
      </c>
    </row>
    <row r="2220" spans="1:3">
      <c r="A2220" s="1">
        <v>16</v>
      </c>
      <c r="B2220" s="2">
        <f>Walmart_Sales_raw_data!C2220</f>
        <v>608737.56</v>
      </c>
      <c r="C2220" t="str">
        <f>IF(B2220&gt;=Walmart_Sales_raw_data!$C$6437,"High","low")</f>
        <v>low</v>
      </c>
    </row>
    <row r="2221" spans="1:3">
      <c r="A2221" s="3">
        <v>16</v>
      </c>
      <c r="B2221" s="2">
        <f>Walmart_Sales_raw_data!C2221</f>
        <v>634634.66</v>
      </c>
      <c r="C2221" t="str">
        <f>IF(B2221&gt;=Walmart_Sales_raw_data!$C$6437,"High","low")</f>
        <v>low</v>
      </c>
    </row>
    <row r="2222" spans="1:3">
      <c r="A2222" s="1">
        <v>16</v>
      </c>
      <c r="B2222" s="2">
        <f>Walmart_Sales_raw_data!C2222</f>
        <v>586841.77</v>
      </c>
      <c r="C2222" t="str">
        <f>IF(B2222&gt;=Walmart_Sales_raw_data!$C$6437,"High","low")</f>
        <v>low</v>
      </c>
    </row>
    <row r="2223" spans="1:3">
      <c r="A2223" s="3">
        <v>16</v>
      </c>
      <c r="B2223" s="2">
        <f>Walmart_Sales_raw_data!C2223</f>
        <v>581758.22</v>
      </c>
      <c r="C2223" t="str">
        <f>IF(B2223&gt;=Walmart_Sales_raw_data!$C$6437,"High","low")</f>
        <v>low</v>
      </c>
    </row>
    <row r="2224" spans="1:3">
      <c r="A2224" s="1">
        <v>16</v>
      </c>
      <c r="B2224" s="2">
        <f>Walmart_Sales_raw_data!C2224</f>
        <v>582381.95</v>
      </c>
      <c r="C2224" t="str">
        <f>IF(B2224&gt;=Walmart_Sales_raw_data!$C$6437,"High","low")</f>
        <v>low</v>
      </c>
    </row>
    <row r="2225" spans="1:3">
      <c r="A2225" s="3">
        <v>16</v>
      </c>
      <c r="B2225" s="2">
        <f>Walmart_Sales_raw_data!C2225</f>
        <v>592981.33</v>
      </c>
      <c r="C2225" t="str">
        <f>IF(B2225&gt;=Walmart_Sales_raw_data!$C$6437,"High","low")</f>
        <v>low</v>
      </c>
    </row>
    <row r="2226" spans="1:3">
      <c r="A2226" s="1">
        <v>16</v>
      </c>
      <c r="B2226" s="2">
        <f>Walmart_Sales_raw_data!C2226</f>
        <v>563884.47</v>
      </c>
      <c r="C2226" t="str">
        <f>IF(B2226&gt;=Walmart_Sales_raw_data!$C$6437,"High","low")</f>
        <v>low</v>
      </c>
    </row>
    <row r="2227" spans="1:3">
      <c r="A2227" s="3">
        <v>16</v>
      </c>
      <c r="B2227" s="2">
        <f>Walmart_Sales_raw_data!C2227</f>
        <v>554630.42</v>
      </c>
      <c r="C2227" t="str">
        <f>IF(B2227&gt;=Walmart_Sales_raw_data!$C$6437,"High","low")</f>
        <v>low</v>
      </c>
    </row>
    <row r="2228" spans="1:3">
      <c r="A2228" s="1">
        <v>16</v>
      </c>
      <c r="B2228" s="2">
        <f>Walmart_Sales_raw_data!C2228</f>
        <v>557312.01</v>
      </c>
      <c r="C2228" t="str">
        <f>IF(B2228&gt;=Walmart_Sales_raw_data!$C$6437,"High","low")</f>
        <v>low</v>
      </c>
    </row>
    <row r="2229" spans="1:3">
      <c r="A2229" s="3">
        <v>16</v>
      </c>
      <c r="B2229" s="2">
        <f>Walmart_Sales_raw_data!C2229</f>
        <v>580805.33</v>
      </c>
      <c r="C2229" t="str">
        <f>IF(B2229&gt;=Walmart_Sales_raw_data!$C$6437,"High","low")</f>
        <v>low</v>
      </c>
    </row>
    <row r="2230" spans="1:3">
      <c r="A2230" s="1">
        <v>16</v>
      </c>
      <c r="B2230" s="2">
        <f>Walmart_Sales_raw_data!C2230</f>
        <v>574622.56</v>
      </c>
      <c r="C2230" t="str">
        <f>IF(B2230&gt;=Walmart_Sales_raw_data!$C$6437,"High","low")</f>
        <v>low</v>
      </c>
    </row>
    <row r="2231" spans="1:3">
      <c r="A2231" s="3">
        <v>16</v>
      </c>
      <c r="B2231" s="2">
        <f>Walmart_Sales_raw_data!C2231</f>
        <v>539081.09</v>
      </c>
      <c r="C2231" t="str">
        <f>IF(B2231&gt;=Walmart_Sales_raw_data!$C$6437,"High","low")</f>
        <v>low</v>
      </c>
    </row>
    <row r="2232" spans="1:3">
      <c r="A2232" s="1">
        <v>16</v>
      </c>
      <c r="B2232" s="2">
        <f>Walmart_Sales_raw_data!C2232</f>
        <v>504856.97</v>
      </c>
      <c r="C2232" t="str">
        <f>IF(B2232&gt;=Walmart_Sales_raw_data!$C$6437,"High","low")</f>
        <v>low</v>
      </c>
    </row>
    <row r="2233" spans="1:3">
      <c r="A2233" s="3">
        <v>16</v>
      </c>
      <c r="B2233" s="2">
        <f>Walmart_Sales_raw_data!C2233</f>
        <v>450075.31</v>
      </c>
      <c r="C2233" t="str">
        <f>IF(B2233&gt;=Walmart_Sales_raw_data!$C$6437,"High","low")</f>
        <v>low</v>
      </c>
    </row>
    <row r="2234" spans="1:3">
      <c r="A2234" s="1">
        <v>16</v>
      </c>
      <c r="B2234" s="2">
        <f>Walmart_Sales_raw_data!C2234</f>
        <v>482926.93</v>
      </c>
      <c r="C2234" t="str">
        <f>IF(B2234&gt;=Walmart_Sales_raw_data!$C$6437,"High","low")</f>
        <v>low</v>
      </c>
    </row>
    <row r="2235" spans="1:3">
      <c r="A2235" s="3">
        <v>16</v>
      </c>
      <c r="B2235" s="2">
        <f>Walmart_Sales_raw_data!C2235</f>
        <v>498241.06</v>
      </c>
      <c r="C2235" t="str">
        <f>IF(B2235&gt;=Walmart_Sales_raw_data!$C$6437,"High","low")</f>
        <v>low</v>
      </c>
    </row>
    <row r="2236" spans="1:3">
      <c r="A2236" s="1">
        <v>16</v>
      </c>
      <c r="B2236" s="2">
        <f>Walmart_Sales_raw_data!C2236</f>
        <v>560104.16</v>
      </c>
      <c r="C2236" t="str">
        <f>IF(B2236&gt;=Walmart_Sales_raw_data!$C$6437,"High","low")</f>
        <v>low</v>
      </c>
    </row>
    <row r="2237" spans="1:3">
      <c r="A2237" s="3">
        <v>16</v>
      </c>
      <c r="B2237" s="2">
        <f>Walmart_Sales_raw_data!C2237</f>
        <v>505918.21</v>
      </c>
      <c r="C2237" t="str">
        <f>IF(B2237&gt;=Walmart_Sales_raw_data!$C$6437,"High","low")</f>
        <v>low</v>
      </c>
    </row>
    <row r="2238" spans="1:3">
      <c r="A2238" s="1">
        <v>16</v>
      </c>
      <c r="B2238" s="2">
        <f>Walmart_Sales_raw_data!C2238</f>
        <v>511059.95</v>
      </c>
      <c r="C2238" t="str">
        <f>IF(B2238&gt;=Walmart_Sales_raw_data!$C$6437,"High","low")</f>
        <v>low</v>
      </c>
    </row>
    <row r="2239" spans="1:3">
      <c r="A2239" s="3">
        <v>16</v>
      </c>
      <c r="B2239" s="2">
        <f>Walmart_Sales_raw_data!C2239</f>
        <v>513181.31</v>
      </c>
      <c r="C2239" t="str">
        <f>IF(B2239&gt;=Walmart_Sales_raw_data!$C$6437,"High","low")</f>
        <v>low</v>
      </c>
    </row>
    <row r="2240" spans="1:3">
      <c r="A2240" s="1">
        <v>16</v>
      </c>
      <c r="B2240" s="2">
        <f>Walmart_Sales_raw_data!C2240</f>
        <v>480353.64</v>
      </c>
      <c r="C2240" t="str">
        <f>IF(B2240&gt;=Walmart_Sales_raw_data!$C$6437,"High","low")</f>
        <v>low</v>
      </c>
    </row>
    <row r="2241" spans="1:3">
      <c r="A2241" s="3">
        <v>16</v>
      </c>
      <c r="B2241" s="2">
        <f>Walmart_Sales_raw_data!C2241</f>
        <v>712422.4</v>
      </c>
      <c r="C2241" t="str">
        <f>IF(B2241&gt;=Walmart_Sales_raw_data!$C$6437,"High","low")</f>
        <v>low</v>
      </c>
    </row>
    <row r="2242" spans="1:3">
      <c r="A2242" s="1">
        <v>16</v>
      </c>
      <c r="B2242" s="2">
        <f>Walmart_Sales_raw_data!C2242</f>
        <v>530492.84</v>
      </c>
      <c r="C2242" t="str">
        <f>IF(B2242&gt;=Walmart_Sales_raw_data!$C$6437,"High","low")</f>
        <v>low</v>
      </c>
    </row>
    <row r="2243" spans="1:3">
      <c r="A2243" s="3">
        <v>16</v>
      </c>
      <c r="B2243" s="2">
        <f>Walmart_Sales_raw_data!C2243</f>
        <v>574798.86</v>
      </c>
      <c r="C2243" t="str">
        <f>IF(B2243&gt;=Walmart_Sales_raw_data!$C$6437,"High","low")</f>
        <v>low</v>
      </c>
    </row>
    <row r="2244" spans="1:3">
      <c r="A2244" s="1">
        <v>16</v>
      </c>
      <c r="B2244" s="2">
        <f>Walmart_Sales_raw_data!C2244</f>
        <v>679481.9</v>
      </c>
      <c r="C2244" t="str">
        <f>IF(B2244&gt;=Walmart_Sales_raw_data!$C$6437,"High","low")</f>
        <v>low</v>
      </c>
    </row>
    <row r="2245" spans="1:3">
      <c r="A2245" s="3">
        <v>16</v>
      </c>
      <c r="B2245" s="2">
        <f>Walmart_Sales_raw_data!C2245</f>
        <v>950691.96</v>
      </c>
      <c r="C2245" t="str">
        <f>IF(B2245&gt;=Walmart_Sales_raw_data!$C$6437,"High","low")</f>
        <v>low</v>
      </c>
    </row>
    <row r="2246" spans="1:3">
      <c r="A2246" s="1">
        <v>16</v>
      </c>
      <c r="B2246" s="2">
        <f>Walmart_Sales_raw_data!C2246</f>
        <v>665861.06</v>
      </c>
      <c r="C2246" t="str">
        <f>IF(B2246&gt;=Walmart_Sales_raw_data!$C$6437,"High","low")</f>
        <v>low</v>
      </c>
    </row>
    <row r="2247" spans="1:3">
      <c r="A2247" s="3">
        <v>16</v>
      </c>
      <c r="B2247" s="2">
        <f>Walmart_Sales_raw_data!C2247</f>
        <v>564538.07</v>
      </c>
      <c r="C2247" t="str">
        <f>IF(B2247&gt;=Walmart_Sales_raw_data!$C$6437,"High","low")</f>
        <v>low</v>
      </c>
    </row>
    <row r="2248" spans="1:3">
      <c r="A2248" s="1">
        <v>16</v>
      </c>
      <c r="B2248" s="2">
        <f>Walmart_Sales_raw_data!C2248</f>
        <v>508520.09</v>
      </c>
      <c r="C2248" t="str">
        <f>IF(B2248&gt;=Walmart_Sales_raw_data!$C$6437,"High","low")</f>
        <v>low</v>
      </c>
    </row>
    <row r="2249" spans="1:3">
      <c r="A2249" s="3">
        <v>16</v>
      </c>
      <c r="B2249" s="2">
        <f>Walmart_Sales_raw_data!C2249</f>
        <v>474389.75</v>
      </c>
      <c r="C2249" t="str">
        <f>IF(B2249&gt;=Walmart_Sales_raw_data!$C$6437,"High","low")</f>
        <v>low</v>
      </c>
    </row>
    <row r="2250" spans="1:3">
      <c r="A2250" s="1">
        <v>16</v>
      </c>
      <c r="B2250" s="2">
        <f>Walmart_Sales_raw_data!C2250</f>
        <v>453979.19</v>
      </c>
      <c r="C2250" t="str">
        <f>IF(B2250&gt;=Walmart_Sales_raw_data!$C$6437,"High","low")</f>
        <v>low</v>
      </c>
    </row>
    <row r="2251" spans="1:3">
      <c r="A2251" s="3">
        <v>16</v>
      </c>
      <c r="B2251" s="2">
        <f>Walmart_Sales_raw_data!C2251</f>
        <v>475905.1</v>
      </c>
      <c r="C2251" t="str">
        <f>IF(B2251&gt;=Walmart_Sales_raw_data!$C$6437,"High","low")</f>
        <v>low</v>
      </c>
    </row>
    <row r="2252" spans="1:3">
      <c r="A2252" s="1">
        <v>16</v>
      </c>
      <c r="B2252" s="2">
        <f>Walmart_Sales_raw_data!C2252</f>
        <v>473766.97</v>
      </c>
      <c r="C2252" t="str">
        <f>IF(B2252&gt;=Walmart_Sales_raw_data!$C$6437,"High","low")</f>
        <v>low</v>
      </c>
    </row>
    <row r="2253" spans="1:3">
      <c r="A2253" s="3">
        <v>16</v>
      </c>
      <c r="B2253" s="2">
        <f>Walmart_Sales_raw_data!C2253</f>
        <v>494069.49</v>
      </c>
      <c r="C2253" t="str">
        <f>IF(B2253&gt;=Walmart_Sales_raw_data!$C$6437,"High","low")</f>
        <v>low</v>
      </c>
    </row>
    <row r="2254" spans="1:3">
      <c r="A2254" s="1">
        <v>16</v>
      </c>
      <c r="B2254" s="2">
        <f>Walmart_Sales_raw_data!C2254</f>
        <v>495720.3</v>
      </c>
      <c r="C2254" t="str">
        <f>IF(B2254&gt;=Walmart_Sales_raw_data!$C$6437,"High","low")</f>
        <v>low</v>
      </c>
    </row>
    <row r="2255" spans="1:3">
      <c r="A2255" s="3">
        <v>16</v>
      </c>
      <c r="B2255" s="2">
        <f>Walmart_Sales_raw_data!C2255</f>
        <v>464189.09</v>
      </c>
      <c r="C2255" t="str">
        <f>IF(B2255&gt;=Walmart_Sales_raw_data!$C$6437,"High","low")</f>
        <v>low</v>
      </c>
    </row>
    <row r="2256" spans="1:3">
      <c r="A2256" s="1">
        <v>16</v>
      </c>
      <c r="B2256" s="2">
        <f>Walmart_Sales_raw_data!C2256</f>
        <v>495951.66</v>
      </c>
      <c r="C2256" t="str">
        <f>IF(B2256&gt;=Walmart_Sales_raw_data!$C$6437,"High","low")</f>
        <v>low</v>
      </c>
    </row>
    <row r="2257" spans="1:3">
      <c r="A2257" s="3">
        <v>16</v>
      </c>
      <c r="B2257" s="2">
        <f>Walmart_Sales_raw_data!C2257</f>
        <v>520850.71</v>
      </c>
      <c r="C2257" t="str">
        <f>IF(B2257&gt;=Walmart_Sales_raw_data!$C$6437,"High","low")</f>
        <v>low</v>
      </c>
    </row>
    <row r="2258" spans="1:3">
      <c r="A2258" s="1">
        <v>16</v>
      </c>
      <c r="B2258" s="2">
        <f>Walmart_Sales_raw_data!C2258</f>
        <v>493503.89</v>
      </c>
      <c r="C2258" t="str">
        <f>IF(B2258&gt;=Walmart_Sales_raw_data!$C$6437,"High","low")</f>
        <v>low</v>
      </c>
    </row>
    <row r="2259" spans="1:3">
      <c r="A2259" s="3">
        <v>16</v>
      </c>
      <c r="B2259" s="2">
        <f>Walmart_Sales_raw_data!C2259</f>
        <v>485095.41</v>
      </c>
      <c r="C2259" t="str">
        <f>IF(B2259&gt;=Walmart_Sales_raw_data!$C$6437,"High","low")</f>
        <v>low</v>
      </c>
    </row>
    <row r="2260" spans="1:3">
      <c r="A2260" s="1">
        <v>16</v>
      </c>
      <c r="B2260" s="2">
        <f>Walmart_Sales_raw_data!C2260</f>
        <v>502662.07</v>
      </c>
      <c r="C2260" t="str">
        <f>IF(B2260&gt;=Walmart_Sales_raw_data!$C$6437,"High","low")</f>
        <v>low</v>
      </c>
    </row>
    <row r="2261" spans="1:3">
      <c r="A2261" s="3">
        <v>16</v>
      </c>
      <c r="B2261" s="2">
        <f>Walmart_Sales_raw_data!C2261</f>
        <v>450756.71</v>
      </c>
      <c r="C2261" t="str">
        <f>IF(B2261&gt;=Walmart_Sales_raw_data!$C$6437,"High","low")</f>
        <v>low</v>
      </c>
    </row>
    <row r="2262" spans="1:3">
      <c r="A2262" s="1">
        <v>16</v>
      </c>
      <c r="B2262" s="2">
        <f>Walmart_Sales_raw_data!C2262</f>
        <v>436221.26</v>
      </c>
      <c r="C2262" t="str">
        <f>IF(B2262&gt;=Walmart_Sales_raw_data!$C$6437,"High","low")</f>
        <v>low</v>
      </c>
    </row>
    <row r="2263" spans="1:3">
      <c r="A2263" s="3">
        <v>16</v>
      </c>
      <c r="B2263" s="2">
        <f>Walmart_Sales_raw_data!C2263</f>
        <v>398445.15</v>
      </c>
      <c r="C2263" t="str">
        <f>IF(B2263&gt;=Walmart_Sales_raw_data!$C$6437,"High","low")</f>
        <v>low</v>
      </c>
    </row>
    <row r="2264" spans="1:3">
      <c r="A2264" s="1">
        <v>16</v>
      </c>
      <c r="B2264" s="2">
        <f>Walmart_Sales_raw_data!C2264</f>
        <v>426959.62</v>
      </c>
      <c r="C2264" t="str">
        <f>IF(B2264&gt;=Walmart_Sales_raw_data!$C$6437,"High","low")</f>
        <v>low</v>
      </c>
    </row>
    <row r="2265" spans="1:3">
      <c r="A2265" s="3">
        <v>16</v>
      </c>
      <c r="B2265" s="2">
        <f>Walmart_Sales_raw_data!C2265</f>
        <v>479855</v>
      </c>
      <c r="C2265" t="str">
        <f>IF(B2265&gt;=Walmart_Sales_raw_data!$C$6437,"High","low")</f>
        <v>low</v>
      </c>
    </row>
    <row r="2266" spans="1:3">
      <c r="A2266" s="1">
        <v>16</v>
      </c>
      <c r="B2266" s="2">
        <f>Walmart_Sales_raw_data!C2266</f>
        <v>493506.47</v>
      </c>
      <c r="C2266" t="str">
        <f>IF(B2266&gt;=Walmart_Sales_raw_data!$C$6437,"High","low")</f>
        <v>low</v>
      </c>
    </row>
    <row r="2267" spans="1:3">
      <c r="A2267" s="3">
        <v>16</v>
      </c>
      <c r="B2267" s="2">
        <f>Walmart_Sales_raw_data!C2267</f>
        <v>518045.09</v>
      </c>
      <c r="C2267" t="str">
        <f>IF(B2267&gt;=Walmart_Sales_raw_data!$C$6437,"High","low")</f>
        <v>low</v>
      </c>
    </row>
    <row r="2268" spans="1:3">
      <c r="A2268" s="1">
        <v>16</v>
      </c>
      <c r="B2268" s="2">
        <f>Walmart_Sales_raw_data!C2268</f>
        <v>532311.93</v>
      </c>
      <c r="C2268" t="str">
        <f>IF(B2268&gt;=Walmart_Sales_raw_data!$C$6437,"High","low")</f>
        <v>low</v>
      </c>
    </row>
    <row r="2269" spans="1:3">
      <c r="A2269" s="3">
        <v>16</v>
      </c>
      <c r="B2269" s="2">
        <f>Walmart_Sales_raw_data!C2269</f>
        <v>603618.89</v>
      </c>
      <c r="C2269" t="str">
        <f>IF(B2269&gt;=Walmart_Sales_raw_data!$C$6437,"High","low")</f>
        <v>low</v>
      </c>
    </row>
    <row r="2270" spans="1:3">
      <c r="A2270" s="1">
        <v>16</v>
      </c>
      <c r="B2270" s="2">
        <f>Walmart_Sales_raw_data!C2270</f>
        <v>570045.79</v>
      </c>
      <c r="C2270" t="str">
        <f>IF(B2270&gt;=Walmart_Sales_raw_data!$C$6437,"High","low")</f>
        <v>low</v>
      </c>
    </row>
    <row r="2271" spans="1:3">
      <c r="A2271" s="3">
        <v>16</v>
      </c>
      <c r="B2271" s="2">
        <f>Walmart_Sales_raw_data!C2271</f>
        <v>581745.72</v>
      </c>
      <c r="C2271" t="str">
        <f>IF(B2271&gt;=Walmart_Sales_raw_data!$C$6437,"High","low")</f>
        <v>low</v>
      </c>
    </row>
    <row r="2272" spans="1:3">
      <c r="A2272" s="1">
        <v>16</v>
      </c>
      <c r="B2272" s="2">
        <f>Walmart_Sales_raw_data!C2272</f>
        <v>570162.28</v>
      </c>
      <c r="C2272" t="str">
        <f>IF(B2272&gt;=Walmart_Sales_raw_data!$C$6437,"High","low")</f>
        <v>low</v>
      </c>
    </row>
    <row r="2273" spans="1:3">
      <c r="A2273" s="3">
        <v>16</v>
      </c>
      <c r="B2273" s="2">
        <f>Walmart_Sales_raw_data!C2273</f>
        <v>641763.53</v>
      </c>
      <c r="C2273" t="str">
        <f>IF(B2273&gt;=Walmart_Sales_raw_data!$C$6437,"High","low")</f>
        <v>low</v>
      </c>
    </row>
    <row r="2274" spans="1:3">
      <c r="A2274" s="1">
        <v>16</v>
      </c>
      <c r="B2274" s="2">
        <f>Walmart_Sales_raw_data!C2274</f>
        <v>569005.06</v>
      </c>
      <c r="C2274" t="str">
        <f>IF(B2274&gt;=Walmart_Sales_raw_data!$C$6437,"High","low")</f>
        <v>low</v>
      </c>
    </row>
    <row r="2275" spans="1:3">
      <c r="A2275" s="3">
        <v>16</v>
      </c>
      <c r="B2275" s="2">
        <f>Walmart_Sales_raw_data!C2275</f>
        <v>565297.54</v>
      </c>
      <c r="C2275" t="str">
        <f>IF(B2275&gt;=Walmart_Sales_raw_data!$C$6437,"High","low")</f>
        <v>low</v>
      </c>
    </row>
    <row r="2276" spans="1:3">
      <c r="A2276" s="1">
        <v>16</v>
      </c>
      <c r="B2276" s="2">
        <f>Walmart_Sales_raw_data!C2276</f>
        <v>539337.87</v>
      </c>
      <c r="C2276" t="str">
        <f>IF(B2276&gt;=Walmart_Sales_raw_data!$C$6437,"High","low")</f>
        <v>low</v>
      </c>
    </row>
    <row r="2277" spans="1:3">
      <c r="A2277" s="3">
        <v>16</v>
      </c>
      <c r="B2277" s="2">
        <f>Walmart_Sales_raw_data!C2277</f>
        <v>584000.71</v>
      </c>
      <c r="C2277" t="str">
        <f>IF(B2277&gt;=Walmart_Sales_raw_data!$C$6437,"High","low")</f>
        <v>low</v>
      </c>
    </row>
    <row r="2278" spans="1:3">
      <c r="A2278" s="1">
        <v>16</v>
      </c>
      <c r="B2278" s="2">
        <f>Walmart_Sales_raw_data!C2278</f>
        <v>554036.84</v>
      </c>
      <c r="C2278" t="str">
        <f>IF(B2278&gt;=Walmart_Sales_raw_data!$C$6437,"High","low")</f>
        <v>low</v>
      </c>
    </row>
    <row r="2279" spans="1:3">
      <c r="A2279" s="3">
        <v>16</v>
      </c>
      <c r="B2279" s="2">
        <f>Walmart_Sales_raw_data!C2279</f>
        <v>521896.6</v>
      </c>
      <c r="C2279" t="str">
        <f>IF(B2279&gt;=Walmart_Sales_raw_data!$C$6437,"High","low")</f>
        <v>low</v>
      </c>
    </row>
    <row r="2280" spans="1:3">
      <c r="A2280" s="1">
        <v>16</v>
      </c>
      <c r="B2280" s="2">
        <f>Walmart_Sales_raw_data!C2280</f>
        <v>551152.15</v>
      </c>
      <c r="C2280" t="str">
        <f>IF(B2280&gt;=Walmart_Sales_raw_data!$C$6437,"High","low")</f>
        <v>low</v>
      </c>
    </row>
    <row r="2281" spans="1:3">
      <c r="A2281" s="3">
        <v>16</v>
      </c>
      <c r="B2281" s="2">
        <f>Walmart_Sales_raw_data!C2281</f>
        <v>551837.31</v>
      </c>
      <c r="C2281" t="str">
        <f>IF(B2281&gt;=Walmart_Sales_raw_data!$C$6437,"High","low")</f>
        <v>low</v>
      </c>
    </row>
    <row r="2282" spans="1:3">
      <c r="A2282" s="1">
        <v>16</v>
      </c>
      <c r="B2282" s="2">
        <f>Walmart_Sales_raw_data!C2282</f>
        <v>537138.58</v>
      </c>
      <c r="C2282" t="str">
        <f>IF(B2282&gt;=Walmart_Sales_raw_data!$C$6437,"High","low")</f>
        <v>low</v>
      </c>
    </row>
    <row r="2283" spans="1:3">
      <c r="A2283" s="3">
        <v>16</v>
      </c>
      <c r="B2283" s="2">
        <f>Walmart_Sales_raw_data!C2283</f>
        <v>526525.16</v>
      </c>
      <c r="C2283" t="str">
        <f>IF(B2283&gt;=Walmart_Sales_raw_data!$C$6437,"High","low")</f>
        <v>low</v>
      </c>
    </row>
    <row r="2284" spans="1:3">
      <c r="A2284" s="1">
        <v>16</v>
      </c>
      <c r="B2284" s="2">
        <f>Walmart_Sales_raw_data!C2284</f>
        <v>509942.56</v>
      </c>
      <c r="C2284" t="str">
        <f>IF(B2284&gt;=Walmart_Sales_raw_data!$C$6437,"High","low")</f>
        <v>low</v>
      </c>
    </row>
    <row r="2285" spans="1:3">
      <c r="A2285" s="3">
        <v>16</v>
      </c>
      <c r="B2285" s="2">
        <f>Walmart_Sales_raw_data!C2285</f>
        <v>469607.73</v>
      </c>
      <c r="C2285" t="str">
        <f>IF(B2285&gt;=Walmart_Sales_raw_data!$C$6437,"High","low")</f>
        <v>low</v>
      </c>
    </row>
    <row r="2286" spans="1:3">
      <c r="A2286" s="1">
        <v>16</v>
      </c>
      <c r="B2286" s="2">
        <f>Walmart_Sales_raw_data!C2286</f>
        <v>471281.68</v>
      </c>
      <c r="C2286" t="str">
        <f>IF(B2286&gt;=Walmart_Sales_raw_data!$C$6437,"High","low")</f>
        <v>low</v>
      </c>
    </row>
    <row r="2287" spans="1:3">
      <c r="A2287" s="3">
        <v>16</v>
      </c>
      <c r="B2287" s="2">
        <f>Walmart_Sales_raw_data!C2287</f>
        <v>491817.19</v>
      </c>
      <c r="C2287" t="str">
        <f>IF(B2287&gt;=Walmart_Sales_raw_data!$C$6437,"High","low")</f>
        <v>low</v>
      </c>
    </row>
    <row r="2288" spans="1:3">
      <c r="A2288" s="1">
        <v>16</v>
      </c>
      <c r="B2288" s="2">
        <f>Walmart_Sales_raw_data!C2288</f>
        <v>577198.97</v>
      </c>
      <c r="C2288" t="str">
        <f>IF(B2288&gt;=Walmart_Sales_raw_data!$C$6437,"High","low")</f>
        <v>low</v>
      </c>
    </row>
    <row r="2289" spans="1:3">
      <c r="A2289" s="3">
        <v>16</v>
      </c>
      <c r="B2289" s="2">
        <f>Walmart_Sales_raw_data!C2289</f>
        <v>475770.14</v>
      </c>
      <c r="C2289" t="str">
        <f>IF(B2289&gt;=Walmart_Sales_raw_data!$C$6437,"High","low")</f>
        <v>low</v>
      </c>
    </row>
    <row r="2290" spans="1:3">
      <c r="A2290" s="1">
        <v>17</v>
      </c>
      <c r="B2290" s="2">
        <f>Walmart_Sales_raw_data!C2290</f>
        <v>789036.02</v>
      </c>
      <c r="C2290" t="str">
        <f>IF(B2290&gt;=Walmart_Sales_raw_data!$C$6437,"High","low")</f>
        <v>low</v>
      </c>
    </row>
    <row r="2291" spans="1:3">
      <c r="A2291" s="3">
        <v>17</v>
      </c>
      <c r="B2291" s="2">
        <f>Walmart_Sales_raw_data!C2291</f>
        <v>841951.91</v>
      </c>
      <c r="C2291" t="str">
        <f>IF(B2291&gt;=Walmart_Sales_raw_data!$C$6437,"High","low")</f>
        <v>low</v>
      </c>
    </row>
    <row r="2292" spans="1:3">
      <c r="A2292" s="1">
        <v>17</v>
      </c>
      <c r="B2292" s="2">
        <f>Walmart_Sales_raw_data!C2292</f>
        <v>800714</v>
      </c>
      <c r="C2292" t="str">
        <f>IF(B2292&gt;=Walmart_Sales_raw_data!$C$6437,"High","low")</f>
        <v>low</v>
      </c>
    </row>
    <row r="2293" spans="1:3">
      <c r="A2293" s="3">
        <v>17</v>
      </c>
      <c r="B2293" s="2">
        <f>Walmart_Sales_raw_data!C2293</f>
        <v>749549.55</v>
      </c>
      <c r="C2293" t="str">
        <f>IF(B2293&gt;=Walmart_Sales_raw_data!$C$6437,"High","low")</f>
        <v>low</v>
      </c>
    </row>
    <row r="2294" spans="1:3">
      <c r="A2294" s="1">
        <v>17</v>
      </c>
      <c r="B2294" s="2">
        <f>Walmart_Sales_raw_data!C2294</f>
        <v>783300.05</v>
      </c>
      <c r="C2294" t="str">
        <f>IF(B2294&gt;=Walmart_Sales_raw_data!$C$6437,"High","low")</f>
        <v>low</v>
      </c>
    </row>
    <row r="2295" spans="1:3">
      <c r="A2295" s="3">
        <v>17</v>
      </c>
      <c r="B2295" s="2">
        <f>Walmart_Sales_raw_data!C2295</f>
        <v>763961.82</v>
      </c>
      <c r="C2295" t="str">
        <f>IF(B2295&gt;=Walmart_Sales_raw_data!$C$6437,"High","low")</f>
        <v>low</v>
      </c>
    </row>
    <row r="2296" spans="1:3">
      <c r="A2296" s="1">
        <v>17</v>
      </c>
      <c r="B2296" s="2">
        <f>Walmart_Sales_raw_data!C2296</f>
        <v>752034.52</v>
      </c>
      <c r="C2296" t="str">
        <f>IF(B2296&gt;=Walmart_Sales_raw_data!$C$6437,"High","low")</f>
        <v>low</v>
      </c>
    </row>
    <row r="2297" spans="1:3">
      <c r="A2297" s="3">
        <v>17</v>
      </c>
      <c r="B2297" s="2">
        <f>Walmart_Sales_raw_data!C2297</f>
        <v>793097.64</v>
      </c>
      <c r="C2297" t="str">
        <f>IF(B2297&gt;=Walmart_Sales_raw_data!$C$6437,"High","low")</f>
        <v>low</v>
      </c>
    </row>
    <row r="2298" spans="1:3">
      <c r="A2298" s="1">
        <v>17</v>
      </c>
      <c r="B2298" s="2">
        <f>Walmart_Sales_raw_data!C2298</f>
        <v>848521.17</v>
      </c>
      <c r="C2298" t="str">
        <f>IF(B2298&gt;=Walmart_Sales_raw_data!$C$6437,"High","low")</f>
        <v>low</v>
      </c>
    </row>
    <row r="2299" spans="1:3">
      <c r="A2299" s="3">
        <v>17</v>
      </c>
      <c r="B2299" s="2">
        <f>Walmart_Sales_raw_data!C2299</f>
        <v>770228.02</v>
      </c>
      <c r="C2299" t="str">
        <f>IF(B2299&gt;=Walmart_Sales_raw_data!$C$6437,"High","low")</f>
        <v>low</v>
      </c>
    </row>
    <row r="2300" spans="1:3">
      <c r="A2300" s="1">
        <v>17</v>
      </c>
      <c r="B2300" s="2">
        <f>Walmart_Sales_raw_data!C2300</f>
        <v>757738.76</v>
      </c>
      <c r="C2300" t="str">
        <f>IF(B2300&gt;=Walmart_Sales_raw_data!$C$6437,"High","low")</f>
        <v>low</v>
      </c>
    </row>
    <row r="2301" spans="1:3">
      <c r="A2301" s="3">
        <v>17</v>
      </c>
      <c r="B2301" s="2">
        <f>Walmart_Sales_raw_data!C2301</f>
        <v>977790.83</v>
      </c>
      <c r="C2301" t="str">
        <f>IF(B2301&gt;=Walmart_Sales_raw_data!$C$6437,"High","low")</f>
        <v>low</v>
      </c>
    </row>
    <row r="2302" spans="1:3">
      <c r="A2302" s="1">
        <v>17</v>
      </c>
      <c r="B2302" s="2">
        <f>Walmart_Sales_raw_data!C2302</f>
        <v>807798.73</v>
      </c>
      <c r="C2302" t="str">
        <f>IF(B2302&gt;=Walmart_Sales_raw_data!$C$6437,"High","low")</f>
        <v>low</v>
      </c>
    </row>
    <row r="2303" spans="1:3">
      <c r="A2303" s="3">
        <v>17</v>
      </c>
      <c r="B2303" s="2">
        <f>Walmart_Sales_raw_data!C2303</f>
        <v>843848.65</v>
      </c>
      <c r="C2303" t="str">
        <f>IF(B2303&gt;=Walmart_Sales_raw_data!$C$6437,"High","low")</f>
        <v>low</v>
      </c>
    </row>
    <row r="2304" spans="1:3">
      <c r="A2304" s="1">
        <v>17</v>
      </c>
      <c r="B2304" s="2">
        <f>Walmart_Sales_raw_data!C2304</f>
        <v>813756.09</v>
      </c>
      <c r="C2304" t="str">
        <f>IF(B2304&gt;=Walmart_Sales_raw_data!$C$6437,"High","low")</f>
        <v>low</v>
      </c>
    </row>
    <row r="2305" spans="1:3">
      <c r="A2305" s="3">
        <v>17</v>
      </c>
      <c r="B2305" s="2">
        <f>Walmart_Sales_raw_data!C2305</f>
        <v>826626.5</v>
      </c>
      <c r="C2305" t="str">
        <f>IF(B2305&gt;=Walmart_Sales_raw_data!$C$6437,"High","low")</f>
        <v>low</v>
      </c>
    </row>
    <row r="2306" spans="1:3">
      <c r="A2306" s="1">
        <v>17</v>
      </c>
      <c r="B2306" s="2">
        <f>Walmart_Sales_raw_data!C2306</f>
        <v>872817.62</v>
      </c>
      <c r="C2306" t="str">
        <f>IF(B2306&gt;=Walmart_Sales_raw_data!$C$6437,"High","low")</f>
        <v>low</v>
      </c>
    </row>
    <row r="2307" spans="1:3">
      <c r="A2307" s="3">
        <v>17</v>
      </c>
      <c r="B2307" s="2">
        <f>Walmart_Sales_raw_data!C2307</f>
        <v>876902.87</v>
      </c>
      <c r="C2307" t="str">
        <f>IF(B2307&gt;=Walmart_Sales_raw_data!$C$6437,"High","low")</f>
        <v>low</v>
      </c>
    </row>
    <row r="2308" spans="1:3">
      <c r="A2308" s="1">
        <v>17</v>
      </c>
      <c r="B2308" s="2">
        <f>Walmart_Sales_raw_data!C2308</f>
        <v>845252.21</v>
      </c>
      <c r="C2308" t="str">
        <f>IF(B2308&gt;=Walmart_Sales_raw_data!$C$6437,"High","low")</f>
        <v>low</v>
      </c>
    </row>
    <row r="2309" spans="1:3">
      <c r="A2309" s="3">
        <v>17</v>
      </c>
      <c r="B2309" s="2">
        <f>Walmart_Sales_raw_data!C2309</f>
        <v>877996.27</v>
      </c>
      <c r="C2309" t="str">
        <f>IF(B2309&gt;=Walmart_Sales_raw_data!$C$6437,"High","low")</f>
        <v>low</v>
      </c>
    </row>
    <row r="2310" spans="1:3">
      <c r="A2310" s="1">
        <v>17</v>
      </c>
      <c r="B2310" s="2">
        <f>Walmart_Sales_raw_data!C2310</f>
        <v>893995.44</v>
      </c>
      <c r="C2310" t="str">
        <f>IF(B2310&gt;=Walmart_Sales_raw_data!$C$6437,"High","low")</f>
        <v>low</v>
      </c>
    </row>
    <row r="2311" spans="1:3">
      <c r="A2311" s="3">
        <v>17</v>
      </c>
      <c r="B2311" s="2">
        <f>Walmart_Sales_raw_data!C2311</f>
        <v>958875.37</v>
      </c>
      <c r="C2311" t="str">
        <f>IF(B2311&gt;=Walmart_Sales_raw_data!$C$6437,"High","low")</f>
        <v>low</v>
      </c>
    </row>
    <row r="2312" spans="1:3">
      <c r="A2312" s="1">
        <v>17</v>
      </c>
      <c r="B2312" s="2">
        <f>Walmart_Sales_raw_data!C2312</f>
        <v>836915.92</v>
      </c>
      <c r="C2312" t="str">
        <f>IF(B2312&gt;=Walmart_Sales_raw_data!$C$6437,"High","low")</f>
        <v>low</v>
      </c>
    </row>
    <row r="2313" spans="1:3">
      <c r="A2313" s="3">
        <v>17</v>
      </c>
      <c r="B2313" s="2">
        <f>Walmart_Sales_raw_data!C2313</f>
        <v>876591.41</v>
      </c>
      <c r="C2313" t="str">
        <f>IF(B2313&gt;=Walmart_Sales_raw_data!$C$6437,"High","low")</f>
        <v>low</v>
      </c>
    </row>
    <row r="2314" spans="1:3">
      <c r="A2314" s="1">
        <v>17</v>
      </c>
      <c r="B2314" s="2">
        <f>Walmart_Sales_raw_data!C2314</f>
        <v>893504.87</v>
      </c>
      <c r="C2314" t="str">
        <f>IF(B2314&gt;=Walmart_Sales_raw_data!$C$6437,"High","low")</f>
        <v>low</v>
      </c>
    </row>
    <row r="2315" spans="1:3">
      <c r="A2315" s="3">
        <v>17</v>
      </c>
      <c r="B2315" s="2">
        <f>Walmart_Sales_raw_data!C2315</f>
        <v>833517.19</v>
      </c>
      <c r="C2315" t="str">
        <f>IF(B2315&gt;=Walmart_Sales_raw_data!$C$6437,"High","low")</f>
        <v>low</v>
      </c>
    </row>
    <row r="2316" spans="1:3">
      <c r="A2316" s="1">
        <v>17</v>
      </c>
      <c r="B2316" s="2">
        <f>Walmart_Sales_raw_data!C2316</f>
        <v>795301.17</v>
      </c>
      <c r="C2316" t="str">
        <f>IF(B2316&gt;=Walmart_Sales_raw_data!$C$6437,"High","low")</f>
        <v>low</v>
      </c>
    </row>
    <row r="2317" spans="1:3">
      <c r="A2317" s="3">
        <v>17</v>
      </c>
      <c r="B2317" s="2">
        <f>Walmart_Sales_raw_data!C2317</f>
        <v>759995.18</v>
      </c>
      <c r="C2317" t="str">
        <f>IF(B2317&gt;=Walmart_Sales_raw_data!$C$6437,"High","low")</f>
        <v>low</v>
      </c>
    </row>
    <row r="2318" spans="1:3">
      <c r="A2318" s="1">
        <v>17</v>
      </c>
      <c r="B2318" s="2">
        <f>Walmart_Sales_raw_data!C2318</f>
        <v>783929.7</v>
      </c>
      <c r="C2318" t="str">
        <f>IF(B2318&gt;=Walmart_Sales_raw_data!$C$6437,"High","low")</f>
        <v>low</v>
      </c>
    </row>
    <row r="2319" spans="1:3">
      <c r="A2319" s="3">
        <v>17</v>
      </c>
      <c r="B2319" s="2">
        <f>Walmart_Sales_raw_data!C2319</f>
        <v>802583.89</v>
      </c>
      <c r="C2319" t="str">
        <f>IF(B2319&gt;=Walmart_Sales_raw_data!$C$6437,"High","low")</f>
        <v>low</v>
      </c>
    </row>
    <row r="2320" spans="1:3">
      <c r="A2320" s="1">
        <v>17</v>
      </c>
      <c r="B2320" s="2">
        <f>Walmart_Sales_raw_data!C2320</f>
        <v>834373.73</v>
      </c>
      <c r="C2320" t="str">
        <f>IF(B2320&gt;=Walmart_Sales_raw_data!$C$6437,"High","low")</f>
        <v>low</v>
      </c>
    </row>
    <row r="2321" spans="1:3">
      <c r="A2321" s="3">
        <v>17</v>
      </c>
      <c r="B2321" s="2">
        <f>Walmart_Sales_raw_data!C2321</f>
        <v>1200888.28</v>
      </c>
      <c r="C2321" t="str">
        <f>IF(B2321&gt;=Walmart_Sales_raw_data!$C$6437,"High","low")</f>
        <v>High</v>
      </c>
    </row>
    <row r="2322" spans="1:3">
      <c r="A2322" s="1">
        <v>17</v>
      </c>
      <c r="B2322" s="2">
        <f>Walmart_Sales_raw_data!C2322</f>
        <v>871264.25</v>
      </c>
      <c r="C2322" t="str">
        <f>IF(B2322&gt;=Walmart_Sales_raw_data!$C$6437,"High","low")</f>
        <v>low</v>
      </c>
    </row>
    <row r="2323" spans="1:3">
      <c r="A2323" s="3">
        <v>17</v>
      </c>
      <c r="B2323" s="2">
        <f>Walmart_Sales_raw_data!C2323</f>
        <v>852876.29</v>
      </c>
      <c r="C2323" t="str">
        <f>IF(B2323&gt;=Walmart_Sales_raw_data!$C$6437,"High","low")</f>
        <v>low</v>
      </c>
    </row>
    <row r="2324" spans="1:3">
      <c r="A2324" s="1">
        <v>17</v>
      </c>
      <c r="B2324" s="2">
        <f>Walmart_Sales_raw_data!C2324</f>
        <v>829207.27</v>
      </c>
      <c r="C2324" t="str">
        <f>IF(B2324&gt;=Walmart_Sales_raw_data!$C$6437,"High","low")</f>
        <v>low</v>
      </c>
    </row>
    <row r="2325" spans="1:3">
      <c r="A2325" s="3">
        <v>17</v>
      </c>
      <c r="B2325" s="2">
        <f>Walmart_Sales_raw_data!C2325</f>
        <v>827738.06</v>
      </c>
      <c r="C2325" t="str">
        <f>IF(B2325&gt;=Walmart_Sales_raw_data!$C$6437,"High","low")</f>
        <v>low</v>
      </c>
    </row>
    <row r="2326" spans="1:3">
      <c r="A2326" s="1">
        <v>17</v>
      </c>
      <c r="B2326" s="2">
        <f>Walmart_Sales_raw_data!C2326</f>
        <v>838297.32</v>
      </c>
      <c r="C2326" t="str">
        <f>IF(B2326&gt;=Walmart_Sales_raw_data!$C$6437,"High","low")</f>
        <v>low</v>
      </c>
    </row>
    <row r="2327" spans="1:3">
      <c r="A2327" s="3">
        <v>17</v>
      </c>
      <c r="B2327" s="2">
        <f>Walmart_Sales_raw_data!C2327</f>
        <v>815093.76</v>
      </c>
      <c r="C2327" t="str">
        <f>IF(B2327&gt;=Walmart_Sales_raw_data!$C$6437,"High","low")</f>
        <v>low</v>
      </c>
    </row>
    <row r="2328" spans="1:3">
      <c r="A2328" s="1">
        <v>17</v>
      </c>
      <c r="B2328" s="2">
        <f>Walmart_Sales_raw_data!C2328</f>
        <v>861941.25</v>
      </c>
      <c r="C2328" t="str">
        <f>IF(B2328&gt;=Walmart_Sales_raw_data!$C$6437,"High","low")</f>
        <v>low</v>
      </c>
    </row>
    <row r="2329" spans="1:3">
      <c r="A2329" s="3">
        <v>17</v>
      </c>
      <c r="B2329" s="2">
        <f>Walmart_Sales_raw_data!C2329</f>
        <v>818434.49</v>
      </c>
      <c r="C2329" t="str">
        <f>IF(B2329&gt;=Walmart_Sales_raw_data!$C$6437,"High","low")</f>
        <v>low</v>
      </c>
    </row>
    <row r="2330" spans="1:3">
      <c r="A2330" s="1">
        <v>17</v>
      </c>
      <c r="B2330" s="2">
        <f>Walmart_Sales_raw_data!C2330</f>
        <v>855459.96</v>
      </c>
      <c r="C2330" t="str">
        <f>IF(B2330&gt;=Walmart_Sales_raw_data!$C$6437,"High","low")</f>
        <v>low</v>
      </c>
    </row>
    <row r="2331" spans="1:3">
      <c r="A2331" s="3">
        <v>17</v>
      </c>
      <c r="B2331" s="2">
        <f>Walmart_Sales_raw_data!C2331</f>
        <v>782252.57</v>
      </c>
      <c r="C2331" t="str">
        <f>IF(B2331&gt;=Walmart_Sales_raw_data!$C$6437,"High","low")</f>
        <v>low</v>
      </c>
    </row>
    <row r="2332" spans="1:3">
      <c r="A2332" s="1">
        <v>17</v>
      </c>
      <c r="B2332" s="2">
        <f>Walmart_Sales_raw_data!C2332</f>
        <v>1005448.76</v>
      </c>
      <c r="C2332" t="str">
        <f>IF(B2332&gt;=Walmart_Sales_raw_data!$C$6437,"High","low")</f>
        <v>low</v>
      </c>
    </row>
    <row r="2333" spans="1:3">
      <c r="A2333" s="3">
        <v>17</v>
      </c>
      <c r="B2333" s="2">
        <f>Walmart_Sales_raw_data!C2333</f>
        <v>926573.81</v>
      </c>
      <c r="C2333" t="str">
        <f>IF(B2333&gt;=Walmart_Sales_raw_data!$C$6437,"High","low")</f>
        <v>low</v>
      </c>
    </row>
    <row r="2334" spans="1:3">
      <c r="A2334" s="1">
        <v>17</v>
      </c>
      <c r="B2334" s="2">
        <f>Walmart_Sales_raw_data!C2334</f>
        <v>962475.55</v>
      </c>
      <c r="C2334" t="str">
        <f>IF(B2334&gt;=Walmart_Sales_raw_data!$C$6437,"High","low")</f>
        <v>low</v>
      </c>
    </row>
    <row r="2335" spans="1:3">
      <c r="A2335" s="3">
        <v>17</v>
      </c>
      <c r="B2335" s="2">
        <f>Walmart_Sales_raw_data!C2335</f>
        <v>1049372.38</v>
      </c>
      <c r="C2335" t="str">
        <f>IF(B2335&gt;=Walmart_Sales_raw_data!$C$6437,"High","low")</f>
        <v>High</v>
      </c>
    </row>
    <row r="2336" spans="1:3">
      <c r="A2336" s="1">
        <v>17</v>
      </c>
      <c r="B2336" s="2">
        <f>Walmart_Sales_raw_data!C2336</f>
        <v>1309226.79</v>
      </c>
      <c r="C2336" t="str">
        <f>IF(B2336&gt;=Walmart_Sales_raw_data!$C$6437,"High","low")</f>
        <v>High</v>
      </c>
    </row>
    <row r="2337" spans="1:3">
      <c r="A2337" s="3">
        <v>17</v>
      </c>
      <c r="B2337" s="2">
        <f>Walmart_Sales_raw_data!C2337</f>
        <v>635862.55</v>
      </c>
      <c r="C2337" t="str">
        <f>IF(B2337&gt;=Walmart_Sales_raw_data!$C$6437,"High","low")</f>
        <v>low</v>
      </c>
    </row>
    <row r="2338" spans="1:3">
      <c r="A2338" s="1">
        <v>17</v>
      </c>
      <c r="B2338" s="2">
        <f>Walmart_Sales_raw_data!C2338</f>
        <v>1083071.14</v>
      </c>
      <c r="C2338" t="str">
        <f>IF(B2338&gt;=Walmart_Sales_raw_data!$C$6437,"High","low")</f>
        <v>High</v>
      </c>
    </row>
    <row r="2339" spans="1:3">
      <c r="A2339" s="3">
        <v>17</v>
      </c>
      <c r="B2339" s="2">
        <f>Walmart_Sales_raw_data!C2339</f>
        <v>758510.36</v>
      </c>
      <c r="C2339" t="str">
        <f>IF(B2339&gt;=Walmart_Sales_raw_data!$C$6437,"High","low")</f>
        <v>low</v>
      </c>
    </row>
    <row r="2340" spans="1:3">
      <c r="A2340" s="1">
        <v>17</v>
      </c>
      <c r="B2340" s="2">
        <f>Walmart_Sales_raw_data!C2340</f>
        <v>755804.37</v>
      </c>
      <c r="C2340" t="str">
        <f>IF(B2340&gt;=Walmart_Sales_raw_data!$C$6437,"High","low")</f>
        <v>low</v>
      </c>
    </row>
    <row r="2341" spans="1:3">
      <c r="A2341" s="3">
        <v>17</v>
      </c>
      <c r="B2341" s="2">
        <f>Walmart_Sales_raw_data!C2341</f>
        <v>736335.69</v>
      </c>
      <c r="C2341" t="str">
        <f>IF(B2341&gt;=Walmart_Sales_raw_data!$C$6437,"High","low")</f>
        <v>low</v>
      </c>
    </row>
    <row r="2342" spans="1:3">
      <c r="A2342" s="1">
        <v>17</v>
      </c>
      <c r="B2342" s="2">
        <f>Walmart_Sales_raw_data!C2342</f>
        <v>816603.05</v>
      </c>
      <c r="C2342" t="str">
        <f>IF(B2342&gt;=Walmart_Sales_raw_data!$C$6437,"High","low")</f>
        <v>low</v>
      </c>
    </row>
    <row r="2343" spans="1:3">
      <c r="A2343" s="3">
        <v>17</v>
      </c>
      <c r="B2343" s="2">
        <f>Walmart_Sales_raw_data!C2343</f>
        <v>813211.46</v>
      </c>
      <c r="C2343" t="str">
        <f>IF(B2343&gt;=Walmart_Sales_raw_data!$C$6437,"High","low")</f>
        <v>low</v>
      </c>
    </row>
    <row r="2344" spans="1:3">
      <c r="A2344" s="1">
        <v>17</v>
      </c>
      <c r="B2344" s="2">
        <f>Walmart_Sales_raw_data!C2344</f>
        <v>860962.91</v>
      </c>
      <c r="C2344" t="str">
        <f>IF(B2344&gt;=Walmart_Sales_raw_data!$C$6437,"High","low")</f>
        <v>low</v>
      </c>
    </row>
    <row r="2345" spans="1:3">
      <c r="A2345" s="3">
        <v>17</v>
      </c>
      <c r="B2345" s="2">
        <f>Walmart_Sales_raw_data!C2345</f>
        <v>767256.53</v>
      </c>
      <c r="C2345" t="str">
        <f>IF(B2345&gt;=Walmart_Sales_raw_data!$C$6437,"High","low")</f>
        <v>low</v>
      </c>
    </row>
    <row r="2346" spans="1:3">
      <c r="A2346" s="1">
        <v>17</v>
      </c>
      <c r="B2346" s="2">
        <f>Walmart_Sales_raw_data!C2346</f>
        <v>816138.33</v>
      </c>
      <c r="C2346" t="str">
        <f>IF(B2346&gt;=Walmart_Sales_raw_data!$C$6437,"High","low")</f>
        <v>low</v>
      </c>
    </row>
    <row r="2347" spans="1:3">
      <c r="A2347" s="3">
        <v>17</v>
      </c>
      <c r="B2347" s="2">
        <f>Walmart_Sales_raw_data!C2347</f>
        <v>779602.36</v>
      </c>
      <c r="C2347" t="str">
        <f>IF(B2347&gt;=Walmart_Sales_raw_data!$C$6437,"High","low")</f>
        <v>low</v>
      </c>
    </row>
    <row r="2348" spans="1:3">
      <c r="A2348" s="1">
        <v>17</v>
      </c>
      <c r="B2348" s="2">
        <f>Walmart_Sales_raw_data!C2348</f>
        <v>778436.81</v>
      </c>
      <c r="C2348" t="str">
        <f>IF(B2348&gt;=Walmart_Sales_raw_data!$C$6437,"High","low")</f>
        <v>low</v>
      </c>
    </row>
    <row r="2349" spans="1:3">
      <c r="A2349" s="3">
        <v>17</v>
      </c>
      <c r="B2349" s="2">
        <f>Walmart_Sales_raw_data!C2349</f>
        <v>781267.76</v>
      </c>
      <c r="C2349" t="str">
        <f>IF(B2349&gt;=Walmart_Sales_raw_data!$C$6437,"High","low")</f>
        <v>low</v>
      </c>
    </row>
    <row r="2350" spans="1:3">
      <c r="A2350" s="1">
        <v>17</v>
      </c>
      <c r="B2350" s="2">
        <f>Walmart_Sales_raw_data!C2350</f>
        <v>795859.23</v>
      </c>
      <c r="C2350" t="str">
        <f>IF(B2350&gt;=Walmart_Sales_raw_data!$C$6437,"High","low")</f>
        <v>low</v>
      </c>
    </row>
    <row r="2351" spans="1:3">
      <c r="A2351" s="3">
        <v>17</v>
      </c>
      <c r="B2351" s="2">
        <f>Walmart_Sales_raw_data!C2351</f>
        <v>811855.72</v>
      </c>
      <c r="C2351" t="str">
        <f>IF(B2351&gt;=Walmart_Sales_raw_data!$C$6437,"High","low")</f>
        <v>low</v>
      </c>
    </row>
    <row r="2352" spans="1:3">
      <c r="A2352" s="1">
        <v>17</v>
      </c>
      <c r="B2352" s="2">
        <f>Walmart_Sales_raw_data!C2352</f>
        <v>825283.43</v>
      </c>
      <c r="C2352" t="str">
        <f>IF(B2352&gt;=Walmart_Sales_raw_data!$C$6437,"High","low")</f>
        <v>low</v>
      </c>
    </row>
    <row r="2353" spans="1:3">
      <c r="A2353" s="3">
        <v>17</v>
      </c>
      <c r="B2353" s="2">
        <f>Walmart_Sales_raw_data!C2353</f>
        <v>1060770.11</v>
      </c>
      <c r="C2353" t="str">
        <f>IF(B2353&gt;=Walmart_Sales_raw_data!$C$6437,"High","low")</f>
        <v>High</v>
      </c>
    </row>
    <row r="2354" spans="1:3">
      <c r="A2354" s="1">
        <v>17</v>
      </c>
      <c r="B2354" s="2">
        <f>Walmart_Sales_raw_data!C2354</f>
        <v>806979.15</v>
      </c>
      <c r="C2354" t="str">
        <f>IF(B2354&gt;=Walmart_Sales_raw_data!$C$6437,"High","low")</f>
        <v>low</v>
      </c>
    </row>
    <row r="2355" spans="1:3">
      <c r="A2355" s="3">
        <v>17</v>
      </c>
      <c r="B2355" s="2">
        <f>Walmart_Sales_raw_data!C2355</f>
        <v>882132.28</v>
      </c>
      <c r="C2355" t="str">
        <f>IF(B2355&gt;=Walmart_Sales_raw_data!$C$6437,"High","low")</f>
        <v>low</v>
      </c>
    </row>
    <row r="2356" spans="1:3">
      <c r="A2356" s="1">
        <v>17</v>
      </c>
      <c r="B2356" s="2">
        <f>Walmart_Sales_raw_data!C2356</f>
        <v>870625.49</v>
      </c>
      <c r="C2356" t="str">
        <f>IF(B2356&gt;=Walmart_Sales_raw_data!$C$6437,"High","low")</f>
        <v>low</v>
      </c>
    </row>
    <row r="2357" spans="1:3">
      <c r="A2357" s="3">
        <v>17</v>
      </c>
      <c r="B2357" s="2">
        <f>Walmart_Sales_raw_data!C2357</f>
        <v>844443.35</v>
      </c>
      <c r="C2357" t="str">
        <f>IF(B2357&gt;=Walmart_Sales_raw_data!$C$6437,"High","low")</f>
        <v>low</v>
      </c>
    </row>
    <row r="2358" spans="1:3">
      <c r="A2358" s="1">
        <v>17</v>
      </c>
      <c r="B2358" s="2">
        <f>Walmart_Sales_raw_data!C2358</f>
        <v>892056.64</v>
      </c>
      <c r="C2358" t="str">
        <f>IF(B2358&gt;=Walmart_Sales_raw_data!$C$6437,"High","low")</f>
        <v>low</v>
      </c>
    </row>
    <row r="2359" spans="1:3">
      <c r="A2359" s="3">
        <v>17</v>
      </c>
      <c r="B2359" s="2">
        <f>Walmart_Sales_raw_data!C2359</f>
        <v>895020.48</v>
      </c>
      <c r="C2359" t="str">
        <f>IF(B2359&gt;=Walmart_Sales_raw_data!$C$6437,"High","low")</f>
        <v>low</v>
      </c>
    </row>
    <row r="2360" spans="1:3">
      <c r="A2360" s="1">
        <v>17</v>
      </c>
      <c r="B2360" s="2">
        <f>Walmart_Sales_raw_data!C2360</f>
        <v>881190.46</v>
      </c>
      <c r="C2360" t="str">
        <f>IF(B2360&gt;=Walmart_Sales_raw_data!$C$6437,"High","low")</f>
        <v>low</v>
      </c>
    </row>
    <row r="2361" spans="1:3">
      <c r="A2361" s="3">
        <v>17</v>
      </c>
      <c r="B2361" s="2">
        <f>Walmart_Sales_raw_data!C2361</f>
        <v>894686.67</v>
      </c>
      <c r="C2361" t="str">
        <f>IF(B2361&gt;=Walmart_Sales_raw_data!$C$6437,"High","low")</f>
        <v>low</v>
      </c>
    </row>
    <row r="2362" spans="1:3">
      <c r="A2362" s="1">
        <v>17</v>
      </c>
      <c r="B2362" s="2">
        <f>Walmart_Sales_raw_data!C2362</f>
        <v>920719.98</v>
      </c>
      <c r="C2362" t="str">
        <f>IF(B2362&gt;=Walmart_Sales_raw_data!$C$6437,"High","low")</f>
        <v>low</v>
      </c>
    </row>
    <row r="2363" spans="1:3">
      <c r="A2363" s="3">
        <v>17</v>
      </c>
      <c r="B2363" s="2">
        <f>Walmart_Sales_raw_data!C2363</f>
        <v>940554.34</v>
      </c>
      <c r="C2363" t="str">
        <f>IF(B2363&gt;=Walmart_Sales_raw_data!$C$6437,"High","low")</f>
        <v>low</v>
      </c>
    </row>
    <row r="2364" spans="1:3">
      <c r="A2364" s="1">
        <v>17</v>
      </c>
      <c r="B2364" s="2">
        <f>Walmart_Sales_raw_data!C2364</f>
        <v>915064.22</v>
      </c>
      <c r="C2364" t="str">
        <f>IF(B2364&gt;=Walmart_Sales_raw_data!$C$6437,"High","low")</f>
        <v>low</v>
      </c>
    </row>
    <row r="2365" spans="1:3">
      <c r="A2365" s="3">
        <v>17</v>
      </c>
      <c r="B2365" s="2">
        <f>Walmart_Sales_raw_data!C2365</f>
        <v>902727.76</v>
      </c>
      <c r="C2365" t="str">
        <f>IF(B2365&gt;=Walmart_Sales_raw_data!$C$6437,"High","low")</f>
        <v>low</v>
      </c>
    </row>
    <row r="2366" spans="1:3">
      <c r="A2366" s="1">
        <v>17</v>
      </c>
      <c r="B2366" s="2">
        <f>Walmart_Sales_raw_data!C2366</f>
        <v>899044.34</v>
      </c>
      <c r="C2366" t="str">
        <f>IF(B2366&gt;=Walmart_Sales_raw_data!$C$6437,"High","low")</f>
        <v>low</v>
      </c>
    </row>
    <row r="2367" spans="1:3">
      <c r="A2367" s="3">
        <v>17</v>
      </c>
      <c r="B2367" s="2">
        <f>Walmart_Sales_raw_data!C2367</f>
        <v>861894.77</v>
      </c>
      <c r="C2367" t="str">
        <f>IF(B2367&gt;=Walmart_Sales_raw_data!$C$6437,"High","low")</f>
        <v>low</v>
      </c>
    </row>
    <row r="2368" spans="1:3">
      <c r="A2368" s="1">
        <v>17</v>
      </c>
      <c r="B2368" s="2">
        <f>Walmart_Sales_raw_data!C2368</f>
        <v>866184.92</v>
      </c>
      <c r="C2368" t="str">
        <f>IF(B2368&gt;=Walmart_Sales_raw_data!$C$6437,"High","low")</f>
        <v>low</v>
      </c>
    </row>
    <row r="2369" spans="1:3">
      <c r="A2369" s="3">
        <v>17</v>
      </c>
      <c r="B2369" s="2">
        <f>Walmart_Sales_raw_data!C2369</f>
        <v>800819.79</v>
      </c>
      <c r="C2369" t="str">
        <f>IF(B2369&gt;=Walmart_Sales_raw_data!$C$6437,"High","low")</f>
        <v>low</v>
      </c>
    </row>
    <row r="2370" spans="1:3">
      <c r="A2370" s="1">
        <v>17</v>
      </c>
      <c r="B2370" s="2">
        <f>Walmart_Sales_raw_data!C2370</f>
        <v>797523.04</v>
      </c>
      <c r="C2370" t="str">
        <f>IF(B2370&gt;=Walmart_Sales_raw_data!$C$6437,"High","low")</f>
        <v>low</v>
      </c>
    </row>
    <row r="2371" spans="1:3">
      <c r="A2371" s="3">
        <v>17</v>
      </c>
      <c r="B2371" s="2">
        <f>Walmart_Sales_raw_data!C2371</f>
        <v>837390.79</v>
      </c>
      <c r="C2371" t="str">
        <f>IF(B2371&gt;=Walmart_Sales_raw_data!$C$6437,"High","low")</f>
        <v>low</v>
      </c>
    </row>
    <row r="2372" spans="1:3">
      <c r="A2372" s="1">
        <v>17</v>
      </c>
      <c r="B2372" s="2">
        <f>Walmart_Sales_raw_data!C2372</f>
        <v>847380.07</v>
      </c>
      <c r="C2372" t="str">
        <f>IF(B2372&gt;=Walmart_Sales_raw_data!$C$6437,"High","low")</f>
        <v>low</v>
      </c>
    </row>
    <row r="2373" spans="1:3">
      <c r="A2373" s="3">
        <v>17</v>
      </c>
      <c r="B2373" s="2">
        <f>Walmart_Sales_raw_data!C2373</f>
        <v>1161900.18</v>
      </c>
      <c r="C2373" t="str">
        <f>IF(B2373&gt;=Walmart_Sales_raw_data!$C$6437,"High","low")</f>
        <v>High</v>
      </c>
    </row>
    <row r="2374" spans="1:3">
      <c r="A2374" s="1">
        <v>17</v>
      </c>
      <c r="B2374" s="2">
        <f>Walmart_Sales_raw_data!C2374</f>
        <v>1051116.95</v>
      </c>
      <c r="C2374" t="str">
        <f>IF(B2374&gt;=Walmart_Sales_raw_data!$C$6437,"High","low")</f>
        <v>High</v>
      </c>
    </row>
    <row r="2375" spans="1:3">
      <c r="A2375" s="3">
        <v>17</v>
      </c>
      <c r="B2375" s="2">
        <f>Walmart_Sales_raw_data!C2375</f>
        <v>895535.31</v>
      </c>
      <c r="C2375" t="str">
        <f>IF(B2375&gt;=Walmart_Sales_raw_data!$C$6437,"High","low")</f>
        <v>low</v>
      </c>
    </row>
    <row r="2376" spans="1:3">
      <c r="A2376" s="1">
        <v>17</v>
      </c>
      <c r="B2376" s="2">
        <f>Walmart_Sales_raw_data!C2376</f>
        <v>868191.05</v>
      </c>
      <c r="C2376" t="str">
        <f>IF(B2376&gt;=Walmart_Sales_raw_data!$C$6437,"High","low")</f>
        <v>low</v>
      </c>
    </row>
    <row r="2377" spans="1:3">
      <c r="A2377" s="3">
        <v>17</v>
      </c>
      <c r="B2377" s="2">
        <f>Walmart_Sales_raw_data!C2377</f>
        <v>918006.9</v>
      </c>
      <c r="C2377" t="str">
        <f>IF(B2377&gt;=Walmart_Sales_raw_data!$C$6437,"High","low")</f>
        <v>low</v>
      </c>
    </row>
    <row r="2378" spans="1:3">
      <c r="A2378" s="1">
        <v>17</v>
      </c>
      <c r="B2378" s="2">
        <f>Walmart_Sales_raw_data!C2378</f>
        <v>884042.63</v>
      </c>
      <c r="C2378" t="str">
        <f>IF(B2378&gt;=Walmart_Sales_raw_data!$C$6437,"High","low")</f>
        <v>low</v>
      </c>
    </row>
    <row r="2379" spans="1:3">
      <c r="A2379" s="3">
        <v>17</v>
      </c>
      <c r="B2379" s="2">
        <f>Walmart_Sales_raw_data!C2379</f>
        <v>877380.22</v>
      </c>
      <c r="C2379" t="str">
        <f>IF(B2379&gt;=Walmart_Sales_raw_data!$C$6437,"High","low")</f>
        <v>low</v>
      </c>
    </row>
    <row r="2380" spans="1:3">
      <c r="A2380" s="1">
        <v>17</v>
      </c>
      <c r="B2380" s="2">
        <f>Walmart_Sales_raw_data!C2380</f>
        <v>936508.43</v>
      </c>
      <c r="C2380" t="str">
        <f>IF(B2380&gt;=Walmart_Sales_raw_data!$C$6437,"High","low")</f>
        <v>low</v>
      </c>
    </row>
    <row r="2381" spans="1:3">
      <c r="A2381" s="3">
        <v>17</v>
      </c>
      <c r="B2381" s="2">
        <f>Walmart_Sales_raw_data!C2381</f>
        <v>927657.63</v>
      </c>
      <c r="C2381" t="str">
        <f>IF(B2381&gt;=Walmart_Sales_raw_data!$C$6437,"High","low")</f>
        <v>low</v>
      </c>
    </row>
    <row r="2382" spans="1:3">
      <c r="A2382" s="1">
        <v>17</v>
      </c>
      <c r="B2382" s="2">
        <f>Walmart_Sales_raw_data!C2382</f>
        <v>914759.2</v>
      </c>
      <c r="C2382" t="str">
        <f>IF(B2382&gt;=Walmart_Sales_raw_data!$C$6437,"High","low")</f>
        <v>low</v>
      </c>
    </row>
    <row r="2383" spans="1:3">
      <c r="A2383" s="3">
        <v>17</v>
      </c>
      <c r="B2383" s="2">
        <f>Walmart_Sales_raw_data!C2383</f>
        <v>877724.31</v>
      </c>
      <c r="C2383" t="str">
        <f>IF(B2383&gt;=Walmart_Sales_raw_data!$C$6437,"High","low")</f>
        <v>low</v>
      </c>
    </row>
    <row r="2384" spans="1:3">
      <c r="A2384" s="1">
        <v>17</v>
      </c>
      <c r="B2384" s="2">
        <f>Walmart_Sales_raw_data!C2384</f>
        <v>1225700.28</v>
      </c>
      <c r="C2384" t="str">
        <f>IF(B2384&gt;=Walmart_Sales_raw_data!$C$6437,"High","low")</f>
        <v>High</v>
      </c>
    </row>
    <row r="2385" spans="1:3">
      <c r="A2385" s="3">
        <v>17</v>
      </c>
      <c r="B2385" s="2">
        <f>Walmart_Sales_raw_data!C2385</f>
        <v>945267.68</v>
      </c>
      <c r="C2385" t="str">
        <f>IF(B2385&gt;=Walmart_Sales_raw_data!$C$6437,"High","low")</f>
        <v>low</v>
      </c>
    </row>
    <row r="2386" spans="1:3">
      <c r="A2386" s="1">
        <v>17</v>
      </c>
      <c r="B2386" s="2">
        <f>Walmart_Sales_raw_data!C2386</f>
        <v>976522.93</v>
      </c>
      <c r="C2386" t="str">
        <f>IF(B2386&gt;=Walmart_Sales_raw_data!$C$6437,"High","low")</f>
        <v>low</v>
      </c>
    </row>
    <row r="2387" spans="1:3">
      <c r="A2387" s="3">
        <v>17</v>
      </c>
      <c r="B2387" s="2">
        <f>Walmart_Sales_raw_data!C2387</f>
        <v>1067754.06</v>
      </c>
      <c r="C2387" t="str">
        <f>IF(B2387&gt;=Walmart_Sales_raw_data!$C$6437,"High","low")</f>
        <v>High</v>
      </c>
    </row>
    <row r="2388" spans="1:3">
      <c r="A2388" s="1">
        <v>17</v>
      </c>
      <c r="B2388" s="2">
        <f>Walmart_Sales_raw_data!C2388</f>
        <v>1289156.9</v>
      </c>
      <c r="C2388" t="str">
        <f>IF(B2388&gt;=Walmart_Sales_raw_data!$C$6437,"High","low")</f>
        <v>High</v>
      </c>
    </row>
    <row r="2389" spans="1:3">
      <c r="A2389" s="3">
        <v>17</v>
      </c>
      <c r="B2389" s="2">
        <f>Walmart_Sales_raw_data!C2389</f>
        <v>777207.3</v>
      </c>
      <c r="C2389" t="str">
        <f>IF(B2389&gt;=Walmart_Sales_raw_data!$C$6437,"High","low")</f>
        <v>low</v>
      </c>
    </row>
    <row r="2390" spans="1:3">
      <c r="A2390" s="1">
        <v>17</v>
      </c>
      <c r="B2390" s="2">
        <f>Walmart_Sales_raw_data!C2390</f>
        <v>1198104.22</v>
      </c>
      <c r="C2390" t="str">
        <f>IF(B2390&gt;=Walmart_Sales_raw_data!$C$6437,"High","low")</f>
        <v>High</v>
      </c>
    </row>
    <row r="2391" spans="1:3">
      <c r="A2391" s="3">
        <v>17</v>
      </c>
      <c r="B2391" s="2">
        <f>Walmart_Sales_raw_data!C2391</f>
        <v>873576.96</v>
      </c>
      <c r="C2391" t="str">
        <f>IF(B2391&gt;=Walmart_Sales_raw_data!$C$6437,"High","low")</f>
        <v>low</v>
      </c>
    </row>
    <row r="2392" spans="1:3">
      <c r="A2392" s="1">
        <v>17</v>
      </c>
      <c r="B2392" s="2">
        <f>Walmart_Sales_raw_data!C2392</f>
        <v>809272.65</v>
      </c>
      <c r="C2392" t="str">
        <f>IF(B2392&gt;=Walmart_Sales_raw_data!$C$6437,"High","low")</f>
        <v>low</v>
      </c>
    </row>
    <row r="2393" spans="1:3">
      <c r="A2393" s="3">
        <v>17</v>
      </c>
      <c r="B2393" s="2">
        <f>Walmart_Sales_raw_data!C2393</f>
        <v>769522.33</v>
      </c>
      <c r="C2393" t="str">
        <f>IF(B2393&gt;=Walmart_Sales_raw_data!$C$6437,"High","low")</f>
        <v>low</v>
      </c>
    </row>
    <row r="2394" spans="1:3">
      <c r="A2394" s="1">
        <v>17</v>
      </c>
      <c r="B2394" s="2">
        <f>Walmart_Sales_raw_data!C2394</f>
        <v>864852.85</v>
      </c>
      <c r="C2394" t="str">
        <f>IF(B2394&gt;=Walmart_Sales_raw_data!$C$6437,"High","low")</f>
        <v>low</v>
      </c>
    </row>
    <row r="2395" spans="1:3">
      <c r="A2395" s="3">
        <v>17</v>
      </c>
      <c r="B2395" s="2">
        <f>Walmart_Sales_raw_data!C2395</f>
        <v>880165.7</v>
      </c>
      <c r="C2395" t="str">
        <f>IF(B2395&gt;=Walmart_Sales_raw_data!$C$6437,"High","low")</f>
        <v>low</v>
      </c>
    </row>
    <row r="2396" spans="1:3">
      <c r="A2396" s="1">
        <v>17</v>
      </c>
      <c r="B2396" s="2">
        <f>Walmart_Sales_raw_data!C2396</f>
        <v>927084.65</v>
      </c>
      <c r="C2396" t="str">
        <f>IF(B2396&gt;=Walmart_Sales_raw_data!$C$6437,"High","low")</f>
        <v>low</v>
      </c>
    </row>
    <row r="2397" spans="1:3">
      <c r="A2397" s="3">
        <v>17</v>
      </c>
      <c r="B2397" s="2">
        <f>Walmart_Sales_raw_data!C2397</f>
        <v>843864.43</v>
      </c>
      <c r="C2397" t="str">
        <f>IF(B2397&gt;=Walmart_Sales_raw_data!$C$6437,"High","low")</f>
        <v>low</v>
      </c>
    </row>
    <row r="2398" spans="1:3">
      <c r="A2398" s="1">
        <v>17</v>
      </c>
      <c r="B2398" s="2">
        <f>Walmart_Sales_raw_data!C2398</f>
        <v>856178.47</v>
      </c>
      <c r="C2398" t="str">
        <f>IF(B2398&gt;=Walmart_Sales_raw_data!$C$6437,"High","low")</f>
        <v>low</v>
      </c>
    </row>
    <row r="2399" spans="1:3">
      <c r="A2399" s="3">
        <v>17</v>
      </c>
      <c r="B2399" s="2">
        <f>Walmart_Sales_raw_data!C2399</f>
        <v>860224.98</v>
      </c>
      <c r="C2399" t="str">
        <f>IF(B2399&gt;=Walmart_Sales_raw_data!$C$6437,"High","low")</f>
        <v>low</v>
      </c>
    </row>
    <row r="2400" spans="1:3">
      <c r="A2400" s="1">
        <v>17</v>
      </c>
      <c r="B2400" s="2">
        <f>Walmart_Sales_raw_data!C2400</f>
        <v>853136.46</v>
      </c>
      <c r="C2400" t="str">
        <f>IF(B2400&gt;=Walmart_Sales_raw_data!$C$6437,"High","low")</f>
        <v>low</v>
      </c>
    </row>
    <row r="2401" spans="1:3">
      <c r="A2401" s="3">
        <v>17</v>
      </c>
      <c r="B2401" s="2">
        <f>Walmart_Sales_raw_data!C2401</f>
        <v>851762.28</v>
      </c>
      <c r="C2401" t="str">
        <f>IF(B2401&gt;=Walmart_Sales_raw_data!$C$6437,"High","low")</f>
        <v>low</v>
      </c>
    </row>
    <row r="2402" spans="1:3">
      <c r="A2402" s="1">
        <v>17</v>
      </c>
      <c r="B2402" s="2">
        <f>Walmart_Sales_raw_data!C2402</f>
        <v>872469.03</v>
      </c>
      <c r="C2402" t="str">
        <f>IF(B2402&gt;=Walmart_Sales_raw_data!$C$6437,"High","low")</f>
        <v>low</v>
      </c>
    </row>
    <row r="2403" spans="1:3">
      <c r="A2403" s="3">
        <v>17</v>
      </c>
      <c r="B2403" s="2">
        <f>Walmart_Sales_raw_data!C2403</f>
        <v>986922.62</v>
      </c>
      <c r="C2403" t="str">
        <f>IF(B2403&gt;=Walmart_Sales_raw_data!$C$6437,"High","low")</f>
        <v>low</v>
      </c>
    </row>
    <row r="2404" spans="1:3">
      <c r="A2404" s="1">
        <v>17</v>
      </c>
      <c r="B2404" s="2">
        <f>Walmart_Sales_raw_data!C2404</f>
        <v>877055.32</v>
      </c>
      <c r="C2404" t="str">
        <f>IF(B2404&gt;=Walmart_Sales_raw_data!$C$6437,"High","low")</f>
        <v>low</v>
      </c>
    </row>
    <row r="2405" spans="1:3">
      <c r="A2405" s="3">
        <v>17</v>
      </c>
      <c r="B2405" s="2">
        <f>Walmart_Sales_raw_data!C2405</f>
        <v>1119979.98</v>
      </c>
      <c r="C2405" t="str">
        <f>IF(B2405&gt;=Walmart_Sales_raw_data!$C$6437,"High","low")</f>
        <v>High</v>
      </c>
    </row>
    <row r="2406" spans="1:3">
      <c r="A2406" s="1">
        <v>17</v>
      </c>
      <c r="B2406" s="2">
        <f>Walmart_Sales_raw_data!C2406</f>
        <v>925916.65</v>
      </c>
      <c r="C2406" t="str">
        <f>IF(B2406&gt;=Walmart_Sales_raw_data!$C$6437,"High","low")</f>
        <v>low</v>
      </c>
    </row>
    <row r="2407" spans="1:3">
      <c r="A2407" s="3">
        <v>17</v>
      </c>
      <c r="B2407" s="2">
        <f>Walmart_Sales_raw_data!C2407</f>
        <v>930121.14</v>
      </c>
      <c r="C2407" t="str">
        <f>IF(B2407&gt;=Walmart_Sales_raw_data!$C$6437,"High","low")</f>
        <v>low</v>
      </c>
    </row>
    <row r="2408" spans="1:3">
      <c r="A2408" s="1">
        <v>17</v>
      </c>
      <c r="B2408" s="2">
        <f>Walmart_Sales_raw_data!C2408</f>
        <v>944100.3</v>
      </c>
      <c r="C2408" t="str">
        <f>IF(B2408&gt;=Walmart_Sales_raw_data!$C$6437,"High","low")</f>
        <v>low</v>
      </c>
    </row>
    <row r="2409" spans="1:3">
      <c r="A2409" s="3">
        <v>17</v>
      </c>
      <c r="B2409" s="2">
        <f>Walmart_Sales_raw_data!C2409</f>
        <v>968816.33</v>
      </c>
      <c r="C2409" t="str">
        <f>IF(B2409&gt;=Walmart_Sales_raw_data!$C$6437,"High","low")</f>
        <v>low</v>
      </c>
    </row>
    <row r="2410" spans="1:3">
      <c r="A2410" s="1">
        <v>17</v>
      </c>
      <c r="B2410" s="2">
        <f>Walmart_Sales_raw_data!C2410</f>
        <v>984881.59</v>
      </c>
      <c r="C2410" t="str">
        <f>IF(B2410&gt;=Walmart_Sales_raw_data!$C$6437,"High","low")</f>
        <v>low</v>
      </c>
    </row>
    <row r="2411" spans="1:3">
      <c r="A2411" s="3">
        <v>17</v>
      </c>
      <c r="B2411" s="2">
        <f>Walmart_Sales_raw_data!C2411</f>
        <v>938914.28</v>
      </c>
      <c r="C2411" t="str">
        <f>IF(B2411&gt;=Walmart_Sales_raw_data!$C$6437,"High","low")</f>
        <v>low</v>
      </c>
    </row>
    <row r="2412" spans="1:3">
      <c r="A2412" s="1">
        <v>17</v>
      </c>
      <c r="B2412" s="2">
        <f>Walmart_Sales_raw_data!C2412</f>
        <v>987990.24</v>
      </c>
      <c r="C2412" t="str">
        <f>IF(B2412&gt;=Walmart_Sales_raw_data!$C$6437,"High","low")</f>
        <v>low</v>
      </c>
    </row>
    <row r="2413" spans="1:3">
      <c r="A2413" s="3">
        <v>17</v>
      </c>
      <c r="B2413" s="2">
        <f>Walmart_Sales_raw_data!C2413</f>
        <v>964169.67</v>
      </c>
      <c r="C2413" t="str">
        <f>IF(B2413&gt;=Walmart_Sales_raw_data!$C$6437,"High","low")</f>
        <v>low</v>
      </c>
    </row>
    <row r="2414" spans="1:3">
      <c r="A2414" s="1">
        <v>17</v>
      </c>
      <c r="B2414" s="2">
        <f>Walmart_Sales_raw_data!C2414</f>
        <v>981210.57</v>
      </c>
      <c r="C2414" t="str">
        <f>IF(B2414&gt;=Walmart_Sales_raw_data!$C$6437,"High","low")</f>
        <v>low</v>
      </c>
    </row>
    <row r="2415" spans="1:3">
      <c r="A2415" s="3">
        <v>17</v>
      </c>
      <c r="B2415" s="2">
        <f>Walmart_Sales_raw_data!C2415</f>
        <v>982322.24</v>
      </c>
      <c r="C2415" t="str">
        <f>IF(B2415&gt;=Walmart_Sales_raw_data!$C$6437,"High","low")</f>
        <v>low</v>
      </c>
    </row>
    <row r="2416" spans="1:3">
      <c r="A2416" s="1">
        <v>17</v>
      </c>
      <c r="B2416" s="2">
        <f>Walmart_Sales_raw_data!C2416</f>
        <v>1046782.52</v>
      </c>
      <c r="C2416" t="str">
        <f>IF(B2416&gt;=Walmart_Sales_raw_data!$C$6437,"High","low")</f>
        <v>low</v>
      </c>
    </row>
    <row r="2417" spans="1:3">
      <c r="A2417" s="3">
        <v>17</v>
      </c>
      <c r="B2417" s="2">
        <f>Walmart_Sales_raw_data!C2417</f>
        <v>960746.04</v>
      </c>
      <c r="C2417" t="str">
        <f>IF(B2417&gt;=Walmart_Sales_raw_data!$C$6437,"High","low")</f>
        <v>low</v>
      </c>
    </row>
    <row r="2418" spans="1:3">
      <c r="A2418" s="1">
        <v>17</v>
      </c>
      <c r="B2418" s="2">
        <f>Walmart_Sales_raw_data!C2418</f>
        <v>944698.7</v>
      </c>
      <c r="C2418" t="str">
        <f>IF(B2418&gt;=Walmart_Sales_raw_data!$C$6437,"High","low")</f>
        <v>low</v>
      </c>
    </row>
    <row r="2419" spans="1:3">
      <c r="A2419" s="3">
        <v>17</v>
      </c>
      <c r="B2419" s="2">
        <f>Walmart_Sales_raw_data!C2419</f>
        <v>907493.24</v>
      </c>
      <c r="C2419" t="str">
        <f>IF(B2419&gt;=Walmart_Sales_raw_data!$C$6437,"High","low")</f>
        <v>low</v>
      </c>
    </row>
    <row r="2420" spans="1:3">
      <c r="A2420" s="1">
        <v>17</v>
      </c>
      <c r="B2420" s="2">
        <f>Walmart_Sales_raw_data!C2420</f>
        <v>877813.33</v>
      </c>
      <c r="C2420" t="str">
        <f>IF(B2420&gt;=Walmart_Sales_raw_data!$C$6437,"High","low")</f>
        <v>low</v>
      </c>
    </row>
    <row r="2421" spans="1:3">
      <c r="A2421" s="3">
        <v>17</v>
      </c>
      <c r="B2421" s="2">
        <f>Walmart_Sales_raw_data!C2421</f>
        <v>849074.04</v>
      </c>
      <c r="C2421" t="str">
        <f>IF(B2421&gt;=Walmart_Sales_raw_data!$C$6437,"High","low")</f>
        <v>low</v>
      </c>
    </row>
    <row r="2422" spans="1:3">
      <c r="A2422" s="1">
        <v>17</v>
      </c>
      <c r="B2422" s="2">
        <f>Walmart_Sales_raw_data!C2422</f>
        <v>844928.17</v>
      </c>
      <c r="C2422" t="str">
        <f>IF(B2422&gt;=Walmart_Sales_raw_data!$C$6437,"High","low")</f>
        <v>low</v>
      </c>
    </row>
    <row r="2423" spans="1:3">
      <c r="A2423" s="3">
        <v>17</v>
      </c>
      <c r="B2423" s="2">
        <f>Walmart_Sales_raw_data!C2423</f>
        <v>924299.78</v>
      </c>
      <c r="C2423" t="str">
        <f>IF(B2423&gt;=Walmart_Sales_raw_data!$C$6437,"High","low")</f>
        <v>low</v>
      </c>
    </row>
    <row r="2424" spans="1:3">
      <c r="A2424" s="1">
        <v>17</v>
      </c>
      <c r="B2424" s="2">
        <f>Walmart_Sales_raw_data!C2424</f>
        <v>865924.2</v>
      </c>
      <c r="C2424" t="str">
        <f>IF(B2424&gt;=Walmart_Sales_raw_data!$C$6437,"High","low")</f>
        <v>low</v>
      </c>
    </row>
    <row r="2425" spans="1:3">
      <c r="A2425" s="3">
        <v>17</v>
      </c>
      <c r="B2425" s="2">
        <f>Walmart_Sales_raw_data!C2425</f>
        <v>1255633.29</v>
      </c>
      <c r="C2425" t="str">
        <f>IF(B2425&gt;=Walmart_Sales_raw_data!$C$6437,"High","low")</f>
        <v>High</v>
      </c>
    </row>
    <row r="2426" spans="1:3">
      <c r="A2426" s="1">
        <v>17</v>
      </c>
      <c r="B2426" s="2">
        <f>Walmart_Sales_raw_data!C2426</f>
        <v>1071040.22</v>
      </c>
      <c r="C2426" t="str">
        <f>IF(B2426&gt;=Walmart_Sales_raw_data!$C$6437,"High","low")</f>
        <v>High</v>
      </c>
    </row>
    <row r="2427" spans="1:3">
      <c r="A2427" s="3">
        <v>17</v>
      </c>
      <c r="B2427" s="2">
        <f>Walmart_Sales_raw_data!C2427</f>
        <v>938303.28</v>
      </c>
      <c r="C2427" t="str">
        <f>IF(B2427&gt;=Walmart_Sales_raw_data!$C$6437,"High","low")</f>
        <v>low</v>
      </c>
    </row>
    <row r="2428" spans="1:3">
      <c r="A2428" s="1">
        <v>17</v>
      </c>
      <c r="B2428" s="2">
        <f>Walmart_Sales_raw_data!C2428</f>
        <v>972716.24</v>
      </c>
      <c r="C2428" t="str">
        <f>IF(B2428&gt;=Walmart_Sales_raw_data!$C$6437,"High","low")</f>
        <v>low</v>
      </c>
    </row>
    <row r="2429" spans="1:3">
      <c r="A2429" s="3">
        <v>17</v>
      </c>
      <c r="B2429" s="2">
        <f>Walmart_Sales_raw_data!C2429</f>
        <v>952609.17</v>
      </c>
      <c r="C2429" t="str">
        <f>IF(B2429&gt;=Walmart_Sales_raw_data!$C$6437,"High","low")</f>
        <v>low</v>
      </c>
    </row>
    <row r="2430" spans="1:3">
      <c r="A2430" s="1">
        <v>17</v>
      </c>
      <c r="B2430" s="2">
        <f>Walmart_Sales_raw_data!C2430</f>
        <v>919878.34</v>
      </c>
      <c r="C2430" t="str">
        <f>IF(B2430&gt;=Walmart_Sales_raw_data!$C$6437,"High","low")</f>
        <v>low</v>
      </c>
    </row>
    <row r="2431" spans="1:3">
      <c r="A2431" s="3">
        <v>17</v>
      </c>
      <c r="B2431" s="2">
        <f>Walmart_Sales_raw_data!C2431</f>
        <v>957356.84</v>
      </c>
      <c r="C2431" t="str">
        <f>IF(B2431&gt;=Walmart_Sales_raw_data!$C$6437,"High","low")</f>
        <v>low</v>
      </c>
    </row>
    <row r="2432" spans="1:3">
      <c r="A2432" s="1">
        <v>17</v>
      </c>
      <c r="B2432" s="2">
        <f>Walmart_Sales_raw_data!C2432</f>
        <v>943465.29</v>
      </c>
      <c r="C2432" t="str">
        <f>IF(B2432&gt;=Walmart_Sales_raw_data!$C$6437,"High","low")</f>
        <v>low</v>
      </c>
    </row>
    <row r="2433" spans="1:3">
      <c r="A2433" s="3">
        <v>18</v>
      </c>
      <c r="B2433" s="2">
        <f>Walmart_Sales_raw_data!C2433</f>
        <v>1205307.5</v>
      </c>
      <c r="C2433" t="str">
        <f>IF(B2433&gt;=Walmart_Sales_raw_data!$C$6437,"High","low")</f>
        <v>High</v>
      </c>
    </row>
    <row r="2434" spans="1:3">
      <c r="A2434" s="1">
        <v>18</v>
      </c>
      <c r="B2434" s="2">
        <f>Walmart_Sales_raw_data!C2434</f>
        <v>1187880.7</v>
      </c>
      <c r="C2434" t="str">
        <f>IF(B2434&gt;=Walmart_Sales_raw_data!$C$6437,"High","low")</f>
        <v>High</v>
      </c>
    </row>
    <row r="2435" spans="1:3">
      <c r="A2435" s="3">
        <v>18</v>
      </c>
      <c r="B2435" s="2">
        <f>Walmart_Sales_raw_data!C2435</f>
        <v>1150663.42</v>
      </c>
      <c r="C2435" t="str">
        <f>IF(B2435&gt;=Walmart_Sales_raw_data!$C$6437,"High","low")</f>
        <v>High</v>
      </c>
    </row>
    <row r="2436" spans="1:3">
      <c r="A2436" s="1">
        <v>18</v>
      </c>
      <c r="B2436" s="2">
        <f>Walmart_Sales_raw_data!C2436</f>
        <v>1068157.45</v>
      </c>
      <c r="C2436" t="str">
        <f>IF(B2436&gt;=Walmart_Sales_raw_data!$C$6437,"High","low")</f>
        <v>High</v>
      </c>
    </row>
    <row r="2437" spans="1:3">
      <c r="A2437" s="3">
        <v>18</v>
      </c>
      <c r="B2437" s="2">
        <f>Walmart_Sales_raw_data!C2437</f>
        <v>1179738.5</v>
      </c>
      <c r="C2437" t="str">
        <f>IF(B2437&gt;=Walmart_Sales_raw_data!$C$6437,"High","low")</f>
        <v>High</v>
      </c>
    </row>
    <row r="2438" spans="1:3">
      <c r="A2438" s="1">
        <v>18</v>
      </c>
      <c r="B2438" s="2">
        <f>Walmart_Sales_raw_data!C2438</f>
        <v>1138800.32</v>
      </c>
      <c r="C2438" t="str">
        <f>IF(B2438&gt;=Walmart_Sales_raw_data!$C$6437,"High","low")</f>
        <v>High</v>
      </c>
    </row>
    <row r="2439" spans="1:3">
      <c r="A2439" s="3">
        <v>18</v>
      </c>
      <c r="B2439" s="2">
        <f>Walmart_Sales_raw_data!C2439</f>
        <v>1087507.47</v>
      </c>
      <c r="C2439" t="str">
        <f>IF(B2439&gt;=Walmart_Sales_raw_data!$C$6437,"High","low")</f>
        <v>High</v>
      </c>
    </row>
    <row r="2440" spans="1:3">
      <c r="A2440" s="1">
        <v>18</v>
      </c>
      <c r="B2440" s="2">
        <f>Walmart_Sales_raw_data!C2440</f>
        <v>1092704.09</v>
      </c>
      <c r="C2440" t="str">
        <f>IF(B2440&gt;=Walmart_Sales_raw_data!$C$6437,"High","low")</f>
        <v>High</v>
      </c>
    </row>
    <row r="2441" spans="1:3">
      <c r="A2441" s="3">
        <v>18</v>
      </c>
      <c r="B2441" s="2">
        <f>Walmart_Sales_raw_data!C2441</f>
        <v>1254107.84</v>
      </c>
      <c r="C2441" t="str">
        <f>IF(B2441&gt;=Walmart_Sales_raw_data!$C$6437,"High","low")</f>
        <v>High</v>
      </c>
    </row>
    <row r="2442" spans="1:3">
      <c r="A2442" s="1">
        <v>18</v>
      </c>
      <c r="B2442" s="2">
        <f>Walmart_Sales_raw_data!C2442</f>
        <v>1174447.55</v>
      </c>
      <c r="C2442" t="str">
        <f>IF(B2442&gt;=Walmart_Sales_raw_data!$C$6437,"High","low")</f>
        <v>High</v>
      </c>
    </row>
    <row r="2443" spans="1:3">
      <c r="A2443" s="3">
        <v>18</v>
      </c>
      <c r="B2443" s="2">
        <f>Walmart_Sales_raw_data!C2443</f>
        <v>1135577.62</v>
      </c>
      <c r="C2443" t="str">
        <f>IF(B2443&gt;=Walmart_Sales_raw_data!$C$6437,"High","low")</f>
        <v>High</v>
      </c>
    </row>
    <row r="2444" spans="1:3">
      <c r="A2444" s="1">
        <v>18</v>
      </c>
      <c r="B2444" s="2">
        <f>Walmart_Sales_raw_data!C2444</f>
        <v>1132433.55</v>
      </c>
      <c r="C2444" t="str">
        <f>IF(B2444&gt;=Walmart_Sales_raw_data!$C$6437,"High","low")</f>
        <v>High</v>
      </c>
    </row>
    <row r="2445" spans="1:3">
      <c r="A2445" s="3">
        <v>18</v>
      </c>
      <c r="B2445" s="2">
        <f>Walmart_Sales_raw_data!C2445</f>
        <v>1060446.16</v>
      </c>
      <c r="C2445" t="str">
        <f>IF(B2445&gt;=Walmart_Sales_raw_data!$C$6437,"High","low")</f>
        <v>High</v>
      </c>
    </row>
    <row r="2446" spans="1:3">
      <c r="A2446" s="1">
        <v>18</v>
      </c>
      <c r="B2446" s="2">
        <f>Walmart_Sales_raw_data!C2446</f>
        <v>1222255.47</v>
      </c>
      <c r="C2446" t="str">
        <f>IF(B2446&gt;=Walmart_Sales_raw_data!$C$6437,"High","low")</f>
        <v>High</v>
      </c>
    </row>
    <row r="2447" spans="1:3">
      <c r="A2447" s="3">
        <v>18</v>
      </c>
      <c r="B2447" s="2">
        <f>Walmart_Sales_raw_data!C2447</f>
        <v>1092616.49</v>
      </c>
      <c r="C2447" t="str">
        <f>IF(B2447&gt;=Walmart_Sales_raw_data!$C$6437,"High","low")</f>
        <v>High</v>
      </c>
    </row>
    <row r="2448" spans="1:3">
      <c r="A2448" s="1">
        <v>18</v>
      </c>
      <c r="B2448" s="2">
        <f>Walmart_Sales_raw_data!C2448</f>
        <v>1101621.36</v>
      </c>
      <c r="C2448" t="str">
        <f>IF(B2448&gt;=Walmart_Sales_raw_data!$C$6437,"High","low")</f>
        <v>High</v>
      </c>
    </row>
    <row r="2449" spans="1:3">
      <c r="A2449" s="3">
        <v>18</v>
      </c>
      <c r="B2449" s="2">
        <f>Walmart_Sales_raw_data!C2449</f>
        <v>1256282.79</v>
      </c>
      <c r="C2449" t="str">
        <f>IF(B2449&gt;=Walmart_Sales_raw_data!$C$6437,"High","low")</f>
        <v>High</v>
      </c>
    </row>
    <row r="2450" spans="1:3">
      <c r="A2450" s="1">
        <v>18</v>
      </c>
      <c r="B2450" s="2">
        <f>Walmart_Sales_raw_data!C2450</f>
        <v>1271311.76</v>
      </c>
      <c r="C2450" t="str">
        <f>IF(B2450&gt;=Walmart_Sales_raw_data!$C$6437,"High","low")</f>
        <v>High</v>
      </c>
    </row>
    <row r="2451" spans="1:3">
      <c r="A2451" s="3">
        <v>18</v>
      </c>
      <c r="B2451" s="2">
        <f>Walmart_Sales_raw_data!C2451</f>
        <v>1173521.82</v>
      </c>
      <c r="C2451" t="str">
        <f>IF(B2451&gt;=Walmart_Sales_raw_data!$C$6437,"High","low")</f>
        <v>High</v>
      </c>
    </row>
    <row r="2452" spans="1:3">
      <c r="A2452" s="1">
        <v>18</v>
      </c>
      <c r="B2452" s="2">
        <f>Walmart_Sales_raw_data!C2452</f>
        <v>1183225.92</v>
      </c>
      <c r="C2452" t="str">
        <f>IF(B2452&gt;=Walmart_Sales_raw_data!$C$6437,"High","low")</f>
        <v>High</v>
      </c>
    </row>
    <row r="2453" spans="1:3">
      <c r="A2453" s="3">
        <v>18</v>
      </c>
      <c r="B2453" s="2">
        <f>Walmart_Sales_raw_data!C2453</f>
        <v>1220983.17</v>
      </c>
      <c r="C2453" t="str">
        <f>IF(B2453&gt;=Walmart_Sales_raw_data!$C$6437,"High","low")</f>
        <v>High</v>
      </c>
    </row>
    <row r="2454" spans="1:3">
      <c r="A2454" s="1">
        <v>18</v>
      </c>
      <c r="B2454" s="2">
        <f>Walmart_Sales_raw_data!C2454</f>
        <v>1257928.35</v>
      </c>
      <c r="C2454" t="str">
        <f>IF(B2454&gt;=Walmart_Sales_raw_data!$C$6437,"High","low")</f>
        <v>High</v>
      </c>
    </row>
    <row r="2455" spans="1:3">
      <c r="A2455" s="3">
        <v>18</v>
      </c>
      <c r="B2455" s="2">
        <f>Walmart_Sales_raw_data!C2455</f>
        <v>1171391.41</v>
      </c>
      <c r="C2455" t="str">
        <f>IF(B2455&gt;=Walmart_Sales_raw_data!$C$6437,"High","low")</f>
        <v>High</v>
      </c>
    </row>
    <row r="2456" spans="1:3">
      <c r="A2456" s="1">
        <v>18</v>
      </c>
      <c r="B2456" s="2">
        <f>Walmart_Sales_raw_data!C2456</f>
        <v>1115514.61</v>
      </c>
      <c r="C2456" t="str">
        <f>IF(B2456&gt;=Walmart_Sales_raw_data!$C$6437,"High","low")</f>
        <v>High</v>
      </c>
    </row>
    <row r="2457" spans="1:3">
      <c r="A2457" s="3">
        <v>18</v>
      </c>
      <c r="B2457" s="2">
        <f>Walmart_Sales_raw_data!C2457</f>
        <v>1032908.23</v>
      </c>
      <c r="C2457" t="str">
        <f>IF(B2457&gt;=Walmart_Sales_raw_data!$C$6437,"High","low")</f>
        <v>low</v>
      </c>
    </row>
    <row r="2458" spans="1:3">
      <c r="A2458" s="1">
        <v>18</v>
      </c>
      <c r="B2458" s="2">
        <f>Walmart_Sales_raw_data!C2458</f>
        <v>1078557.62</v>
      </c>
      <c r="C2458" t="str">
        <f>IF(B2458&gt;=Walmart_Sales_raw_data!$C$6437,"High","low")</f>
        <v>High</v>
      </c>
    </row>
    <row r="2459" spans="1:3">
      <c r="A2459" s="3">
        <v>18</v>
      </c>
      <c r="B2459" s="2">
        <f>Walmart_Sales_raw_data!C2459</f>
        <v>1166117.85</v>
      </c>
      <c r="C2459" t="str">
        <f>IF(B2459&gt;=Walmart_Sales_raw_data!$C$6437,"High","low")</f>
        <v>High</v>
      </c>
    </row>
    <row r="2460" spans="1:3">
      <c r="A2460" s="1">
        <v>18</v>
      </c>
      <c r="B2460" s="2">
        <f>Walmart_Sales_raw_data!C2460</f>
        <v>1084722.78</v>
      </c>
      <c r="C2460" t="str">
        <f>IF(B2460&gt;=Walmart_Sales_raw_data!$C$6437,"High","low")</f>
        <v>High</v>
      </c>
    </row>
    <row r="2461" spans="1:3">
      <c r="A2461" s="3">
        <v>18</v>
      </c>
      <c r="B2461" s="2">
        <f>Walmart_Sales_raw_data!C2461</f>
        <v>1141860.67</v>
      </c>
      <c r="C2461" t="str">
        <f>IF(B2461&gt;=Walmart_Sales_raw_data!$C$6437,"High","low")</f>
        <v>High</v>
      </c>
    </row>
    <row r="2462" spans="1:3">
      <c r="A2462" s="1">
        <v>18</v>
      </c>
      <c r="B2462" s="2">
        <f>Walmart_Sales_raw_data!C2462</f>
        <v>1214302.76</v>
      </c>
      <c r="C2462" t="str">
        <f>IF(B2462&gt;=Walmart_Sales_raw_data!$C$6437,"High","low")</f>
        <v>High</v>
      </c>
    </row>
    <row r="2463" spans="1:3">
      <c r="A2463" s="3">
        <v>18</v>
      </c>
      <c r="B2463" s="2">
        <f>Walmart_Sales_raw_data!C2463</f>
        <v>1187359.77</v>
      </c>
      <c r="C2463" t="str">
        <f>IF(B2463&gt;=Walmart_Sales_raw_data!$C$6437,"High","low")</f>
        <v>High</v>
      </c>
    </row>
    <row r="2464" spans="1:3">
      <c r="A2464" s="1">
        <v>18</v>
      </c>
      <c r="B2464" s="2">
        <f>Walmart_Sales_raw_data!C2464</f>
        <v>1011201.12</v>
      </c>
      <c r="C2464" t="str">
        <f>IF(B2464&gt;=Walmart_Sales_raw_data!$C$6437,"High","low")</f>
        <v>low</v>
      </c>
    </row>
    <row r="2465" spans="1:3">
      <c r="A2465" s="3">
        <v>18</v>
      </c>
      <c r="B2465" s="2">
        <f>Walmart_Sales_raw_data!C2465</f>
        <v>997998.21</v>
      </c>
      <c r="C2465" t="str">
        <f>IF(B2465&gt;=Walmart_Sales_raw_data!$C$6437,"High","low")</f>
        <v>low</v>
      </c>
    </row>
    <row r="2466" spans="1:3">
      <c r="A2466" s="1">
        <v>18</v>
      </c>
      <c r="B2466" s="2">
        <f>Walmart_Sales_raw_data!C2466</f>
        <v>950862.92</v>
      </c>
      <c r="C2466" t="str">
        <f>IF(B2466&gt;=Walmart_Sales_raw_data!$C$6437,"High","low")</f>
        <v>low</v>
      </c>
    </row>
    <row r="2467" spans="1:3">
      <c r="A2467" s="3">
        <v>18</v>
      </c>
      <c r="B2467" s="2">
        <f>Walmart_Sales_raw_data!C2467</f>
        <v>948977.5</v>
      </c>
      <c r="C2467" t="str">
        <f>IF(B2467&gt;=Walmart_Sales_raw_data!$C$6437,"High","low")</f>
        <v>low</v>
      </c>
    </row>
    <row r="2468" spans="1:3">
      <c r="A2468" s="1">
        <v>18</v>
      </c>
      <c r="B2468" s="2">
        <f>Walmart_Sales_raw_data!C2468</f>
        <v>1107432.71</v>
      </c>
      <c r="C2468" t="str">
        <f>IF(B2468&gt;=Walmart_Sales_raw_data!$C$6437,"High","low")</f>
        <v>High</v>
      </c>
    </row>
    <row r="2469" spans="1:3">
      <c r="A2469" s="3">
        <v>18</v>
      </c>
      <c r="B2469" s="2">
        <f>Walmart_Sales_raw_data!C2469</f>
        <v>1029618.1</v>
      </c>
      <c r="C2469" t="str">
        <f>IF(B2469&gt;=Walmart_Sales_raw_data!$C$6437,"High","low")</f>
        <v>low</v>
      </c>
    </row>
    <row r="2470" spans="1:3">
      <c r="A2470" s="1">
        <v>18</v>
      </c>
      <c r="B2470" s="2">
        <f>Walmart_Sales_raw_data!C2470</f>
        <v>1052120.43</v>
      </c>
      <c r="C2470" t="str">
        <f>IF(B2470&gt;=Walmart_Sales_raw_data!$C$6437,"High","low")</f>
        <v>High</v>
      </c>
    </row>
    <row r="2471" spans="1:3">
      <c r="A2471" s="3">
        <v>18</v>
      </c>
      <c r="B2471" s="2">
        <f>Walmart_Sales_raw_data!C2471</f>
        <v>1038576.54</v>
      </c>
      <c r="C2471" t="str">
        <f>IF(B2471&gt;=Walmart_Sales_raw_data!$C$6437,"High","low")</f>
        <v>low</v>
      </c>
    </row>
    <row r="2472" spans="1:3">
      <c r="A2472" s="1">
        <v>18</v>
      </c>
      <c r="B2472" s="2">
        <f>Walmart_Sales_raw_data!C2472</f>
        <v>1089530.94</v>
      </c>
      <c r="C2472" t="str">
        <f>IF(B2472&gt;=Walmart_Sales_raw_data!$C$6437,"High","low")</f>
        <v>High</v>
      </c>
    </row>
    <row r="2473" spans="1:3">
      <c r="A2473" s="3">
        <v>18</v>
      </c>
      <c r="B2473" s="2">
        <f>Walmart_Sales_raw_data!C2473</f>
        <v>1081322.12</v>
      </c>
      <c r="C2473" t="str">
        <f>IF(B2473&gt;=Walmart_Sales_raw_data!$C$6437,"High","low")</f>
        <v>High</v>
      </c>
    </row>
    <row r="2474" spans="1:3">
      <c r="A2474" s="1">
        <v>18</v>
      </c>
      <c r="B2474" s="2">
        <f>Walmart_Sales_raw_data!C2474</f>
        <v>1045722.37</v>
      </c>
      <c r="C2474" t="str">
        <f>IF(B2474&gt;=Walmart_Sales_raw_data!$C$6437,"High","low")</f>
        <v>low</v>
      </c>
    </row>
    <row r="2475" spans="1:3">
      <c r="A2475" s="3">
        <v>18</v>
      </c>
      <c r="B2475" s="2">
        <f>Walmart_Sales_raw_data!C2475</f>
        <v>1653759.36</v>
      </c>
      <c r="C2475" t="str">
        <f>IF(B2475&gt;=Walmart_Sales_raw_data!$C$6437,"High","low")</f>
        <v>High</v>
      </c>
    </row>
    <row r="2476" spans="1:3">
      <c r="A2476" s="1">
        <v>18</v>
      </c>
      <c r="B2476" s="2">
        <f>Walmart_Sales_raw_data!C2476</f>
        <v>1211026.13</v>
      </c>
      <c r="C2476" t="str">
        <f>IF(B2476&gt;=Walmart_Sales_raw_data!$C$6437,"High","low")</f>
        <v>High</v>
      </c>
    </row>
    <row r="2477" spans="1:3">
      <c r="A2477" s="3">
        <v>18</v>
      </c>
      <c r="B2477" s="2">
        <f>Walmart_Sales_raw_data!C2477</f>
        <v>1416168.98</v>
      </c>
      <c r="C2477" t="str">
        <f>IF(B2477&gt;=Walmart_Sales_raw_data!$C$6437,"High","low")</f>
        <v>High</v>
      </c>
    </row>
    <row r="2478" spans="1:3">
      <c r="A2478" s="1">
        <v>18</v>
      </c>
      <c r="B2478" s="2">
        <f>Walmart_Sales_raw_data!C2478</f>
        <v>1588430.71</v>
      </c>
      <c r="C2478" t="str">
        <f>IF(B2478&gt;=Walmart_Sales_raw_data!$C$6437,"High","low")</f>
        <v>High</v>
      </c>
    </row>
    <row r="2479" spans="1:3">
      <c r="A2479" s="3">
        <v>18</v>
      </c>
      <c r="B2479" s="2">
        <f>Walmart_Sales_raw_data!C2479</f>
        <v>2027507.15</v>
      </c>
      <c r="C2479" t="str">
        <f>IF(B2479&gt;=Walmart_Sales_raw_data!$C$6437,"High","low")</f>
        <v>High</v>
      </c>
    </row>
    <row r="2480" spans="1:3">
      <c r="A2480" s="1">
        <v>18</v>
      </c>
      <c r="B2480" s="2">
        <f>Walmart_Sales_raw_data!C2480</f>
        <v>887907.01</v>
      </c>
      <c r="C2480" t="str">
        <f>IF(B2480&gt;=Walmart_Sales_raw_data!$C$6437,"High","low")</f>
        <v>low</v>
      </c>
    </row>
    <row r="2481" spans="1:3">
      <c r="A2481" s="3">
        <v>18</v>
      </c>
      <c r="B2481" s="2">
        <f>Walmart_Sales_raw_data!C2481</f>
        <v>933960.3</v>
      </c>
      <c r="C2481" t="str">
        <f>IF(B2481&gt;=Walmart_Sales_raw_data!$C$6437,"High","low")</f>
        <v>low</v>
      </c>
    </row>
    <row r="2482" spans="1:3">
      <c r="A2482" s="1">
        <v>18</v>
      </c>
      <c r="B2482" s="2">
        <f>Walmart_Sales_raw_data!C2482</f>
        <v>777175.28</v>
      </c>
      <c r="C2482" t="str">
        <f>IF(B2482&gt;=Walmart_Sales_raw_data!$C$6437,"High","low")</f>
        <v>low</v>
      </c>
    </row>
    <row r="2483" spans="1:3">
      <c r="A2483" s="3">
        <v>18</v>
      </c>
      <c r="B2483" s="2">
        <f>Walmart_Sales_raw_data!C2483</f>
        <v>891148.55</v>
      </c>
      <c r="C2483" t="str">
        <f>IF(B2483&gt;=Walmart_Sales_raw_data!$C$6437,"High","low")</f>
        <v>low</v>
      </c>
    </row>
    <row r="2484" spans="1:3">
      <c r="A2484" s="1">
        <v>18</v>
      </c>
      <c r="B2484" s="2">
        <f>Walmart_Sales_raw_data!C2484</f>
        <v>849540.85</v>
      </c>
      <c r="C2484" t="str">
        <f>IF(B2484&gt;=Walmart_Sales_raw_data!$C$6437,"High","low")</f>
        <v>low</v>
      </c>
    </row>
    <row r="2485" spans="1:3">
      <c r="A2485" s="3">
        <v>18</v>
      </c>
      <c r="B2485" s="2">
        <f>Walmart_Sales_raw_data!C2485</f>
        <v>1055841.24</v>
      </c>
      <c r="C2485" t="str">
        <f>IF(B2485&gt;=Walmart_Sales_raw_data!$C$6437,"High","low")</f>
        <v>High</v>
      </c>
    </row>
    <row r="2486" spans="1:3">
      <c r="A2486" s="1">
        <v>18</v>
      </c>
      <c r="B2486" s="2">
        <f>Walmart_Sales_raw_data!C2486</f>
        <v>1122053.58</v>
      </c>
      <c r="C2486" t="str">
        <f>IF(B2486&gt;=Walmart_Sales_raw_data!$C$6437,"High","low")</f>
        <v>High</v>
      </c>
    </row>
    <row r="2487" spans="1:3">
      <c r="A2487" s="3">
        <v>18</v>
      </c>
      <c r="B2487" s="2">
        <f>Walmart_Sales_raw_data!C2487</f>
        <v>1095058.57</v>
      </c>
      <c r="C2487" t="str">
        <f>IF(B2487&gt;=Walmart_Sales_raw_data!$C$6437,"High","low")</f>
        <v>High</v>
      </c>
    </row>
    <row r="2488" spans="1:3">
      <c r="A2488" s="1">
        <v>18</v>
      </c>
      <c r="B2488" s="2">
        <f>Walmart_Sales_raw_data!C2488</f>
        <v>1005983.31</v>
      </c>
      <c r="C2488" t="str">
        <f>IF(B2488&gt;=Walmart_Sales_raw_data!$C$6437,"High","low")</f>
        <v>low</v>
      </c>
    </row>
    <row r="2489" spans="1:3">
      <c r="A2489" s="3">
        <v>18</v>
      </c>
      <c r="B2489" s="2">
        <f>Walmart_Sales_raw_data!C2489</f>
        <v>1063310.62</v>
      </c>
      <c r="C2489" t="str">
        <f>IF(B2489&gt;=Walmart_Sales_raw_data!$C$6437,"High","low")</f>
        <v>High</v>
      </c>
    </row>
    <row r="2490" spans="1:3">
      <c r="A2490" s="1">
        <v>18</v>
      </c>
      <c r="B2490" s="2">
        <f>Walmart_Sales_raw_data!C2490</f>
        <v>1002714.25</v>
      </c>
      <c r="C2490" t="str">
        <f>IF(B2490&gt;=Walmart_Sales_raw_data!$C$6437,"High","low")</f>
        <v>low</v>
      </c>
    </row>
    <row r="2491" spans="1:3">
      <c r="A2491" s="3">
        <v>18</v>
      </c>
      <c r="B2491" s="2">
        <f>Walmart_Sales_raw_data!C2491</f>
        <v>945889.59</v>
      </c>
      <c r="C2491" t="str">
        <f>IF(B2491&gt;=Walmart_Sales_raw_data!$C$6437,"High","low")</f>
        <v>low</v>
      </c>
    </row>
    <row r="2492" spans="1:3">
      <c r="A2492" s="1">
        <v>18</v>
      </c>
      <c r="B2492" s="2">
        <f>Walmart_Sales_raw_data!C2492</f>
        <v>944523.3</v>
      </c>
      <c r="C2492" t="str">
        <f>IF(B2492&gt;=Walmart_Sales_raw_data!$C$6437,"High","low")</f>
        <v>low</v>
      </c>
    </row>
    <row r="2493" spans="1:3">
      <c r="A2493" s="3">
        <v>18</v>
      </c>
      <c r="B2493" s="2">
        <f>Walmart_Sales_raw_data!C2493</f>
        <v>938083.17</v>
      </c>
      <c r="C2493" t="str">
        <f>IF(B2493&gt;=Walmart_Sales_raw_data!$C$6437,"High","low")</f>
        <v>low</v>
      </c>
    </row>
    <row r="2494" spans="1:3">
      <c r="A2494" s="1">
        <v>18</v>
      </c>
      <c r="B2494" s="2">
        <f>Walmart_Sales_raw_data!C2494</f>
        <v>1018541.3</v>
      </c>
      <c r="C2494" t="str">
        <f>IF(B2494&gt;=Walmart_Sales_raw_data!$C$6437,"High","low")</f>
        <v>low</v>
      </c>
    </row>
    <row r="2495" spans="1:3">
      <c r="A2495" s="3">
        <v>18</v>
      </c>
      <c r="B2495" s="2">
        <f>Walmart_Sales_raw_data!C2495</f>
        <v>988157.72</v>
      </c>
      <c r="C2495" t="str">
        <f>IF(B2495&gt;=Walmart_Sales_raw_data!$C$6437,"High","low")</f>
        <v>low</v>
      </c>
    </row>
    <row r="2496" spans="1:3">
      <c r="A2496" s="1">
        <v>18</v>
      </c>
      <c r="B2496" s="2">
        <f>Walmart_Sales_raw_data!C2496</f>
        <v>1105860.06</v>
      </c>
      <c r="C2496" t="str">
        <f>IF(B2496&gt;=Walmart_Sales_raw_data!$C$6437,"High","low")</f>
        <v>High</v>
      </c>
    </row>
    <row r="2497" spans="1:3">
      <c r="A2497" s="3">
        <v>18</v>
      </c>
      <c r="B2497" s="2">
        <f>Walmart_Sales_raw_data!C2497</f>
        <v>974114.39</v>
      </c>
      <c r="C2497" t="str">
        <f>IF(B2497&gt;=Walmart_Sales_raw_data!$C$6437,"High","low")</f>
        <v>low</v>
      </c>
    </row>
    <row r="2498" spans="1:3">
      <c r="A2498" s="1">
        <v>18</v>
      </c>
      <c r="B2498" s="2">
        <f>Walmart_Sales_raw_data!C2498</f>
        <v>1065427.37</v>
      </c>
      <c r="C2498" t="str">
        <f>IF(B2498&gt;=Walmart_Sales_raw_data!$C$6437,"High","low")</f>
        <v>High</v>
      </c>
    </row>
    <row r="2499" spans="1:3">
      <c r="A2499" s="3">
        <v>18</v>
      </c>
      <c r="B2499" s="2">
        <f>Walmart_Sales_raw_data!C2499</f>
        <v>993172.98</v>
      </c>
      <c r="C2499" t="str">
        <f>IF(B2499&gt;=Walmart_Sales_raw_data!$C$6437,"High","low")</f>
        <v>low</v>
      </c>
    </row>
    <row r="2500" spans="1:3">
      <c r="A2500" s="1">
        <v>18</v>
      </c>
      <c r="B2500" s="2">
        <f>Walmart_Sales_raw_data!C2500</f>
        <v>994610.43</v>
      </c>
      <c r="C2500" t="str">
        <f>IF(B2500&gt;=Walmart_Sales_raw_data!$C$6437,"High","low")</f>
        <v>low</v>
      </c>
    </row>
    <row r="2501" spans="1:3">
      <c r="A2501" s="3">
        <v>18</v>
      </c>
      <c r="B2501" s="2">
        <f>Walmart_Sales_raw_data!C2501</f>
        <v>1065214.14</v>
      </c>
      <c r="C2501" t="str">
        <f>IF(B2501&gt;=Walmart_Sales_raw_data!$C$6437,"High","low")</f>
        <v>High</v>
      </c>
    </row>
    <row r="2502" spans="1:3">
      <c r="A2502" s="1">
        <v>18</v>
      </c>
      <c r="B2502" s="2">
        <f>Walmart_Sales_raw_data!C2502</f>
        <v>1178039</v>
      </c>
      <c r="C2502" t="str">
        <f>IF(B2502&gt;=Walmart_Sales_raw_data!$C$6437,"High","low")</f>
        <v>High</v>
      </c>
    </row>
    <row r="2503" spans="1:3">
      <c r="A2503" s="3">
        <v>18</v>
      </c>
      <c r="B2503" s="2">
        <f>Walmart_Sales_raw_data!C2503</f>
        <v>1044079.2</v>
      </c>
      <c r="C2503" t="str">
        <f>IF(B2503&gt;=Walmart_Sales_raw_data!$C$6437,"High","low")</f>
        <v>low</v>
      </c>
    </row>
    <row r="2504" spans="1:3">
      <c r="A2504" s="1">
        <v>18</v>
      </c>
      <c r="B2504" s="2">
        <f>Walmart_Sales_raw_data!C2504</f>
        <v>1045859.39</v>
      </c>
      <c r="C2504" t="str">
        <f>IF(B2504&gt;=Walmart_Sales_raw_data!$C$6437,"High","low")</f>
        <v>low</v>
      </c>
    </row>
    <row r="2505" spans="1:3">
      <c r="A2505" s="3">
        <v>18</v>
      </c>
      <c r="B2505" s="2">
        <f>Walmart_Sales_raw_data!C2505</f>
        <v>1056478.65</v>
      </c>
      <c r="C2505" t="str">
        <f>IF(B2505&gt;=Walmart_Sales_raw_data!$C$6437,"High","low")</f>
        <v>High</v>
      </c>
    </row>
    <row r="2506" spans="1:3">
      <c r="A2506" s="1">
        <v>18</v>
      </c>
      <c r="B2506" s="2">
        <f>Walmart_Sales_raw_data!C2506</f>
        <v>1087051.26</v>
      </c>
      <c r="C2506" t="str">
        <f>IF(B2506&gt;=Walmart_Sales_raw_data!$C$6437,"High","low")</f>
        <v>High</v>
      </c>
    </row>
    <row r="2507" spans="1:3">
      <c r="A2507" s="3">
        <v>18</v>
      </c>
      <c r="B2507" s="2">
        <f>Walmart_Sales_raw_data!C2507</f>
        <v>1048802.62</v>
      </c>
      <c r="C2507" t="str">
        <f>IF(B2507&gt;=Walmart_Sales_raw_data!$C$6437,"High","low")</f>
        <v>High</v>
      </c>
    </row>
    <row r="2508" spans="1:3">
      <c r="A2508" s="1">
        <v>18</v>
      </c>
      <c r="B2508" s="2">
        <f>Walmart_Sales_raw_data!C2508</f>
        <v>974916.13</v>
      </c>
      <c r="C2508" t="str">
        <f>IF(B2508&gt;=Walmart_Sales_raw_data!$C$6437,"High","low")</f>
        <v>low</v>
      </c>
    </row>
    <row r="2509" spans="1:3">
      <c r="A2509" s="3">
        <v>18</v>
      </c>
      <c r="B2509" s="2">
        <f>Walmart_Sales_raw_data!C2509</f>
        <v>991262.46</v>
      </c>
      <c r="C2509" t="str">
        <f>IF(B2509&gt;=Walmart_Sales_raw_data!$C$6437,"High","low")</f>
        <v>low</v>
      </c>
    </row>
    <row r="2510" spans="1:3">
      <c r="A2510" s="1">
        <v>18</v>
      </c>
      <c r="B2510" s="2">
        <f>Walmart_Sales_raw_data!C2510</f>
        <v>954148.64</v>
      </c>
      <c r="C2510" t="str">
        <f>IF(B2510&gt;=Walmart_Sales_raw_data!$C$6437,"High","low")</f>
        <v>low</v>
      </c>
    </row>
    <row r="2511" spans="1:3">
      <c r="A2511" s="3">
        <v>18</v>
      </c>
      <c r="B2511" s="2">
        <f>Walmart_Sales_raw_data!C2511</f>
        <v>1002806.39</v>
      </c>
      <c r="C2511" t="str">
        <f>IF(B2511&gt;=Walmart_Sales_raw_data!$C$6437,"High","low")</f>
        <v>low</v>
      </c>
    </row>
    <row r="2512" spans="1:3">
      <c r="A2512" s="1">
        <v>18</v>
      </c>
      <c r="B2512" s="2">
        <f>Walmart_Sales_raw_data!C2512</f>
        <v>928470.83</v>
      </c>
      <c r="C2512" t="str">
        <f>IF(B2512&gt;=Walmart_Sales_raw_data!$C$6437,"High","low")</f>
        <v>low</v>
      </c>
    </row>
    <row r="2513" spans="1:3">
      <c r="A2513" s="3">
        <v>18</v>
      </c>
      <c r="B2513" s="2">
        <f>Walmart_Sales_raw_data!C2513</f>
        <v>932679.79</v>
      </c>
      <c r="C2513" t="str">
        <f>IF(B2513&gt;=Walmart_Sales_raw_data!$C$6437,"High","low")</f>
        <v>low</v>
      </c>
    </row>
    <row r="2514" spans="1:3">
      <c r="A2514" s="1">
        <v>18</v>
      </c>
      <c r="B2514" s="2">
        <f>Walmart_Sales_raw_data!C2514</f>
        <v>1147906.46</v>
      </c>
      <c r="C2514" t="str">
        <f>IF(B2514&gt;=Walmart_Sales_raw_data!$C$6437,"High","low")</f>
        <v>High</v>
      </c>
    </row>
    <row r="2515" spans="1:3">
      <c r="A2515" s="3">
        <v>18</v>
      </c>
      <c r="B2515" s="2">
        <f>Walmart_Sales_raw_data!C2515</f>
        <v>540922.94</v>
      </c>
      <c r="C2515" t="str">
        <f>IF(B2515&gt;=Walmart_Sales_raw_data!$C$6437,"High","low")</f>
        <v>low</v>
      </c>
    </row>
    <row r="2516" spans="1:3">
      <c r="A2516" s="1">
        <v>18</v>
      </c>
      <c r="B2516" s="2">
        <f>Walmart_Sales_raw_data!C2516</f>
        <v>951549.61</v>
      </c>
      <c r="C2516" t="str">
        <f>IF(B2516&gt;=Walmart_Sales_raw_data!$C$6437,"High","low")</f>
        <v>low</v>
      </c>
    </row>
    <row r="2517" spans="1:3">
      <c r="A2517" s="3">
        <v>18</v>
      </c>
      <c r="B2517" s="2">
        <f>Walmart_Sales_raw_data!C2517</f>
        <v>845715.37</v>
      </c>
      <c r="C2517" t="str">
        <f>IF(B2517&gt;=Walmart_Sales_raw_data!$C$6437,"High","low")</f>
        <v>low</v>
      </c>
    </row>
    <row r="2518" spans="1:3">
      <c r="A2518" s="1">
        <v>18</v>
      </c>
      <c r="B2518" s="2">
        <f>Walmart_Sales_raw_data!C2518</f>
        <v>853073.17</v>
      </c>
      <c r="C2518" t="str">
        <f>IF(B2518&gt;=Walmart_Sales_raw_data!$C$6437,"High","low")</f>
        <v>low</v>
      </c>
    </row>
    <row r="2519" spans="1:3">
      <c r="A2519" s="3">
        <v>18</v>
      </c>
      <c r="B2519" s="2">
        <f>Walmart_Sales_raw_data!C2519</f>
        <v>847348.08</v>
      </c>
      <c r="C2519" t="str">
        <f>IF(B2519&gt;=Walmart_Sales_raw_data!$C$6437,"High","low")</f>
        <v>low</v>
      </c>
    </row>
    <row r="2520" spans="1:3">
      <c r="A2520" s="1">
        <v>18</v>
      </c>
      <c r="B2520" s="2">
        <f>Walmart_Sales_raw_data!C2520</f>
        <v>1019741.1</v>
      </c>
      <c r="C2520" t="str">
        <f>IF(B2520&gt;=Walmart_Sales_raw_data!$C$6437,"High","low")</f>
        <v>low</v>
      </c>
    </row>
    <row r="2521" spans="1:3">
      <c r="A2521" s="3">
        <v>18</v>
      </c>
      <c r="B2521" s="2">
        <f>Walmart_Sales_raw_data!C2521</f>
        <v>953533.95</v>
      </c>
      <c r="C2521" t="str">
        <f>IF(B2521&gt;=Walmart_Sales_raw_data!$C$6437,"High","low")</f>
        <v>low</v>
      </c>
    </row>
    <row r="2522" spans="1:3">
      <c r="A2522" s="1">
        <v>18</v>
      </c>
      <c r="B2522" s="2">
        <f>Walmart_Sales_raw_data!C2522</f>
        <v>1048212.62</v>
      </c>
      <c r="C2522" t="str">
        <f>IF(B2522&gt;=Walmart_Sales_raw_data!$C$6437,"High","low")</f>
        <v>High</v>
      </c>
    </row>
    <row r="2523" spans="1:3">
      <c r="A2523" s="3">
        <v>18</v>
      </c>
      <c r="B2523" s="2">
        <f>Walmart_Sales_raw_data!C2523</f>
        <v>1106642.63</v>
      </c>
      <c r="C2523" t="str">
        <f>IF(B2523&gt;=Walmart_Sales_raw_data!$C$6437,"High","low")</f>
        <v>High</v>
      </c>
    </row>
    <row r="2524" spans="1:3">
      <c r="A2524" s="1">
        <v>18</v>
      </c>
      <c r="B2524" s="2">
        <f>Walmart_Sales_raw_data!C2524</f>
        <v>1100625.06</v>
      </c>
      <c r="C2524" t="str">
        <f>IF(B2524&gt;=Walmart_Sales_raw_data!$C$6437,"High","low")</f>
        <v>High</v>
      </c>
    </row>
    <row r="2525" spans="1:3">
      <c r="A2525" s="3">
        <v>18</v>
      </c>
      <c r="B2525" s="2">
        <f>Walmart_Sales_raw_data!C2525</f>
        <v>1079931.63</v>
      </c>
      <c r="C2525" t="str">
        <f>IF(B2525&gt;=Walmart_Sales_raw_data!$C$6437,"High","low")</f>
        <v>High</v>
      </c>
    </row>
    <row r="2526" spans="1:3">
      <c r="A2526" s="1">
        <v>18</v>
      </c>
      <c r="B2526" s="2">
        <f>Walmart_Sales_raw_data!C2526</f>
        <v>1056992.18</v>
      </c>
      <c r="C2526" t="str">
        <f>IF(B2526&gt;=Walmart_Sales_raw_data!$C$6437,"High","low")</f>
        <v>High</v>
      </c>
    </row>
    <row r="2527" spans="1:3">
      <c r="A2527" s="3">
        <v>18</v>
      </c>
      <c r="B2527" s="2">
        <f>Walmart_Sales_raw_data!C2527</f>
        <v>1624170.99</v>
      </c>
      <c r="C2527" t="str">
        <f>IF(B2527&gt;=Walmart_Sales_raw_data!$C$6437,"High","low")</f>
        <v>High</v>
      </c>
    </row>
    <row r="2528" spans="1:3">
      <c r="A2528" s="1">
        <v>18</v>
      </c>
      <c r="B2528" s="2">
        <f>Walmart_Sales_raw_data!C2528</f>
        <v>1188047.61</v>
      </c>
      <c r="C2528" t="str">
        <f>IF(B2528&gt;=Walmart_Sales_raw_data!$C$6437,"High","low")</f>
        <v>High</v>
      </c>
    </row>
    <row r="2529" spans="1:3">
      <c r="A2529" s="3">
        <v>18</v>
      </c>
      <c r="B2529" s="2">
        <f>Walmart_Sales_raw_data!C2529</f>
        <v>1368471.23</v>
      </c>
      <c r="C2529" t="str">
        <f>IF(B2529&gt;=Walmart_Sales_raw_data!$C$6437,"High","low")</f>
        <v>High</v>
      </c>
    </row>
    <row r="2530" spans="1:3">
      <c r="A2530" s="1">
        <v>18</v>
      </c>
      <c r="B2530" s="2">
        <f>Walmart_Sales_raw_data!C2530</f>
        <v>1516924.23</v>
      </c>
      <c r="C2530" t="str">
        <f>IF(B2530&gt;=Walmart_Sales_raw_data!$C$6437,"High","low")</f>
        <v>High</v>
      </c>
    </row>
    <row r="2531" spans="1:3">
      <c r="A2531" s="3">
        <v>18</v>
      </c>
      <c r="B2531" s="2">
        <f>Walmart_Sales_raw_data!C2531</f>
        <v>1882393.4</v>
      </c>
      <c r="C2531" t="str">
        <f>IF(B2531&gt;=Walmart_Sales_raw_data!$C$6437,"High","low")</f>
        <v>High</v>
      </c>
    </row>
    <row r="2532" spans="1:3">
      <c r="A2532" s="1">
        <v>18</v>
      </c>
      <c r="B2532" s="2">
        <f>Walmart_Sales_raw_data!C2532</f>
        <v>1010562.49</v>
      </c>
      <c r="C2532" t="str">
        <f>IF(B2532&gt;=Walmart_Sales_raw_data!$C$6437,"High","low")</f>
        <v>low</v>
      </c>
    </row>
    <row r="2533" spans="1:3">
      <c r="A2533" s="3">
        <v>18</v>
      </c>
      <c r="B2533" s="2">
        <f>Walmart_Sales_raw_data!C2533</f>
        <v>977286.07</v>
      </c>
      <c r="C2533" t="str">
        <f>IF(B2533&gt;=Walmart_Sales_raw_data!$C$6437,"High","low")</f>
        <v>low</v>
      </c>
    </row>
    <row r="2534" spans="1:3">
      <c r="A2534" s="1">
        <v>18</v>
      </c>
      <c r="B2534" s="2">
        <f>Walmart_Sales_raw_data!C2534</f>
        <v>890130.25</v>
      </c>
      <c r="C2534" t="str">
        <f>IF(B2534&gt;=Walmart_Sales_raw_data!$C$6437,"High","low")</f>
        <v>low</v>
      </c>
    </row>
    <row r="2535" spans="1:3">
      <c r="A2535" s="3">
        <v>18</v>
      </c>
      <c r="B2535" s="2">
        <f>Walmart_Sales_raw_data!C2535</f>
        <v>937522.77</v>
      </c>
      <c r="C2535" t="str">
        <f>IF(B2535&gt;=Walmart_Sales_raw_data!$C$6437,"High","low")</f>
        <v>low</v>
      </c>
    </row>
    <row r="2536" spans="1:3">
      <c r="A2536" s="1">
        <v>18</v>
      </c>
      <c r="B2536" s="2">
        <f>Walmart_Sales_raw_data!C2536</f>
        <v>825584.22</v>
      </c>
      <c r="C2536" t="str">
        <f>IF(B2536&gt;=Walmart_Sales_raw_data!$C$6437,"High","low")</f>
        <v>low</v>
      </c>
    </row>
    <row r="2537" spans="1:3">
      <c r="A2537" s="3">
        <v>18</v>
      </c>
      <c r="B2537" s="2">
        <f>Walmart_Sales_raw_data!C2537</f>
        <v>1049772.04</v>
      </c>
      <c r="C2537" t="str">
        <f>IF(B2537&gt;=Walmart_Sales_raw_data!$C$6437,"High","low")</f>
        <v>High</v>
      </c>
    </row>
    <row r="2538" spans="1:3">
      <c r="A2538" s="1">
        <v>18</v>
      </c>
      <c r="B2538" s="2">
        <f>Walmart_Sales_raw_data!C2538</f>
        <v>1161615.51</v>
      </c>
      <c r="C2538" t="str">
        <f>IF(B2538&gt;=Walmart_Sales_raw_data!$C$6437,"High","low")</f>
        <v>High</v>
      </c>
    </row>
    <row r="2539" spans="1:3">
      <c r="A2539" s="3">
        <v>18</v>
      </c>
      <c r="B2539" s="2">
        <f>Walmart_Sales_raw_data!C2539</f>
        <v>1115985.81</v>
      </c>
      <c r="C2539" t="str">
        <f>IF(B2539&gt;=Walmart_Sales_raw_data!$C$6437,"High","low")</f>
        <v>High</v>
      </c>
    </row>
    <row r="2540" spans="1:3">
      <c r="A2540" s="1">
        <v>18</v>
      </c>
      <c r="B2540" s="2">
        <f>Walmart_Sales_raw_data!C2540</f>
        <v>1037861.11</v>
      </c>
      <c r="C2540" t="str">
        <f>IF(B2540&gt;=Walmart_Sales_raw_data!$C$6437,"High","low")</f>
        <v>low</v>
      </c>
    </row>
    <row r="2541" spans="1:3">
      <c r="A2541" s="3">
        <v>18</v>
      </c>
      <c r="B2541" s="2">
        <f>Walmart_Sales_raw_data!C2541</f>
        <v>1047178.91</v>
      </c>
      <c r="C2541" t="str">
        <f>IF(B2541&gt;=Walmart_Sales_raw_data!$C$6437,"High","low")</f>
        <v>High</v>
      </c>
    </row>
    <row r="2542" spans="1:3">
      <c r="A2542" s="1">
        <v>18</v>
      </c>
      <c r="B2542" s="2">
        <f>Walmart_Sales_raw_data!C2542</f>
        <v>1084894.47</v>
      </c>
      <c r="C2542" t="str">
        <f>IF(B2542&gt;=Walmart_Sales_raw_data!$C$6437,"High","low")</f>
        <v>High</v>
      </c>
    </row>
    <row r="2543" spans="1:3">
      <c r="A2543" s="3">
        <v>18</v>
      </c>
      <c r="B2543" s="2">
        <f>Walmart_Sales_raw_data!C2543</f>
        <v>1022018.43</v>
      </c>
      <c r="C2543" t="str">
        <f>IF(B2543&gt;=Walmart_Sales_raw_data!$C$6437,"High","low")</f>
        <v>low</v>
      </c>
    </row>
    <row r="2544" spans="1:3">
      <c r="A2544" s="1">
        <v>18</v>
      </c>
      <c r="B2544" s="2">
        <f>Walmart_Sales_raw_data!C2544</f>
        <v>1031139.3</v>
      </c>
      <c r="C2544" t="str">
        <f>IF(B2544&gt;=Walmart_Sales_raw_data!$C$6437,"High","low")</f>
        <v>low</v>
      </c>
    </row>
    <row r="2545" spans="1:3">
      <c r="A2545" s="3">
        <v>18</v>
      </c>
      <c r="B2545" s="2">
        <f>Walmart_Sales_raw_data!C2545</f>
        <v>1009121.2</v>
      </c>
      <c r="C2545" t="str">
        <f>IF(B2545&gt;=Walmart_Sales_raw_data!$C$6437,"High","low")</f>
        <v>low</v>
      </c>
    </row>
    <row r="2546" spans="1:3">
      <c r="A2546" s="1">
        <v>18</v>
      </c>
      <c r="B2546" s="2">
        <f>Walmart_Sales_raw_data!C2546</f>
        <v>1200815.3</v>
      </c>
      <c r="C2546" t="str">
        <f>IF(B2546&gt;=Walmart_Sales_raw_data!$C$6437,"High","low")</f>
        <v>High</v>
      </c>
    </row>
    <row r="2547" spans="1:3">
      <c r="A2547" s="3">
        <v>18</v>
      </c>
      <c r="B2547" s="2">
        <f>Walmart_Sales_raw_data!C2547</f>
        <v>998443.5</v>
      </c>
      <c r="C2547" t="str">
        <f>IF(B2547&gt;=Walmart_Sales_raw_data!$C$6437,"High","low")</f>
        <v>low</v>
      </c>
    </row>
    <row r="2548" spans="1:3">
      <c r="A2548" s="1">
        <v>18</v>
      </c>
      <c r="B2548" s="2">
        <f>Walmart_Sales_raw_data!C2548</f>
        <v>1025813.8</v>
      </c>
      <c r="C2548" t="str">
        <f>IF(B2548&gt;=Walmart_Sales_raw_data!$C$6437,"High","low")</f>
        <v>low</v>
      </c>
    </row>
    <row r="2549" spans="1:3">
      <c r="A2549" s="3">
        <v>18</v>
      </c>
      <c r="B2549" s="2">
        <f>Walmart_Sales_raw_data!C2549</f>
        <v>961186.23</v>
      </c>
      <c r="C2549" t="str">
        <f>IF(B2549&gt;=Walmart_Sales_raw_data!$C$6437,"High","low")</f>
        <v>low</v>
      </c>
    </row>
    <row r="2550" spans="1:3">
      <c r="A2550" s="1">
        <v>18</v>
      </c>
      <c r="B2550" s="2">
        <f>Walmart_Sales_raw_data!C2550</f>
        <v>1050027.89</v>
      </c>
      <c r="C2550" t="str">
        <f>IF(B2550&gt;=Walmart_Sales_raw_data!$C$6437,"High","low")</f>
        <v>High</v>
      </c>
    </row>
    <row r="2551" spans="1:3">
      <c r="A2551" s="3">
        <v>18</v>
      </c>
      <c r="B2551" s="2">
        <f>Walmart_Sales_raw_data!C2551</f>
        <v>1060433.1</v>
      </c>
      <c r="C2551" t="str">
        <f>IF(B2551&gt;=Walmart_Sales_raw_data!$C$6437,"High","low")</f>
        <v>High</v>
      </c>
    </row>
    <row r="2552" spans="1:3">
      <c r="A2552" s="1">
        <v>18</v>
      </c>
      <c r="B2552" s="2">
        <f>Walmart_Sales_raw_data!C2552</f>
        <v>1047444.59</v>
      </c>
      <c r="C2552" t="str">
        <f>IF(B2552&gt;=Walmart_Sales_raw_data!$C$6437,"High","low")</f>
        <v>High</v>
      </c>
    </row>
    <row r="2553" spans="1:3">
      <c r="A2553" s="3">
        <v>18</v>
      </c>
      <c r="B2553" s="2">
        <f>Walmart_Sales_raw_data!C2553</f>
        <v>1088446.58</v>
      </c>
      <c r="C2553" t="str">
        <f>IF(B2553&gt;=Walmart_Sales_raw_data!$C$6437,"High","low")</f>
        <v>High</v>
      </c>
    </row>
    <row r="2554" spans="1:3">
      <c r="A2554" s="1">
        <v>18</v>
      </c>
      <c r="B2554" s="2">
        <f>Walmart_Sales_raw_data!C2554</f>
        <v>1118313.7</v>
      </c>
      <c r="C2554" t="str">
        <f>IF(B2554&gt;=Walmart_Sales_raw_data!$C$6437,"High","low")</f>
        <v>High</v>
      </c>
    </row>
    <row r="2555" spans="1:3">
      <c r="A2555" s="3">
        <v>18</v>
      </c>
      <c r="B2555" s="2">
        <f>Walmart_Sales_raw_data!C2555</f>
        <v>1110479.94</v>
      </c>
      <c r="C2555" t="str">
        <f>IF(B2555&gt;=Walmart_Sales_raw_data!$C$6437,"High","low")</f>
        <v>High</v>
      </c>
    </row>
    <row r="2556" spans="1:3">
      <c r="A2556" s="1">
        <v>18</v>
      </c>
      <c r="B2556" s="2">
        <f>Walmart_Sales_raw_data!C2556</f>
        <v>1057425.83</v>
      </c>
      <c r="C2556" t="str">
        <f>IF(B2556&gt;=Walmart_Sales_raw_data!$C$6437,"High","low")</f>
        <v>High</v>
      </c>
    </row>
    <row r="2557" spans="1:3">
      <c r="A2557" s="3">
        <v>18</v>
      </c>
      <c r="B2557" s="2">
        <f>Walmart_Sales_raw_data!C2557</f>
        <v>1080357.89</v>
      </c>
      <c r="C2557" t="str">
        <f>IF(B2557&gt;=Walmart_Sales_raw_data!$C$6437,"High","low")</f>
        <v>High</v>
      </c>
    </row>
    <row r="2558" spans="1:3">
      <c r="A2558" s="1">
        <v>18</v>
      </c>
      <c r="B2558" s="2">
        <f>Walmart_Sales_raw_data!C2558</f>
        <v>1097006.3</v>
      </c>
      <c r="C2558" t="str">
        <f>IF(B2558&gt;=Walmart_Sales_raw_data!$C$6437,"High","low")</f>
        <v>High</v>
      </c>
    </row>
    <row r="2559" spans="1:3">
      <c r="A2559" s="3">
        <v>18</v>
      </c>
      <c r="B2559" s="2">
        <f>Walmart_Sales_raw_data!C2559</f>
        <v>1158247.31</v>
      </c>
      <c r="C2559" t="str">
        <f>IF(B2559&gt;=Walmart_Sales_raw_data!$C$6437,"High","low")</f>
        <v>High</v>
      </c>
    </row>
    <row r="2560" spans="1:3">
      <c r="A2560" s="1">
        <v>18</v>
      </c>
      <c r="B2560" s="2">
        <f>Walmart_Sales_raw_data!C2560</f>
        <v>1024784.92</v>
      </c>
      <c r="C2560" t="str">
        <f>IF(B2560&gt;=Walmart_Sales_raw_data!$C$6437,"High","low")</f>
        <v>low</v>
      </c>
    </row>
    <row r="2561" spans="1:3">
      <c r="A2561" s="3">
        <v>18</v>
      </c>
      <c r="B2561" s="2">
        <f>Walmart_Sales_raw_data!C2561</f>
        <v>1033543.56</v>
      </c>
      <c r="C2561" t="str">
        <f>IF(B2561&gt;=Walmart_Sales_raw_data!$C$6437,"High","low")</f>
        <v>low</v>
      </c>
    </row>
    <row r="2562" spans="1:3">
      <c r="A2562" s="1">
        <v>18</v>
      </c>
      <c r="B2562" s="2">
        <f>Walmart_Sales_raw_data!C2562</f>
        <v>924506.26</v>
      </c>
      <c r="C2562" t="str">
        <f>IF(B2562&gt;=Walmart_Sales_raw_data!$C$6437,"High","low")</f>
        <v>low</v>
      </c>
    </row>
    <row r="2563" spans="1:3">
      <c r="A2563" s="3">
        <v>18</v>
      </c>
      <c r="B2563" s="2">
        <f>Walmart_Sales_raw_data!C2563</f>
        <v>1052066.58</v>
      </c>
      <c r="C2563" t="str">
        <f>IF(B2563&gt;=Walmart_Sales_raw_data!$C$6437,"High","low")</f>
        <v>High</v>
      </c>
    </row>
    <row r="2564" spans="1:3">
      <c r="A2564" s="1">
        <v>18</v>
      </c>
      <c r="B2564" s="2">
        <f>Walmart_Sales_raw_data!C2564</f>
        <v>967304.07</v>
      </c>
      <c r="C2564" t="str">
        <f>IF(B2564&gt;=Walmart_Sales_raw_data!$C$6437,"High","low")</f>
        <v>low</v>
      </c>
    </row>
    <row r="2565" spans="1:3">
      <c r="A2565" s="3">
        <v>18</v>
      </c>
      <c r="B2565" s="2">
        <f>Walmart_Sales_raw_data!C2565</f>
        <v>1048134.24</v>
      </c>
      <c r="C2565" t="str">
        <f>IF(B2565&gt;=Walmart_Sales_raw_data!$C$6437,"High","low")</f>
        <v>High</v>
      </c>
    </row>
    <row r="2566" spans="1:3">
      <c r="A2566" s="1">
        <v>18</v>
      </c>
      <c r="B2566" s="2">
        <f>Walmart_Sales_raw_data!C2566</f>
        <v>1145840.91</v>
      </c>
      <c r="C2566" t="str">
        <f>IF(B2566&gt;=Walmart_Sales_raw_data!$C$6437,"High","low")</f>
        <v>High</v>
      </c>
    </row>
    <row r="2567" spans="1:3">
      <c r="A2567" s="3">
        <v>18</v>
      </c>
      <c r="B2567" s="2">
        <f>Walmart_Sales_raw_data!C2567</f>
        <v>1117097.23</v>
      </c>
      <c r="C2567" t="str">
        <f>IF(B2567&gt;=Walmart_Sales_raw_data!$C$6437,"High","low")</f>
        <v>High</v>
      </c>
    </row>
    <row r="2568" spans="1:3">
      <c r="A2568" s="1">
        <v>18</v>
      </c>
      <c r="B2568" s="2">
        <f>Walmart_Sales_raw_data!C2568</f>
        <v>1083521.24</v>
      </c>
      <c r="C2568" t="str">
        <f>IF(B2568&gt;=Walmart_Sales_raw_data!$C$6437,"High","low")</f>
        <v>High</v>
      </c>
    </row>
    <row r="2569" spans="1:3">
      <c r="A2569" s="3">
        <v>18</v>
      </c>
      <c r="B2569" s="2">
        <f>Walmart_Sales_raw_data!C2569</f>
        <v>960476.1</v>
      </c>
      <c r="C2569" t="str">
        <f>IF(B2569&gt;=Walmart_Sales_raw_data!$C$6437,"High","low")</f>
        <v>low</v>
      </c>
    </row>
    <row r="2570" spans="1:3">
      <c r="A2570" s="1">
        <v>18</v>
      </c>
      <c r="B2570" s="2">
        <f>Walmart_Sales_raw_data!C2570</f>
        <v>971386.65</v>
      </c>
      <c r="C2570" t="str">
        <f>IF(B2570&gt;=Walmart_Sales_raw_data!$C$6437,"High","low")</f>
        <v>low</v>
      </c>
    </row>
    <row r="2571" spans="1:3">
      <c r="A2571" s="3">
        <v>18</v>
      </c>
      <c r="B2571" s="2">
        <f>Walmart_Sales_raw_data!C2571</f>
        <v>1002856.2</v>
      </c>
      <c r="C2571" t="str">
        <f>IF(B2571&gt;=Walmart_Sales_raw_data!$C$6437,"High","low")</f>
        <v>low</v>
      </c>
    </row>
    <row r="2572" spans="1:3">
      <c r="A2572" s="1">
        <v>18</v>
      </c>
      <c r="B2572" s="2">
        <f>Walmart_Sales_raw_data!C2572</f>
        <v>1092204.79</v>
      </c>
      <c r="C2572" t="str">
        <f>IF(B2572&gt;=Walmart_Sales_raw_data!$C$6437,"High","low")</f>
        <v>High</v>
      </c>
    </row>
    <row r="2573" spans="1:3">
      <c r="A2573" s="3">
        <v>18</v>
      </c>
      <c r="B2573" s="2">
        <f>Walmart_Sales_raw_data!C2573</f>
        <v>1074079</v>
      </c>
      <c r="C2573" t="str">
        <f>IF(B2573&gt;=Walmart_Sales_raw_data!$C$6437,"High","low")</f>
        <v>High</v>
      </c>
    </row>
    <row r="2574" spans="1:3">
      <c r="A2574" s="1">
        <v>18</v>
      </c>
      <c r="B2574" s="2">
        <f>Walmart_Sales_raw_data!C2574</f>
        <v>1048706.75</v>
      </c>
      <c r="C2574" t="str">
        <f>IF(B2574&gt;=Walmart_Sales_raw_data!$C$6437,"High","low")</f>
        <v>High</v>
      </c>
    </row>
    <row r="2575" spans="1:3">
      <c r="A2575" s="3">
        <v>18</v>
      </c>
      <c r="B2575" s="2">
        <f>Walmart_Sales_raw_data!C2575</f>
        <v>1127516.25</v>
      </c>
      <c r="C2575" t="str">
        <f>IF(B2575&gt;=Walmart_Sales_raw_data!$C$6437,"High","low")</f>
        <v>High</v>
      </c>
    </row>
    <row r="2576" spans="1:3">
      <c r="A2576" s="1">
        <v>19</v>
      </c>
      <c r="B2576" s="2">
        <f>Walmart_Sales_raw_data!C2576</f>
        <v>1507637.17</v>
      </c>
      <c r="C2576" t="str">
        <f>IF(B2576&gt;=Walmart_Sales_raw_data!$C$6437,"High","low")</f>
        <v>High</v>
      </c>
    </row>
    <row r="2577" spans="1:3">
      <c r="A2577" s="3">
        <v>19</v>
      </c>
      <c r="B2577" s="2">
        <f>Walmart_Sales_raw_data!C2577</f>
        <v>1536549.95</v>
      </c>
      <c r="C2577" t="str">
        <f>IF(B2577&gt;=Walmart_Sales_raw_data!$C$6437,"High","low")</f>
        <v>High</v>
      </c>
    </row>
    <row r="2578" spans="1:3">
      <c r="A2578" s="1">
        <v>19</v>
      </c>
      <c r="B2578" s="2">
        <f>Walmart_Sales_raw_data!C2578</f>
        <v>1515976.11</v>
      </c>
      <c r="C2578" t="str">
        <f>IF(B2578&gt;=Walmart_Sales_raw_data!$C$6437,"High","low")</f>
        <v>High</v>
      </c>
    </row>
    <row r="2579" spans="1:3">
      <c r="A2579" s="3">
        <v>19</v>
      </c>
      <c r="B2579" s="2">
        <f>Walmart_Sales_raw_data!C2579</f>
        <v>1373270.06</v>
      </c>
      <c r="C2579" t="str">
        <f>IF(B2579&gt;=Walmart_Sales_raw_data!$C$6437,"High","low")</f>
        <v>High</v>
      </c>
    </row>
    <row r="2580" spans="1:3">
      <c r="A2580" s="1">
        <v>19</v>
      </c>
      <c r="B2580" s="2">
        <f>Walmart_Sales_raw_data!C2580</f>
        <v>1495844.57</v>
      </c>
      <c r="C2580" t="str">
        <f>IF(B2580&gt;=Walmart_Sales_raw_data!$C$6437,"High","low")</f>
        <v>High</v>
      </c>
    </row>
    <row r="2581" spans="1:3">
      <c r="A2581" s="3">
        <v>19</v>
      </c>
      <c r="B2581" s="2">
        <f>Walmart_Sales_raw_data!C2581</f>
        <v>1467889.2</v>
      </c>
      <c r="C2581" t="str">
        <f>IF(B2581&gt;=Walmart_Sales_raw_data!$C$6437,"High","low")</f>
        <v>High</v>
      </c>
    </row>
    <row r="2582" spans="1:3">
      <c r="A2582" s="1">
        <v>19</v>
      </c>
      <c r="B2582" s="2">
        <f>Walmart_Sales_raw_data!C2582</f>
        <v>1332940.35</v>
      </c>
      <c r="C2582" t="str">
        <f>IF(B2582&gt;=Walmart_Sales_raw_data!$C$6437,"High","low")</f>
        <v>High</v>
      </c>
    </row>
    <row r="2583" spans="1:3">
      <c r="A2583" s="3">
        <v>19</v>
      </c>
      <c r="B2583" s="2">
        <f>Walmart_Sales_raw_data!C2583</f>
        <v>1427023.45</v>
      </c>
      <c r="C2583" t="str">
        <f>IF(B2583&gt;=Walmart_Sales_raw_data!$C$6437,"High","low")</f>
        <v>High</v>
      </c>
    </row>
    <row r="2584" spans="1:3">
      <c r="A2584" s="1">
        <v>19</v>
      </c>
      <c r="B2584" s="2">
        <f>Walmart_Sales_raw_data!C2584</f>
        <v>1642970.27</v>
      </c>
      <c r="C2584" t="str">
        <f>IF(B2584&gt;=Walmart_Sales_raw_data!$C$6437,"High","low")</f>
        <v>High</v>
      </c>
    </row>
    <row r="2585" spans="1:3">
      <c r="A2585" s="3">
        <v>19</v>
      </c>
      <c r="B2585" s="2">
        <f>Walmart_Sales_raw_data!C2585</f>
        <v>1489613.32</v>
      </c>
      <c r="C2585" t="str">
        <f>IF(B2585&gt;=Walmart_Sales_raw_data!$C$6437,"High","low")</f>
        <v>High</v>
      </c>
    </row>
    <row r="2586" spans="1:3">
      <c r="A2586" s="1">
        <v>19</v>
      </c>
      <c r="B2586" s="2">
        <f>Walmart_Sales_raw_data!C2586</f>
        <v>1460354.67</v>
      </c>
      <c r="C2586" t="str">
        <f>IF(B2586&gt;=Walmart_Sales_raw_data!$C$6437,"High","low")</f>
        <v>High</v>
      </c>
    </row>
    <row r="2587" spans="1:3">
      <c r="A2587" s="3">
        <v>19</v>
      </c>
      <c r="B2587" s="2">
        <f>Walmart_Sales_raw_data!C2587</f>
        <v>1456793.33</v>
      </c>
      <c r="C2587" t="str">
        <f>IF(B2587&gt;=Walmart_Sales_raw_data!$C$6437,"High","low")</f>
        <v>High</v>
      </c>
    </row>
    <row r="2588" spans="1:3">
      <c r="A2588" s="1">
        <v>19</v>
      </c>
      <c r="B2588" s="2">
        <f>Walmart_Sales_raw_data!C2588</f>
        <v>1405065.57</v>
      </c>
      <c r="C2588" t="str">
        <f>IF(B2588&gt;=Walmart_Sales_raw_data!$C$6437,"High","low")</f>
        <v>High</v>
      </c>
    </row>
    <row r="2589" spans="1:3">
      <c r="A2589" s="3">
        <v>19</v>
      </c>
      <c r="B2589" s="2">
        <f>Walmart_Sales_raw_data!C2589</f>
        <v>1566219.77</v>
      </c>
      <c r="C2589" t="str">
        <f>IF(B2589&gt;=Walmart_Sales_raw_data!$C$6437,"High","low")</f>
        <v>High</v>
      </c>
    </row>
    <row r="2590" spans="1:3">
      <c r="A2590" s="1">
        <v>19</v>
      </c>
      <c r="B2590" s="2">
        <f>Walmart_Sales_raw_data!C2590</f>
        <v>1437319.45</v>
      </c>
      <c r="C2590" t="str">
        <f>IF(B2590&gt;=Walmart_Sales_raw_data!$C$6437,"High","low")</f>
        <v>High</v>
      </c>
    </row>
    <row r="2591" spans="1:3">
      <c r="A2591" s="3">
        <v>19</v>
      </c>
      <c r="B2591" s="2">
        <f>Walmart_Sales_raw_data!C2591</f>
        <v>1377716.17</v>
      </c>
      <c r="C2591" t="str">
        <f>IF(B2591&gt;=Walmart_Sales_raw_data!$C$6437,"High","low")</f>
        <v>High</v>
      </c>
    </row>
    <row r="2592" spans="1:3">
      <c r="A2592" s="1">
        <v>19</v>
      </c>
      <c r="B2592" s="2">
        <f>Walmart_Sales_raw_data!C2592</f>
        <v>1648882.62</v>
      </c>
      <c r="C2592" t="str">
        <f>IF(B2592&gt;=Walmart_Sales_raw_data!$C$6437,"High","low")</f>
        <v>High</v>
      </c>
    </row>
    <row r="2593" spans="1:3">
      <c r="A2593" s="3">
        <v>19</v>
      </c>
      <c r="B2593" s="2">
        <f>Walmart_Sales_raw_data!C2593</f>
        <v>1519013.49</v>
      </c>
      <c r="C2593" t="str">
        <f>IF(B2593&gt;=Walmart_Sales_raw_data!$C$6437,"High","low")</f>
        <v>High</v>
      </c>
    </row>
    <row r="2594" spans="1:3">
      <c r="A2594" s="1">
        <v>19</v>
      </c>
      <c r="B2594" s="2">
        <f>Walmart_Sales_raw_data!C2594</f>
        <v>1410683.94</v>
      </c>
      <c r="C2594" t="str">
        <f>IF(B2594&gt;=Walmart_Sales_raw_data!$C$6437,"High","low")</f>
        <v>High</v>
      </c>
    </row>
    <row r="2595" spans="1:3">
      <c r="A2595" s="3">
        <v>19</v>
      </c>
      <c r="B2595" s="2">
        <f>Walmart_Sales_raw_data!C2595</f>
        <v>1457314.39</v>
      </c>
      <c r="C2595" t="str">
        <f>IF(B2595&gt;=Walmart_Sales_raw_data!$C$6437,"High","low")</f>
        <v>High</v>
      </c>
    </row>
    <row r="2596" spans="1:3">
      <c r="A2596" s="1">
        <v>19</v>
      </c>
      <c r="B2596" s="2">
        <f>Walmart_Sales_raw_data!C2596</f>
        <v>1450407.32</v>
      </c>
      <c r="C2596" t="str">
        <f>IF(B2596&gt;=Walmart_Sales_raw_data!$C$6437,"High","low")</f>
        <v>High</v>
      </c>
    </row>
    <row r="2597" spans="1:3">
      <c r="A2597" s="3">
        <v>19</v>
      </c>
      <c r="B2597" s="2">
        <f>Walmart_Sales_raw_data!C2597</f>
        <v>1549018.68</v>
      </c>
      <c r="C2597" t="str">
        <f>IF(B2597&gt;=Walmart_Sales_raw_data!$C$6437,"High","low")</f>
        <v>High</v>
      </c>
    </row>
    <row r="2598" spans="1:3">
      <c r="A2598" s="1">
        <v>19</v>
      </c>
      <c r="B2598" s="2">
        <f>Walmart_Sales_raw_data!C2598</f>
        <v>1577541.24</v>
      </c>
      <c r="C2598" t="str">
        <f>IF(B2598&gt;=Walmart_Sales_raw_data!$C$6437,"High","low")</f>
        <v>High</v>
      </c>
    </row>
    <row r="2599" spans="1:3">
      <c r="A2599" s="3">
        <v>19</v>
      </c>
      <c r="B2599" s="2">
        <f>Walmart_Sales_raw_data!C2599</f>
        <v>1412157.02</v>
      </c>
      <c r="C2599" t="str">
        <f>IF(B2599&gt;=Walmart_Sales_raw_data!$C$6437,"High","low")</f>
        <v>High</v>
      </c>
    </row>
    <row r="2600" spans="1:3">
      <c r="A2600" s="1">
        <v>19</v>
      </c>
      <c r="B2600" s="2">
        <f>Walmart_Sales_raw_data!C2600</f>
        <v>1372043.71</v>
      </c>
      <c r="C2600" t="str">
        <f>IF(B2600&gt;=Walmart_Sales_raw_data!$C$6437,"High","low")</f>
        <v>High</v>
      </c>
    </row>
    <row r="2601" spans="1:3">
      <c r="A2601" s="3">
        <v>19</v>
      </c>
      <c r="B2601" s="2">
        <f>Walmart_Sales_raw_data!C2601</f>
        <v>1366395.96</v>
      </c>
      <c r="C2601" t="str">
        <f>IF(B2601&gt;=Walmart_Sales_raw_data!$C$6437,"High","low")</f>
        <v>High</v>
      </c>
    </row>
    <row r="2602" spans="1:3">
      <c r="A2602" s="1">
        <v>19</v>
      </c>
      <c r="B2602" s="2">
        <f>Walmart_Sales_raw_data!C2602</f>
        <v>1492060.89</v>
      </c>
      <c r="C2602" t="str">
        <f>IF(B2602&gt;=Walmart_Sales_raw_data!$C$6437,"High","low")</f>
        <v>High</v>
      </c>
    </row>
    <row r="2603" spans="1:3">
      <c r="A2603" s="3">
        <v>19</v>
      </c>
      <c r="B2603" s="2">
        <f>Walmart_Sales_raw_data!C2603</f>
        <v>1418027.08</v>
      </c>
      <c r="C2603" t="str">
        <f>IF(B2603&gt;=Walmart_Sales_raw_data!$C$6437,"High","low")</f>
        <v>High</v>
      </c>
    </row>
    <row r="2604" spans="1:3">
      <c r="A2604" s="1">
        <v>19</v>
      </c>
      <c r="B2604" s="2">
        <f>Walmart_Sales_raw_data!C2604</f>
        <v>1419383.19</v>
      </c>
      <c r="C2604" t="str">
        <f>IF(B2604&gt;=Walmart_Sales_raw_data!$C$6437,"High","low")</f>
        <v>High</v>
      </c>
    </row>
    <row r="2605" spans="1:3">
      <c r="A2605" s="3">
        <v>19</v>
      </c>
      <c r="B2605" s="2">
        <f>Walmart_Sales_raw_data!C2605</f>
        <v>1557888.16</v>
      </c>
      <c r="C2605" t="str">
        <f>IF(B2605&gt;=Walmart_Sales_raw_data!$C$6437,"High","low")</f>
        <v>High</v>
      </c>
    </row>
    <row r="2606" spans="1:3">
      <c r="A2606" s="1">
        <v>19</v>
      </c>
      <c r="B2606" s="2">
        <f>Walmart_Sales_raw_data!C2606</f>
        <v>1623519.64</v>
      </c>
      <c r="C2606" t="str">
        <f>IF(B2606&gt;=Walmart_Sales_raw_data!$C$6437,"High","low")</f>
        <v>High</v>
      </c>
    </row>
    <row r="2607" spans="1:3">
      <c r="A2607" s="3">
        <v>19</v>
      </c>
      <c r="B2607" s="2">
        <f>Walmart_Sales_raw_data!C2607</f>
        <v>1591453.39</v>
      </c>
      <c r="C2607" t="str">
        <f>IF(B2607&gt;=Walmart_Sales_raw_data!$C$6437,"High","low")</f>
        <v>High</v>
      </c>
    </row>
    <row r="2608" spans="1:3">
      <c r="A2608" s="1">
        <v>19</v>
      </c>
      <c r="B2608" s="2">
        <f>Walmart_Sales_raw_data!C2608</f>
        <v>1386789.31</v>
      </c>
      <c r="C2608" t="str">
        <f>IF(B2608&gt;=Walmart_Sales_raw_data!$C$6437,"High","low")</f>
        <v>High</v>
      </c>
    </row>
    <row r="2609" spans="1:3">
      <c r="A2609" s="3">
        <v>19</v>
      </c>
      <c r="B2609" s="2">
        <f>Walmart_Sales_raw_data!C2609</f>
        <v>1318343.58</v>
      </c>
      <c r="C2609" t="str">
        <f>IF(B2609&gt;=Walmart_Sales_raw_data!$C$6437,"High","low")</f>
        <v>High</v>
      </c>
    </row>
    <row r="2610" spans="1:3">
      <c r="A2610" s="1">
        <v>19</v>
      </c>
      <c r="B2610" s="2">
        <f>Walmart_Sales_raw_data!C2610</f>
        <v>1379456.3</v>
      </c>
      <c r="C2610" t="str">
        <f>IF(B2610&gt;=Walmart_Sales_raw_data!$C$6437,"High","low")</f>
        <v>High</v>
      </c>
    </row>
    <row r="2611" spans="1:3">
      <c r="A2611" s="3">
        <v>19</v>
      </c>
      <c r="B2611" s="2">
        <f>Walmart_Sales_raw_data!C2611</f>
        <v>1428960.72</v>
      </c>
      <c r="C2611" t="str">
        <f>IF(B2611&gt;=Walmart_Sales_raw_data!$C$6437,"High","low")</f>
        <v>High</v>
      </c>
    </row>
    <row r="2612" spans="1:3">
      <c r="A2612" s="1">
        <v>19</v>
      </c>
      <c r="B2612" s="2">
        <f>Walmart_Sales_raw_data!C2612</f>
        <v>1369317.63</v>
      </c>
      <c r="C2612" t="str">
        <f>IF(B2612&gt;=Walmart_Sales_raw_data!$C$6437,"High","low")</f>
        <v>High</v>
      </c>
    </row>
    <row r="2613" spans="1:3">
      <c r="A2613" s="3">
        <v>19</v>
      </c>
      <c r="B2613" s="2">
        <f>Walmart_Sales_raw_data!C2613</f>
        <v>1357154.71</v>
      </c>
      <c r="C2613" t="str">
        <f>IF(B2613&gt;=Walmart_Sales_raw_data!$C$6437,"High","low")</f>
        <v>High</v>
      </c>
    </row>
    <row r="2614" spans="1:3">
      <c r="A2614" s="1">
        <v>19</v>
      </c>
      <c r="B2614" s="2">
        <f>Walmart_Sales_raw_data!C2614</f>
        <v>1404576.48</v>
      </c>
      <c r="C2614" t="str">
        <f>IF(B2614&gt;=Walmart_Sales_raw_data!$C$6437,"High","low")</f>
        <v>High</v>
      </c>
    </row>
    <row r="2615" spans="1:3">
      <c r="A2615" s="3">
        <v>19</v>
      </c>
      <c r="B2615" s="2">
        <f>Walmart_Sales_raw_data!C2615</f>
        <v>1435379.25</v>
      </c>
      <c r="C2615" t="str">
        <f>IF(B2615&gt;=Walmart_Sales_raw_data!$C$6437,"High","low")</f>
        <v>High</v>
      </c>
    </row>
    <row r="2616" spans="1:3">
      <c r="A2616" s="1">
        <v>19</v>
      </c>
      <c r="B2616" s="2">
        <f>Walmart_Sales_raw_data!C2616</f>
        <v>1490235.86</v>
      </c>
      <c r="C2616" t="str">
        <f>IF(B2616&gt;=Walmart_Sales_raw_data!$C$6437,"High","low")</f>
        <v>High</v>
      </c>
    </row>
    <row r="2617" spans="1:3">
      <c r="A2617" s="3">
        <v>19</v>
      </c>
      <c r="B2617" s="2">
        <f>Walmart_Sales_raw_data!C2617</f>
        <v>1377593.1</v>
      </c>
      <c r="C2617" t="str">
        <f>IF(B2617&gt;=Walmart_Sales_raw_data!$C$6437,"High","low")</f>
        <v>High</v>
      </c>
    </row>
    <row r="2618" spans="1:3">
      <c r="A2618" s="1">
        <v>19</v>
      </c>
      <c r="B2618" s="2">
        <f>Walmart_Sales_raw_data!C2618</f>
        <v>1993367.83</v>
      </c>
      <c r="C2618" t="str">
        <f>IF(B2618&gt;=Walmart_Sales_raw_data!$C$6437,"High","low")</f>
        <v>High</v>
      </c>
    </row>
    <row r="2619" spans="1:3">
      <c r="A2619" s="3">
        <v>19</v>
      </c>
      <c r="B2619" s="2">
        <f>Walmart_Sales_raw_data!C2619</f>
        <v>1615987.96</v>
      </c>
      <c r="C2619" t="str">
        <f>IF(B2619&gt;=Walmart_Sales_raw_data!$C$6437,"High","low")</f>
        <v>High</v>
      </c>
    </row>
    <row r="2620" spans="1:3">
      <c r="A2620" s="1">
        <v>19</v>
      </c>
      <c r="B2620" s="2">
        <f>Walmart_Sales_raw_data!C2620</f>
        <v>1799070.98</v>
      </c>
      <c r="C2620" t="str">
        <f>IF(B2620&gt;=Walmart_Sales_raw_data!$C$6437,"High","low")</f>
        <v>High</v>
      </c>
    </row>
    <row r="2621" spans="1:3">
      <c r="A2621" s="3">
        <v>19</v>
      </c>
      <c r="B2621" s="2">
        <f>Walmart_Sales_raw_data!C2621</f>
        <v>1911967.44</v>
      </c>
      <c r="C2621" t="str">
        <f>IF(B2621&gt;=Walmart_Sales_raw_data!$C$6437,"High","low")</f>
        <v>High</v>
      </c>
    </row>
    <row r="2622" spans="1:3">
      <c r="A2622" s="1">
        <v>19</v>
      </c>
      <c r="B2622" s="2">
        <f>Walmart_Sales_raw_data!C2622</f>
        <v>2678206.42</v>
      </c>
      <c r="C2622" t="str">
        <f>IF(B2622&gt;=Walmart_Sales_raw_data!$C$6437,"High","low")</f>
        <v>High</v>
      </c>
    </row>
    <row r="2623" spans="1:3">
      <c r="A2623" s="3">
        <v>19</v>
      </c>
      <c r="B2623" s="2">
        <f>Walmart_Sales_raw_data!C2623</f>
        <v>1275146.94</v>
      </c>
      <c r="C2623" t="str">
        <f>IF(B2623&gt;=Walmart_Sales_raw_data!$C$6437,"High","low")</f>
        <v>High</v>
      </c>
    </row>
    <row r="2624" spans="1:3">
      <c r="A2624" s="1">
        <v>19</v>
      </c>
      <c r="B2624" s="2">
        <f>Walmart_Sales_raw_data!C2624</f>
        <v>1224175.99</v>
      </c>
      <c r="C2624" t="str">
        <f>IF(B2624&gt;=Walmart_Sales_raw_data!$C$6437,"High","low")</f>
        <v>High</v>
      </c>
    </row>
    <row r="2625" spans="1:3">
      <c r="A2625" s="3">
        <v>19</v>
      </c>
      <c r="B2625" s="2">
        <f>Walmart_Sales_raw_data!C2625</f>
        <v>1181204.53</v>
      </c>
      <c r="C2625" t="str">
        <f>IF(B2625&gt;=Walmart_Sales_raw_data!$C$6437,"High","low")</f>
        <v>High</v>
      </c>
    </row>
    <row r="2626" spans="1:3">
      <c r="A2626" s="1">
        <v>19</v>
      </c>
      <c r="B2626" s="2">
        <f>Walmart_Sales_raw_data!C2626</f>
        <v>1212967.84</v>
      </c>
      <c r="C2626" t="str">
        <f>IF(B2626&gt;=Walmart_Sales_raw_data!$C$6437,"High","low")</f>
        <v>High</v>
      </c>
    </row>
    <row r="2627" spans="1:3">
      <c r="A2627" s="3">
        <v>19</v>
      </c>
      <c r="B2627" s="2">
        <f>Walmart_Sales_raw_data!C2627</f>
        <v>1284185.49</v>
      </c>
      <c r="C2627" t="str">
        <f>IF(B2627&gt;=Walmart_Sales_raw_data!$C$6437,"High","low")</f>
        <v>High</v>
      </c>
    </row>
    <row r="2628" spans="1:3">
      <c r="A2628" s="1">
        <v>19</v>
      </c>
      <c r="B2628" s="2">
        <f>Walmart_Sales_raw_data!C2628</f>
        <v>1370562.11</v>
      </c>
      <c r="C2628" t="str">
        <f>IF(B2628&gt;=Walmart_Sales_raw_data!$C$6437,"High","low")</f>
        <v>High</v>
      </c>
    </row>
    <row r="2629" spans="1:3">
      <c r="A2629" s="3">
        <v>19</v>
      </c>
      <c r="B2629" s="2">
        <f>Walmart_Sales_raw_data!C2629</f>
        <v>1430851.11</v>
      </c>
      <c r="C2629" t="str">
        <f>IF(B2629&gt;=Walmart_Sales_raw_data!$C$6437,"High","low")</f>
        <v>High</v>
      </c>
    </row>
    <row r="2630" spans="1:3">
      <c r="A2630" s="1">
        <v>19</v>
      </c>
      <c r="B2630" s="2">
        <f>Walmart_Sales_raw_data!C2630</f>
        <v>1457270.16</v>
      </c>
      <c r="C2630" t="str">
        <f>IF(B2630&gt;=Walmart_Sales_raw_data!$C$6437,"High","low")</f>
        <v>High</v>
      </c>
    </row>
    <row r="2631" spans="1:3">
      <c r="A2631" s="3">
        <v>19</v>
      </c>
      <c r="B2631" s="2">
        <f>Walmart_Sales_raw_data!C2631</f>
        <v>1296658.47</v>
      </c>
      <c r="C2631" t="str">
        <f>IF(B2631&gt;=Walmart_Sales_raw_data!$C$6437,"High","low")</f>
        <v>High</v>
      </c>
    </row>
    <row r="2632" spans="1:3">
      <c r="A2632" s="1">
        <v>19</v>
      </c>
      <c r="B2632" s="2">
        <f>Walmart_Sales_raw_data!C2632</f>
        <v>1433569.44</v>
      </c>
      <c r="C2632" t="str">
        <f>IF(B2632&gt;=Walmart_Sales_raw_data!$C$6437,"High","low")</f>
        <v>High</v>
      </c>
    </row>
    <row r="2633" spans="1:3">
      <c r="A2633" s="3">
        <v>19</v>
      </c>
      <c r="B2633" s="2">
        <f>Walmart_Sales_raw_data!C2633</f>
        <v>1351450.43</v>
      </c>
      <c r="C2633" t="str">
        <f>IF(B2633&gt;=Walmart_Sales_raw_data!$C$6437,"High","low")</f>
        <v>High</v>
      </c>
    </row>
    <row r="2634" spans="1:3">
      <c r="A2634" s="1">
        <v>19</v>
      </c>
      <c r="B2634" s="2">
        <f>Walmart_Sales_raw_data!C2634</f>
        <v>1257972.37</v>
      </c>
      <c r="C2634" t="str">
        <f>IF(B2634&gt;=Walmart_Sales_raw_data!$C$6437,"High","low")</f>
        <v>High</v>
      </c>
    </row>
    <row r="2635" spans="1:3">
      <c r="A2635" s="3">
        <v>19</v>
      </c>
      <c r="B2635" s="2">
        <f>Walmart_Sales_raw_data!C2635</f>
        <v>1266564.94</v>
      </c>
      <c r="C2635" t="str">
        <f>IF(B2635&gt;=Walmart_Sales_raw_data!$C$6437,"High","low")</f>
        <v>High</v>
      </c>
    </row>
    <row r="2636" spans="1:3">
      <c r="A2636" s="1">
        <v>19</v>
      </c>
      <c r="B2636" s="2">
        <f>Walmart_Sales_raw_data!C2636</f>
        <v>1305950.22</v>
      </c>
      <c r="C2636" t="str">
        <f>IF(B2636&gt;=Walmart_Sales_raw_data!$C$6437,"High","low")</f>
        <v>High</v>
      </c>
    </row>
    <row r="2637" spans="1:3">
      <c r="A2637" s="3">
        <v>19</v>
      </c>
      <c r="B2637" s="2">
        <f>Walmart_Sales_raw_data!C2637</f>
        <v>1419911.91</v>
      </c>
      <c r="C2637" t="str">
        <f>IF(B2637&gt;=Walmart_Sales_raw_data!$C$6437,"High","low")</f>
        <v>High</v>
      </c>
    </row>
    <row r="2638" spans="1:3">
      <c r="A2638" s="1">
        <v>19</v>
      </c>
      <c r="B2638" s="2">
        <f>Walmart_Sales_raw_data!C2638</f>
        <v>1392093.04</v>
      </c>
      <c r="C2638" t="str">
        <f>IF(B2638&gt;=Walmart_Sales_raw_data!$C$6437,"High","low")</f>
        <v>High</v>
      </c>
    </row>
    <row r="2639" spans="1:3">
      <c r="A2639" s="3">
        <v>19</v>
      </c>
      <c r="B2639" s="2">
        <f>Walmart_Sales_raw_data!C2639</f>
        <v>1514288.82</v>
      </c>
      <c r="C2639" t="str">
        <f>IF(B2639&gt;=Walmart_Sales_raw_data!$C$6437,"High","low")</f>
        <v>High</v>
      </c>
    </row>
    <row r="2640" spans="1:3">
      <c r="A2640" s="1">
        <v>19</v>
      </c>
      <c r="B2640" s="2">
        <f>Walmart_Sales_raw_data!C2640</f>
        <v>1297237.7</v>
      </c>
      <c r="C2640" t="str">
        <f>IF(B2640&gt;=Walmart_Sales_raw_data!$C$6437,"High","low")</f>
        <v>High</v>
      </c>
    </row>
    <row r="2641" spans="1:3">
      <c r="A2641" s="3">
        <v>19</v>
      </c>
      <c r="B2641" s="2">
        <f>Walmart_Sales_raw_data!C2641</f>
        <v>1451953.95</v>
      </c>
      <c r="C2641" t="str">
        <f>IF(B2641&gt;=Walmart_Sales_raw_data!$C$6437,"High","low")</f>
        <v>High</v>
      </c>
    </row>
    <row r="2642" spans="1:3">
      <c r="A2642" s="1">
        <v>19</v>
      </c>
      <c r="B2642" s="2">
        <f>Walmart_Sales_raw_data!C2642</f>
        <v>1429143.06</v>
      </c>
      <c r="C2642" t="str">
        <f>IF(B2642&gt;=Walmart_Sales_raw_data!$C$6437,"High","low")</f>
        <v>High</v>
      </c>
    </row>
    <row r="2643" spans="1:3">
      <c r="A2643" s="3">
        <v>19</v>
      </c>
      <c r="B2643" s="2">
        <f>Walmart_Sales_raw_data!C2643</f>
        <v>1355234.3</v>
      </c>
      <c r="C2643" t="str">
        <f>IF(B2643&gt;=Walmart_Sales_raw_data!$C$6437,"High","low")</f>
        <v>High</v>
      </c>
    </row>
    <row r="2644" spans="1:3">
      <c r="A2644" s="1">
        <v>19</v>
      </c>
      <c r="B2644" s="2">
        <f>Walmart_Sales_raw_data!C2644</f>
        <v>1388553.11</v>
      </c>
      <c r="C2644" t="str">
        <f>IF(B2644&gt;=Walmart_Sales_raw_data!$C$6437,"High","low")</f>
        <v>High</v>
      </c>
    </row>
    <row r="2645" spans="1:3">
      <c r="A2645" s="3">
        <v>19</v>
      </c>
      <c r="B2645" s="2">
        <f>Walmart_Sales_raw_data!C2645</f>
        <v>1457345.75</v>
      </c>
      <c r="C2645" t="str">
        <f>IF(B2645&gt;=Walmart_Sales_raw_data!$C$6437,"High","low")</f>
        <v>High</v>
      </c>
    </row>
    <row r="2646" spans="1:3">
      <c r="A2646" s="1">
        <v>19</v>
      </c>
      <c r="B2646" s="2">
        <f>Walmart_Sales_raw_data!C2646</f>
        <v>1467473.63</v>
      </c>
      <c r="C2646" t="str">
        <f>IF(B2646&gt;=Walmart_Sales_raw_data!$C$6437,"High","low")</f>
        <v>High</v>
      </c>
    </row>
    <row r="2647" spans="1:3">
      <c r="A2647" s="3">
        <v>19</v>
      </c>
      <c r="B2647" s="2">
        <f>Walmart_Sales_raw_data!C2647</f>
        <v>1418973.62</v>
      </c>
      <c r="C2647" t="str">
        <f>IF(B2647&gt;=Walmart_Sales_raw_data!$C$6437,"High","low")</f>
        <v>High</v>
      </c>
    </row>
    <row r="2648" spans="1:3">
      <c r="A2648" s="1">
        <v>19</v>
      </c>
      <c r="B2648" s="2">
        <f>Walmart_Sales_raw_data!C2648</f>
        <v>1440785.7</v>
      </c>
      <c r="C2648" t="str">
        <f>IF(B2648&gt;=Walmart_Sales_raw_data!$C$6437,"High","low")</f>
        <v>High</v>
      </c>
    </row>
    <row r="2649" spans="1:3">
      <c r="A2649" s="3">
        <v>19</v>
      </c>
      <c r="B2649" s="2">
        <f>Walmart_Sales_raw_data!C2649</f>
        <v>1462731.93</v>
      </c>
      <c r="C2649" t="str">
        <f>IF(B2649&gt;=Walmart_Sales_raw_data!$C$6437,"High","low")</f>
        <v>High</v>
      </c>
    </row>
    <row r="2650" spans="1:3">
      <c r="A2650" s="1">
        <v>19</v>
      </c>
      <c r="B2650" s="2">
        <f>Walmart_Sales_raw_data!C2650</f>
        <v>1465489.75</v>
      </c>
      <c r="C2650" t="str">
        <f>IF(B2650&gt;=Walmart_Sales_raw_data!$C$6437,"High","low")</f>
        <v>High</v>
      </c>
    </row>
    <row r="2651" spans="1:3">
      <c r="A2651" s="3">
        <v>19</v>
      </c>
      <c r="B2651" s="2">
        <f>Walmart_Sales_raw_data!C2651</f>
        <v>1391580.41</v>
      </c>
      <c r="C2651" t="str">
        <f>IF(B2651&gt;=Walmart_Sales_raw_data!$C$6437,"High","low")</f>
        <v>High</v>
      </c>
    </row>
    <row r="2652" spans="1:3">
      <c r="A2652" s="1">
        <v>19</v>
      </c>
      <c r="B2652" s="2">
        <f>Walmart_Sales_raw_data!C2652</f>
        <v>1377119.45</v>
      </c>
      <c r="C2652" t="str">
        <f>IF(B2652&gt;=Walmart_Sales_raw_data!$C$6437,"High","low")</f>
        <v>High</v>
      </c>
    </row>
    <row r="2653" spans="1:3">
      <c r="A2653" s="3">
        <v>19</v>
      </c>
      <c r="B2653" s="2">
        <f>Walmart_Sales_raw_data!C2653</f>
        <v>1298775.8</v>
      </c>
      <c r="C2653" t="str">
        <f>IF(B2653&gt;=Walmart_Sales_raw_data!$C$6437,"High","low")</f>
        <v>High</v>
      </c>
    </row>
    <row r="2654" spans="1:3">
      <c r="A2654" s="1">
        <v>19</v>
      </c>
      <c r="B2654" s="2">
        <f>Walmart_Sales_raw_data!C2654</f>
        <v>1408968.55</v>
      </c>
      <c r="C2654" t="str">
        <f>IF(B2654&gt;=Walmart_Sales_raw_data!$C$6437,"High","low")</f>
        <v>High</v>
      </c>
    </row>
    <row r="2655" spans="1:3">
      <c r="A2655" s="3">
        <v>19</v>
      </c>
      <c r="B2655" s="2">
        <f>Walmart_Sales_raw_data!C2655</f>
        <v>1360969.45</v>
      </c>
      <c r="C2655" t="str">
        <f>IF(B2655&gt;=Walmart_Sales_raw_data!$C$6437,"High","low")</f>
        <v>High</v>
      </c>
    </row>
    <row r="2656" spans="1:3">
      <c r="A2656" s="1">
        <v>19</v>
      </c>
      <c r="B2656" s="2">
        <f>Walmart_Sales_raw_data!C2656</f>
        <v>1391792.69</v>
      </c>
      <c r="C2656" t="str">
        <f>IF(B2656&gt;=Walmart_Sales_raw_data!$C$6437,"High","low")</f>
        <v>High</v>
      </c>
    </row>
    <row r="2657" spans="1:3">
      <c r="A2657" s="3">
        <v>19</v>
      </c>
      <c r="B2657" s="2">
        <f>Walmart_Sales_raw_data!C2657</f>
        <v>1547729.24</v>
      </c>
      <c r="C2657" t="str">
        <f>IF(B2657&gt;=Walmart_Sales_raw_data!$C$6437,"High","low")</f>
        <v>High</v>
      </c>
    </row>
    <row r="2658" spans="1:3">
      <c r="A2658" s="1">
        <v>19</v>
      </c>
      <c r="B2658" s="2">
        <f>Walmart_Sales_raw_data!C2658</f>
        <v>1609951.02</v>
      </c>
      <c r="C2658" t="str">
        <f>IF(B2658&gt;=Walmart_Sales_raw_data!$C$6437,"High","low")</f>
        <v>High</v>
      </c>
    </row>
    <row r="2659" spans="1:3">
      <c r="A2659" s="3">
        <v>19</v>
      </c>
      <c r="B2659" s="2">
        <f>Walmart_Sales_raw_data!C2659</f>
        <v>1566712.79</v>
      </c>
      <c r="C2659" t="str">
        <f>IF(B2659&gt;=Walmart_Sales_raw_data!$C$6437,"High","low")</f>
        <v>High</v>
      </c>
    </row>
    <row r="2660" spans="1:3">
      <c r="A2660" s="1">
        <v>19</v>
      </c>
      <c r="B2660" s="2">
        <f>Walmart_Sales_raw_data!C2660</f>
        <v>1365633.53</v>
      </c>
      <c r="C2660" t="str">
        <f>IF(B2660&gt;=Walmart_Sales_raw_data!$C$6437,"High","low")</f>
        <v>High</v>
      </c>
    </row>
    <row r="2661" spans="1:3">
      <c r="A2661" s="3">
        <v>19</v>
      </c>
      <c r="B2661" s="2">
        <f>Walmart_Sales_raw_data!C2661</f>
        <v>1300375.76</v>
      </c>
      <c r="C2661" t="str">
        <f>IF(B2661&gt;=Walmart_Sales_raw_data!$C$6437,"High","low")</f>
        <v>High</v>
      </c>
    </row>
    <row r="2662" spans="1:3">
      <c r="A2662" s="1">
        <v>19</v>
      </c>
      <c r="B2662" s="2">
        <f>Walmart_Sales_raw_data!C2662</f>
        <v>1330757.22</v>
      </c>
      <c r="C2662" t="str">
        <f>IF(B2662&gt;=Walmart_Sales_raw_data!$C$6437,"High","low")</f>
        <v>High</v>
      </c>
    </row>
    <row r="2663" spans="1:3">
      <c r="A2663" s="3">
        <v>19</v>
      </c>
      <c r="B2663" s="2">
        <f>Walmart_Sales_raw_data!C2663</f>
        <v>1461718.87</v>
      </c>
      <c r="C2663" t="str">
        <f>IF(B2663&gt;=Walmart_Sales_raw_data!$C$6437,"High","low")</f>
        <v>High</v>
      </c>
    </row>
    <row r="2664" spans="1:3">
      <c r="A2664" s="1">
        <v>19</v>
      </c>
      <c r="B2664" s="2">
        <f>Walmart_Sales_raw_data!C2664</f>
        <v>1318905.53</v>
      </c>
      <c r="C2664" t="str">
        <f>IF(B2664&gt;=Walmart_Sales_raw_data!$C$6437,"High","low")</f>
        <v>High</v>
      </c>
    </row>
    <row r="2665" spans="1:3">
      <c r="A2665" s="3">
        <v>19</v>
      </c>
      <c r="B2665" s="2">
        <f>Walmart_Sales_raw_data!C2665</f>
        <v>1374863.1</v>
      </c>
      <c r="C2665" t="str">
        <f>IF(B2665&gt;=Walmart_Sales_raw_data!$C$6437,"High","low")</f>
        <v>High</v>
      </c>
    </row>
    <row r="2666" spans="1:3">
      <c r="A2666" s="1">
        <v>19</v>
      </c>
      <c r="B2666" s="2">
        <f>Walmart_Sales_raw_data!C2666</f>
        <v>1396612.36</v>
      </c>
      <c r="C2666" t="str">
        <f>IF(B2666&gt;=Walmart_Sales_raw_data!$C$6437,"High","low")</f>
        <v>High</v>
      </c>
    </row>
    <row r="2667" spans="1:3">
      <c r="A2667" s="3">
        <v>19</v>
      </c>
      <c r="B2667" s="2">
        <f>Walmart_Sales_raw_data!C2667</f>
        <v>1480289.64</v>
      </c>
      <c r="C2667" t="str">
        <f>IF(B2667&gt;=Walmart_Sales_raw_data!$C$6437,"High","low")</f>
        <v>High</v>
      </c>
    </row>
    <row r="2668" spans="1:3">
      <c r="A2668" s="1">
        <v>19</v>
      </c>
      <c r="B2668" s="2">
        <f>Walmart_Sales_raw_data!C2668</f>
        <v>1502078.93</v>
      </c>
      <c r="C2668" t="str">
        <f>IF(B2668&gt;=Walmart_Sales_raw_data!$C$6437,"High","low")</f>
        <v>High</v>
      </c>
    </row>
    <row r="2669" spans="1:3">
      <c r="A2669" s="3">
        <v>19</v>
      </c>
      <c r="B2669" s="2">
        <f>Walmart_Sales_raw_data!C2669</f>
        <v>1411835.57</v>
      </c>
      <c r="C2669" t="str">
        <f>IF(B2669&gt;=Walmart_Sales_raw_data!$C$6437,"High","low")</f>
        <v>High</v>
      </c>
    </row>
    <row r="2670" spans="1:3">
      <c r="A2670" s="1">
        <v>19</v>
      </c>
      <c r="B2670" s="2">
        <f>Walmart_Sales_raw_data!C2670</f>
        <v>1974646.78</v>
      </c>
      <c r="C2670" t="str">
        <f>IF(B2670&gt;=Walmart_Sales_raw_data!$C$6437,"High","low")</f>
        <v>High</v>
      </c>
    </row>
    <row r="2671" spans="1:3">
      <c r="A2671" s="3">
        <v>19</v>
      </c>
      <c r="B2671" s="2">
        <f>Walmart_Sales_raw_data!C2671</f>
        <v>1484708.38</v>
      </c>
      <c r="C2671" t="str">
        <f>IF(B2671&gt;=Walmart_Sales_raw_data!$C$6437,"High","low")</f>
        <v>High</v>
      </c>
    </row>
    <row r="2672" spans="1:3">
      <c r="A2672" s="1">
        <v>19</v>
      </c>
      <c r="B2672" s="2">
        <f>Walmart_Sales_raw_data!C2672</f>
        <v>1713769.06</v>
      </c>
      <c r="C2672" t="str">
        <f>IF(B2672&gt;=Walmart_Sales_raw_data!$C$6437,"High","low")</f>
        <v>High</v>
      </c>
    </row>
    <row r="2673" spans="1:3">
      <c r="A2673" s="3">
        <v>19</v>
      </c>
      <c r="B2673" s="2">
        <f>Walmart_Sales_raw_data!C2673</f>
        <v>1852179.15</v>
      </c>
      <c r="C2673" t="str">
        <f>IF(B2673&gt;=Walmart_Sales_raw_data!$C$6437,"High","low")</f>
        <v>High</v>
      </c>
    </row>
    <row r="2674" spans="1:3">
      <c r="A2674" s="1">
        <v>19</v>
      </c>
      <c r="B2674" s="2">
        <f>Walmart_Sales_raw_data!C2674</f>
        <v>2480159.47</v>
      </c>
      <c r="C2674" t="str">
        <f>IF(B2674&gt;=Walmart_Sales_raw_data!$C$6437,"High","low")</f>
        <v>High</v>
      </c>
    </row>
    <row r="2675" spans="1:3">
      <c r="A2675" s="3">
        <v>19</v>
      </c>
      <c r="B2675" s="2">
        <f>Walmart_Sales_raw_data!C2675</f>
        <v>1405168.06</v>
      </c>
      <c r="C2675" t="str">
        <f>IF(B2675&gt;=Walmart_Sales_raw_data!$C$6437,"High","low")</f>
        <v>High</v>
      </c>
    </row>
    <row r="2676" spans="1:3">
      <c r="A2676" s="1">
        <v>19</v>
      </c>
      <c r="B2676" s="2">
        <f>Walmart_Sales_raw_data!C2676</f>
        <v>1266570.4</v>
      </c>
      <c r="C2676" t="str">
        <f>IF(B2676&gt;=Walmart_Sales_raw_data!$C$6437,"High","low")</f>
        <v>High</v>
      </c>
    </row>
    <row r="2677" spans="1:3">
      <c r="A2677" s="3">
        <v>19</v>
      </c>
      <c r="B2677" s="2">
        <f>Walmart_Sales_raw_data!C2677</f>
        <v>1182198.7</v>
      </c>
      <c r="C2677" t="str">
        <f>IF(B2677&gt;=Walmart_Sales_raw_data!$C$6437,"High","low")</f>
        <v>High</v>
      </c>
    </row>
    <row r="2678" spans="1:3">
      <c r="A2678" s="1">
        <v>19</v>
      </c>
      <c r="B2678" s="2">
        <f>Walmart_Sales_raw_data!C2678</f>
        <v>1237104.73</v>
      </c>
      <c r="C2678" t="str">
        <f>IF(B2678&gt;=Walmart_Sales_raw_data!$C$6437,"High","low")</f>
        <v>High</v>
      </c>
    </row>
    <row r="2679" spans="1:3">
      <c r="A2679" s="3">
        <v>19</v>
      </c>
      <c r="B2679" s="2">
        <f>Walmart_Sales_raw_data!C2679</f>
        <v>1279623.26</v>
      </c>
      <c r="C2679" t="str">
        <f>IF(B2679&gt;=Walmart_Sales_raw_data!$C$6437,"High","low")</f>
        <v>High</v>
      </c>
    </row>
    <row r="2680" spans="1:3">
      <c r="A2680" s="1">
        <v>19</v>
      </c>
      <c r="B2680" s="2">
        <f>Walmart_Sales_raw_data!C2680</f>
        <v>1345311.65</v>
      </c>
      <c r="C2680" t="str">
        <f>IF(B2680&gt;=Walmart_Sales_raw_data!$C$6437,"High","low")</f>
        <v>High</v>
      </c>
    </row>
    <row r="2681" spans="1:3">
      <c r="A2681" s="3">
        <v>19</v>
      </c>
      <c r="B2681" s="2">
        <f>Walmart_Sales_raw_data!C2681</f>
        <v>1499496.67</v>
      </c>
      <c r="C2681" t="str">
        <f>IF(B2681&gt;=Walmart_Sales_raw_data!$C$6437,"High","low")</f>
        <v>High</v>
      </c>
    </row>
    <row r="2682" spans="1:3">
      <c r="A2682" s="1">
        <v>19</v>
      </c>
      <c r="B2682" s="2">
        <f>Walmart_Sales_raw_data!C2682</f>
        <v>1424720.27</v>
      </c>
      <c r="C2682" t="str">
        <f>IF(B2682&gt;=Walmart_Sales_raw_data!$C$6437,"High","low")</f>
        <v>High</v>
      </c>
    </row>
    <row r="2683" spans="1:3">
      <c r="A2683" s="3">
        <v>19</v>
      </c>
      <c r="B2683" s="2">
        <f>Walmart_Sales_raw_data!C2683</f>
        <v>1352470.09</v>
      </c>
      <c r="C2683" t="str">
        <f>IF(B2683&gt;=Walmart_Sales_raw_data!$C$6437,"High","low")</f>
        <v>High</v>
      </c>
    </row>
    <row r="2684" spans="1:3">
      <c r="A2684" s="1">
        <v>19</v>
      </c>
      <c r="B2684" s="2">
        <f>Walmart_Sales_raw_data!C2684</f>
        <v>1308977.05</v>
      </c>
      <c r="C2684" t="str">
        <f>IF(B2684&gt;=Walmart_Sales_raw_data!$C$6437,"High","low")</f>
        <v>High</v>
      </c>
    </row>
    <row r="2685" spans="1:3">
      <c r="A2685" s="3">
        <v>19</v>
      </c>
      <c r="B2685" s="2">
        <f>Walmart_Sales_raw_data!C2685</f>
        <v>1358816.46</v>
      </c>
      <c r="C2685" t="str">
        <f>IF(B2685&gt;=Walmart_Sales_raw_data!$C$6437,"High","low")</f>
        <v>High</v>
      </c>
    </row>
    <row r="2686" spans="1:3">
      <c r="A2686" s="1">
        <v>19</v>
      </c>
      <c r="B2686" s="2">
        <f>Walmart_Sales_raw_data!C2686</f>
        <v>1312849.1</v>
      </c>
      <c r="C2686" t="str">
        <f>IF(B2686&gt;=Walmart_Sales_raw_data!$C$6437,"High","low")</f>
        <v>High</v>
      </c>
    </row>
    <row r="2687" spans="1:3">
      <c r="A2687" s="3">
        <v>19</v>
      </c>
      <c r="B2687" s="2">
        <f>Walmart_Sales_raw_data!C2687</f>
        <v>1342254.55</v>
      </c>
      <c r="C2687" t="str">
        <f>IF(B2687&gt;=Walmart_Sales_raw_data!$C$6437,"High","low")</f>
        <v>High</v>
      </c>
    </row>
    <row r="2688" spans="1:3">
      <c r="A2688" s="1">
        <v>19</v>
      </c>
      <c r="B2688" s="2">
        <f>Walmart_Sales_raw_data!C2688</f>
        <v>1327139.35</v>
      </c>
      <c r="C2688" t="str">
        <f>IF(B2688&gt;=Walmart_Sales_raw_data!$C$6437,"High","low")</f>
        <v>High</v>
      </c>
    </row>
    <row r="2689" spans="1:3">
      <c r="A2689" s="3">
        <v>19</v>
      </c>
      <c r="B2689" s="2">
        <f>Walmart_Sales_raw_data!C2689</f>
        <v>1631737.68</v>
      </c>
      <c r="C2689" t="str">
        <f>IF(B2689&gt;=Walmart_Sales_raw_data!$C$6437,"High","low")</f>
        <v>High</v>
      </c>
    </row>
    <row r="2690" spans="1:3">
      <c r="A2690" s="1">
        <v>19</v>
      </c>
      <c r="B2690" s="2">
        <f>Walmart_Sales_raw_data!C2690</f>
        <v>1365098.46</v>
      </c>
      <c r="C2690" t="str">
        <f>IF(B2690&gt;=Walmart_Sales_raw_data!$C$6437,"High","low")</f>
        <v>High</v>
      </c>
    </row>
    <row r="2691" spans="1:3">
      <c r="A2691" s="3">
        <v>19</v>
      </c>
      <c r="B2691" s="2">
        <f>Walmart_Sales_raw_data!C2691</f>
        <v>1255087.26</v>
      </c>
      <c r="C2691" t="str">
        <f>IF(B2691&gt;=Walmart_Sales_raw_data!$C$6437,"High","low")</f>
        <v>High</v>
      </c>
    </row>
    <row r="2692" spans="1:3">
      <c r="A2692" s="1">
        <v>19</v>
      </c>
      <c r="B2692" s="2">
        <f>Walmart_Sales_raw_data!C2692</f>
        <v>1285897.24</v>
      </c>
      <c r="C2692" t="str">
        <f>IF(B2692&gt;=Walmart_Sales_raw_data!$C$6437,"High","low")</f>
        <v>High</v>
      </c>
    </row>
    <row r="2693" spans="1:3">
      <c r="A2693" s="3">
        <v>19</v>
      </c>
      <c r="B2693" s="2">
        <f>Walmart_Sales_raw_data!C2693</f>
        <v>1405007.44</v>
      </c>
      <c r="C2693" t="str">
        <f>IF(B2693&gt;=Walmart_Sales_raw_data!$C$6437,"High","low")</f>
        <v>High</v>
      </c>
    </row>
    <row r="2694" spans="1:3">
      <c r="A2694" s="1">
        <v>19</v>
      </c>
      <c r="B2694" s="2">
        <f>Walmart_Sales_raw_data!C2694</f>
        <v>1442873.22</v>
      </c>
      <c r="C2694" t="str">
        <f>IF(B2694&gt;=Walmart_Sales_raw_data!$C$6437,"High","low")</f>
        <v>High</v>
      </c>
    </row>
    <row r="2695" spans="1:3">
      <c r="A2695" s="3">
        <v>19</v>
      </c>
      <c r="B2695" s="2">
        <f>Walmart_Sales_raw_data!C2695</f>
        <v>1366937.1</v>
      </c>
      <c r="C2695" t="str">
        <f>IF(B2695&gt;=Walmart_Sales_raw_data!$C$6437,"High","low")</f>
        <v>High</v>
      </c>
    </row>
    <row r="2696" spans="1:3">
      <c r="A2696" s="1">
        <v>19</v>
      </c>
      <c r="B2696" s="2">
        <f>Walmart_Sales_raw_data!C2696</f>
        <v>1485540.28</v>
      </c>
      <c r="C2696" t="str">
        <f>IF(B2696&gt;=Walmart_Sales_raw_data!$C$6437,"High","low")</f>
        <v>High</v>
      </c>
    </row>
    <row r="2697" spans="1:3">
      <c r="A2697" s="3">
        <v>19</v>
      </c>
      <c r="B2697" s="2">
        <f>Walmart_Sales_raw_data!C2697</f>
        <v>1450733.29</v>
      </c>
      <c r="C2697" t="str">
        <f>IF(B2697&gt;=Walmart_Sales_raw_data!$C$6437,"High","low")</f>
        <v>High</v>
      </c>
    </row>
    <row r="2698" spans="1:3">
      <c r="A2698" s="1">
        <v>19</v>
      </c>
      <c r="B2698" s="2">
        <f>Walmart_Sales_raw_data!C2698</f>
        <v>1390122.11</v>
      </c>
      <c r="C2698" t="str">
        <f>IF(B2698&gt;=Walmart_Sales_raw_data!$C$6437,"High","low")</f>
        <v>High</v>
      </c>
    </row>
    <row r="2699" spans="1:3">
      <c r="A2699" s="3">
        <v>19</v>
      </c>
      <c r="B2699" s="2">
        <f>Walmart_Sales_raw_data!C2699</f>
        <v>1440263.15</v>
      </c>
      <c r="C2699" t="str">
        <f>IF(B2699&gt;=Walmart_Sales_raw_data!$C$6437,"High","low")</f>
        <v>High</v>
      </c>
    </row>
    <row r="2700" spans="1:3">
      <c r="A2700" s="1">
        <v>19</v>
      </c>
      <c r="B2700" s="2">
        <f>Walmart_Sales_raw_data!C2700</f>
        <v>1468350.36</v>
      </c>
      <c r="C2700" t="str">
        <f>IF(B2700&gt;=Walmart_Sales_raw_data!$C$6437,"High","low")</f>
        <v>High</v>
      </c>
    </row>
    <row r="2701" spans="1:3">
      <c r="A2701" s="3">
        <v>19</v>
      </c>
      <c r="B2701" s="2">
        <f>Walmart_Sales_raw_data!C2701</f>
        <v>1379652.65</v>
      </c>
      <c r="C2701" t="str">
        <f>IF(B2701&gt;=Walmart_Sales_raw_data!$C$6437,"High","low")</f>
        <v>High</v>
      </c>
    </row>
    <row r="2702" spans="1:3">
      <c r="A2702" s="1">
        <v>19</v>
      </c>
      <c r="B2702" s="2">
        <f>Walmart_Sales_raw_data!C2702</f>
        <v>1557120.44</v>
      </c>
      <c r="C2702" t="str">
        <f>IF(B2702&gt;=Walmart_Sales_raw_data!$C$6437,"High","low")</f>
        <v>High</v>
      </c>
    </row>
    <row r="2703" spans="1:3">
      <c r="A2703" s="3">
        <v>19</v>
      </c>
      <c r="B2703" s="2">
        <f>Walmart_Sales_raw_data!C2703</f>
        <v>1321741.35</v>
      </c>
      <c r="C2703" t="str">
        <f>IF(B2703&gt;=Walmart_Sales_raw_data!$C$6437,"High","low")</f>
        <v>High</v>
      </c>
    </row>
    <row r="2704" spans="1:3">
      <c r="A2704" s="1">
        <v>19</v>
      </c>
      <c r="B2704" s="2">
        <f>Walmart_Sales_raw_data!C2704</f>
        <v>1317672.92</v>
      </c>
      <c r="C2704" t="str">
        <f>IF(B2704&gt;=Walmart_Sales_raw_data!$C$6437,"High","low")</f>
        <v>High</v>
      </c>
    </row>
    <row r="2705" spans="1:3">
      <c r="A2705" s="3">
        <v>19</v>
      </c>
      <c r="B2705" s="2">
        <f>Walmart_Sales_raw_data!C2705</f>
        <v>1248915.43</v>
      </c>
      <c r="C2705" t="str">
        <f>IF(B2705&gt;=Walmart_Sales_raw_data!$C$6437,"High","low")</f>
        <v>High</v>
      </c>
    </row>
    <row r="2706" spans="1:3">
      <c r="A2706" s="1">
        <v>19</v>
      </c>
      <c r="B2706" s="2">
        <f>Walmart_Sales_raw_data!C2706</f>
        <v>1342123.78</v>
      </c>
      <c r="C2706" t="str">
        <f>IF(B2706&gt;=Walmart_Sales_raw_data!$C$6437,"High","low")</f>
        <v>High</v>
      </c>
    </row>
    <row r="2707" spans="1:3">
      <c r="A2707" s="3">
        <v>19</v>
      </c>
      <c r="B2707" s="2">
        <f>Walmart_Sales_raw_data!C2707</f>
        <v>1408907.89</v>
      </c>
      <c r="C2707" t="str">
        <f>IF(B2707&gt;=Walmart_Sales_raw_data!$C$6437,"High","low")</f>
        <v>High</v>
      </c>
    </row>
    <row r="2708" spans="1:3">
      <c r="A2708" s="1">
        <v>19</v>
      </c>
      <c r="B2708" s="2">
        <f>Walmart_Sales_raw_data!C2708</f>
        <v>1375101.26</v>
      </c>
      <c r="C2708" t="str">
        <f>IF(B2708&gt;=Walmart_Sales_raw_data!$C$6437,"High","low")</f>
        <v>High</v>
      </c>
    </row>
    <row r="2709" spans="1:3">
      <c r="A2709" s="3">
        <v>19</v>
      </c>
      <c r="B2709" s="2">
        <f>Walmart_Sales_raw_data!C2709</f>
        <v>1544653.37</v>
      </c>
      <c r="C2709" t="str">
        <f>IF(B2709&gt;=Walmart_Sales_raw_data!$C$6437,"High","low")</f>
        <v>High</v>
      </c>
    </row>
    <row r="2710" spans="1:3">
      <c r="A2710" s="1">
        <v>19</v>
      </c>
      <c r="B2710" s="2">
        <f>Walmart_Sales_raw_data!C2710</f>
        <v>1542719.87</v>
      </c>
      <c r="C2710" t="str">
        <f>IF(B2710&gt;=Walmart_Sales_raw_data!$C$6437,"High","low")</f>
        <v>High</v>
      </c>
    </row>
    <row r="2711" spans="1:3">
      <c r="A2711" s="3">
        <v>19</v>
      </c>
      <c r="B2711" s="2">
        <f>Walmart_Sales_raw_data!C2711</f>
        <v>1497073.82</v>
      </c>
      <c r="C2711" t="str">
        <f>IF(B2711&gt;=Walmart_Sales_raw_data!$C$6437,"High","low")</f>
        <v>High</v>
      </c>
    </row>
    <row r="2712" spans="1:3">
      <c r="A2712" s="1">
        <v>19</v>
      </c>
      <c r="B2712" s="2">
        <f>Walmart_Sales_raw_data!C2712</f>
        <v>1370653.41</v>
      </c>
      <c r="C2712" t="str">
        <f>IF(B2712&gt;=Walmart_Sales_raw_data!$C$6437,"High","low")</f>
        <v>High</v>
      </c>
    </row>
    <row r="2713" spans="1:3">
      <c r="A2713" s="3">
        <v>19</v>
      </c>
      <c r="B2713" s="2">
        <f>Walmart_Sales_raw_data!C2713</f>
        <v>1338572.29</v>
      </c>
      <c r="C2713" t="str">
        <f>IF(B2713&gt;=Walmart_Sales_raw_data!$C$6437,"High","low")</f>
        <v>High</v>
      </c>
    </row>
    <row r="2714" spans="1:3">
      <c r="A2714" s="1">
        <v>19</v>
      </c>
      <c r="B2714" s="2">
        <f>Walmart_Sales_raw_data!C2714</f>
        <v>1338299.02</v>
      </c>
      <c r="C2714" t="str">
        <f>IF(B2714&gt;=Walmart_Sales_raw_data!$C$6437,"High","low")</f>
        <v>High</v>
      </c>
    </row>
    <row r="2715" spans="1:3">
      <c r="A2715" s="3">
        <v>19</v>
      </c>
      <c r="B2715" s="2">
        <f>Walmart_Sales_raw_data!C2715</f>
        <v>1408016.1</v>
      </c>
      <c r="C2715" t="str">
        <f>IF(B2715&gt;=Walmart_Sales_raw_data!$C$6437,"High","low")</f>
        <v>High</v>
      </c>
    </row>
    <row r="2716" spans="1:3">
      <c r="A2716" s="1">
        <v>19</v>
      </c>
      <c r="B2716" s="2">
        <f>Walmart_Sales_raw_data!C2716</f>
        <v>1352809.5</v>
      </c>
      <c r="C2716" t="str">
        <f>IF(B2716&gt;=Walmart_Sales_raw_data!$C$6437,"High","low")</f>
        <v>High</v>
      </c>
    </row>
    <row r="2717" spans="1:3">
      <c r="A2717" s="3">
        <v>19</v>
      </c>
      <c r="B2717" s="2">
        <f>Walmart_Sales_raw_data!C2717</f>
        <v>1321102.35</v>
      </c>
      <c r="C2717" t="str">
        <f>IF(B2717&gt;=Walmart_Sales_raw_data!$C$6437,"High","low")</f>
        <v>High</v>
      </c>
    </row>
    <row r="2718" spans="1:3">
      <c r="A2718" s="1">
        <v>19</v>
      </c>
      <c r="B2718" s="2">
        <f>Walmart_Sales_raw_data!C2718</f>
        <v>1322117.96</v>
      </c>
      <c r="C2718" t="str">
        <f>IF(B2718&gt;=Walmart_Sales_raw_data!$C$6437,"High","low")</f>
        <v>High</v>
      </c>
    </row>
    <row r="2719" spans="1:3">
      <c r="A2719" s="3">
        <v>20</v>
      </c>
      <c r="B2719" s="2">
        <f>Walmart_Sales_raw_data!C2719</f>
        <v>2401395.47</v>
      </c>
      <c r="C2719" t="str">
        <f>IF(B2719&gt;=Walmart_Sales_raw_data!$C$6437,"High","low")</f>
        <v>High</v>
      </c>
    </row>
    <row r="2720" spans="1:3">
      <c r="A2720" s="1">
        <v>20</v>
      </c>
      <c r="B2720" s="2">
        <f>Walmart_Sales_raw_data!C2720</f>
        <v>2109107.9</v>
      </c>
      <c r="C2720" t="str">
        <f>IF(B2720&gt;=Walmart_Sales_raw_data!$C$6437,"High","low")</f>
        <v>High</v>
      </c>
    </row>
    <row r="2721" spans="1:3">
      <c r="A2721" s="3">
        <v>20</v>
      </c>
      <c r="B2721" s="2">
        <f>Walmart_Sales_raw_data!C2721</f>
        <v>2161549.76</v>
      </c>
      <c r="C2721" t="str">
        <f>IF(B2721&gt;=Walmart_Sales_raw_data!$C$6437,"High","low")</f>
        <v>High</v>
      </c>
    </row>
    <row r="2722" spans="1:3">
      <c r="A2722" s="1">
        <v>20</v>
      </c>
      <c r="B2722" s="2">
        <f>Walmart_Sales_raw_data!C2722</f>
        <v>1898193.95</v>
      </c>
      <c r="C2722" t="str">
        <f>IF(B2722&gt;=Walmart_Sales_raw_data!$C$6437,"High","low")</f>
        <v>High</v>
      </c>
    </row>
    <row r="2723" spans="1:3">
      <c r="A2723" s="3">
        <v>20</v>
      </c>
      <c r="B2723" s="2">
        <f>Walmart_Sales_raw_data!C2723</f>
        <v>2119213.72</v>
      </c>
      <c r="C2723" t="str">
        <f>IF(B2723&gt;=Walmart_Sales_raw_data!$C$6437,"High","low")</f>
        <v>High</v>
      </c>
    </row>
    <row r="2724" spans="1:3">
      <c r="A2724" s="1">
        <v>20</v>
      </c>
      <c r="B2724" s="2">
        <f>Walmart_Sales_raw_data!C2724</f>
        <v>2010974.84</v>
      </c>
      <c r="C2724" t="str">
        <f>IF(B2724&gt;=Walmart_Sales_raw_data!$C$6437,"High","low")</f>
        <v>High</v>
      </c>
    </row>
    <row r="2725" spans="1:3">
      <c r="A2725" s="3">
        <v>20</v>
      </c>
      <c r="B2725" s="2">
        <f>Walmart_Sales_raw_data!C2725</f>
        <v>1951848.43</v>
      </c>
      <c r="C2725" t="str">
        <f>IF(B2725&gt;=Walmart_Sales_raw_data!$C$6437,"High","low")</f>
        <v>High</v>
      </c>
    </row>
    <row r="2726" spans="1:3">
      <c r="A2726" s="1">
        <v>20</v>
      </c>
      <c r="B2726" s="2">
        <f>Walmart_Sales_raw_data!C2726</f>
        <v>1894742.95</v>
      </c>
      <c r="C2726" t="str">
        <f>IF(B2726&gt;=Walmart_Sales_raw_data!$C$6437,"High","low")</f>
        <v>High</v>
      </c>
    </row>
    <row r="2727" spans="1:3">
      <c r="A2727" s="3">
        <v>20</v>
      </c>
      <c r="B2727" s="2">
        <f>Walmart_Sales_raw_data!C2727</f>
        <v>2405395.22</v>
      </c>
      <c r="C2727" t="str">
        <f>IF(B2727&gt;=Walmart_Sales_raw_data!$C$6437,"High","low")</f>
        <v>High</v>
      </c>
    </row>
    <row r="2728" spans="1:3">
      <c r="A2728" s="1">
        <v>20</v>
      </c>
      <c r="B2728" s="2">
        <f>Walmart_Sales_raw_data!C2728</f>
        <v>2007796.26</v>
      </c>
      <c r="C2728" t="str">
        <f>IF(B2728&gt;=Walmart_Sales_raw_data!$C$6437,"High","low")</f>
        <v>High</v>
      </c>
    </row>
    <row r="2729" spans="1:3">
      <c r="A2729" s="3">
        <v>20</v>
      </c>
      <c r="B2729" s="2">
        <f>Walmart_Sales_raw_data!C2729</f>
        <v>1985784.59</v>
      </c>
      <c r="C2729" t="str">
        <f>IF(B2729&gt;=Walmart_Sales_raw_data!$C$6437,"High","low")</f>
        <v>High</v>
      </c>
    </row>
    <row r="2730" spans="1:3">
      <c r="A2730" s="1">
        <v>20</v>
      </c>
      <c r="B2730" s="2">
        <f>Walmart_Sales_raw_data!C2730</f>
        <v>1878862.42</v>
      </c>
      <c r="C2730" t="str">
        <f>IF(B2730&gt;=Walmart_Sales_raw_data!$C$6437,"High","low")</f>
        <v>High</v>
      </c>
    </row>
    <row r="2731" spans="1:3">
      <c r="A2731" s="3">
        <v>20</v>
      </c>
      <c r="B2731" s="2">
        <f>Walmart_Sales_raw_data!C2731</f>
        <v>1919053.21</v>
      </c>
      <c r="C2731" t="str">
        <f>IF(B2731&gt;=Walmart_Sales_raw_data!$C$6437,"High","low")</f>
        <v>High</v>
      </c>
    </row>
    <row r="2732" spans="1:3">
      <c r="A2732" s="1">
        <v>20</v>
      </c>
      <c r="B2732" s="2">
        <f>Walmart_Sales_raw_data!C2732</f>
        <v>2137202.38</v>
      </c>
      <c r="C2732" t="str">
        <f>IF(B2732&gt;=Walmart_Sales_raw_data!$C$6437,"High","low")</f>
        <v>High</v>
      </c>
    </row>
    <row r="2733" spans="1:3">
      <c r="A2733" s="3">
        <v>20</v>
      </c>
      <c r="B2733" s="2">
        <f>Walmart_Sales_raw_data!C2733</f>
        <v>2033211.62</v>
      </c>
      <c r="C2733" t="str">
        <f>IF(B2733&gt;=Walmart_Sales_raw_data!$C$6437,"High","low")</f>
        <v>High</v>
      </c>
    </row>
    <row r="2734" spans="1:3">
      <c r="A2734" s="1">
        <v>20</v>
      </c>
      <c r="B2734" s="2">
        <f>Walmart_Sales_raw_data!C2734</f>
        <v>1893736.9</v>
      </c>
      <c r="C2734" t="str">
        <f>IF(B2734&gt;=Walmart_Sales_raw_data!$C$6437,"High","low")</f>
        <v>High</v>
      </c>
    </row>
    <row r="2735" spans="1:3">
      <c r="A2735" s="3">
        <v>20</v>
      </c>
      <c r="B2735" s="2">
        <f>Walmart_Sales_raw_data!C2735</f>
        <v>2065984.95</v>
      </c>
      <c r="C2735" t="str">
        <f>IF(B2735&gt;=Walmart_Sales_raw_data!$C$6437,"High","low")</f>
        <v>High</v>
      </c>
    </row>
    <row r="2736" spans="1:3">
      <c r="A2736" s="1">
        <v>20</v>
      </c>
      <c r="B2736" s="2">
        <f>Walmart_Sales_raw_data!C2736</f>
        <v>2203619.35</v>
      </c>
      <c r="C2736" t="str">
        <f>IF(B2736&gt;=Walmart_Sales_raw_data!$C$6437,"High","low")</f>
        <v>High</v>
      </c>
    </row>
    <row r="2737" spans="1:3">
      <c r="A2737" s="3">
        <v>20</v>
      </c>
      <c r="B2737" s="2">
        <f>Walmart_Sales_raw_data!C2737</f>
        <v>2100489.79</v>
      </c>
      <c r="C2737" t="str">
        <f>IF(B2737&gt;=Walmart_Sales_raw_data!$C$6437,"High","low")</f>
        <v>High</v>
      </c>
    </row>
    <row r="2738" spans="1:3">
      <c r="A2738" s="1">
        <v>20</v>
      </c>
      <c r="B2738" s="2">
        <f>Walmart_Sales_raw_data!C2738</f>
        <v>2091903.63</v>
      </c>
      <c r="C2738" t="str">
        <f>IF(B2738&gt;=Walmart_Sales_raw_data!$C$6437,"High","low")</f>
        <v>High</v>
      </c>
    </row>
    <row r="2739" spans="1:3">
      <c r="A2739" s="3">
        <v>20</v>
      </c>
      <c r="B2739" s="2">
        <f>Walmart_Sales_raw_data!C2739</f>
        <v>1973135.87</v>
      </c>
      <c r="C2739" t="str">
        <f>IF(B2739&gt;=Walmart_Sales_raw_data!$C$6437,"High","low")</f>
        <v>High</v>
      </c>
    </row>
    <row r="2740" spans="1:3">
      <c r="A2740" s="1">
        <v>20</v>
      </c>
      <c r="B2740" s="2">
        <f>Walmart_Sales_raw_data!C2740</f>
        <v>2143676.77</v>
      </c>
      <c r="C2740" t="str">
        <f>IF(B2740&gt;=Walmart_Sales_raw_data!$C$6437,"High","low")</f>
        <v>High</v>
      </c>
    </row>
    <row r="2741" spans="1:3">
      <c r="A2741" s="3">
        <v>20</v>
      </c>
      <c r="B2741" s="2">
        <f>Walmart_Sales_raw_data!C2741</f>
        <v>2107285.85</v>
      </c>
      <c r="C2741" t="str">
        <f>IF(B2741&gt;=Walmart_Sales_raw_data!$C$6437,"High","low")</f>
        <v>High</v>
      </c>
    </row>
    <row r="2742" spans="1:3">
      <c r="A2742" s="1">
        <v>20</v>
      </c>
      <c r="B2742" s="2">
        <f>Walmart_Sales_raw_data!C2742</f>
        <v>2031852.16</v>
      </c>
      <c r="C2742" t="str">
        <f>IF(B2742&gt;=Walmart_Sales_raw_data!$C$6437,"High","low")</f>
        <v>High</v>
      </c>
    </row>
    <row r="2743" spans="1:3">
      <c r="A2743" s="3">
        <v>20</v>
      </c>
      <c r="B2743" s="2">
        <f>Walmart_Sales_raw_data!C2743</f>
        <v>1900535.9</v>
      </c>
      <c r="C2743" t="str">
        <f>IF(B2743&gt;=Walmart_Sales_raw_data!$C$6437,"High","low")</f>
        <v>High</v>
      </c>
    </row>
    <row r="2744" spans="1:3">
      <c r="A2744" s="1">
        <v>20</v>
      </c>
      <c r="B2744" s="2">
        <f>Walmart_Sales_raw_data!C2744</f>
        <v>1955896.59</v>
      </c>
      <c r="C2744" t="str">
        <f>IF(B2744&gt;=Walmart_Sales_raw_data!$C$6437,"High","low")</f>
        <v>High</v>
      </c>
    </row>
    <row r="2745" spans="1:3">
      <c r="A2745" s="3">
        <v>20</v>
      </c>
      <c r="B2745" s="2">
        <f>Walmart_Sales_raw_data!C2745</f>
        <v>1910177.38</v>
      </c>
      <c r="C2745" t="str">
        <f>IF(B2745&gt;=Walmart_Sales_raw_data!$C$6437,"High","low")</f>
        <v>High</v>
      </c>
    </row>
    <row r="2746" spans="1:3">
      <c r="A2746" s="1">
        <v>20</v>
      </c>
      <c r="B2746" s="2">
        <f>Walmart_Sales_raw_data!C2746</f>
        <v>2071022.45</v>
      </c>
      <c r="C2746" t="str">
        <f>IF(B2746&gt;=Walmart_Sales_raw_data!$C$6437,"High","low")</f>
        <v>High</v>
      </c>
    </row>
    <row r="2747" spans="1:3">
      <c r="A2747" s="3">
        <v>20</v>
      </c>
      <c r="B2747" s="2">
        <f>Walmart_Sales_raw_data!C2747</f>
        <v>1975374.56</v>
      </c>
      <c r="C2747" t="str">
        <f>IF(B2747&gt;=Walmart_Sales_raw_data!$C$6437,"High","low")</f>
        <v>High</v>
      </c>
    </row>
    <row r="2748" spans="1:3">
      <c r="A2748" s="1">
        <v>20</v>
      </c>
      <c r="B2748" s="2">
        <f>Walmart_Sales_raw_data!C2748</f>
        <v>1946369.57</v>
      </c>
      <c r="C2748" t="str">
        <f>IF(B2748&gt;=Walmart_Sales_raw_data!$C$6437,"High","low")</f>
        <v>High</v>
      </c>
    </row>
    <row r="2749" spans="1:3">
      <c r="A2749" s="3">
        <v>20</v>
      </c>
      <c r="B2749" s="2">
        <f>Walmart_Sales_raw_data!C2749</f>
        <v>2121561.41</v>
      </c>
      <c r="C2749" t="str">
        <f>IF(B2749&gt;=Walmart_Sales_raw_data!$C$6437,"High","low")</f>
        <v>High</v>
      </c>
    </row>
    <row r="2750" spans="1:3">
      <c r="A2750" s="1">
        <v>20</v>
      </c>
      <c r="B2750" s="2">
        <f>Walmart_Sales_raw_data!C2750</f>
        <v>2014954.79</v>
      </c>
      <c r="C2750" t="str">
        <f>IF(B2750&gt;=Walmart_Sales_raw_data!$C$6437,"High","low")</f>
        <v>High</v>
      </c>
    </row>
    <row r="2751" spans="1:3">
      <c r="A2751" s="3">
        <v>20</v>
      </c>
      <c r="B2751" s="2">
        <f>Walmart_Sales_raw_data!C2751</f>
        <v>1948359.78</v>
      </c>
      <c r="C2751" t="str">
        <f>IF(B2751&gt;=Walmart_Sales_raw_data!$C$6437,"High","low")</f>
        <v>High</v>
      </c>
    </row>
    <row r="2752" spans="1:3">
      <c r="A2752" s="1">
        <v>20</v>
      </c>
      <c r="B2752" s="2">
        <f>Walmart_Sales_raw_data!C2752</f>
        <v>1789687.65</v>
      </c>
      <c r="C2752" t="str">
        <f>IF(B2752&gt;=Walmart_Sales_raw_data!$C$6437,"High","low")</f>
        <v>High</v>
      </c>
    </row>
    <row r="2753" spans="1:3">
      <c r="A2753" s="3">
        <v>20</v>
      </c>
      <c r="B2753" s="2">
        <f>Walmart_Sales_raw_data!C2753</f>
        <v>1933719.21</v>
      </c>
      <c r="C2753" t="str">
        <f>IF(B2753&gt;=Walmart_Sales_raw_data!$C$6437,"High","low")</f>
        <v>High</v>
      </c>
    </row>
    <row r="2754" spans="1:3">
      <c r="A2754" s="1">
        <v>20</v>
      </c>
      <c r="B2754" s="2">
        <f>Walmart_Sales_raw_data!C2754</f>
        <v>2060389.27</v>
      </c>
      <c r="C2754" t="str">
        <f>IF(B2754&gt;=Walmart_Sales_raw_data!$C$6437,"High","low")</f>
        <v>High</v>
      </c>
    </row>
    <row r="2755" spans="1:3">
      <c r="A2755" s="3">
        <v>20</v>
      </c>
      <c r="B2755" s="2">
        <f>Walmart_Sales_raw_data!C2755</f>
        <v>1950676.39</v>
      </c>
      <c r="C2755" t="str">
        <f>IF(B2755&gt;=Walmart_Sales_raw_data!$C$6437,"High","low")</f>
        <v>High</v>
      </c>
    </row>
    <row r="2756" spans="1:3">
      <c r="A2756" s="1">
        <v>20</v>
      </c>
      <c r="B2756" s="2">
        <f>Walmart_Sales_raw_data!C2756</f>
        <v>1893955.27</v>
      </c>
      <c r="C2756" t="str">
        <f>IF(B2756&gt;=Walmart_Sales_raw_data!$C$6437,"High","low")</f>
        <v>High</v>
      </c>
    </row>
    <row r="2757" spans="1:3">
      <c r="A2757" s="3">
        <v>20</v>
      </c>
      <c r="B2757" s="2">
        <f>Walmart_Sales_raw_data!C2757</f>
        <v>1891816</v>
      </c>
      <c r="C2757" t="str">
        <f>IF(B2757&gt;=Walmart_Sales_raw_data!$C$6437,"High","low")</f>
        <v>High</v>
      </c>
    </row>
    <row r="2758" spans="1:3">
      <c r="A2758" s="1">
        <v>20</v>
      </c>
      <c r="B2758" s="2">
        <f>Walmart_Sales_raw_data!C2758</f>
        <v>2184316.64</v>
      </c>
      <c r="C2758" t="str">
        <f>IF(B2758&gt;=Walmart_Sales_raw_data!$C$6437,"High","low")</f>
        <v>High</v>
      </c>
    </row>
    <row r="2759" spans="1:3">
      <c r="A2759" s="3">
        <v>20</v>
      </c>
      <c r="B2759" s="2">
        <f>Walmart_Sales_raw_data!C2759</f>
        <v>2187765.28</v>
      </c>
      <c r="C2759" t="str">
        <f>IF(B2759&gt;=Walmart_Sales_raw_data!$C$6437,"High","low")</f>
        <v>High</v>
      </c>
    </row>
    <row r="2760" spans="1:3">
      <c r="A2760" s="1">
        <v>20</v>
      </c>
      <c r="B2760" s="2">
        <f>Walmart_Sales_raw_data!C2760</f>
        <v>2105058.91</v>
      </c>
      <c r="C2760" t="str">
        <f>IF(B2760&gt;=Walmart_Sales_raw_data!$C$6437,"High","low")</f>
        <v>High</v>
      </c>
    </row>
    <row r="2761" spans="1:3">
      <c r="A2761" s="3">
        <v>20</v>
      </c>
      <c r="B2761" s="2">
        <f>Walmart_Sales_raw_data!C2761</f>
        <v>2811634.04</v>
      </c>
      <c r="C2761" t="str">
        <f>IF(B2761&gt;=Walmart_Sales_raw_data!$C$6437,"High","low")</f>
        <v>High</v>
      </c>
    </row>
    <row r="2762" spans="1:3">
      <c r="A2762" s="1">
        <v>20</v>
      </c>
      <c r="B2762" s="2">
        <f>Walmart_Sales_raw_data!C2762</f>
        <v>2416051.17</v>
      </c>
      <c r="C2762" t="str">
        <f>IF(B2762&gt;=Walmart_Sales_raw_data!$C$6437,"High","low")</f>
        <v>High</v>
      </c>
    </row>
    <row r="2763" spans="1:3">
      <c r="A2763" s="3">
        <v>20</v>
      </c>
      <c r="B2763" s="2">
        <f>Walmart_Sales_raw_data!C2763</f>
        <v>2752122.08</v>
      </c>
      <c r="C2763" t="str">
        <f>IF(B2763&gt;=Walmart_Sales_raw_data!$C$6437,"High","low")</f>
        <v>High</v>
      </c>
    </row>
    <row r="2764" spans="1:3">
      <c r="A2764" s="1">
        <v>20</v>
      </c>
      <c r="B2764" s="2">
        <f>Walmart_Sales_raw_data!C2764</f>
        <v>2819193.17</v>
      </c>
      <c r="C2764" t="str">
        <f>IF(B2764&gt;=Walmart_Sales_raw_data!$C$6437,"High","low")</f>
        <v>High</v>
      </c>
    </row>
    <row r="2765" spans="1:3">
      <c r="A2765" s="3">
        <v>20</v>
      </c>
      <c r="B2765" s="2">
        <f>Walmart_Sales_raw_data!C2765</f>
        <v>3766687.43</v>
      </c>
      <c r="C2765" t="str">
        <f>IF(B2765&gt;=Walmart_Sales_raw_data!$C$6437,"High","low")</f>
        <v>High</v>
      </c>
    </row>
    <row r="2766" spans="1:3">
      <c r="A2766" s="1">
        <v>20</v>
      </c>
      <c r="B2766" s="2">
        <f>Walmart_Sales_raw_data!C2766</f>
        <v>1799737.79</v>
      </c>
      <c r="C2766" t="str">
        <f>IF(B2766&gt;=Walmart_Sales_raw_data!$C$6437,"High","low")</f>
        <v>High</v>
      </c>
    </row>
    <row r="2767" spans="1:3">
      <c r="A2767" s="3">
        <v>20</v>
      </c>
      <c r="B2767" s="2">
        <f>Walmart_Sales_raw_data!C2767</f>
        <v>1843030.95</v>
      </c>
      <c r="C2767" t="str">
        <f>IF(B2767&gt;=Walmart_Sales_raw_data!$C$6437,"High","low")</f>
        <v>High</v>
      </c>
    </row>
    <row r="2768" spans="1:3">
      <c r="A2768" s="1">
        <v>20</v>
      </c>
      <c r="B2768" s="2">
        <f>Walmart_Sales_raw_data!C2768</f>
        <v>1884345.01</v>
      </c>
      <c r="C2768" t="str">
        <f>IF(B2768&gt;=Walmart_Sales_raw_data!$C$6437,"High","low")</f>
        <v>High</v>
      </c>
    </row>
    <row r="2769" spans="1:3">
      <c r="A2769" s="3">
        <v>20</v>
      </c>
      <c r="B2769" s="2">
        <f>Walmart_Sales_raw_data!C2769</f>
        <v>1781805.66</v>
      </c>
      <c r="C2769" t="str">
        <f>IF(B2769&gt;=Walmart_Sales_raw_data!$C$6437,"High","low")</f>
        <v>High</v>
      </c>
    </row>
    <row r="2770" spans="1:3">
      <c r="A2770" s="1">
        <v>20</v>
      </c>
      <c r="B2770" s="2">
        <f>Walmart_Sales_raw_data!C2770</f>
        <v>1761506.68</v>
      </c>
      <c r="C2770" t="str">
        <f>IF(B2770&gt;=Walmart_Sales_raw_data!$C$6437,"High","low")</f>
        <v>High</v>
      </c>
    </row>
    <row r="2771" spans="1:3">
      <c r="A2771" s="3">
        <v>20</v>
      </c>
      <c r="B2771" s="2">
        <f>Walmart_Sales_raw_data!C2771</f>
        <v>2351143.07</v>
      </c>
      <c r="C2771" t="str">
        <f>IF(B2771&gt;=Walmart_Sales_raw_data!$C$6437,"High","low")</f>
        <v>High</v>
      </c>
    </row>
    <row r="2772" spans="1:3">
      <c r="A2772" s="1">
        <v>20</v>
      </c>
      <c r="B2772" s="2">
        <f>Walmart_Sales_raw_data!C2772</f>
        <v>2211388.14</v>
      </c>
      <c r="C2772" t="str">
        <f>IF(B2772&gt;=Walmart_Sales_raw_data!$C$6437,"High","low")</f>
        <v>High</v>
      </c>
    </row>
    <row r="2773" spans="1:3">
      <c r="A2773" s="3">
        <v>20</v>
      </c>
      <c r="B2773" s="2">
        <f>Walmart_Sales_raw_data!C2773</f>
        <v>2258616.24</v>
      </c>
      <c r="C2773" t="str">
        <f>IF(B2773&gt;=Walmart_Sales_raw_data!$C$6437,"High","low")</f>
        <v>High</v>
      </c>
    </row>
    <row r="2774" spans="1:3">
      <c r="A2774" s="1">
        <v>20</v>
      </c>
      <c r="B2774" s="2">
        <f>Walmart_Sales_raw_data!C2774</f>
        <v>1938608.52</v>
      </c>
      <c r="C2774" t="str">
        <f>IF(B2774&gt;=Walmart_Sales_raw_data!$C$6437,"High","low")</f>
        <v>High</v>
      </c>
    </row>
    <row r="2775" spans="1:3">
      <c r="A2775" s="3">
        <v>20</v>
      </c>
      <c r="B2775" s="2">
        <f>Walmart_Sales_raw_data!C2775</f>
        <v>2143424.61</v>
      </c>
      <c r="C2775" t="str">
        <f>IF(B2775&gt;=Walmart_Sales_raw_data!$C$6437,"High","low")</f>
        <v>High</v>
      </c>
    </row>
    <row r="2776" spans="1:3">
      <c r="A2776" s="1">
        <v>20</v>
      </c>
      <c r="B2776" s="2">
        <f>Walmart_Sales_raw_data!C2776</f>
        <v>1990932.77</v>
      </c>
      <c r="C2776" t="str">
        <f>IF(B2776&gt;=Walmart_Sales_raw_data!$C$6437,"High","low")</f>
        <v>High</v>
      </c>
    </row>
    <row r="2777" spans="1:3">
      <c r="A2777" s="3">
        <v>20</v>
      </c>
      <c r="B2777" s="2">
        <f>Walmart_Sales_raw_data!C2777</f>
        <v>1931668.64</v>
      </c>
      <c r="C2777" t="str">
        <f>IF(B2777&gt;=Walmart_Sales_raw_data!$C$6437,"High","low")</f>
        <v>High</v>
      </c>
    </row>
    <row r="2778" spans="1:3">
      <c r="A2778" s="1">
        <v>20</v>
      </c>
      <c r="B2778" s="2">
        <f>Walmart_Sales_raw_data!C2778</f>
        <v>1824711.21</v>
      </c>
      <c r="C2778" t="str">
        <f>IF(B2778&gt;=Walmart_Sales_raw_data!$C$6437,"High","low")</f>
        <v>High</v>
      </c>
    </row>
    <row r="2779" spans="1:3">
      <c r="A2779" s="3">
        <v>20</v>
      </c>
      <c r="B2779" s="2">
        <f>Walmart_Sales_raw_data!C2779</f>
        <v>1927993.09</v>
      </c>
      <c r="C2779" t="str">
        <f>IF(B2779&gt;=Walmart_Sales_raw_data!$C$6437,"High","low")</f>
        <v>High</v>
      </c>
    </row>
    <row r="2780" spans="1:3">
      <c r="A2780" s="1">
        <v>20</v>
      </c>
      <c r="B2780" s="2">
        <f>Walmart_Sales_raw_data!C2780</f>
        <v>2027056.39</v>
      </c>
      <c r="C2780" t="str">
        <f>IF(B2780&gt;=Walmart_Sales_raw_data!$C$6437,"High","low")</f>
        <v>High</v>
      </c>
    </row>
    <row r="2781" spans="1:3">
      <c r="A2781" s="3">
        <v>20</v>
      </c>
      <c r="B2781" s="2">
        <f>Walmart_Sales_raw_data!C2781</f>
        <v>2057406.33</v>
      </c>
      <c r="C2781" t="str">
        <f>IF(B2781&gt;=Walmart_Sales_raw_data!$C$6437,"High","low")</f>
        <v>High</v>
      </c>
    </row>
    <row r="2782" spans="1:3">
      <c r="A2782" s="1">
        <v>20</v>
      </c>
      <c r="B2782" s="2">
        <f>Walmart_Sales_raw_data!C2782</f>
        <v>2313861.81</v>
      </c>
      <c r="C2782" t="str">
        <f>IF(B2782&gt;=Walmart_Sales_raw_data!$C$6437,"High","low")</f>
        <v>High</v>
      </c>
    </row>
    <row r="2783" spans="1:3">
      <c r="A2783" s="3">
        <v>20</v>
      </c>
      <c r="B2783" s="2">
        <f>Walmart_Sales_raw_data!C2783</f>
        <v>1881788.19</v>
      </c>
      <c r="C2783" t="str">
        <f>IF(B2783&gt;=Walmart_Sales_raw_data!$C$6437,"High","low")</f>
        <v>High</v>
      </c>
    </row>
    <row r="2784" spans="1:3">
      <c r="A2784" s="1">
        <v>20</v>
      </c>
      <c r="B2784" s="2">
        <f>Walmart_Sales_raw_data!C2784</f>
        <v>2090838.44</v>
      </c>
      <c r="C2784" t="str">
        <f>IF(B2784&gt;=Walmart_Sales_raw_data!$C$6437,"High","low")</f>
        <v>High</v>
      </c>
    </row>
    <row r="2785" spans="1:3">
      <c r="A2785" s="3">
        <v>20</v>
      </c>
      <c r="B2785" s="2">
        <f>Walmart_Sales_raw_data!C2785</f>
        <v>2036748.53</v>
      </c>
      <c r="C2785" t="str">
        <f>IF(B2785&gt;=Walmart_Sales_raw_data!$C$6437,"High","low")</f>
        <v>High</v>
      </c>
    </row>
    <row r="2786" spans="1:3">
      <c r="A2786" s="1">
        <v>20</v>
      </c>
      <c r="B2786" s="2">
        <f>Walmart_Sales_raw_data!C2786</f>
        <v>1953416.06</v>
      </c>
      <c r="C2786" t="str">
        <f>IF(B2786&gt;=Walmart_Sales_raw_data!$C$6437,"High","low")</f>
        <v>High</v>
      </c>
    </row>
    <row r="2787" spans="1:3">
      <c r="A2787" s="3">
        <v>20</v>
      </c>
      <c r="B2787" s="2">
        <f>Walmart_Sales_raw_data!C2787</f>
        <v>1944433.17</v>
      </c>
      <c r="C2787" t="str">
        <f>IF(B2787&gt;=Walmart_Sales_raw_data!$C$6437,"High","low")</f>
        <v>High</v>
      </c>
    </row>
    <row r="2788" spans="1:3">
      <c r="A2788" s="1">
        <v>20</v>
      </c>
      <c r="B2788" s="2">
        <f>Walmart_Sales_raw_data!C2788</f>
        <v>2182246.69</v>
      </c>
      <c r="C2788" t="str">
        <f>IF(B2788&gt;=Walmart_Sales_raw_data!$C$6437,"High","low")</f>
        <v>High</v>
      </c>
    </row>
    <row r="2789" spans="1:3">
      <c r="A2789" s="3">
        <v>20</v>
      </c>
      <c r="B2789" s="2">
        <f>Walmart_Sales_raw_data!C2789</f>
        <v>2135062.04</v>
      </c>
      <c r="C2789" t="str">
        <f>IF(B2789&gt;=Walmart_Sales_raw_data!$C$6437,"High","low")</f>
        <v>High</v>
      </c>
    </row>
    <row r="2790" spans="1:3">
      <c r="A2790" s="1">
        <v>20</v>
      </c>
      <c r="B2790" s="2">
        <f>Walmart_Sales_raw_data!C2790</f>
        <v>2065191.27</v>
      </c>
      <c r="C2790" t="str">
        <f>IF(B2790&gt;=Walmart_Sales_raw_data!$C$6437,"High","low")</f>
        <v>High</v>
      </c>
    </row>
    <row r="2791" spans="1:3">
      <c r="A2791" s="3">
        <v>20</v>
      </c>
      <c r="B2791" s="2">
        <f>Walmart_Sales_raw_data!C2791</f>
        <v>1950826.32</v>
      </c>
      <c r="C2791" t="str">
        <f>IF(B2791&gt;=Walmart_Sales_raw_data!$C$6437,"High","low")</f>
        <v>High</v>
      </c>
    </row>
    <row r="2792" spans="1:3">
      <c r="A2792" s="1">
        <v>20</v>
      </c>
      <c r="B2792" s="2">
        <f>Walmart_Sales_raw_data!C2792</f>
        <v>2053165.41</v>
      </c>
      <c r="C2792" t="str">
        <f>IF(B2792&gt;=Walmart_Sales_raw_data!$C$6437,"High","low")</f>
        <v>High</v>
      </c>
    </row>
    <row r="2793" spans="1:3">
      <c r="A2793" s="3">
        <v>20</v>
      </c>
      <c r="B2793" s="2">
        <f>Walmart_Sales_raw_data!C2793</f>
        <v>2123787.79</v>
      </c>
      <c r="C2793" t="str">
        <f>IF(B2793&gt;=Walmart_Sales_raw_data!$C$6437,"High","low")</f>
        <v>High</v>
      </c>
    </row>
    <row r="2794" spans="1:3">
      <c r="A2794" s="1">
        <v>20</v>
      </c>
      <c r="B2794" s="2">
        <f>Walmart_Sales_raw_data!C2794</f>
        <v>2039875.75</v>
      </c>
      <c r="C2794" t="str">
        <f>IF(B2794&gt;=Walmart_Sales_raw_data!$C$6437,"High","low")</f>
        <v>High</v>
      </c>
    </row>
    <row r="2795" spans="1:3">
      <c r="A2795" s="3">
        <v>20</v>
      </c>
      <c r="B2795" s="2">
        <f>Walmart_Sales_raw_data!C2795</f>
        <v>1950904.84</v>
      </c>
      <c r="C2795" t="str">
        <f>IF(B2795&gt;=Walmart_Sales_raw_data!$C$6437,"High","low")</f>
        <v>High</v>
      </c>
    </row>
    <row r="2796" spans="1:3">
      <c r="A2796" s="1">
        <v>20</v>
      </c>
      <c r="B2796" s="2">
        <f>Walmart_Sales_raw_data!C2796</f>
        <v>1858440.92</v>
      </c>
      <c r="C2796" t="str">
        <f>IF(B2796&gt;=Walmart_Sales_raw_data!$C$6437,"High","low")</f>
        <v>High</v>
      </c>
    </row>
    <row r="2797" spans="1:3">
      <c r="A2797" s="3">
        <v>20</v>
      </c>
      <c r="B2797" s="2">
        <f>Walmart_Sales_raw_data!C2797</f>
        <v>2189353.63</v>
      </c>
      <c r="C2797" t="str">
        <f>IF(B2797&gt;=Walmart_Sales_raw_data!$C$6437,"High","low")</f>
        <v>High</v>
      </c>
    </row>
    <row r="2798" spans="1:3">
      <c r="A2798" s="1">
        <v>20</v>
      </c>
      <c r="B2798" s="2">
        <f>Walmart_Sales_raw_data!C2798</f>
        <v>2052246.4</v>
      </c>
      <c r="C2798" t="str">
        <f>IF(B2798&gt;=Walmart_Sales_raw_data!$C$6437,"High","low")</f>
        <v>High</v>
      </c>
    </row>
    <row r="2799" spans="1:3">
      <c r="A2799" s="3">
        <v>20</v>
      </c>
      <c r="B2799" s="2">
        <f>Walmart_Sales_raw_data!C2799</f>
        <v>1990017.93</v>
      </c>
      <c r="C2799" t="str">
        <f>IF(B2799&gt;=Walmart_Sales_raw_data!$C$6437,"High","low")</f>
        <v>High</v>
      </c>
    </row>
    <row r="2800" spans="1:3">
      <c r="A2800" s="1">
        <v>20</v>
      </c>
      <c r="B2800" s="2">
        <f>Walmart_Sales_raw_data!C2800</f>
        <v>1933577.2</v>
      </c>
      <c r="C2800" t="str">
        <f>IF(B2800&gt;=Walmart_Sales_raw_data!$C$6437,"High","low")</f>
        <v>High</v>
      </c>
    </row>
    <row r="2801" spans="1:3">
      <c r="A2801" s="3">
        <v>20</v>
      </c>
      <c r="B2801" s="2">
        <f>Walmart_Sales_raw_data!C2801</f>
        <v>2141765.98</v>
      </c>
      <c r="C2801" t="str">
        <f>IF(B2801&gt;=Walmart_Sales_raw_data!$C$6437,"High","low")</f>
        <v>High</v>
      </c>
    </row>
    <row r="2802" spans="1:3">
      <c r="A2802" s="1">
        <v>20</v>
      </c>
      <c r="B2802" s="2">
        <f>Walmart_Sales_raw_data!C2802</f>
        <v>2050542.56</v>
      </c>
      <c r="C2802" t="str">
        <f>IF(B2802&gt;=Walmart_Sales_raw_data!$C$6437,"High","low")</f>
        <v>High</v>
      </c>
    </row>
    <row r="2803" spans="1:3">
      <c r="A2803" s="3">
        <v>20</v>
      </c>
      <c r="B2803" s="2">
        <f>Walmart_Sales_raw_data!C2803</f>
        <v>1979009.46</v>
      </c>
      <c r="C2803" t="str">
        <f>IF(B2803&gt;=Walmart_Sales_raw_data!$C$6437,"High","low")</f>
        <v>High</v>
      </c>
    </row>
    <row r="2804" spans="1:3">
      <c r="A2804" s="1">
        <v>20</v>
      </c>
      <c r="B2804" s="2">
        <f>Walmart_Sales_raw_data!C2804</f>
        <v>1888119.7</v>
      </c>
      <c r="C2804" t="str">
        <f>IF(B2804&gt;=Walmart_Sales_raw_data!$C$6437,"High","low")</f>
        <v>High</v>
      </c>
    </row>
    <row r="2805" spans="1:3">
      <c r="A2805" s="3">
        <v>20</v>
      </c>
      <c r="B2805" s="2">
        <f>Walmart_Sales_raw_data!C2805</f>
        <v>1945808.26</v>
      </c>
      <c r="C2805" t="str">
        <f>IF(B2805&gt;=Walmart_Sales_raw_data!$C$6437,"High","low")</f>
        <v>High</v>
      </c>
    </row>
    <row r="2806" spans="1:3">
      <c r="A2806" s="1">
        <v>20</v>
      </c>
      <c r="B2806" s="2">
        <f>Walmart_Sales_raw_data!C2806</f>
        <v>2135982.79</v>
      </c>
      <c r="C2806" t="str">
        <f>IF(B2806&gt;=Walmart_Sales_raw_data!$C$6437,"High","low")</f>
        <v>High</v>
      </c>
    </row>
    <row r="2807" spans="1:3">
      <c r="A2807" s="3">
        <v>20</v>
      </c>
      <c r="B2807" s="2">
        <f>Walmart_Sales_raw_data!C2807</f>
        <v>2010107.68</v>
      </c>
      <c r="C2807" t="str">
        <f>IF(B2807&gt;=Walmart_Sales_raw_data!$C$6437,"High","low")</f>
        <v>High</v>
      </c>
    </row>
    <row r="2808" spans="1:3">
      <c r="A2808" s="1">
        <v>20</v>
      </c>
      <c r="B2808" s="2">
        <f>Walmart_Sales_raw_data!C2808</f>
        <v>2104241.9</v>
      </c>
      <c r="C2808" t="str">
        <f>IF(B2808&gt;=Walmart_Sales_raw_data!$C$6437,"High","low")</f>
        <v>High</v>
      </c>
    </row>
    <row r="2809" spans="1:3">
      <c r="A2809" s="3">
        <v>20</v>
      </c>
      <c r="B2809" s="2">
        <f>Walmart_Sales_raw_data!C2809</f>
        <v>2065421.52</v>
      </c>
      <c r="C2809" t="str">
        <f>IF(B2809&gt;=Walmart_Sales_raw_data!$C$6437,"High","low")</f>
        <v>High</v>
      </c>
    </row>
    <row r="2810" spans="1:3">
      <c r="A2810" s="1">
        <v>20</v>
      </c>
      <c r="B2810" s="2">
        <f>Walmart_Sales_raw_data!C2810</f>
        <v>2284106.6</v>
      </c>
      <c r="C2810" t="str">
        <f>IF(B2810&gt;=Walmart_Sales_raw_data!$C$6437,"High","low")</f>
        <v>High</v>
      </c>
    </row>
    <row r="2811" spans="1:3">
      <c r="A2811" s="3">
        <v>20</v>
      </c>
      <c r="B2811" s="2">
        <f>Walmart_Sales_raw_data!C2811</f>
        <v>2269975.85</v>
      </c>
      <c r="C2811" t="str">
        <f>IF(B2811&gt;=Walmart_Sales_raw_data!$C$6437,"High","low")</f>
        <v>High</v>
      </c>
    </row>
    <row r="2812" spans="1:3">
      <c r="A2812" s="1">
        <v>20</v>
      </c>
      <c r="B2812" s="2">
        <f>Walmart_Sales_raw_data!C2812</f>
        <v>2169933.82</v>
      </c>
      <c r="C2812" t="str">
        <f>IF(B2812&gt;=Walmart_Sales_raw_data!$C$6437,"High","low")</f>
        <v>High</v>
      </c>
    </row>
    <row r="2813" spans="1:3">
      <c r="A2813" s="3">
        <v>20</v>
      </c>
      <c r="B2813" s="2">
        <f>Walmart_Sales_raw_data!C2813</f>
        <v>2906233.25</v>
      </c>
      <c r="C2813" t="str">
        <f>IF(B2813&gt;=Walmart_Sales_raw_data!$C$6437,"High","low")</f>
        <v>High</v>
      </c>
    </row>
    <row r="2814" spans="1:3">
      <c r="A2814" s="1">
        <v>20</v>
      </c>
      <c r="B2814" s="2">
        <f>Walmart_Sales_raw_data!C2814</f>
        <v>2298776.83</v>
      </c>
      <c r="C2814" t="str">
        <f>IF(B2814&gt;=Walmart_Sales_raw_data!$C$6437,"High","low")</f>
        <v>High</v>
      </c>
    </row>
    <row r="2815" spans="1:3">
      <c r="A2815" s="3">
        <v>20</v>
      </c>
      <c r="B2815" s="2">
        <f>Walmart_Sales_raw_data!C2815</f>
        <v>2546123.78</v>
      </c>
      <c r="C2815" t="str">
        <f>IF(B2815&gt;=Walmart_Sales_raw_data!$C$6437,"High","low")</f>
        <v>High</v>
      </c>
    </row>
    <row r="2816" spans="1:3">
      <c r="A2816" s="1">
        <v>20</v>
      </c>
      <c r="B2816" s="2">
        <f>Walmart_Sales_raw_data!C2816</f>
        <v>2762816.65</v>
      </c>
      <c r="C2816" t="str">
        <f>IF(B2816&gt;=Walmart_Sales_raw_data!$C$6437,"High","low")</f>
        <v>High</v>
      </c>
    </row>
    <row r="2817" spans="1:3">
      <c r="A2817" s="3">
        <v>20</v>
      </c>
      <c r="B2817" s="2">
        <f>Walmart_Sales_raw_data!C2817</f>
        <v>3555371.03</v>
      </c>
      <c r="C2817" t="str">
        <f>IF(B2817&gt;=Walmart_Sales_raw_data!$C$6437,"High","low")</f>
        <v>High</v>
      </c>
    </row>
    <row r="2818" spans="1:3">
      <c r="A2818" s="1">
        <v>20</v>
      </c>
      <c r="B2818" s="2">
        <f>Walmart_Sales_raw_data!C2818</f>
        <v>2043245</v>
      </c>
      <c r="C2818" t="str">
        <f>IF(B2818&gt;=Walmart_Sales_raw_data!$C$6437,"High","low")</f>
        <v>High</v>
      </c>
    </row>
    <row r="2819" spans="1:3">
      <c r="A2819" s="3">
        <v>20</v>
      </c>
      <c r="B2819" s="2">
        <f>Walmart_Sales_raw_data!C2819</f>
        <v>1964701.94</v>
      </c>
      <c r="C2819" t="str">
        <f>IF(B2819&gt;=Walmart_Sales_raw_data!$C$6437,"High","low")</f>
        <v>High</v>
      </c>
    </row>
    <row r="2820" spans="1:3">
      <c r="A2820" s="1">
        <v>20</v>
      </c>
      <c r="B2820" s="2">
        <f>Walmart_Sales_raw_data!C2820</f>
        <v>1911510.64</v>
      </c>
      <c r="C2820" t="str">
        <f>IF(B2820&gt;=Walmart_Sales_raw_data!$C$6437,"High","low")</f>
        <v>High</v>
      </c>
    </row>
    <row r="2821" spans="1:3">
      <c r="A2821" s="3">
        <v>20</v>
      </c>
      <c r="B2821" s="2">
        <f>Walmart_Sales_raw_data!C2821</f>
        <v>1892775.94</v>
      </c>
      <c r="C2821" t="str">
        <f>IF(B2821&gt;=Walmart_Sales_raw_data!$C$6437,"High","low")</f>
        <v>High</v>
      </c>
    </row>
    <row r="2822" spans="1:3">
      <c r="A2822" s="1">
        <v>20</v>
      </c>
      <c r="B2822" s="2">
        <f>Walmart_Sales_raw_data!C2822</f>
        <v>1761016.51</v>
      </c>
      <c r="C2822" t="str">
        <f>IF(B2822&gt;=Walmart_Sales_raw_data!$C$6437,"High","low")</f>
        <v>High</v>
      </c>
    </row>
    <row r="2823" spans="1:3">
      <c r="A2823" s="3">
        <v>20</v>
      </c>
      <c r="B2823" s="2">
        <f>Walmart_Sales_raw_data!C2823</f>
        <v>2203523.2</v>
      </c>
      <c r="C2823" t="str">
        <f>IF(B2823&gt;=Walmart_Sales_raw_data!$C$6437,"High","low")</f>
        <v>High</v>
      </c>
    </row>
    <row r="2824" spans="1:3">
      <c r="A2824" s="1">
        <v>20</v>
      </c>
      <c r="B2824" s="2">
        <f>Walmart_Sales_raw_data!C2824</f>
        <v>2462978.28</v>
      </c>
      <c r="C2824" t="str">
        <f>IF(B2824&gt;=Walmart_Sales_raw_data!$C$6437,"High","low")</f>
        <v>High</v>
      </c>
    </row>
    <row r="2825" spans="1:3">
      <c r="A2825" s="3">
        <v>20</v>
      </c>
      <c r="B2825" s="2">
        <f>Walmart_Sales_raw_data!C2825</f>
        <v>2309025.16</v>
      </c>
      <c r="C2825" t="str">
        <f>IF(B2825&gt;=Walmart_Sales_raw_data!$C$6437,"High","low")</f>
        <v>High</v>
      </c>
    </row>
    <row r="2826" spans="1:3">
      <c r="A2826" s="1">
        <v>20</v>
      </c>
      <c r="B2826" s="2">
        <f>Walmart_Sales_raw_data!C2826</f>
        <v>2045837.55</v>
      </c>
      <c r="C2826" t="str">
        <f>IF(B2826&gt;=Walmart_Sales_raw_data!$C$6437,"High","low")</f>
        <v>High</v>
      </c>
    </row>
    <row r="2827" spans="1:3">
      <c r="A2827" s="3">
        <v>20</v>
      </c>
      <c r="B2827" s="2">
        <f>Walmart_Sales_raw_data!C2827</f>
        <v>2148822.76</v>
      </c>
      <c r="C2827" t="str">
        <f>IF(B2827&gt;=Walmart_Sales_raw_data!$C$6437,"High","low")</f>
        <v>High</v>
      </c>
    </row>
    <row r="2828" spans="1:3">
      <c r="A2828" s="1">
        <v>20</v>
      </c>
      <c r="B2828" s="2">
        <f>Walmart_Sales_raw_data!C2828</f>
        <v>2139265.4</v>
      </c>
      <c r="C2828" t="str">
        <f>IF(B2828&gt;=Walmart_Sales_raw_data!$C$6437,"High","low")</f>
        <v>High</v>
      </c>
    </row>
    <row r="2829" spans="1:3">
      <c r="A2829" s="3">
        <v>20</v>
      </c>
      <c r="B2829" s="2">
        <f>Walmart_Sales_raw_data!C2829</f>
        <v>2064991.71</v>
      </c>
      <c r="C2829" t="str">
        <f>IF(B2829&gt;=Walmart_Sales_raw_data!$C$6437,"High","low")</f>
        <v>High</v>
      </c>
    </row>
    <row r="2830" spans="1:3">
      <c r="A2830" s="1">
        <v>20</v>
      </c>
      <c r="B2830" s="2">
        <f>Walmart_Sales_raw_data!C2830</f>
        <v>1992436.96</v>
      </c>
      <c r="C2830" t="str">
        <f>IF(B2830&gt;=Walmart_Sales_raw_data!$C$6437,"High","low")</f>
        <v>High</v>
      </c>
    </row>
    <row r="2831" spans="1:3">
      <c r="A2831" s="3">
        <v>20</v>
      </c>
      <c r="B2831" s="2">
        <f>Walmart_Sales_raw_data!C2831</f>
        <v>2074721.74</v>
      </c>
      <c r="C2831" t="str">
        <f>IF(B2831&gt;=Walmart_Sales_raw_data!$C$6437,"High","low")</f>
        <v>High</v>
      </c>
    </row>
    <row r="2832" spans="1:3">
      <c r="A2832" s="1">
        <v>20</v>
      </c>
      <c r="B2832" s="2">
        <f>Walmart_Sales_raw_data!C2832</f>
        <v>2565259.92</v>
      </c>
      <c r="C2832" t="str">
        <f>IF(B2832&gt;=Walmart_Sales_raw_data!$C$6437,"High","low")</f>
        <v>High</v>
      </c>
    </row>
    <row r="2833" spans="1:3">
      <c r="A2833" s="3">
        <v>20</v>
      </c>
      <c r="B2833" s="2">
        <f>Walmart_Sales_raw_data!C2833</f>
        <v>2045396.06</v>
      </c>
      <c r="C2833" t="str">
        <f>IF(B2833&gt;=Walmart_Sales_raw_data!$C$6437,"High","low")</f>
        <v>High</v>
      </c>
    </row>
    <row r="2834" spans="1:3">
      <c r="A2834" s="1">
        <v>20</v>
      </c>
      <c r="B2834" s="2">
        <f>Walmart_Sales_raw_data!C2834</f>
        <v>1884427.84</v>
      </c>
      <c r="C2834" t="str">
        <f>IF(B2834&gt;=Walmart_Sales_raw_data!$C$6437,"High","low")</f>
        <v>High</v>
      </c>
    </row>
    <row r="2835" spans="1:3">
      <c r="A2835" s="3">
        <v>20</v>
      </c>
      <c r="B2835" s="2">
        <f>Walmart_Sales_raw_data!C2835</f>
        <v>1886503.93</v>
      </c>
      <c r="C2835" t="str">
        <f>IF(B2835&gt;=Walmart_Sales_raw_data!$C$6437,"High","low")</f>
        <v>High</v>
      </c>
    </row>
    <row r="2836" spans="1:3">
      <c r="A2836" s="1">
        <v>20</v>
      </c>
      <c r="B2836" s="2">
        <f>Walmart_Sales_raw_data!C2836</f>
        <v>2163510.89</v>
      </c>
      <c r="C2836" t="str">
        <f>IF(B2836&gt;=Walmart_Sales_raw_data!$C$6437,"High","low")</f>
        <v>High</v>
      </c>
    </row>
    <row r="2837" spans="1:3">
      <c r="A2837" s="3">
        <v>20</v>
      </c>
      <c r="B2837" s="2">
        <f>Walmart_Sales_raw_data!C2837</f>
        <v>2168097.11</v>
      </c>
      <c r="C2837" t="str">
        <f>IF(B2837&gt;=Walmart_Sales_raw_data!$C$6437,"High","low")</f>
        <v>High</v>
      </c>
    </row>
    <row r="2838" spans="1:3">
      <c r="A2838" s="1">
        <v>20</v>
      </c>
      <c r="B2838" s="2">
        <f>Walmart_Sales_raw_data!C2838</f>
        <v>2039222.26</v>
      </c>
      <c r="C2838" t="str">
        <f>IF(B2838&gt;=Walmart_Sales_raw_data!$C$6437,"High","low")</f>
        <v>High</v>
      </c>
    </row>
    <row r="2839" spans="1:3">
      <c r="A2839" s="3">
        <v>20</v>
      </c>
      <c r="B2839" s="2">
        <f>Walmart_Sales_raw_data!C2839</f>
        <v>2114989</v>
      </c>
      <c r="C2839" t="str">
        <f>IF(B2839&gt;=Walmart_Sales_raw_data!$C$6437,"High","low")</f>
        <v>High</v>
      </c>
    </row>
    <row r="2840" spans="1:3">
      <c r="A2840" s="1">
        <v>20</v>
      </c>
      <c r="B2840" s="2">
        <f>Walmart_Sales_raw_data!C2840</f>
        <v>2143126.59</v>
      </c>
      <c r="C2840" t="str">
        <f>IF(B2840&gt;=Walmart_Sales_raw_data!$C$6437,"High","low")</f>
        <v>High</v>
      </c>
    </row>
    <row r="2841" spans="1:3">
      <c r="A2841" s="3">
        <v>20</v>
      </c>
      <c r="B2841" s="2">
        <f>Walmart_Sales_raw_data!C2841</f>
        <v>2231962.13</v>
      </c>
      <c r="C2841" t="str">
        <f>IF(B2841&gt;=Walmart_Sales_raw_data!$C$6437,"High","low")</f>
        <v>High</v>
      </c>
    </row>
    <row r="2842" spans="1:3">
      <c r="A2842" s="1">
        <v>20</v>
      </c>
      <c r="B2842" s="2">
        <f>Walmart_Sales_raw_data!C2842</f>
        <v>2165160.29</v>
      </c>
      <c r="C2842" t="str">
        <f>IF(B2842&gt;=Walmart_Sales_raw_data!$C$6437,"High","low")</f>
        <v>High</v>
      </c>
    </row>
    <row r="2843" spans="1:3">
      <c r="A2843" s="3">
        <v>20</v>
      </c>
      <c r="B2843" s="2">
        <f>Walmart_Sales_raw_data!C2843</f>
        <v>2060588.69</v>
      </c>
      <c r="C2843" t="str">
        <f>IF(B2843&gt;=Walmart_Sales_raw_data!$C$6437,"High","low")</f>
        <v>High</v>
      </c>
    </row>
    <row r="2844" spans="1:3">
      <c r="A2844" s="1">
        <v>20</v>
      </c>
      <c r="B2844" s="2">
        <f>Walmart_Sales_raw_data!C2844</f>
        <v>2055952.61</v>
      </c>
      <c r="C2844" t="str">
        <f>IF(B2844&gt;=Walmart_Sales_raw_data!$C$6437,"High","low")</f>
        <v>High</v>
      </c>
    </row>
    <row r="2845" spans="1:3">
      <c r="A2845" s="3">
        <v>20</v>
      </c>
      <c r="B2845" s="2">
        <f>Walmart_Sales_raw_data!C2845</f>
        <v>2358055.3</v>
      </c>
      <c r="C2845" t="str">
        <f>IF(B2845&gt;=Walmart_Sales_raw_data!$C$6437,"High","low")</f>
        <v>High</v>
      </c>
    </row>
    <row r="2846" spans="1:3">
      <c r="A2846" s="1">
        <v>20</v>
      </c>
      <c r="B2846" s="2">
        <f>Walmart_Sales_raw_data!C2846</f>
        <v>2134680.12</v>
      </c>
      <c r="C2846" t="str">
        <f>IF(B2846&gt;=Walmart_Sales_raw_data!$C$6437,"High","low")</f>
        <v>High</v>
      </c>
    </row>
    <row r="2847" spans="1:3">
      <c r="A2847" s="3">
        <v>20</v>
      </c>
      <c r="B2847" s="2">
        <f>Walmart_Sales_raw_data!C2847</f>
        <v>1970170.29</v>
      </c>
      <c r="C2847" t="str">
        <f>IF(B2847&gt;=Walmart_Sales_raw_data!$C$6437,"High","low")</f>
        <v>High</v>
      </c>
    </row>
    <row r="2848" spans="1:3">
      <c r="A2848" s="1">
        <v>20</v>
      </c>
      <c r="B2848" s="2">
        <f>Walmart_Sales_raw_data!C2848</f>
        <v>1911559.1</v>
      </c>
      <c r="C2848" t="str">
        <f>IF(B2848&gt;=Walmart_Sales_raw_data!$C$6437,"High","low")</f>
        <v>High</v>
      </c>
    </row>
    <row r="2849" spans="1:3">
      <c r="A2849" s="3">
        <v>20</v>
      </c>
      <c r="B2849" s="2">
        <f>Walmart_Sales_raw_data!C2849</f>
        <v>2094515.71</v>
      </c>
      <c r="C2849" t="str">
        <f>IF(B2849&gt;=Walmart_Sales_raw_data!$C$6437,"High","low")</f>
        <v>High</v>
      </c>
    </row>
    <row r="2850" spans="1:3">
      <c r="A2850" s="1">
        <v>20</v>
      </c>
      <c r="B2850" s="2">
        <f>Walmart_Sales_raw_data!C2850</f>
        <v>2144245.39</v>
      </c>
      <c r="C2850" t="str">
        <f>IF(B2850&gt;=Walmart_Sales_raw_data!$C$6437,"High","low")</f>
        <v>High</v>
      </c>
    </row>
    <row r="2851" spans="1:3">
      <c r="A2851" s="3">
        <v>20</v>
      </c>
      <c r="B2851" s="2">
        <f>Walmart_Sales_raw_data!C2851</f>
        <v>2045061.22</v>
      </c>
      <c r="C2851" t="str">
        <f>IF(B2851&gt;=Walmart_Sales_raw_data!$C$6437,"High","low")</f>
        <v>High</v>
      </c>
    </row>
    <row r="2852" spans="1:3">
      <c r="A2852" s="1">
        <v>20</v>
      </c>
      <c r="B2852" s="2">
        <f>Walmart_Sales_raw_data!C2852</f>
        <v>2005341.43</v>
      </c>
      <c r="C2852" t="str">
        <f>IF(B2852&gt;=Walmart_Sales_raw_data!$C$6437,"High","low")</f>
        <v>High</v>
      </c>
    </row>
    <row r="2853" spans="1:3">
      <c r="A2853" s="3">
        <v>20</v>
      </c>
      <c r="B2853" s="2">
        <f>Walmart_Sales_raw_data!C2853</f>
        <v>2062481.56</v>
      </c>
      <c r="C2853" t="str">
        <f>IF(B2853&gt;=Walmart_Sales_raw_data!$C$6437,"High","low")</f>
        <v>High</v>
      </c>
    </row>
    <row r="2854" spans="1:3">
      <c r="A2854" s="1">
        <v>20</v>
      </c>
      <c r="B2854" s="2">
        <f>Walmart_Sales_raw_data!C2854</f>
        <v>2080529.06</v>
      </c>
      <c r="C2854" t="str">
        <f>IF(B2854&gt;=Walmart_Sales_raw_data!$C$6437,"High","low")</f>
        <v>High</v>
      </c>
    </row>
    <row r="2855" spans="1:3">
      <c r="A2855" s="3">
        <v>20</v>
      </c>
      <c r="B2855" s="2">
        <f>Walmart_Sales_raw_data!C2855</f>
        <v>2047949.98</v>
      </c>
      <c r="C2855" t="str">
        <f>IF(B2855&gt;=Walmart_Sales_raw_data!$C$6437,"High","low")</f>
        <v>High</v>
      </c>
    </row>
    <row r="2856" spans="1:3">
      <c r="A2856" s="1">
        <v>20</v>
      </c>
      <c r="B2856" s="2">
        <f>Walmart_Sales_raw_data!C2856</f>
        <v>2028587.24</v>
      </c>
      <c r="C2856" t="str">
        <f>IF(B2856&gt;=Walmart_Sales_raw_data!$C$6437,"High","low")</f>
        <v>High</v>
      </c>
    </row>
    <row r="2857" spans="1:3">
      <c r="A2857" s="3">
        <v>20</v>
      </c>
      <c r="B2857" s="2">
        <f>Walmart_Sales_raw_data!C2857</f>
        <v>2008350.58</v>
      </c>
      <c r="C2857" t="str">
        <f>IF(B2857&gt;=Walmart_Sales_raw_data!$C$6437,"High","low")</f>
        <v>High</v>
      </c>
    </row>
    <row r="2858" spans="1:3">
      <c r="A2858" s="1">
        <v>20</v>
      </c>
      <c r="B2858" s="2">
        <f>Walmart_Sales_raw_data!C2858</f>
        <v>2246411.89</v>
      </c>
      <c r="C2858" t="str">
        <f>IF(B2858&gt;=Walmart_Sales_raw_data!$C$6437,"High","low")</f>
        <v>High</v>
      </c>
    </row>
    <row r="2859" spans="1:3">
      <c r="A2859" s="3">
        <v>20</v>
      </c>
      <c r="B2859" s="2">
        <f>Walmart_Sales_raw_data!C2859</f>
        <v>2162951.36</v>
      </c>
      <c r="C2859" t="str">
        <f>IF(B2859&gt;=Walmart_Sales_raw_data!$C$6437,"High","low")</f>
        <v>High</v>
      </c>
    </row>
    <row r="2860" spans="1:3">
      <c r="A2860" s="1">
        <v>20</v>
      </c>
      <c r="B2860" s="2">
        <f>Walmart_Sales_raw_data!C2860</f>
        <v>1999363.49</v>
      </c>
      <c r="C2860" t="str">
        <f>IF(B2860&gt;=Walmart_Sales_raw_data!$C$6437,"High","low")</f>
        <v>High</v>
      </c>
    </row>
    <row r="2861" spans="1:3">
      <c r="A2861" s="3">
        <v>20</v>
      </c>
      <c r="B2861" s="2">
        <f>Walmart_Sales_raw_data!C2861</f>
        <v>2031650.55</v>
      </c>
      <c r="C2861" t="str">
        <f>IF(B2861&gt;=Walmart_Sales_raw_data!$C$6437,"High","low")</f>
        <v>High</v>
      </c>
    </row>
    <row r="2862" spans="1:3">
      <c r="A2862" s="1">
        <v>21</v>
      </c>
      <c r="B2862" s="2">
        <f>Walmart_Sales_raw_data!C2862</f>
        <v>798593.88</v>
      </c>
      <c r="C2862" t="str">
        <f>IF(B2862&gt;=Walmart_Sales_raw_data!$C$6437,"High","low")</f>
        <v>low</v>
      </c>
    </row>
    <row r="2863" spans="1:3">
      <c r="A2863" s="3">
        <v>21</v>
      </c>
      <c r="B2863" s="2">
        <f>Walmart_Sales_raw_data!C2863</f>
        <v>809321.44</v>
      </c>
      <c r="C2863" t="str">
        <f>IF(B2863&gt;=Walmart_Sales_raw_data!$C$6437,"High","low")</f>
        <v>low</v>
      </c>
    </row>
    <row r="2864" spans="1:3">
      <c r="A2864" s="1">
        <v>21</v>
      </c>
      <c r="B2864" s="2">
        <f>Walmart_Sales_raw_data!C2864</f>
        <v>867283.25</v>
      </c>
      <c r="C2864" t="str">
        <f>IF(B2864&gt;=Walmart_Sales_raw_data!$C$6437,"High","low")</f>
        <v>low</v>
      </c>
    </row>
    <row r="2865" spans="1:3">
      <c r="A2865" s="3">
        <v>21</v>
      </c>
      <c r="B2865" s="2">
        <f>Walmart_Sales_raw_data!C2865</f>
        <v>749597.24</v>
      </c>
      <c r="C2865" t="str">
        <f>IF(B2865&gt;=Walmart_Sales_raw_data!$C$6437,"High","low")</f>
        <v>low</v>
      </c>
    </row>
    <row r="2866" spans="1:3">
      <c r="A2866" s="1">
        <v>21</v>
      </c>
      <c r="B2866" s="2">
        <f>Walmart_Sales_raw_data!C2866</f>
        <v>747444.32</v>
      </c>
      <c r="C2866" t="str">
        <f>IF(B2866&gt;=Walmart_Sales_raw_data!$C$6437,"High","low")</f>
        <v>low</v>
      </c>
    </row>
    <row r="2867" spans="1:3">
      <c r="A2867" s="3">
        <v>21</v>
      </c>
      <c r="B2867" s="2">
        <f>Walmart_Sales_raw_data!C2867</f>
        <v>712312.89</v>
      </c>
      <c r="C2867" t="str">
        <f>IF(B2867&gt;=Walmart_Sales_raw_data!$C$6437,"High","low")</f>
        <v>low</v>
      </c>
    </row>
    <row r="2868" spans="1:3">
      <c r="A2868" s="1">
        <v>21</v>
      </c>
      <c r="B2868" s="2">
        <f>Walmart_Sales_raw_data!C2868</f>
        <v>727070</v>
      </c>
      <c r="C2868" t="str">
        <f>IF(B2868&gt;=Walmart_Sales_raw_data!$C$6437,"High","low")</f>
        <v>low</v>
      </c>
    </row>
    <row r="2869" spans="1:3">
      <c r="A2869" s="3">
        <v>21</v>
      </c>
      <c r="B2869" s="2">
        <f>Walmart_Sales_raw_data!C2869</f>
        <v>686497.53</v>
      </c>
      <c r="C2869" t="str">
        <f>IF(B2869&gt;=Walmart_Sales_raw_data!$C$6437,"High","low")</f>
        <v>low</v>
      </c>
    </row>
    <row r="2870" spans="1:3">
      <c r="A2870" s="1">
        <v>21</v>
      </c>
      <c r="B2870" s="2">
        <f>Walmart_Sales_raw_data!C2870</f>
        <v>753664.12</v>
      </c>
      <c r="C2870" t="str">
        <f>IF(B2870&gt;=Walmart_Sales_raw_data!$C$6437,"High","low")</f>
        <v>low</v>
      </c>
    </row>
    <row r="2871" spans="1:3">
      <c r="A2871" s="3">
        <v>21</v>
      </c>
      <c r="B2871" s="2">
        <f>Walmart_Sales_raw_data!C2871</f>
        <v>751181.4</v>
      </c>
      <c r="C2871" t="str">
        <f>IF(B2871&gt;=Walmart_Sales_raw_data!$C$6437,"High","low")</f>
        <v>low</v>
      </c>
    </row>
    <row r="2872" spans="1:3">
      <c r="A2872" s="1">
        <v>21</v>
      </c>
      <c r="B2872" s="2">
        <f>Walmart_Sales_raw_data!C2872</f>
        <v>716026.51</v>
      </c>
      <c r="C2872" t="str">
        <f>IF(B2872&gt;=Walmart_Sales_raw_data!$C$6437,"High","low")</f>
        <v>low</v>
      </c>
    </row>
    <row r="2873" spans="1:3">
      <c r="A2873" s="3">
        <v>21</v>
      </c>
      <c r="B2873" s="2">
        <f>Walmart_Sales_raw_data!C2873</f>
        <v>718780.59</v>
      </c>
      <c r="C2873" t="str">
        <f>IF(B2873&gt;=Walmart_Sales_raw_data!$C$6437,"High","low")</f>
        <v>low</v>
      </c>
    </row>
    <row r="2874" spans="1:3">
      <c r="A2874" s="1">
        <v>21</v>
      </c>
      <c r="B2874" s="2">
        <f>Walmart_Sales_raw_data!C2874</f>
        <v>680532.69</v>
      </c>
      <c r="C2874" t="str">
        <f>IF(B2874&gt;=Walmart_Sales_raw_data!$C$6437,"High","low")</f>
        <v>low</v>
      </c>
    </row>
    <row r="2875" spans="1:3">
      <c r="A2875" s="3">
        <v>21</v>
      </c>
      <c r="B2875" s="2">
        <f>Walmart_Sales_raw_data!C2875</f>
        <v>744969.42</v>
      </c>
      <c r="C2875" t="str">
        <f>IF(B2875&gt;=Walmart_Sales_raw_data!$C$6437,"High","low")</f>
        <v>low</v>
      </c>
    </row>
    <row r="2876" spans="1:3">
      <c r="A2876" s="1">
        <v>21</v>
      </c>
      <c r="B2876" s="2">
        <f>Walmart_Sales_raw_data!C2876</f>
        <v>723559.88</v>
      </c>
      <c r="C2876" t="str">
        <f>IF(B2876&gt;=Walmart_Sales_raw_data!$C$6437,"High","low")</f>
        <v>low</v>
      </c>
    </row>
    <row r="2877" spans="1:3">
      <c r="A2877" s="3">
        <v>21</v>
      </c>
      <c r="B2877" s="2">
        <f>Walmart_Sales_raw_data!C2877</f>
        <v>753361.72</v>
      </c>
      <c r="C2877" t="str">
        <f>IF(B2877&gt;=Walmart_Sales_raw_data!$C$6437,"High","low")</f>
        <v>low</v>
      </c>
    </row>
    <row r="2878" spans="1:3">
      <c r="A2878" s="1">
        <v>21</v>
      </c>
      <c r="B2878" s="2">
        <f>Walmart_Sales_raw_data!C2878</f>
        <v>755214.26</v>
      </c>
      <c r="C2878" t="str">
        <f>IF(B2878&gt;=Walmart_Sales_raw_data!$C$6437,"High","low")</f>
        <v>low</v>
      </c>
    </row>
    <row r="2879" spans="1:3">
      <c r="A2879" s="3">
        <v>21</v>
      </c>
      <c r="B2879" s="2">
        <f>Walmart_Sales_raw_data!C2879</f>
        <v>806012.48</v>
      </c>
      <c r="C2879" t="str">
        <f>IF(B2879&gt;=Walmart_Sales_raw_data!$C$6437,"High","low")</f>
        <v>low</v>
      </c>
    </row>
    <row r="2880" spans="1:3">
      <c r="A2880" s="1">
        <v>21</v>
      </c>
      <c r="B2880" s="2">
        <f>Walmart_Sales_raw_data!C2880</f>
        <v>784305.55</v>
      </c>
      <c r="C2880" t="str">
        <f>IF(B2880&gt;=Walmart_Sales_raw_data!$C$6437,"High","low")</f>
        <v>low</v>
      </c>
    </row>
    <row r="2881" spans="1:3">
      <c r="A2881" s="3">
        <v>21</v>
      </c>
      <c r="B2881" s="2">
        <f>Walmart_Sales_raw_data!C2881</f>
        <v>785104.29</v>
      </c>
      <c r="C2881" t="str">
        <f>IF(B2881&gt;=Walmart_Sales_raw_data!$C$6437,"High","low")</f>
        <v>low</v>
      </c>
    </row>
    <row r="2882" spans="1:3">
      <c r="A2882" s="1">
        <v>21</v>
      </c>
      <c r="B2882" s="2">
        <f>Walmart_Sales_raw_data!C2882</f>
        <v>769848.75</v>
      </c>
      <c r="C2882" t="str">
        <f>IF(B2882&gt;=Walmart_Sales_raw_data!$C$6437,"High","low")</f>
        <v>low</v>
      </c>
    </row>
    <row r="2883" spans="1:3">
      <c r="A2883" s="3">
        <v>21</v>
      </c>
      <c r="B2883" s="2">
        <f>Walmart_Sales_raw_data!C2883</f>
        <v>711470.8</v>
      </c>
      <c r="C2883" t="str">
        <f>IF(B2883&gt;=Walmart_Sales_raw_data!$C$6437,"High","low")</f>
        <v>low</v>
      </c>
    </row>
    <row r="2884" spans="1:3">
      <c r="A2884" s="1">
        <v>21</v>
      </c>
      <c r="B2884" s="2">
        <f>Walmart_Sales_raw_data!C2884</f>
        <v>714677.47</v>
      </c>
      <c r="C2884" t="str">
        <f>IF(B2884&gt;=Walmart_Sales_raw_data!$C$6437,"High","low")</f>
        <v>low</v>
      </c>
    </row>
    <row r="2885" spans="1:3">
      <c r="A2885" s="3">
        <v>21</v>
      </c>
      <c r="B2885" s="2">
        <f>Walmart_Sales_raw_data!C2885</f>
        <v>755098.41</v>
      </c>
      <c r="C2885" t="str">
        <f>IF(B2885&gt;=Walmart_Sales_raw_data!$C$6437,"High","low")</f>
        <v>low</v>
      </c>
    </row>
    <row r="2886" spans="1:3">
      <c r="A2886" s="1">
        <v>21</v>
      </c>
      <c r="B2886" s="2">
        <f>Walmart_Sales_raw_data!C2886</f>
        <v>765823.48</v>
      </c>
      <c r="C2886" t="str">
        <f>IF(B2886&gt;=Walmart_Sales_raw_data!$C$6437,"High","low")</f>
        <v>low</v>
      </c>
    </row>
    <row r="2887" spans="1:3">
      <c r="A2887" s="3">
        <v>21</v>
      </c>
      <c r="B2887" s="2">
        <f>Walmart_Sales_raw_data!C2887</f>
        <v>715876.27</v>
      </c>
      <c r="C2887" t="str">
        <f>IF(B2887&gt;=Walmart_Sales_raw_data!$C$6437,"High","low")</f>
        <v>low</v>
      </c>
    </row>
    <row r="2888" spans="1:3">
      <c r="A2888" s="1">
        <v>21</v>
      </c>
      <c r="B2888" s="2">
        <f>Walmart_Sales_raw_data!C2888</f>
        <v>739279.19</v>
      </c>
      <c r="C2888" t="str">
        <f>IF(B2888&gt;=Walmart_Sales_raw_data!$C$6437,"High","low")</f>
        <v>low</v>
      </c>
    </row>
    <row r="2889" spans="1:3">
      <c r="A2889" s="3">
        <v>21</v>
      </c>
      <c r="B2889" s="2">
        <f>Walmart_Sales_raw_data!C2889</f>
        <v>793589.18</v>
      </c>
      <c r="C2889" t="str">
        <f>IF(B2889&gt;=Walmart_Sales_raw_data!$C$6437,"High","low")</f>
        <v>low</v>
      </c>
    </row>
    <row r="2890" spans="1:3">
      <c r="A2890" s="1">
        <v>21</v>
      </c>
      <c r="B2890" s="2">
        <f>Walmart_Sales_raw_data!C2890</f>
        <v>848873.28</v>
      </c>
      <c r="C2890" t="str">
        <f>IF(B2890&gt;=Walmart_Sales_raw_data!$C$6437,"High","low")</f>
        <v>low</v>
      </c>
    </row>
    <row r="2891" spans="1:3">
      <c r="A2891" s="3">
        <v>21</v>
      </c>
      <c r="B2891" s="2">
        <f>Walmart_Sales_raw_data!C2891</f>
        <v>855882.57</v>
      </c>
      <c r="C2891" t="str">
        <f>IF(B2891&gt;=Walmart_Sales_raw_data!$C$6437,"High","low")</f>
        <v>low</v>
      </c>
    </row>
    <row r="2892" spans="1:3">
      <c r="A2892" s="1">
        <v>21</v>
      </c>
      <c r="B2892" s="2">
        <f>Walmart_Sales_raw_data!C2892</f>
        <v>727772.8</v>
      </c>
      <c r="C2892" t="str">
        <f>IF(B2892&gt;=Walmart_Sales_raw_data!$C$6437,"High","low")</f>
        <v>low</v>
      </c>
    </row>
    <row r="2893" spans="1:3">
      <c r="A2893" s="3">
        <v>21</v>
      </c>
      <c r="B2893" s="2">
        <f>Walmart_Sales_raw_data!C2893</f>
        <v>674055.81</v>
      </c>
      <c r="C2893" t="str">
        <f>IF(B2893&gt;=Walmart_Sales_raw_data!$C$6437,"High","low")</f>
        <v>low</v>
      </c>
    </row>
    <row r="2894" spans="1:3">
      <c r="A2894" s="1">
        <v>21</v>
      </c>
      <c r="B2894" s="2">
        <f>Walmart_Sales_raw_data!C2894</f>
        <v>684340.86</v>
      </c>
      <c r="C2894" t="str">
        <f>IF(B2894&gt;=Walmart_Sales_raw_data!$C$6437,"High","low")</f>
        <v>low</v>
      </c>
    </row>
    <row r="2895" spans="1:3">
      <c r="A2895" s="3">
        <v>21</v>
      </c>
      <c r="B2895" s="2">
        <f>Walmart_Sales_raw_data!C2895</f>
        <v>671688.06</v>
      </c>
      <c r="C2895" t="str">
        <f>IF(B2895&gt;=Walmart_Sales_raw_data!$C$6437,"High","low")</f>
        <v>low</v>
      </c>
    </row>
    <row r="2896" spans="1:3">
      <c r="A2896" s="1">
        <v>21</v>
      </c>
      <c r="B2896" s="2">
        <f>Walmart_Sales_raw_data!C2896</f>
        <v>677158.39</v>
      </c>
      <c r="C2896" t="str">
        <f>IF(B2896&gt;=Walmart_Sales_raw_data!$C$6437,"High","low")</f>
        <v>low</v>
      </c>
    </row>
    <row r="2897" spans="1:3">
      <c r="A2897" s="3">
        <v>21</v>
      </c>
      <c r="B2897" s="2">
        <f>Walmart_Sales_raw_data!C2897</f>
        <v>680579.49</v>
      </c>
      <c r="C2897" t="str">
        <f>IF(B2897&gt;=Walmart_Sales_raw_data!$C$6437,"High","low")</f>
        <v>low</v>
      </c>
    </row>
    <row r="2898" spans="1:3">
      <c r="A2898" s="1">
        <v>21</v>
      </c>
      <c r="B2898" s="2">
        <f>Walmart_Sales_raw_data!C2898</f>
        <v>693412.05</v>
      </c>
      <c r="C2898" t="str">
        <f>IF(B2898&gt;=Walmart_Sales_raw_data!$C$6437,"High","low")</f>
        <v>low</v>
      </c>
    </row>
    <row r="2899" spans="1:3">
      <c r="A2899" s="3">
        <v>21</v>
      </c>
      <c r="B2899" s="2">
        <f>Walmart_Sales_raw_data!C2899</f>
        <v>710668.45</v>
      </c>
      <c r="C2899" t="str">
        <f>IF(B2899&gt;=Walmart_Sales_raw_data!$C$6437,"High","low")</f>
        <v>low</v>
      </c>
    </row>
    <row r="2900" spans="1:3">
      <c r="A2900" s="1">
        <v>21</v>
      </c>
      <c r="B2900" s="2">
        <f>Walmart_Sales_raw_data!C2900</f>
        <v>731756.65</v>
      </c>
      <c r="C2900" t="str">
        <f>IF(B2900&gt;=Walmart_Sales_raw_data!$C$6437,"High","low")</f>
        <v>low</v>
      </c>
    </row>
    <row r="2901" spans="1:3">
      <c r="A2901" s="3">
        <v>21</v>
      </c>
      <c r="B2901" s="2">
        <f>Walmart_Sales_raw_data!C2901</f>
        <v>719888.76</v>
      </c>
      <c r="C2901" t="str">
        <f>IF(B2901&gt;=Walmart_Sales_raw_data!$C$6437,"High","low")</f>
        <v>low</v>
      </c>
    </row>
    <row r="2902" spans="1:3">
      <c r="A2902" s="1">
        <v>21</v>
      </c>
      <c r="B2902" s="2">
        <f>Walmart_Sales_raw_data!C2902</f>
        <v>735796.38</v>
      </c>
      <c r="C2902" t="str">
        <f>IF(B2902&gt;=Walmart_Sales_raw_data!$C$6437,"High","low")</f>
        <v>low</v>
      </c>
    </row>
    <row r="2903" spans="1:3">
      <c r="A2903" s="3">
        <v>21</v>
      </c>
      <c r="B2903" s="2">
        <f>Walmart_Sales_raw_data!C2903</f>
        <v>756288.89</v>
      </c>
      <c r="C2903" t="str">
        <f>IF(B2903&gt;=Walmart_Sales_raw_data!$C$6437,"High","low")</f>
        <v>low</v>
      </c>
    </row>
    <row r="2904" spans="1:3">
      <c r="A2904" s="1">
        <v>21</v>
      </c>
      <c r="B2904" s="2">
        <f>Walmart_Sales_raw_data!C2904</f>
        <v>1245628.61</v>
      </c>
      <c r="C2904" t="str">
        <f>IF(B2904&gt;=Walmart_Sales_raw_data!$C$6437,"High","low")</f>
        <v>High</v>
      </c>
    </row>
    <row r="2905" spans="1:3">
      <c r="A2905" s="3">
        <v>21</v>
      </c>
      <c r="B2905" s="2">
        <f>Walmart_Sales_raw_data!C2905</f>
        <v>829210.73</v>
      </c>
      <c r="C2905" t="str">
        <f>IF(B2905&gt;=Walmart_Sales_raw_data!$C$6437,"High","low")</f>
        <v>low</v>
      </c>
    </row>
    <row r="2906" spans="1:3">
      <c r="A2906" s="1">
        <v>21</v>
      </c>
      <c r="B2906" s="2">
        <f>Walmart_Sales_raw_data!C2906</f>
        <v>943891.64</v>
      </c>
      <c r="C2906" t="str">
        <f>IF(B2906&gt;=Walmart_Sales_raw_data!$C$6437,"High","low")</f>
        <v>low</v>
      </c>
    </row>
    <row r="2907" spans="1:3">
      <c r="A2907" s="3">
        <v>21</v>
      </c>
      <c r="B2907" s="2">
        <f>Walmart_Sales_raw_data!C2907</f>
        <v>1147556.83</v>
      </c>
      <c r="C2907" t="str">
        <f>IF(B2907&gt;=Walmart_Sales_raw_data!$C$6437,"High","low")</f>
        <v>High</v>
      </c>
    </row>
    <row r="2908" spans="1:3">
      <c r="A2908" s="1">
        <v>21</v>
      </c>
      <c r="B2908" s="2">
        <f>Walmart_Sales_raw_data!C2908</f>
        <v>1587257.78</v>
      </c>
      <c r="C2908" t="str">
        <f>IF(B2908&gt;=Walmart_Sales_raw_data!$C$6437,"High","low")</f>
        <v>High</v>
      </c>
    </row>
    <row r="2909" spans="1:3">
      <c r="A2909" s="3">
        <v>21</v>
      </c>
      <c r="B2909" s="2">
        <f>Walmart_Sales_raw_data!C2909</f>
        <v>672903.23</v>
      </c>
      <c r="C2909" t="str">
        <f>IF(B2909&gt;=Walmart_Sales_raw_data!$C$6437,"High","low")</f>
        <v>low</v>
      </c>
    </row>
    <row r="2910" spans="1:3">
      <c r="A2910" s="1">
        <v>21</v>
      </c>
      <c r="B2910" s="2">
        <f>Walmart_Sales_raw_data!C2910</f>
        <v>629152.06</v>
      </c>
      <c r="C2910" t="str">
        <f>IF(B2910&gt;=Walmart_Sales_raw_data!$C$6437,"High","low")</f>
        <v>low</v>
      </c>
    </row>
    <row r="2911" spans="1:3">
      <c r="A2911" s="3">
        <v>21</v>
      </c>
      <c r="B2911" s="2">
        <f>Walmart_Sales_raw_data!C2911</f>
        <v>650789.13</v>
      </c>
      <c r="C2911" t="str">
        <f>IF(B2911&gt;=Walmart_Sales_raw_data!$C$6437,"High","low")</f>
        <v>low</v>
      </c>
    </row>
    <row r="2912" spans="1:3">
      <c r="A2912" s="1">
        <v>21</v>
      </c>
      <c r="B2912" s="2">
        <f>Walmart_Sales_raw_data!C2912</f>
        <v>663941.73</v>
      </c>
      <c r="C2912" t="str">
        <f>IF(B2912&gt;=Walmart_Sales_raw_data!$C$6437,"High","low")</f>
        <v>low</v>
      </c>
    </row>
    <row r="2913" spans="1:3">
      <c r="A2913" s="3">
        <v>21</v>
      </c>
      <c r="B2913" s="2">
        <f>Walmart_Sales_raw_data!C2913</f>
        <v>649878.29</v>
      </c>
      <c r="C2913" t="str">
        <f>IF(B2913&gt;=Walmart_Sales_raw_data!$C$6437,"High","low")</f>
        <v>low</v>
      </c>
    </row>
    <row r="2914" spans="1:3">
      <c r="A2914" s="1">
        <v>21</v>
      </c>
      <c r="B2914" s="2">
        <f>Walmart_Sales_raw_data!C2914</f>
        <v>596218.24</v>
      </c>
      <c r="C2914" t="str">
        <f>IF(B2914&gt;=Walmart_Sales_raw_data!$C$6437,"High","low")</f>
        <v>low</v>
      </c>
    </row>
    <row r="2915" spans="1:3">
      <c r="A2915" s="3">
        <v>21</v>
      </c>
      <c r="B2915" s="2">
        <f>Walmart_Sales_raw_data!C2915</f>
        <v>771908.51</v>
      </c>
      <c r="C2915" t="str">
        <f>IF(B2915&gt;=Walmart_Sales_raw_data!$C$6437,"High","low")</f>
        <v>low</v>
      </c>
    </row>
    <row r="2916" spans="1:3">
      <c r="A2916" s="1">
        <v>21</v>
      </c>
      <c r="B2916" s="2">
        <f>Walmart_Sales_raw_data!C2916</f>
        <v>884701.92</v>
      </c>
      <c r="C2916" t="str">
        <f>IF(B2916&gt;=Walmart_Sales_raw_data!$C$6437,"High","low")</f>
        <v>low</v>
      </c>
    </row>
    <row r="2917" spans="1:3">
      <c r="A2917" s="3">
        <v>21</v>
      </c>
      <c r="B2917" s="2">
        <f>Walmart_Sales_raw_data!C2917</f>
        <v>768313.85</v>
      </c>
      <c r="C2917" t="str">
        <f>IF(B2917&gt;=Walmart_Sales_raw_data!$C$6437,"High","low")</f>
        <v>low</v>
      </c>
    </row>
    <row r="2918" spans="1:3">
      <c r="A2918" s="1">
        <v>21</v>
      </c>
      <c r="B2918" s="2">
        <f>Walmart_Sales_raw_data!C2918</f>
        <v>796277.72</v>
      </c>
      <c r="C2918" t="str">
        <f>IF(B2918&gt;=Walmart_Sales_raw_data!$C$6437,"High","low")</f>
        <v>low</v>
      </c>
    </row>
    <row r="2919" spans="1:3">
      <c r="A2919" s="3">
        <v>21</v>
      </c>
      <c r="B2919" s="2">
        <f>Walmart_Sales_raw_data!C2919</f>
        <v>763479.9</v>
      </c>
      <c r="C2919" t="str">
        <f>IF(B2919&gt;=Walmart_Sales_raw_data!$C$6437,"High","low")</f>
        <v>low</v>
      </c>
    </row>
    <row r="2920" spans="1:3">
      <c r="A2920" s="1">
        <v>21</v>
      </c>
      <c r="B2920" s="2">
        <f>Walmart_Sales_raw_data!C2920</f>
        <v>793569</v>
      </c>
      <c r="C2920" t="str">
        <f>IF(B2920&gt;=Walmart_Sales_raw_data!$C$6437,"High","low")</f>
        <v>low</v>
      </c>
    </row>
    <row r="2921" spans="1:3">
      <c r="A2921" s="3">
        <v>21</v>
      </c>
      <c r="B2921" s="2">
        <f>Walmart_Sales_raw_data!C2921</f>
        <v>753711.32</v>
      </c>
      <c r="C2921" t="str">
        <f>IF(B2921&gt;=Walmart_Sales_raw_data!$C$6437,"High","low")</f>
        <v>low</v>
      </c>
    </row>
    <row r="2922" spans="1:3">
      <c r="A2922" s="1">
        <v>21</v>
      </c>
      <c r="B2922" s="2">
        <f>Walmart_Sales_raw_data!C2922</f>
        <v>732056.37</v>
      </c>
      <c r="C2922" t="str">
        <f>IF(B2922&gt;=Walmart_Sales_raw_data!$C$6437,"High","low")</f>
        <v>low</v>
      </c>
    </row>
    <row r="2923" spans="1:3">
      <c r="A2923" s="3">
        <v>21</v>
      </c>
      <c r="B2923" s="2">
        <f>Walmart_Sales_raw_data!C2923</f>
        <v>744782.89</v>
      </c>
      <c r="C2923" t="str">
        <f>IF(B2923&gt;=Walmart_Sales_raw_data!$C$6437,"High","low")</f>
        <v>low</v>
      </c>
    </row>
    <row r="2924" spans="1:3">
      <c r="A2924" s="1">
        <v>21</v>
      </c>
      <c r="B2924" s="2">
        <f>Walmart_Sales_raw_data!C2924</f>
        <v>768390.05</v>
      </c>
      <c r="C2924" t="str">
        <f>IF(B2924&gt;=Walmart_Sales_raw_data!$C$6437,"High","low")</f>
        <v>low</v>
      </c>
    </row>
    <row r="2925" spans="1:3">
      <c r="A2925" s="3">
        <v>21</v>
      </c>
      <c r="B2925" s="2">
        <f>Walmart_Sales_raw_data!C2925</f>
        <v>801302.01</v>
      </c>
      <c r="C2925" t="str">
        <f>IF(B2925&gt;=Walmart_Sales_raw_data!$C$6437,"High","low")</f>
        <v>low</v>
      </c>
    </row>
    <row r="2926" spans="1:3">
      <c r="A2926" s="1">
        <v>21</v>
      </c>
      <c r="B2926" s="2">
        <f>Walmart_Sales_raw_data!C2926</f>
        <v>783250.75</v>
      </c>
      <c r="C2926" t="str">
        <f>IF(B2926&gt;=Walmart_Sales_raw_data!$C$6437,"High","low")</f>
        <v>low</v>
      </c>
    </row>
    <row r="2927" spans="1:3">
      <c r="A2927" s="3">
        <v>21</v>
      </c>
      <c r="B2927" s="2">
        <f>Walmart_Sales_raw_data!C2927</f>
        <v>718898.33</v>
      </c>
      <c r="C2927" t="str">
        <f>IF(B2927&gt;=Walmart_Sales_raw_data!$C$6437,"High","low")</f>
        <v>low</v>
      </c>
    </row>
    <row r="2928" spans="1:3">
      <c r="A2928" s="1">
        <v>21</v>
      </c>
      <c r="B2928" s="2">
        <f>Walmart_Sales_raw_data!C2928</f>
        <v>754236.7</v>
      </c>
      <c r="C2928" t="str">
        <f>IF(B2928&gt;=Walmart_Sales_raw_data!$C$6437,"High","low")</f>
        <v>low</v>
      </c>
    </row>
    <row r="2929" spans="1:3">
      <c r="A2929" s="3">
        <v>21</v>
      </c>
      <c r="B2929" s="2">
        <f>Walmart_Sales_raw_data!C2929</f>
        <v>744836.56</v>
      </c>
      <c r="C2929" t="str">
        <f>IF(B2929&gt;=Walmart_Sales_raw_data!$C$6437,"High","low")</f>
        <v>low</v>
      </c>
    </row>
    <row r="2930" spans="1:3">
      <c r="A2930" s="1">
        <v>21</v>
      </c>
      <c r="B2930" s="2">
        <f>Walmart_Sales_raw_data!C2930</f>
        <v>744389.81</v>
      </c>
      <c r="C2930" t="str">
        <f>IF(B2930&gt;=Walmart_Sales_raw_data!$C$6437,"High","low")</f>
        <v>low</v>
      </c>
    </row>
    <row r="2931" spans="1:3">
      <c r="A2931" s="3">
        <v>21</v>
      </c>
      <c r="B2931" s="2">
        <f>Walmart_Sales_raw_data!C2931</f>
        <v>773878.58</v>
      </c>
      <c r="C2931" t="str">
        <f>IF(B2931&gt;=Walmart_Sales_raw_data!$C$6437,"High","low")</f>
        <v>low</v>
      </c>
    </row>
    <row r="2932" spans="1:3">
      <c r="A2932" s="1">
        <v>21</v>
      </c>
      <c r="B2932" s="2">
        <f>Walmart_Sales_raw_data!C2932</f>
        <v>794397.89</v>
      </c>
      <c r="C2932" t="str">
        <f>IF(B2932&gt;=Walmart_Sales_raw_data!$C$6437,"High","low")</f>
        <v>low</v>
      </c>
    </row>
    <row r="2933" spans="1:3">
      <c r="A2933" s="3">
        <v>21</v>
      </c>
      <c r="B2933" s="2">
        <f>Walmart_Sales_raw_data!C2933</f>
        <v>823220.43</v>
      </c>
      <c r="C2933" t="str">
        <f>IF(B2933&gt;=Walmart_Sales_raw_data!$C$6437,"High","low")</f>
        <v>low</v>
      </c>
    </row>
    <row r="2934" spans="1:3">
      <c r="A2934" s="1">
        <v>21</v>
      </c>
      <c r="B2934" s="2">
        <f>Walmart_Sales_raw_data!C2934</f>
        <v>771298.98</v>
      </c>
      <c r="C2934" t="str">
        <f>IF(B2934&gt;=Walmart_Sales_raw_data!$C$6437,"High","low")</f>
        <v>low</v>
      </c>
    </row>
    <row r="2935" spans="1:3">
      <c r="A2935" s="3">
        <v>21</v>
      </c>
      <c r="B2935" s="2">
        <f>Walmart_Sales_raw_data!C2935</f>
        <v>784639.12</v>
      </c>
      <c r="C2935" t="str">
        <f>IF(B2935&gt;=Walmart_Sales_raw_data!$C$6437,"High","low")</f>
        <v>low</v>
      </c>
    </row>
    <row r="2936" spans="1:3">
      <c r="A2936" s="1">
        <v>21</v>
      </c>
      <c r="B2936" s="2">
        <f>Walmart_Sales_raw_data!C2936</f>
        <v>734099.4</v>
      </c>
      <c r="C2936" t="str">
        <f>IF(B2936&gt;=Walmart_Sales_raw_data!$C$6437,"High","low")</f>
        <v>low</v>
      </c>
    </row>
    <row r="2937" spans="1:3">
      <c r="A2937" s="3">
        <v>21</v>
      </c>
      <c r="B2937" s="2">
        <f>Walmart_Sales_raw_data!C2937</f>
        <v>728311.15</v>
      </c>
      <c r="C2937" t="str">
        <f>IF(B2937&gt;=Walmart_Sales_raw_data!$C$6437,"High","low")</f>
        <v>low</v>
      </c>
    </row>
    <row r="2938" spans="1:3">
      <c r="A2938" s="1">
        <v>21</v>
      </c>
      <c r="B2938" s="2">
        <f>Walmart_Sales_raw_data!C2938</f>
        <v>784490.67</v>
      </c>
      <c r="C2938" t="str">
        <f>IF(B2938&gt;=Walmart_Sales_raw_data!$C$6437,"High","low")</f>
        <v>low</v>
      </c>
    </row>
    <row r="2939" spans="1:3">
      <c r="A2939" s="3">
        <v>21</v>
      </c>
      <c r="B2939" s="2">
        <f>Walmart_Sales_raw_data!C2939</f>
        <v>751167.12</v>
      </c>
      <c r="C2939" t="str">
        <f>IF(B2939&gt;=Walmart_Sales_raw_data!$C$6437,"High","low")</f>
        <v>low</v>
      </c>
    </row>
    <row r="2940" spans="1:3">
      <c r="A2940" s="1">
        <v>21</v>
      </c>
      <c r="B2940" s="2">
        <f>Walmart_Sales_raw_data!C2940</f>
        <v>783614.89</v>
      </c>
      <c r="C2940" t="str">
        <f>IF(B2940&gt;=Walmart_Sales_raw_data!$C$6437,"High","low")</f>
        <v>low</v>
      </c>
    </row>
    <row r="2941" spans="1:3">
      <c r="A2941" s="3">
        <v>21</v>
      </c>
      <c r="B2941" s="2">
        <f>Walmart_Sales_raw_data!C2941</f>
        <v>776933.37</v>
      </c>
      <c r="C2941" t="str">
        <f>IF(B2941&gt;=Walmart_Sales_raw_data!$C$6437,"High","low")</f>
        <v>low</v>
      </c>
    </row>
    <row r="2942" spans="1:3">
      <c r="A2942" s="1">
        <v>21</v>
      </c>
      <c r="B2942" s="2">
        <f>Walmart_Sales_raw_data!C2942</f>
        <v>855546.5</v>
      </c>
      <c r="C2942" t="str">
        <f>IF(B2942&gt;=Walmart_Sales_raw_data!$C$6437,"High","low")</f>
        <v>low</v>
      </c>
    </row>
    <row r="2943" spans="1:3">
      <c r="A2943" s="3">
        <v>21</v>
      </c>
      <c r="B2943" s="2">
        <f>Walmart_Sales_raw_data!C2943</f>
        <v>821127.53</v>
      </c>
      <c r="C2943" t="str">
        <f>IF(B2943&gt;=Walmart_Sales_raw_data!$C$6437,"High","low")</f>
        <v>low</v>
      </c>
    </row>
    <row r="2944" spans="1:3">
      <c r="A2944" s="1">
        <v>21</v>
      </c>
      <c r="B2944" s="2">
        <f>Walmart_Sales_raw_data!C2944</f>
        <v>705557.8</v>
      </c>
      <c r="C2944" t="str">
        <f>IF(B2944&gt;=Walmart_Sales_raw_data!$C$6437,"High","low")</f>
        <v>low</v>
      </c>
    </row>
    <row r="2945" spans="1:3">
      <c r="A2945" s="3">
        <v>21</v>
      </c>
      <c r="B2945" s="2">
        <f>Walmart_Sales_raw_data!C2945</f>
        <v>653989.65</v>
      </c>
      <c r="C2945" t="str">
        <f>IF(B2945&gt;=Walmart_Sales_raw_data!$C$6437,"High","low")</f>
        <v>low</v>
      </c>
    </row>
    <row r="2946" spans="1:3">
      <c r="A2946" s="1">
        <v>21</v>
      </c>
      <c r="B2946" s="2">
        <f>Walmart_Sales_raw_data!C2946</f>
        <v>653525.84</v>
      </c>
      <c r="C2946" t="str">
        <f>IF(B2946&gt;=Walmart_Sales_raw_data!$C$6437,"High","low")</f>
        <v>low</v>
      </c>
    </row>
    <row r="2947" spans="1:3">
      <c r="A2947" s="3">
        <v>21</v>
      </c>
      <c r="B2947" s="2">
        <f>Walmart_Sales_raw_data!C2947</f>
        <v>681913.29</v>
      </c>
      <c r="C2947" t="str">
        <f>IF(B2947&gt;=Walmart_Sales_raw_data!$C$6437,"High","low")</f>
        <v>low</v>
      </c>
    </row>
    <row r="2948" spans="1:3">
      <c r="A2948" s="1">
        <v>21</v>
      </c>
      <c r="B2948" s="2">
        <f>Walmart_Sales_raw_data!C2948</f>
        <v>651970.48</v>
      </c>
      <c r="C2948" t="str">
        <f>IF(B2948&gt;=Walmart_Sales_raw_data!$C$6437,"High","low")</f>
        <v>low</v>
      </c>
    </row>
    <row r="2949" spans="1:3">
      <c r="A2949" s="3">
        <v>21</v>
      </c>
      <c r="B2949" s="2">
        <f>Walmart_Sales_raw_data!C2949</f>
        <v>663452.46</v>
      </c>
      <c r="C2949" t="str">
        <f>IF(B2949&gt;=Walmart_Sales_raw_data!$C$6437,"High","low")</f>
        <v>low</v>
      </c>
    </row>
    <row r="2950" spans="1:3">
      <c r="A2950" s="1">
        <v>21</v>
      </c>
      <c r="B2950" s="2">
        <f>Walmart_Sales_raw_data!C2950</f>
        <v>671379.44</v>
      </c>
      <c r="C2950" t="str">
        <f>IF(B2950&gt;=Walmart_Sales_raw_data!$C$6437,"High","low")</f>
        <v>low</v>
      </c>
    </row>
    <row r="2951" spans="1:3">
      <c r="A2951" s="3">
        <v>21</v>
      </c>
      <c r="B2951" s="2">
        <f>Walmart_Sales_raw_data!C2951</f>
        <v>729036.06</v>
      </c>
      <c r="C2951" t="str">
        <f>IF(B2951&gt;=Walmart_Sales_raw_data!$C$6437,"High","low")</f>
        <v>low</v>
      </c>
    </row>
    <row r="2952" spans="1:3">
      <c r="A2952" s="1">
        <v>21</v>
      </c>
      <c r="B2952" s="2">
        <f>Walmart_Sales_raw_data!C2952</f>
        <v>738812</v>
      </c>
      <c r="C2952" t="str">
        <f>IF(B2952&gt;=Walmart_Sales_raw_data!$C$6437,"High","low")</f>
        <v>low</v>
      </c>
    </row>
    <row r="2953" spans="1:3">
      <c r="A2953" s="3">
        <v>21</v>
      </c>
      <c r="B2953" s="2">
        <f>Walmart_Sales_raw_data!C2953</f>
        <v>767358.37</v>
      </c>
      <c r="C2953" t="str">
        <f>IF(B2953&gt;=Walmart_Sales_raw_data!$C$6437,"High","low")</f>
        <v>low</v>
      </c>
    </row>
    <row r="2954" spans="1:3">
      <c r="A2954" s="1">
        <v>21</v>
      </c>
      <c r="B2954" s="2">
        <f>Walmart_Sales_raw_data!C2954</f>
        <v>757369.87</v>
      </c>
      <c r="C2954" t="str">
        <f>IF(B2954&gt;=Walmart_Sales_raw_data!$C$6437,"High","low")</f>
        <v>low</v>
      </c>
    </row>
    <row r="2955" spans="1:3">
      <c r="A2955" s="3">
        <v>21</v>
      </c>
      <c r="B2955" s="2">
        <f>Walmart_Sales_raw_data!C2955</f>
        <v>737014.09</v>
      </c>
      <c r="C2955" t="str">
        <f>IF(B2955&gt;=Walmart_Sales_raw_data!$C$6437,"High","low")</f>
        <v>low</v>
      </c>
    </row>
    <row r="2956" spans="1:3">
      <c r="A2956" s="1">
        <v>21</v>
      </c>
      <c r="B2956" s="2">
        <f>Walmart_Sales_raw_data!C2956</f>
        <v>1219263.4</v>
      </c>
      <c r="C2956" t="str">
        <f>IF(B2956&gt;=Walmart_Sales_raw_data!$C$6437,"High","low")</f>
        <v>High</v>
      </c>
    </row>
    <row r="2957" spans="1:3">
      <c r="A2957" s="3">
        <v>21</v>
      </c>
      <c r="B2957" s="2">
        <f>Walmart_Sales_raw_data!C2957</f>
        <v>793184.25</v>
      </c>
      <c r="C2957" t="str">
        <f>IF(B2957&gt;=Walmart_Sales_raw_data!$C$6437,"High","low")</f>
        <v>low</v>
      </c>
    </row>
    <row r="2958" spans="1:3">
      <c r="A2958" s="1">
        <v>21</v>
      </c>
      <c r="B2958" s="2">
        <f>Walmart_Sales_raw_data!C2958</f>
        <v>897747.13</v>
      </c>
      <c r="C2958" t="str">
        <f>IF(B2958&gt;=Walmart_Sales_raw_data!$C$6437,"High","low")</f>
        <v>low</v>
      </c>
    </row>
    <row r="2959" spans="1:3">
      <c r="A2959" s="3">
        <v>21</v>
      </c>
      <c r="B2959" s="2">
        <f>Walmart_Sales_raw_data!C2959</f>
        <v>1027584.51</v>
      </c>
      <c r="C2959" t="str">
        <f>IF(B2959&gt;=Walmart_Sales_raw_data!$C$6437,"High","low")</f>
        <v>low</v>
      </c>
    </row>
    <row r="2960" spans="1:3">
      <c r="A2960" s="1">
        <v>21</v>
      </c>
      <c r="B2960" s="2">
        <f>Walmart_Sales_raw_data!C2960</f>
        <v>1384552.17</v>
      </c>
      <c r="C2960" t="str">
        <f>IF(B2960&gt;=Walmart_Sales_raw_data!$C$6437,"High","low")</f>
        <v>High</v>
      </c>
    </row>
    <row r="2961" spans="1:3">
      <c r="A2961" s="3">
        <v>21</v>
      </c>
      <c r="B2961" s="2">
        <f>Walmart_Sales_raw_data!C2961</f>
        <v>804362.36</v>
      </c>
      <c r="C2961" t="str">
        <f>IF(B2961&gt;=Walmart_Sales_raw_data!$C$6437,"High","low")</f>
        <v>low</v>
      </c>
    </row>
    <row r="2962" spans="1:3">
      <c r="A2962" s="1">
        <v>21</v>
      </c>
      <c r="B2962" s="2">
        <f>Walmart_Sales_raw_data!C2962</f>
        <v>640181.86</v>
      </c>
      <c r="C2962" t="str">
        <f>IF(B2962&gt;=Walmart_Sales_raw_data!$C$6437,"High","low")</f>
        <v>low</v>
      </c>
    </row>
    <row r="2963" spans="1:3">
      <c r="A2963" s="3">
        <v>21</v>
      </c>
      <c r="B2963" s="2">
        <f>Walmart_Sales_raw_data!C2963</f>
        <v>631181.25</v>
      </c>
      <c r="C2963" t="str">
        <f>IF(B2963&gt;=Walmart_Sales_raw_data!$C$6437,"High","low")</f>
        <v>low</v>
      </c>
    </row>
    <row r="2964" spans="1:3">
      <c r="A2964" s="1">
        <v>21</v>
      </c>
      <c r="B2964" s="2">
        <f>Walmart_Sales_raw_data!C2964</f>
        <v>651178.2</v>
      </c>
      <c r="C2964" t="str">
        <f>IF(B2964&gt;=Walmart_Sales_raw_data!$C$6437,"High","low")</f>
        <v>low</v>
      </c>
    </row>
    <row r="2965" spans="1:3">
      <c r="A2965" s="3">
        <v>21</v>
      </c>
      <c r="B2965" s="2">
        <f>Walmart_Sales_raw_data!C2965</f>
        <v>611258.71</v>
      </c>
      <c r="C2965" t="str">
        <f>IF(B2965&gt;=Walmart_Sales_raw_data!$C$6437,"High","low")</f>
        <v>low</v>
      </c>
    </row>
    <row r="2966" spans="1:3">
      <c r="A2966" s="1">
        <v>21</v>
      </c>
      <c r="B2966" s="2">
        <f>Walmart_Sales_raw_data!C2966</f>
        <v>680725.43</v>
      </c>
      <c r="C2966" t="str">
        <f>IF(B2966&gt;=Walmart_Sales_raw_data!$C$6437,"High","low")</f>
        <v>low</v>
      </c>
    </row>
    <row r="2967" spans="1:3">
      <c r="A2967" s="3">
        <v>21</v>
      </c>
      <c r="B2967" s="2">
        <f>Walmart_Sales_raw_data!C2967</f>
        <v>770652.79</v>
      </c>
      <c r="C2967" t="str">
        <f>IF(B2967&gt;=Walmart_Sales_raw_data!$C$6437,"High","low")</f>
        <v>low</v>
      </c>
    </row>
    <row r="2968" spans="1:3">
      <c r="A2968" s="1">
        <v>21</v>
      </c>
      <c r="B2968" s="2">
        <f>Walmart_Sales_raw_data!C2968</f>
        <v>834663.52</v>
      </c>
      <c r="C2968" t="str">
        <f>IF(B2968&gt;=Walmart_Sales_raw_data!$C$6437,"High","low")</f>
        <v>low</v>
      </c>
    </row>
    <row r="2969" spans="1:3">
      <c r="A2969" s="3">
        <v>21</v>
      </c>
      <c r="B2969" s="2">
        <f>Walmart_Sales_raw_data!C2969</f>
        <v>747099.07</v>
      </c>
      <c r="C2969" t="str">
        <f>IF(B2969&gt;=Walmart_Sales_raw_data!$C$6437,"High","low")</f>
        <v>low</v>
      </c>
    </row>
    <row r="2970" spans="1:3">
      <c r="A2970" s="1">
        <v>21</v>
      </c>
      <c r="B2970" s="2">
        <f>Walmart_Sales_raw_data!C2970</f>
        <v>764385.4</v>
      </c>
      <c r="C2970" t="str">
        <f>IF(B2970&gt;=Walmart_Sales_raw_data!$C$6437,"High","low")</f>
        <v>low</v>
      </c>
    </row>
    <row r="2971" spans="1:3">
      <c r="A2971" s="3">
        <v>21</v>
      </c>
      <c r="B2971" s="2">
        <f>Walmart_Sales_raw_data!C2971</f>
        <v>755084.4</v>
      </c>
      <c r="C2971" t="str">
        <f>IF(B2971&gt;=Walmart_Sales_raw_data!$C$6437,"High","low")</f>
        <v>low</v>
      </c>
    </row>
    <row r="2972" spans="1:3">
      <c r="A2972" s="1">
        <v>21</v>
      </c>
      <c r="B2972" s="2">
        <f>Walmart_Sales_raw_data!C2972</f>
        <v>767338.32</v>
      </c>
      <c r="C2972" t="str">
        <f>IF(B2972&gt;=Walmart_Sales_raw_data!$C$6437,"High","low")</f>
        <v>low</v>
      </c>
    </row>
    <row r="2973" spans="1:3">
      <c r="A2973" s="3">
        <v>21</v>
      </c>
      <c r="B2973" s="2">
        <f>Walmart_Sales_raw_data!C2973</f>
        <v>729759.97</v>
      </c>
      <c r="C2973" t="str">
        <f>IF(B2973&gt;=Walmart_Sales_raw_data!$C$6437,"High","low")</f>
        <v>low</v>
      </c>
    </row>
    <row r="2974" spans="1:3">
      <c r="A2974" s="1">
        <v>21</v>
      </c>
      <c r="B2974" s="2">
        <f>Walmart_Sales_raw_data!C2974</f>
        <v>724798.76</v>
      </c>
      <c r="C2974" t="str">
        <f>IF(B2974&gt;=Walmart_Sales_raw_data!$C$6437,"High","low")</f>
        <v>low</v>
      </c>
    </row>
    <row r="2975" spans="1:3">
      <c r="A2975" s="3">
        <v>21</v>
      </c>
      <c r="B2975" s="2">
        <f>Walmart_Sales_raw_data!C2975</f>
        <v>761956.58</v>
      </c>
      <c r="C2975" t="str">
        <f>IF(B2975&gt;=Walmart_Sales_raw_data!$C$6437,"High","low")</f>
        <v>low</v>
      </c>
    </row>
    <row r="2976" spans="1:3">
      <c r="A2976" s="1">
        <v>21</v>
      </c>
      <c r="B2976" s="2">
        <f>Walmart_Sales_raw_data!C2976</f>
        <v>769319.04</v>
      </c>
      <c r="C2976" t="str">
        <f>IF(B2976&gt;=Walmart_Sales_raw_data!$C$6437,"High","low")</f>
        <v>low</v>
      </c>
    </row>
    <row r="2977" spans="1:3">
      <c r="A2977" s="3">
        <v>21</v>
      </c>
      <c r="B2977" s="2">
        <f>Walmart_Sales_raw_data!C2977</f>
        <v>734858.91</v>
      </c>
      <c r="C2977" t="str">
        <f>IF(B2977&gt;=Walmart_Sales_raw_data!$C$6437,"High","low")</f>
        <v>low</v>
      </c>
    </row>
    <row r="2978" spans="1:3">
      <c r="A2978" s="1">
        <v>21</v>
      </c>
      <c r="B2978" s="2">
        <f>Walmart_Sales_raw_data!C2978</f>
        <v>674829.58</v>
      </c>
      <c r="C2978" t="str">
        <f>IF(B2978&gt;=Walmart_Sales_raw_data!$C$6437,"High","low")</f>
        <v>low</v>
      </c>
    </row>
    <row r="2979" spans="1:3">
      <c r="A2979" s="3">
        <v>21</v>
      </c>
      <c r="B2979" s="2">
        <f>Walmart_Sales_raw_data!C2979</f>
        <v>697645.32</v>
      </c>
      <c r="C2979" t="str">
        <f>IF(B2979&gt;=Walmart_Sales_raw_data!$C$6437,"High","low")</f>
        <v>low</v>
      </c>
    </row>
    <row r="2980" spans="1:3">
      <c r="A2980" s="1">
        <v>21</v>
      </c>
      <c r="B2980" s="2">
        <f>Walmart_Sales_raw_data!C2980</f>
        <v>649945.54</v>
      </c>
      <c r="C2980" t="str">
        <f>IF(B2980&gt;=Walmart_Sales_raw_data!$C$6437,"High","low")</f>
        <v>low</v>
      </c>
    </row>
    <row r="2981" spans="1:3">
      <c r="A2981" s="3">
        <v>21</v>
      </c>
      <c r="B2981" s="2">
        <f>Walmart_Sales_raw_data!C2981</f>
        <v>700554.16</v>
      </c>
      <c r="C2981" t="str">
        <f>IF(B2981&gt;=Walmart_Sales_raw_data!$C$6437,"High","low")</f>
        <v>low</v>
      </c>
    </row>
    <row r="2982" spans="1:3">
      <c r="A2982" s="1">
        <v>21</v>
      </c>
      <c r="B2982" s="2">
        <f>Walmart_Sales_raw_data!C2982</f>
        <v>722891.24</v>
      </c>
      <c r="C2982" t="str">
        <f>IF(B2982&gt;=Walmart_Sales_raw_data!$C$6437,"High","low")</f>
        <v>low</v>
      </c>
    </row>
    <row r="2983" spans="1:3">
      <c r="A2983" s="3">
        <v>21</v>
      </c>
      <c r="B2983" s="2">
        <f>Walmart_Sales_raw_data!C2983</f>
        <v>695439.83</v>
      </c>
      <c r="C2983" t="str">
        <f>IF(B2983&gt;=Walmart_Sales_raw_data!$C$6437,"High","low")</f>
        <v>low</v>
      </c>
    </row>
    <row r="2984" spans="1:3">
      <c r="A2984" s="1">
        <v>21</v>
      </c>
      <c r="B2984" s="2">
        <f>Walmart_Sales_raw_data!C2984</f>
        <v>707895.72</v>
      </c>
      <c r="C2984" t="str">
        <f>IF(B2984&gt;=Walmart_Sales_raw_data!$C$6437,"High","low")</f>
        <v>low</v>
      </c>
    </row>
    <row r="2985" spans="1:3">
      <c r="A2985" s="3">
        <v>21</v>
      </c>
      <c r="B2985" s="2">
        <f>Walmart_Sales_raw_data!C2985</f>
        <v>727049.04</v>
      </c>
      <c r="C2985" t="str">
        <f>IF(B2985&gt;=Walmart_Sales_raw_data!$C$6437,"High","low")</f>
        <v>low</v>
      </c>
    </row>
    <row r="2986" spans="1:3">
      <c r="A2986" s="1">
        <v>21</v>
      </c>
      <c r="B2986" s="2">
        <f>Walmart_Sales_raw_data!C2986</f>
        <v>735870</v>
      </c>
      <c r="C2986" t="str">
        <f>IF(B2986&gt;=Walmart_Sales_raw_data!$C$6437,"High","low")</f>
        <v>low</v>
      </c>
    </row>
    <row r="2987" spans="1:3">
      <c r="A2987" s="3">
        <v>21</v>
      </c>
      <c r="B2987" s="2">
        <f>Walmart_Sales_raw_data!C2987</f>
        <v>716341.39</v>
      </c>
      <c r="C2987" t="str">
        <f>IF(B2987&gt;=Walmart_Sales_raw_data!$C$6437,"High","low")</f>
        <v>low</v>
      </c>
    </row>
    <row r="2988" spans="1:3">
      <c r="A2988" s="1">
        <v>21</v>
      </c>
      <c r="B2988" s="2">
        <f>Walmart_Sales_raw_data!C2988</f>
        <v>693013.59</v>
      </c>
      <c r="C2988" t="str">
        <f>IF(B2988&gt;=Walmart_Sales_raw_data!$C$6437,"High","low")</f>
        <v>low</v>
      </c>
    </row>
    <row r="2989" spans="1:3">
      <c r="A2989" s="3">
        <v>21</v>
      </c>
      <c r="B2989" s="2">
        <f>Walmart_Sales_raw_data!C2989</f>
        <v>668132.36</v>
      </c>
      <c r="C2989" t="str">
        <f>IF(B2989&gt;=Walmart_Sales_raw_data!$C$6437,"High","low")</f>
        <v>low</v>
      </c>
    </row>
    <row r="2990" spans="1:3">
      <c r="A2990" s="1">
        <v>21</v>
      </c>
      <c r="B2990" s="2">
        <f>Walmart_Sales_raw_data!C2990</f>
        <v>691200.33</v>
      </c>
      <c r="C2990" t="str">
        <f>IF(B2990&gt;=Walmart_Sales_raw_data!$C$6437,"High","low")</f>
        <v>low</v>
      </c>
    </row>
    <row r="2991" spans="1:3">
      <c r="A2991" s="3">
        <v>21</v>
      </c>
      <c r="B2991" s="2">
        <f>Walmart_Sales_raw_data!C2991</f>
        <v>677789.14</v>
      </c>
      <c r="C2991" t="str">
        <f>IF(B2991&gt;=Walmart_Sales_raw_data!$C$6437,"High","low")</f>
        <v>low</v>
      </c>
    </row>
    <row r="2992" spans="1:3">
      <c r="A2992" s="1">
        <v>21</v>
      </c>
      <c r="B2992" s="2">
        <f>Walmart_Sales_raw_data!C2992</f>
        <v>693785.85</v>
      </c>
      <c r="C2992" t="str">
        <f>IF(B2992&gt;=Walmart_Sales_raw_data!$C$6437,"High","low")</f>
        <v>low</v>
      </c>
    </row>
    <row r="2993" spans="1:3">
      <c r="A2993" s="3">
        <v>21</v>
      </c>
      <c r="B2993" s="2">
        <f>Walmart_Sales_raw_data!C2993</f>
        <v>700272.01</v>
      </c>
      <c r="C2993" t="str">
        <f>IF(B2993&gt;=Walmart_Sales_raw_data!$C$6437,"High","low")</f>
        <v>low</v>
      </c>
    </row>
    <row r="2994" spans="1:3">
      <c r="A2994" s="1">
        <v>21</v>
      </c>
      <c r="B2994" s="2">
        <f>Walmart_Sales_raw_data!C2994</f>
        <v>751963.81</v>
      </c>
      <c r="C2994" t="str">
        <f>IF(B2994&gt;=Walmart_Sales_raw_data!$C$6437,"High","low")</f>
        <v>low</v>
      </c>
    </row>
    <row r="2995" spans="1:3">
      <c r="A2995" s="3">
        <v>21</v>
      </c>
      <c r="B2995" s="2">
        <f>Walmart_Sales_raw_data!C2995</f>
        <v>802003.61</v>
      </c>
      <c r="C2995" t="str">
        <f>IF(B2995&gt;=Walmart_Sales_raw_data!$C$6437,"High","low")</f>
        <v>low</v>
      </c>
    </row>
    <row r="2996" spans="1:3">
      <c r="A2996" s="1">
        <v>21</v>
      </c>
      <c r="B2996" s="2">
        <f>Walmart_Sales_raw_data!C2996</f>
        <v>763867.59</v>
      </c>
      <c r="C2996" t="str">
        <f>IF(B2996&gt;=Walmart_Sales_raw_data!$C$6437,"High","low")</f>
        <v>low</v>
      </c>
    </row>
    <row r="2997" spans="1:3">
      <c r="A2997" s="3">
        <v>21</v>
      </c>
      <c r="B2997" s="2">
        <f>Walmart_Sales_raw_data!C2997</f>
        <v>642827.29</v>
      </c>
      <c r="C2997" t="str">
        <f>IF(B2997&gt;=Walmart_Sales_raw_data!$C$6437,"High","low")</f>
        <v>low</v>
      </c>
    </row>
    <row r="2998" spans="1:3">
      <c r="A2998" s="1">
        <v>21</v>
      </c>
      <c r="B2998" s="2">
        <f>Walmart_Sales_raw_data!C2998</f>
        <v>628494.63</v>
      </c>
      <c r="C2998" t="str">
        <f>IF(B2998&gt;=Walmart_Sales_raw_data!$C$6437,"High","low")</f>
        <v>low</v>
      </c>
    </row>
    <row r="2999" spans="1:3">
      <c r="A2999" s="3">
        <v>21</v>
      </c>
      <c r="B2999" s="2">
        <f>Walmart_Sales_raw_data!C2999</f>
        <v>667151.46</v>
      </c>
      <c r="C2999" t="str">
        <f>IF(B2999&gt;=Walmart_Sales_raw_data!$C$6437,"High","low")</f>
        <v>low</v>
      </c>
    </row>
    <row r="3000" spans="1:3">
      <c r="A3000" s="1">
        <v>21</v>
      </c>
      <c r="B3000" s="2">
        <f>Walmart_Sales_raw_data!C3000</f>
        <v>647097.65</v>
      </c>
      <c r="C3000" t="str">
        <f>IF(B3000&gt;=Walmart_Sales_raw_data!$C$6437,"High","low")</f>
        <v>low</v>
      </c>
    </row>
    <row r="3001" spans="1:3">
      <c r="A3001" s="3">
        <v>21</v>
      </c>
      <c r="B3001" s="2">
        <f>Walmart_Sales_raw_data!C3001</f>
        <v>651768.91</v>
      </c>
      <c r="C3001" t="str">
        <f>IF(B3001&gt;=Walmart_Sales_raw_data!$C$6437,"High","low")</f>
        <v>low</v>
      </c>
    </row>
    <row r="3002" spans="1:3">
      <c r="A3002" s="1">
        <v>21</v>
      </c>
      <c r="B3002" s="2">
        <f>Walmart_Sales_raw_data!C3002</f>
        <v>653043.44</v>
      </c>
      <c r="C3002" t="str">
        <f>IF(B3002&gt;=Walmart_Sales_raw_data!$C$6437,"High","low")</f>
        <v>low</v>
      </c>
    </row>
    <row r="3003" spans="1:3">
      <c r="A3003" s="3">
        <v>21</v>
      </c>
      <c r="B3003" s="2">
        <f>Walmart_Sales_raw_data!C3003</f>
        <v>641368.14</v>
      </c>
      <c r="C3003" t="str">
        <f>IF(B3003&gt;=Walmart_Sales_raw_data!$C$6437,"High","low")</f>
        <v>low</v>
      </c>
    </row>
    <row r="3004" spans="1:3">
      <c r="A3004" s="1">
        <v>21</v>
      </c>
      <c r="B3004" s="2">
        <f>Walmart_Sales_raw_data!C3004</f>
        <v>675202.87</v>
      </c>
      <c r="C3004" t="str">
        <f>IF(B3004&gt;=Walmart_Sales_raw_data!$C$6437,"High","low")</f>
        <v>low</v>
      </c>
    </row>
    <row r="3005" spans="1:3">
      <c r="A3005" s="3">
        <v>22</v>
      </c>
      <c r="B3005" s="2">
        <f>Walmart_Sales_raw_data!C3005</f>
        <v>1033017.37</v>
      </c>
      <c r="C3005" t="str">
        <f>IF(B3005&gt;=Walmart_Sales_raw_data!$C$6437,"High","low")</f>
        <v>low</v>
      </c>
    </row>
    <row r="3006" spans="1:3">
      <c r="A3006" s="1">
        <v>22</v>
      </c>
      <c r="B3006" s="2">
        <f>Walmart_Sales_raw_data!C3006</f>
        <v>1022571.25</v>
      </c>
      <c r="C3006" t="str">
        <f>IF(B3006&gt;=Walmart_Sales_raw_data!$C$6437,"High","low")</f>
        <v>low</v>
      </c>
    </row>
    <row r="3007" spans="1:3">
      <c r="A3007" s="3">
        <v>22</v>
      </c>
      <c r="B3007" s="2">
        <f>Walmart_Sales_raw_data!C3007</f>
        <v>988467.61</v>
      </c>
      <c r="C3007" t="str">
        <f>IF(B3007&gt;=Walmart_Sales_raw_data!$C$6437,"High","low")</f>
        <v>low</v>
      </c>
    </row>
    <row r="3008" spans="1:3">
      <c r="A3008" s="1">
        <v>22</v>
      </c>
      <c r="B3008" s="2">
        <f>Walmart_Sales_raw_data!C3008</f>
        <v>899761.48</v>
      </c>
      <c r="C3008" t="str">
        <f>IF(B3008&gt;=Walmart_Sales_raw_data!$C$6437,"High","low")</f>
        <v>low</v>
      </c>
    </row>
    <row r="3009" spans="1:3">
      <c r="A3009" s="3">
        <v>22</v>
      </c>
      <c r="B3009" s="2">
        <f>Walmart_Sales_raw_data!C3009</f>
        <v>1009201.24</v>
      </c>
      <c r="C3009" t="str">
        <f>IF(B3009&gt;=Walmart_Sales_raw_data!$C$6437,"High","low")</f>
        <v>low</v>
      </c>
    </row>
    <row r="3010" spans="1:3">
      <c r="A3010" s="1">
        <v>22</v>
      </c>
      <c r="B3010" s="2">
        <f>Walmart_Sales_raw_data!C3010</f>
        <v>967187.37</v>
      </c>
      <c r="C3010" t="str">
        <f>IF(B3010&gt;=Walmart_Sales_raw_data!$C$6437,"High","low")</f>
        <v>low</v>
      </c>
    </row>
    <row r="3011" spans="1:3">
      <c r="A3011" s="3">
        <v>22</v>
      </c>
      <c r="B3011" s="2">
        <f>Walmart_Sales_raw_data!C3011</f>
        <v>966145.09</v>
      </c>
      <c r="C3011" t="str">
        <f>IF(B3011&gt;=Walmart_Sales_raw_data!$C$6437,"High","low")</f>
        <v>low</v>
      </c>
    </row>
    <row r="3012" spans="1:3">
      <c r="A3012" s="1">
        <v>22</v>
      </c>
      <c r="B3012" s="2">
        <f>Walmart_Sales_raw_data!C3012</f>
        <v>1012075.12</v>
      </c>
      <c r="C3012" t="str">
        <f>IF(B3012&gt;=Walmart_Sales_raw_data!$C$6437,"High","low")</f>
        <v>low</v>
      </c>
    </row>
    <row r="3013" spans="1:3">
      <c r="A3013" s="3">
        <v>22</v>
      </c>
      <c r="B3013" s="2">
        <f>Walmart_Sales_raw_data!C3013</f>
        <v>1177340.99</v>
      </c>
      <c r="C3013" t="str">
        <f>IF(B3013&gt;=Walmart_Sales_raw_data!$C$6437,"High","low")</f>
        <v>High</v>
      </c>
    </row>
    <row r="3014" spans="1:3">
      <c r="A3014" s="1">
        <v>22</v>
      </c>
      <c r="B3014" s="2">
        <f>Walmart_Sales_raw_data!C3014</f>
        <v>1033171.07</v>
      </c>
      <c r="C3014" t="str">
        <f>IF(B3014&gt;=Walmart_Sales_raw_data!$C$6437,"High","low")</f>
        <v>low</v>
      </c>
    </row>
    <row r="3015" spans="1:3">
      <c r="A3015" s="3">
        <v>22</v>
      </c>
      <c r="B3015" s="2">
        <f>Walmart_Sales_raw_data!C3015</f>
        <v>1000968.67</v>
      </c>
      <c r="C3015" t="str">
        <f>IF(B3015&gt;=Walmart_Sales_raw_data!$C$6437,"High","low")</f>
        <v>low</v>
      </c>
    </row>
    <row r="3016" spans="1:3">
      <c r="A3016" s="1">
        <v>22</v>
      </c>
      <c r="B3016" s="2">
        <f>Walmart_Sales_raw_data!C3016</f>
        <v>969594.47</v>
      </c>
      <c r="C3016" t="str">
        <f>IF(B3016&gt;=Walmart_Sales_raw_data!$C$6437,"High","low")</f>
        <v>low</v>
      </c>
    </row>
    <row r="3017" spans="1:3">
      <c r="A3017" s="3">
        <v>22</v>
      </c>
      <c r="B3017" s="2">
        <f>Walmart_Sales_raw_data!C3017</f>
        <v>977683.06</v>
      </c>
      <c r="C3017" t="str">
        <f>IF(B3017&gt;=Walmart_Sales_raw_data!$C$6437,"High","low")</f>
        <v>low</v>
      </c>
    </row>
    <row r="3018" spans="1:3">
      <c r="A3018" s="1">
        <v>22</v>
      </c>
      <c r="B3018" s="2">
        <f>Walmart_Sales_raw_data!C3018</f>
        <v>1052973.28</v>
      </c>
      <c r="C3018" t="str">
        <f>IF(B3018&gt;=Walmart_Sales_raw_data!$C$6437,"High","low")</f>
        <v>High</v>
      </c>
    </row>
    <row r="3019" spans="1:3">
      <c r="A3019" s="3">
        <v>22</v>
      </c>
      <c r="B3019" s="2">
        <f>Walmart_Sales_raw_data!C3019</f>
        <v>973585.33</v>
      </c>
      <c r="C3019" t="str">
        <f>IF(B3019&gt;=Walmart_Sales_raw_data!$C$6437,"High","low")</f>
        <v>low</v>
      </c>
    </row>
    <row r="3020" spans="1:3">
      <c r="A3020" s="1">
        <v>22</v>
      </c>
      <c r="B3020" s="2">
        <f>Walmart_Sales_raw_data!C3020</f>
        <v>979977.89</v>
      </c>
      <c r="C3020" t="str">
        <f>IF(B3020&gt;=Walmart_Sales_raw_data!$C$6437,"High","low")</f>
        <v>low</v>
      </c>
    </row>
    <row r="3021" spans="1:3">
      <c r="A3021" s="3">
        <v>22</v>
      </c>
      <c r="B3021" s="2">
        <f>Walmart_Sales_raw_data!C3021</f>
        <v>1103740.4</v>
      </c>
      <c r="C3021" t="str">
        <f>IF(B3021&gt;=Walmart_Sales_raw_data!$C$6437,"High","low")</f>
        <v>High</v>
      </c>
    </row>
    <row r="3022" spans="1:3">
      <c r="A3022" s="1">
        <v>22</v>
      </c>
      <c r="B3022" s="2">
        <f>Walmart_Sales_raw_data!C3022</f>
        <v>1095539.13</v>
      </c>
      <c r="C3022" t="str">
        <f>IF(B3022&gt;=Walmart_Sales_raw_data!$C$6437,"High","low")</f>
        <v>High</v>
      </c>
    </row>
    <row r="3023" spans="1:3">
      <c r="A3023" s="3">
        <v>22</v>
      </c>
      <c r="B3023" s="2">
        <f>Walmart_Sales_raw_data!C3023</f>
        <v>1061196.47</v>
      </c>
      <c r="C3023" t="str">
        <f>IF(B3023&gt;=Walmart_Sales_raw_data!$C$6437,"High","low")</f>
        <v>High</v>
      </c>
    </row>
    <row r="3024" spans="1:3">
      <c r="A3024" s="1">
        <v>22</v>
      </c>
      <c r="B3024" s="2">
        <f>Walmart_Sales_raw_data!C3024</f>
        <v>1052895.25</v>
      </c>
      <c r="C3024" t="str">
        <f>IF(B3024&gt;=Walmart_Sales_raw_data!$C$6437,"High","low")</f>
        <v>High</v>
      </c>
    </row>
    <row r="3025" spans="1:3">
      <c r="A3025" s="3">
        <v>22</v>
      </c>
      <c r="B3025" s="2">
        <f>Walmart_Sales_raw_data!C3025</f>
        <v>1095020.33</v>
      </c>
      <c r="C3025" t="str">
        <f>IF(B3025&gt;=Walmart_Sales_raw_data!$C$6437,"High","low")</f>
        <v>High</v>
      </c>
    </row>
    <row r="3026" spans="1:3">
      <c r="A3026" s="1">
        <v>22</v>
      </c>
      <c r="B3026" s="2">
        <f>Walmart_Sales_raw_data!C3026</f>
        <v>1120259.71</v>
      </c>
      <c r="C3026" t="str">
        <f>IF(B3026&gt;=Walmart_Sales_raw_data!$C$6437,"High","low")</f>
        <v>High</v>
      </c>
    </row>
    <row r="3027" spans="1:3">
      <c r="A3027" s="3">
        <v>22</v>
      </c>
      <c r="B3027" s="2">
        <f>Walmart_Sales_raw_data!C3027</f>
        <v>1092654.26</v>
      </c>
      <c r="C3027" t="str">
        <f>IF(B3027&gt;=Walmart_Sales_raw_data!$C$6437,"High","low")</f>
        <v>High</v>
      </c>
    </row>
    <row r="3028" spans="1:3">
      <c r="A3028" s="1">
        <v>22</v>
      </c>
      <c r="B3028" s="2">
        <f>Walmart_Sales_raw_data!C3028</f>
        <v>988392.99</v>
      </c>
      <c r="C3028" t="str">
        <f>IF(B3028&gt;=Walmart_Sales_raw_data!$C$6437,"High","low")</f>
        <v>low</v>
      </c>
    </row>
    <row r="3029" spans="1:3">
      <c r="A3029" s="3">
        <v>22</v>
      </c>
      <c r="B3029" s="2">
        <f>Walmart_Sales_raw_data!C3029</f>
        <v>974123.2</v>
      </c>
      <c r="C3029" t="str">
        <f>IF(B3029&gt;=Walmart_Sales_raw_data!$C$6437,"High","low")</f>
        <v>low</v>
      </c>
    </row>
    <row r="3030" spans="1:3">
      <c r="A3030" s="1">
        <v>22</v>
      </c>
      <c r="B3030" s="2">
        <f>Walmart_Sales_raw_data!C3030</f>
        <v>970773.64</v>
      </c>
      <c r="C3030" t="str">
        <f>IF(B3030&gt;=Walmart_Sales_raw_data!$C$6437,"High","low")</f>
        <v>low</v>
      </c>
    </row>
    <row r="3031" spans="1:3">
      <c r="A3031" s="3">
        <v>22</v>
      </c>
      <c r="B3031" s="2">
        <f>Walmart_Sales_raw_data!C3031</f>
        <v>1010326.14</v>
      </c>
      <c r="C3031" t="str">
        <f>IF(B3031&gt;=Walmart_Sales_raw_data!$C$6437,"High","low")</f>
        <v>low</v>
      </c>
    </row>
    <row r="3032" spans="1:3">
      <c r="A3032" s="1">
        <v>22</v>
      </c>
      <c r="B3032" s="2">
        <f>Walmart_Sales_raw_data!C3032</f>
        <v>993097.43</v>
      </c>
      <c r="C3032" t="str">
        <f>IF(B3032&gt;=Walmart_Sales_raw_data!$C$6437,"High","low")</f>
        <v>low</v>
      </c>
    </row>
    <row r="3033" spans="1:3">
      <c r="A3033" s="3">
        <v>22</v>
      </c>
      <c r="B3033" s="2">
        <f>Walmart_Sales_raw_data!C3033</f>
        <v>1017045.44</v>
      </c>
      <c r="C3033" t="str">
        <f>IF(B3033&gt;=Walmart_Sales_raw_data!$C$6437,"High","low")</f>
        <v>low</v>
      </c>
    </row>
    <row r="3034" spans="1:3">
      <c r="A3034" s="1">
        <v>22</v>
      </c>
      <c r="B3034" s="2">
        <f>Walmart_Sales_raw_data!C3034</f>
        <v>1081420.96</v>
      </c>
      <c r="C3034" t="str">
        <f>IF(B3034&gt;=Walmart_Sales_raw_data!$C$6437,"High","low")</f>
        <v>High</v>
      </c>
    </row>
    <row r="3035" spans="1:3">
      <c r="A3035" s="3">
        <v>22</v>
      </c>
      <c r="B3035" s="2">
        <f>Walmart_Sales_raw_data!C3035</f>
        <v>1074535.88</v>
      </c>
      <c r="C3035" t="str">
        <f>IF(B3035&gt;=Walmart_Sales_raw_data!$C$6437,"High","low")</f>
        <v>High</v>
      </c>
    </row>
    <row r="3036" spans="1:3">
      <c r="A3036" s="1">
        <v>22</v>
      </c>
      <c r="B3036" s="2">
        <f>Walmart_Sales_raw_data!C3036</f>
        <v>924174.4</v>
      </c>
      <c r="C3036" t="str">
        <f>IF(B3036&gt;=Walmart_Sales_raw_data!$C$6437,"High","low")</f>
        <v>low</v>
      </c>
    </row>
    <row r="3037" spans="1:3">
      <c r="A3037" s="3">
        <v>22</v>
      </c>
      <c r="B3037" s="2">
        <f>Walmart_Sales_raw_data!C3037</f>
        <v>918285.97</v>
      </c>
      <c r="C3037" t="str">
        <f>IF(B3037&gt;=Walmart_Sales_raw_data!$C$6437,"High","low")</f>
        <v>low</v>
      </c>
    </row>
    <row r="3038" spans="1:3">
      <c r="A3038" s="1">
        <v>22</v>
      </c>
      <c r="B3038" s="2">
        <f>Walmart_Sales_raw_data!C3038</f>
        <v>902779.25</v>
      </c>
      <c r="C3038" t="str">
        <f>IF(B3038&gt;=Walmart_Sales_raw_data!$C$6437,"High","low")</f>
        <v>low</v>
      </c>
    </row>
    <row r="3039" spans="1:3">
      <c r="A3039" s="3">
        <v>22</v>
      </c>
      <c r="B3039" s="2">
        <f>Walmart_Sales_raw_data!C3039</f>
        <v>905987.17</v>
      </c>
      <c r="C3039" t="str">
        <f>IF(B3039&gt;=Walmart_Sales_raw_data!$C$6437,"High","low")</f>
        <v>low</v>
      </c>
    </row>
    <row r="3040" spans="1:3">
      <c r="A3040" s="1">
        <v>22</v>
      </c>
      <c r="B3040" s="2">
        <f>Walmart_Sales_raw_data!C3040</f>
        <v>1015051.62</v>
      </c>
      <c r="C3040" t="str">
        <f>IF(B3040&gt;=Walmart_Sales_raw_data!$C$6437,"High","low")</f>
        <v>low</v>
      </c>
    </row>
    <row r="3041" spans="1:3">
      <c r="A3041" s="3">
        <v>22</v>
      </c>
      <c r="B3041" s="2">
        <f>Walmart_Sales_raw_data!C3041</f>
        <v>954401.46</v>
      </c>
      <c r="C3041" t="str">
        <f>IF(B3041&gt;=Walmart_Sales_raw_data!$C$6437,"High","low")</f>
        <v>low</v>
      </c>
    </row>
    <row r="3042" spans="1:3">
      <c r="A3042" s="1">
        <v>22</v>
      </c>
      <c r="B3042" s="2">
        <f>Walmart_Sales_raw_data!C3042</f>
        <v>960998.52</v>
      </c>
      <c r="C3042" t="str">
        <f>IF(B3042&gt;=Walmart_Sales_raw_data!$C$6437,"High","low")</f>
        <v>low</v>
      </c>
    </row>
    <row r="3043" spans="1:3">
      <c r="A3043" s="3">
        <v>22</v>
      </c>
      <c r="B3043" s="2">
        <f>Walmart_Sales_raw_data!C3043</f>
        <v>1025766.27</v>
      </c>
      <c r="C3043" t="str">
        <f>IF(B3043&gt;=Walmart_Sales_raw_data!$C$6437,"High","low")</f>
        <v>low</v>
      </c>
    </row>
    <row r="3044" spans="1:3">
      <c r="A3044" s="1">
        <v>22</v>
      </c>
      <c r="B3044" s="2">
        <f>Walmart_Sales_raw_data!C3044</f>
        <v>1006888.16</v>
      </c>
      <c r="C3044" t="str">
        <f>IF(B3044&gt;=Walmart_Sales_raw_data!$C$6437,"High","low")</f>
        <v>low</v>
      </c>
    </row>
    <row r="3045" spans="1:3">
      <c r="A3045" s="3">
        <v>22</v>
      </c>
      <c r="B3045" s="2">
        <f>Walmart_Sales_raw_data!C3045</f>
        <v>1043698.64</v>
      </c>
      <c r="C3045" t="str">
        <f>IF(B3045&gt;=Walmart_Sales_raw_data!$C$6437,"High","low")</f>
        <v>low</v>
      </c>
    </row>
    <row r="3046" spans="1:3">
      <c r="A3046" s="1">
        <v>22</v>
      </c>
      <c r="B3046" s="2">
        <f>Walmart_Sales_raw_data!C3046</f>
        <v>985896.44</v>
      </c>
      <c r="C3046" t="str">
        <f>IF(B3046&gt;=Walmart_Sales_raw_data!$C$6437,"High","low")</f>
        <v>low</v>
      </c>
    </row>
    <row r="3047" spans="1:3">
      <c r="A3047" s="3">
        <v>22</v>
      </c>
      <c r="B3047" s="2">
        <f>Walmart_Sales_raw_data!C3047</f>
        <v>1564502.26</v>
      </c>
      <c r="C3047" t="str">
        <f>IF(B3047&gt;=Walmart_Sales_raw_data!$C$6437,"High","low")</f>
        <v>High</v>
      </c>
    </row>
    <row r="3048" spans="1:3">
      <c r="A3048" s="1">
        <v>22</v>
      </c>
      <c r="B3048" s="2">
        <f>Walmart_Sales_raw_data!C3048</f>
        <v>1230514.58</v>
      </c>
      <c r="C3048" t="str">
        <f>IF(B3048&gt;=Walmart_Sales_raw_data!$C$6437,"High","low")</f>
        <v>High</v>
      </c>
    </row>
    <row r="3049" spans="1:3">
      <c r="A3049" s="3">
        <v>22</v>
      </c>
      <c r="B3049" s="2">
        <f>Walmart_Sales_raw_data!C3049</f>
        <v>1367202.84</v>
      </c>
      <c r="C3049" t="str">
        <f>IF(B3049&gt;=Walmart_Sales_raw_data!$C$6437,"High","low")</f>
        <v>High</v>
      </c>
    </row>
    <row r="3050" spans="1:3">
      <c r="A3050" s="1">
        <v>22</v>
      </c>
      <c r="B3050" s="2">
        <f>Walmart_Sales_raw_data!C3050</f>
        <v>1527682.99</v>
      </c>
      <c r="C3050" t="str">
        <f>IF(B3050&gt;=Walmart_Sales_raw_data!$C$6437,"High","low")</f>
        <v>High</v>
      </c>
    </row>
    <row r="3051" spans="1:3">
      <c r="A3051" s="3">
        <v>22</v>
      </c>
      <c r="B3051" s="2">
        <f>Walmart_Sales_raw_data!C3051</f>
        <v>1962445.04</v>
      </c>
      <c r="C3051" t="str">
        <f>IF(B3051&gt;=Walmart_Sales_raw_data!$C$6437,"High","low")</f>
        <v>High</v>
      </c>
    </row>
    <row r="3052" spans="1:3">
      <c r="A3052" s="1">
        <v>22</v>
      </c>
      <c r="B3052" s="2">
        <f>Walmart_Sales_raw_data!C3052</f>
        <v>774262.28</v>
      </c>
      <c r="C3052" t="str">
        <f>IF(B3052&gt;=Walmart_Sales_raw_data!$C$6437,"High","low")</f>
        <v>low</v>
      </c>
    </row>
    <row r="3053" spans="1:3">
      <c r="A3053" s="3">
        <v>22</v>
      </c>
      <c r="B3053" s="2">
        <f>Walmart_Sales_raw_data!C3053</f>
        <v>873954.7</v>
      </c>
      <c r="C3053" t="str">
        <f>IF(B3053&gt;=Walmart_Sales_raw_data!$C$6437,"High","low")</f>
        <v>low</v>
      </c>
    </row>
    <row r="3054" spans="1:3">
      <c r="A3054" s="1">
        <v>22</v>
      </c>
      <c r="B3054" s="2">
        <f>Walmart_Sales_raw_data!C3054</f>
        <v>807535.52</v>
      </c>
      <c r="C3054" t="str">
        <f>IF(B3054&gt;=Walmart_Sales_raw_data!$C$6437,"High","low")</f>
        <v>low</v>
      </c>
    </row>
    <row r="3055" spans="1:3">
      <c r="A3055" s="3">
        <v>22</v>
      </c>
      <c r="B3055" s="2">
        <f>Walmart_Sales_raw_data!C3055</f>
        <v>855001.02</v>
      </c>
      <c r="C3055" t="str">
        <f>IF(B3055&gt;=Walmart_Sales_raw_data!$C$6437,"High","low")</f>
        <v>low</v>
      </c>
    </row>
    <row r="3056" spans="1:3">
      <c r="A3056" s="1">
        <v>22</v>
      </c>
      <c r="B3056" s="2">
        <f>Walmart_Sales_raw_data!C3056</f>
        <v>799369.15</v>
      </c>
      <c r="C3056" t="str">
        <f>IF(B3056&gt;=Walmart_Sales_raw_data!$C$6437,"High","low")</f>
        <v>low</v>
      </c>
    </row>
    <row r="3057" spans="1:3">
      <c r="A3057" s="3">
        <v>22</v>
      </c>
      <c r="B3057" s="2">
        <f>Walmart_Sales_raw_data!C3057</f>
        <v>946060.98</v>
      </c>
      <c r="C3057" t="str">
        <f>IF(B3057&gt;=Walmart_Sales_raw_data!$C$6437,"High","low")</f>
        <v>low</v>
      </c>
    </row>
    <row r="3058" spans="1:3">
      <c r="A3058" s="1">
        <v>22</v>
      </c>
      <c r="B3058" s="2">
        <f>Walmart_Sales_raw_data!C3058</f>
        <v>1009206.33</v>
      </c>
      <c r="C3058" t="str">
        <f>IF(B3058&gt;=Walmart_Sales_raw_data!$C$6437,"High","low")</f>
        <v>low</v>
      </c>
    </row>
    <row r="3059" spans="1:3">
      <c r="A3059" s="3">
        <v>22</v>
      </c>
      <c r="B3059" s="2">
        <f>Walmart_Sales_raw_data!C3059</f>
        <v>975964.86</v>
      </c>
      <c r="C3059" t="str">
        <f>IF(B3059&gt;=Walmart_Sales_raw_data!$C$6437,"High","low")</f>
        <v>low</v>
      </c>
    </row>
    <row r="3060" spans="1:3">
      <c r="A3060" s="1">
        <v>22</v>
      </c>
      <c r="B3060" s="2">
        <f>Walmart_Sales_raw_data!C3060</f>
        <v>911245.43</v>
      </c>
      <c r="C3060" t="str">
        <f>IF(B3060&gt;=Walmart_Sales_raw_data!$C$6437,"High","low")</f>
        <v>low</v>
      </c>
    </row>
    <row r="3061" spans="1:3">
      <c r="A3061" s="3">
        <v>22</v>
      </c>
      <c r="B3061" s="2">
        <f>Walmart_Sales_raw_data!C3061</f>
        <v>997353.15</v>
      </c>
      <c r="C3061" t="str">
        <f>IF(B3061&gt;=Walmart_Sales_raw_data!$C$6437,"High","low")</f>
        <v>low</v>
      </c>
    </row>
    <row r="3062" spans="1:3">
      <c r="A3062" s="1">
        <v>22</v>
      </c>
      <c r="B3062" s="2">
        <f>Walmart_Sales_raw_data!C3062</f>
        <v>944587.23</v>
      </c>
      <c r="C3062" t="str">
        <f>IF(B3062&gt;=Walmart_Sales_raw_data!$C$6437,"High","low")</f>
        <v>low</v>
      </c>
    </row>
    <row r="3063" spans="1:3">
      <c r="A3063" s="3">
        <v>22</v>
      </c>
      <c r="B3063" s="2">
        <f>Walmart_Sales_raw_data!C3063</f>
        <v>926427.12</v>
      </c>
      <c r="C3063" t="str">
        <f>IF(B3063&gt;=Walmart_Sales_raw_data!$C$6437,"High","low")</f>
        <v>low</v>
      </c>
    </row>
    <row r="3064" spans="1:3">
      <c r="A3064" s="1">
        <v>22</v>
      </c>
      <c r="B3064" s="2">
        <f>Walmart_Sales_raw_data!C3064</f>
        <v>933528.39</v>
      </c>
      <c r="C3064" t="str">
        <f>IF(B3064&gt;=Walmart_Sales_raw_data!$C$6437,"High","low")</f>
        <v>low</v>
      </c>
    </row>
    <row r="3065" spans="1:3">
      <c r="A3065" s="3">
        <v>22</v>
      </c>
      <c r="B3065" s="2">
        <f>Walmart_Sales_raw_data!C3065</f>
        <v>951588.37</v>
      </c>
      <c r="C3065" t="str">
        <f>IF(B3065&gt;=Walmart_Sales_raw_data!$C$6437,"High","low")</f>
        <v>low</v>
      </c>
    </row>
    <row r="3066" spans="1:3">
      <c r="A3066" s="1">
        <v>22</v>
      </c>
      <c r="B3066" s="2">
        <f>Walmart_Sales_raw_data!C3066</f>
        <v>969046.69</v>
      </c>
      <c r="C3066" t="str">
        <f>IF(B3066&gt;=Walmart_Sales_raw_data!$C$6437,"High","low")</f>
        <v>low</v>
      </c>
    </row>
    <row r="3067" spans="1:3">
      <c r="A3067" s="3">
        <v>22</v>
      </c>
      <c r="B3067" s="2">
        <f>Walmart_Sales_raw_data!C3067</f>
        <v>1008557.04</v>
      </c>
      <c r="C3067" t="str">
        <f>IF(B3067&gt;=Walmart_Sales_raw_data!$C$6437,"High","low")</f>
        <v>low</v>
      </c>
    </row>
    <row r="3068" spans="1:3">
      <c r="A3068" s="1">
        <v>22</v>
      </c>
      <c r="B3068" s="2">
        <f>Walmart_Sales_raw_data!C3068</f>
        <v>1152781.9</v>
      </c>
      <c r="C3068" t="str">
        <f>IF(B3068&gt;=Walmart_Sales_raw_data!$C$6437,"High","low")</f>
        <v>High</v>
      </c>
    </row>
    <row r="3069" spans="1:3">
      <c r="A3069" s="3">
        <v>22</v>
      </c>
      <c r="B3069" s="2">
        <f>Walmart_Sales_raw_data!C3069</f>
        <v>926133.8</v>
      </c>
      <c r="C3069" t="str">
        <f>IF(B3069&gt;=Walmart_Sales_raw_data!$C$6437,"High","low")</f>
        <v>low</v>
      </c>
    </row>
    <row r="3070" spans="1:3">
      <c r="A3070" s="1">
        <v>22</v>
      </c>
      <c r="B3070" s="2">
        <f>Walmart_Sales_raw_data!C3070</f>
        <v>1032076.06</v>
      </c>
      <c r="C3070" t="str">
        <f>IF(B3070&gt;=Walmart_Sales_raw_data!$C$6437,"High","low")</f>
        <v>low</v>
      </c>
    </row>
    <row r="3071" spans="1:3">
      <c r="A3071" s="3">
        <v>22</v>
      </c>
      <c r="B3071" s="2">
        <f>Walmart_Sales_raw_data!C3071</f>
        <v>1001558.74</v>
      </c>
      <c r="C3071" t="str">
        <f>IF(B3071&gt;=Walmart_Sales_raw_data!$C$6437,"High","low")</f>
        <v>low</v>
      </c>
    </row>
    <row r="3072" spans="1:3">
      <c r="A3072" s="1">
        <v>22</v>
      </c>
      <c r="B3072" s="2">
        <f>Walmart_Sales_raw_data!C3072</f>
        <v>970307.83</v>
      </c>
      <c r="C3072" t="str">
        <f>IF(B3072&gt;=Walmart_Sales_raw_data!$C$6437,"High","low")</f>
        <v>low</v>
      </c>
    </row>
    <row r="3073" spans="1:3">
      <c r="A3073" s="3">
        <v>22</v>
      </c>
      <c r="B3073" s="2">
        <f>Walmart_Sales_raw_data!C3073</f>
        <v>1021568.34</v>
      </c>
      <c r="C3073" t="str">
        <f>IF(B3073&gt;=Walmart_Sales_raw_data!$C$6437,"High","low")</f>
        <v>low</v>
      </c>
    </row>
    <row r="3074" spans="1:3">
      <c r="A3074" s="1">
        <v>22</v>
      </c>
      <c r="B3074" s="2">
        <f>Walmart_Sales_raw_data!C3074</f>
        <v>1125169.92</v>
      </c>
      <c r="C3074" t="str">
        <f>IF(B3074&gt;=Walmart_Sales_raw_data!$C$6437,"High","low")</f>
        <v>High</v>
      </c>
    </row>
    <row r="3075" spans="1:3">
      <c r="A3075" s="3">
        <v>22</v>
      </c>
      <c r="B3075" s="2">
        <f>Walmart_Sales_raw_data!C3075</f>
        <v>1060868.49</v>
      </c>
      <c r="C3075" t="str">
        <f>IF(B3075&gt;=Walmart_Sales_raw_data!$C$6437,"High","low")</f>
        <v>High</v>
      </c>
    </row>
    <row r="3076" spans="1:3">
      <c r="A3076" s="1">
        <v>22</v>
      </c>
      <c r="B3076" s="2">
        <f>Walmart_Sales_raw_data!C3076</f>
        <v>1042454.61</v>
      </c>
      <c r="C3076" t="str">
        <f>IF(B3076&gt;=Walmart_Sales_raw_data!$C$6437,"High","low")</f>
        <v>low</v>
      </c>
    </row>
    <row r="3077" spans="1:3">
      <c r="A3077" s="3">
        <v>22</v>
      </c>
      <c r="B3077" s="2">
        <f>Walmart_Sales_raw_data!C3077</f>
        <v>1012584.2</v>
      </c>
      <c r="C3077" t="str">
        <f>IF(B3077&gt;=Walmart_Sales_raw_data!$C$6437,"High","low")</f>
        <v>low</v>
      </c>
    </row>
    <row r="3078" spans="1:3">
      <c r="A3078" s="1">
        <v>22</v>
      </c>
      <c r="B3078" s="2">
        <f>Walmart_Sales_raw_data!C3078</f>
        <v>1077491.68</v>
      </c>
      <c r="C3078" t="str">
        <f>IF(B3078&gt;=Walmart_Sales_raw_data!$C$6437,"High","low")</f>
        <v>High</v>
      </c>
    </row>
    <row r="3079" spans="1:3">
      <c r="A3079" s="3">
        <v>22</v>
      </c>
      <c r="B3079" s="2">
        <f>Walmart_Sales_raw_data!C3079</f>
        <v>1017050.65</v>
      </c>
      <c r="C3079" t="str">
        <f>IF(B3079&gt;=Walmart_Sales_raw_data!$C$6437,"High","low")</f>
        <v>low</v>
      </c>
    </row>
    <row r="3080" spans="1:3">
      <c r="A3080" s="1">
        <v>22</v>
      </c>
      <c r="B3080" s="2">
        <f>Walmart_Sales_raw_data!C3080</f>
        <v>961953.57</v>
      </c>
      <c r="C3080" t="str">
        <f>IF(B3080&gt;=Walmart_Sales_raw_data!$C$6437,"High","low")</f>
        <v>low</v>
      </c>
    </row>
    <row r="3081" spans="1:3">
      <c r="A3081" s="3">
        <v>22</v>
      </c>
      <c r="B3081" s="2">
        <f>Walmart_Sales_raw_data!C3081</f>
        <v>964683.8</v>
      </c>
      <c r="C3081" t="str">
        <f>IF(B3081&gt;=Walmart_Sales_raw_data!$C$6437,"High","low")</f>
        <v>low</v>
      </c>
    </row>
    <row r="3082" spans="1:3">
      <c r="A3082" s="1">
        <v>22</v>
      </c>
      <c r="B3082" s="2">
        <f>Walmart_Sales_raw_data!C3082</f>
        <v>944958.69</v>
      </c>
      <c r="C3082" t="str">
        <f>IF(B3082&gt;=Walmart_Sales_raw_data!$C$6437,"High","low")</f>
        <v>low</v>
      </c>
    </row>
    <row r="3083" spans="1:3">
      <c r="A3083" s="3">
        <v>22</v>
      </c>
      <c r="B3083" s="2">
        <f>Walmart_Sales_raw_data!C3083</f>
        <v>983232.96</v>
      </c>
      <c r="C3083" t="str">
        <f>IF(B3083&gt;=Walmart_Sales_raw_data!$C$6437,"High","low")</f>
        <v>low</v>
      </c>
    </row>
    <row r="3084" spans="1:3">
      <c r="A3084" s="1">
        <v>22</v>
      </c>
      <c r="B3084" s="2">
        <f>Walmart_Sales_raw_data!C3084</f>
        <v>991779.2</v>
      </c>
      <c r="C3084" t="str">
        <f>IF(B3084&gt;=Walmart_Sales_raw_data!$C$6437,"High","low")</f>
        <v>low</v>
      </c>
    </row>
    <row r="3085" spans="1:3">
      <c r="A3085" s="3">
        <v>22</v>
      </c>
      <c r="B3085" s="2">
        <f>Walmart_Sales_raw_data!C3085</f>
        <v>973004.91</v>
      </c>
      <c r="C3085" t="str">
        <f>IF(B3085&gt;=Walmart_Sales_raw_data!$C$6437,"High","low")</f>
        <v>low</v>
      </c>
    </row>
    <row r="3086" spans="1:3">
      <c r="A3086" s="1">
        <v>22</v>
      </c>
      <c r="B3086" s="2">
        <f>Walmart_Sales_raw_data!C3086</f>
        <v>1181815.31</v>
      </c>
      <c r="C3086" t="str">
        <f>IF(B3086&gt;=Walmart_Sales_raw_data!$C$6437,"High","low")</f>
        <v>High</v>
      </c>
    </row>
    <row r="3087" spans="1:3">
      <c r="A3087" s="3">
        <v>22</v>
      </c>
      <c r="B3087" s="2">
        <f>Walmart_Sales_raw_data!C3087</f>
        <v>912762.76</v>
      </c>
      <c r="C3087" t="str">
        <f>IF(B3087&gt;=Walmart_Sales_raw_data!$C$6437,"High","low")</f>
        <v>low</v>
      </c>
    </row>
    <row r="3088" spans="1:3">
      <c r="A3088" s="1">
        <v>22</v>
      </c>
      <c r="B3088" s="2">
        <f>Walmart_Sales_raw_data!C3088</f>
        <v>1004434.54</v>
      </c>
      <c r="C3088" t="str">
        <f>IF(B3088&gt;=Walmart_Sales_raw_data!$C$6437,"High","low")</f>
        <v>low</v>
      </c>
    </row>
    <row r="3089" spans="1:3">
      <c r="A3089" s="3">
        <v>22</v>
      </c>
      <c r="B3089" s="2">
        <f>Walmart_Sales_raw_data!C3089</f>
        <v>937420.65</v>
      </c>
      <c r="C3089" t="str">
        <f>IF(B3089&gt;=Walmart_Sales_raw_data!$C$6437,"High","low")</f>
        <v>low</v>
      </c>
    </row>
    <row r="3090" spans="1:3">
      <c r="A3090" s="1">
        <v>22</v>
      </c>
      <c r="B3090" s="2">
        <f>Walmart_Sales_raw_data!C3090</f>
        <v>899834.75</v>
      </c>
      <c r="C3090" t="str">
        <f>IF(B3090&gt;=Walmart_Sales_raw_data!$C$6437,"High","low")</f>
        <v>low</v>
      </c>
    </row>
    <row r="3091" spans="1:3">
      <c r="A3091" s="3">
        <v>22</v>
      </c>
      <c r="B3091" s="2">
        <f>Walmart_Sales_raw_data!C3091</f>
        <v>953314.16</v>
      </c>
      <c r="C3091" t="str">
        <f>IF(B3091&gt;=Walmart_Sales_raw_data!$C$6437,"High","low")</f>
        <v>low</v>
      </c>
    </row>
    <row r="3092" spans="1:3">
      <c r="A3092" s="1">
        <v>22</v>
      </c>
      <c r="B3092" s="2">
        <f>Walmart_Sales_raw_data!C3092</f>
        <v>993436.67</v>
      </c>
      <c r="C3092" t="str">
        <f>IF(B3092&gt;=Walmart_Sales_raw_data!$C$6437,"High","low")</f>
        <v>low</v>
      </c>
    </row>
    <row r="3093" spans="1:3">
      <c r="A3093" s="3">
        <v>22</v>
      </c>
      <c r="B3093" s="2">
        <f>Walmart_Sales_raw_data!C3093</f>
        <v>944337.32</v>
      </c>
      <c r="C3093" t="str">
        <f>IF(B3093&gt;=Walmart_Sales_raw_data!$C$6437,"High","low")</f>
        <v>low</v>
      </c>
    </row>
    <row r="3094" spans="1:3">
      <c r="A3094" s="1">
        <v>22</v>
      </c>
      <c r="B3094" s="2">
        <f>Walmart_Sales_raw_data!C3094</f>
        <v>981567.22</v>
      </c>
      <c r="C3094" t="str">
        <f>IF(B3094&gt;=Walmart_Sales_raw_data!$C$6437,"High","low")</f>
        <v>low</v>
      </c>
    </row>
    <row r="3095" spans="1:3">
      <c r="A3095" s="3">
        <v>22</v>
      </c>
      <c r="B3095" s="2">
        <f>Walmart_Sales_raw_data!C3095</f>
        <v>1099351.68</v>
      </c>
      <c r="C3095" t="str">
        <f>IF(B3095&gt;=Walmart_Sales_raw_data!$C$6437,"High","low")</f>
        <v>High</v>
      </c>
    </row>
    <row r="3096" spans="1:3">
      <c r="A3096" s="1">
        <v>22</v>
      </c>
      <c r="B3096" s="2">
        <f>Walmart_Sales_raw_data!C3096</f>
        <v>1106575.59</v>
      </c>
      <c r="C3096" t="str">
        <f>IF(B3096&gt;=Walmart_Sales_raw_data!$C$6437,"High","low")</f>
        <v>High</v>
      </c>
    </row>
    <row r="3097" spans="1:3">
      <c r="A3097" s="3">
        <v>22</v>
      </c>
      <c r="B3097" s="2">
        <f>Walmart_Sales_raw_data!C3097</f>
        <v>1051740.29</v>
      </c>
      <c r="C3097" t="str">
        <f>IF(B3097&gt;=Walmart_Sales_raw_data!$C$6437,"High","low")</f>
        <v>High</v>
      </c>
    </row>
    <row r="3098" spans="1:3">
      <c r="A3098" s="1">
        <v>22</v>
      </c>
      <c r="B3098" s="2">
        <f>Walmart_Sales_raw_data!C3098</f>
        <v>1007579.44</v>
      </c>
      <c r="C3098" t="str">
        <f>IF(B3098&gt;=Walmart_Sales_raw_data!$C$6437,"High","low")</f>
        <v>low</v>
      </c>
    </row>
    <row r="3099" spans="1:3">
      <c r="A3099" s="3">
        <v>22</v>
      </c>
      <c r="B3099" s="2">
        <f>Walmart_Sales_raw_data!C3099</f>
        <v>1535857.49</v>
      </c>
      <c r="C3099" t="str">
        <f>IF(B3099&gt;=Walmart_Sales_raw_data!$C$6437,"High","low")</f>
        <v>High</v>
      </c>
    </row>
    <row r="3100" spans="1:3">
      <c r="A3100" s="1">
        <v>22</v>
      </c>
      <c r="B3100" s="2">
        <f>Walmart_Sales_raw_data!C3100</f>
        <v>1167621.14</v>
      </c>
      <c r="C3100" t="str">
        <f>IF(B3100&gt;=Walmart_Sales_raw_data!$C$6437,"High","low")</f>
        <v>High</v>
      </c>
    </row>
    <row r="3101" spans="1:3">
      <c r="A3101" s="3">
        <v>22</v>
      </c>
      <c r="B3101" s="2">
        <f>Walmart_Sales_raw_data!C3101</f>
        <v>1308967.44</v>
      </c>
      <c r="C3101" t="str">
        <f>IF(B3101&gt;=Walmart_Sales_raw_data!$C$6437,"High","low")</f>
        <v>High</v>
      </c>
    </row>
    <row r="3102" spans="1:3">
      <c r="A3102" s="1">
        <v>22</v>
      </c>
      <c r="B3102" s="2">
        <f>Walmart_Sales_raw_data!C3102</f>
        <v>1453153.33</v>
      </c>
      <c r="C3102" t="str">
        <f>IF(B3102&gt;=Walmart_Sales_raw_data!$C$6437,"High","low")</f>
        <v>High</v>
      </c>
    </row>
    <row r="3103" spans="1:3">
      <c r="A3103" s="3">
        <v>22</v>
      </c>
      <c r="B3103" s="2">
        <f>Walmart_Sales_raw_data!C3103</f>
        <v>1863195.68</v>
      </c>
      <c r="C3103" t="str">
        <f>IF(B3103&gt;=Walmart_Sales_raw_data!$C$6437,"High","low")</f>
        <v>High</v>
      </c>
    </row>
    <row r="3104" spans="1:3">
      <c r="A3104" s="1">
        <v>22</v>
      </c>
      <c r="B3104" s="2">
        <f>Walmart_Sales_raw_data!C3104</f>
        <v>982661.14</v>
      </c>
      <c r="C3104" t="str">
        <f>IF(B3104&gt;=Walmart_Sales_raw_data!$C$6437,"High","low")</f>
        <v>low</v>
      </c>
    </row>
    <row r="3105" spans="1:3">
      <c r="A3105" s="3">
        <v>22</v>
      </c>
      <c r="B3105" s="2">
        <f>Walmart_Sales_raw_data!C3105</f>
        <v>895358.2</v>
      </c>
      <c r="C3105" t="str">
        <f>IF(B3105&gt;=Walmart_Sales_raw_data!$C$6437,"High","low")</f>
        <v>low</v>
      </c>
    </row>
    <row r="3106" spans="1:3">
      <c r="A3106" s="1">
        <v>22</v>
      </c>
      <c r="B3106" s="2">
        <f>Walmart_Sales_raw_data!C3106</f>
        <v>855437.57</v>
      </c>
      <c r="C3106" t="str">
        <f>IF(B3106&gt;=Walmart_Sales_raw_data!$C$6437,"High","low")</f>
        <v>low</v>
      </c>
    </row>
    <row r="3107" spans="1:3">
      <c r="A3107" s="3">
        <v>22</v>
      </c>
      <c r="B3107" s="2">
        <f>Walmart_Sales_raw_data!C3107</f>
        <v>897027.44</v>
      </c>
      <c r="C3107" t="str">
        <f>IF(B3107&gt;=Walmart_Sales_raw_data!$C$6437,"High","low")</f>
        <v>low</v>
      </c>
    </row>
    <row r="3108" spans="1:3">
      <c r="A3108" s="1">
        <v>22</v>
      </c>
      <c r="B3108" s="2">
        <f>Walmart_Sales_raw_data!C3108</f>
        <v>786459.23</v>
      </c>
      <c r="C3108" t="str">
        <f>IF(B3108&gt;=Walmart_Sales_raw_data!$C$6437,"High","low")</f>
        <v>low</v>
      </c>
    </row>
    <row r="3109" spans="1:3">
      <c r="A3109" s="3">
        <v>22</v>
      </c>
      <c r="B3109" s="2">
        <f>Walmart_Sales_raw_data!C3109</f>
        <v>958487.75</v>
      </c>
      <c r="C3109" t="str">
        <f>IF(B3109&gt;=Walmart_Sales_raw_data!$C$6437,"High","low")</f>
        <v>low</v>
      </c>
    </row>
    <row r="3110" spans="1:3">
      <c r="A3110" s="1">
        <v>22</v>
      </c>
      <c r="B3110" s="2">
        <f>Walmart_Sales_raw_data!C3110</f>
        <v>1034448.07</v>
      </c>
      <c r="C3110" t="str">
        <f>IF(B3110&gt;=Walmart_Sales_raw_data!$C$6437,"High","low")</f>
        <v>low</v>
      </c>
    </row>
    <row r="3111" spans="1:3">
      <c r="A3111" s="3">
        <v>22</v>
      </c>
      <c r="B3111" s="2">
        <f>Walmart_Sales_raw_data!C3111</f>
        <v>1004749.41</v>
      </c>
      <c r="C3111" t="str">
        <f>IF(B3111&gt;=Walmart_Sales_raw_data!$C$6437,"High","low")</f>
        <v>low</v>
      </c>
    </row>
    <row r="3112" spans="1:3">
      <c r="A3112" s="1">
        <v>22</v>
      </c>
      <c r="B3112" s="2">
        <f>Walmart_Sales_raw_data!C3112</f>
        <v>912958.95</v>
      </c>
      <c r="C3112" t="str">
        <f>IF(B3112&gt;=Walmart_Sales_raw_data!$C$6437,"High","low")</f>
        <v>low</v>
      </c>
    </row>
    <row r="3113" spans="1:3">
      <c r="A3113" s="3">
        <v>22</v>
      </c>
      <c r="B3113" s="2">
        <f>Walmart_Sales_raw_data!C3113</f>
        <v>974866.65</v>
      </c>
      <c r="C3113" t="str">
        <f>IF(B3113&gt;=Walmart_Sales_raw_data!$C$6437,"High","low")</f>
        <v>low</v>
      </c>
    </row>
    <row r="3114" spans="1:3">
      <c r="A3114" s="1">
        <v>22</v>
      </c>
      <c r="B3114" s="2">
        <f>Walmart_Sales_raw_data!C3114</f>
        <v>991127.01</v>
      </c>
      <c r="C3114" t="str">
        <f>IF(B3114&gt;=Walmart_Sales_raw_data!$C$6437,"High","low")</f>
        <v>low</v>
      </c>
    </row>
    <row r="3115" spans="1:3">
      <c r="A3115" s="3">
        <v>22</v>
      </c>
      <c r="B3115" s="2">
        <f>Walmart_Sales_raw_data!C3115</f>
        <v>966780.01</v>
      </c>
      <c r="C3115" t="str">
        <f>IF(B3115&gt;=Walmart_Sales_raw_data!$C$6437,"High","low")</f>
        <v>low</v>
      </c>
    </row>
    <row r="3116" spans="1:3">
      <c r="A3116" s="1">
        <v>22</v>
      </c>
      <c r="B3116" s="2">
        <f>Walmart_Sales_raw_data!C3116</f>
        <v>992774.4</v>
      </c>
      <c r="C3116" t="str">
        <f>IF(B3116&gt;=Walmart_Sales_raw_data!$C$6437,"High","low")</f>
        <v>low</v>
      </c>
    </row>
    <row r="3117" spans="1:3">
      <c r="A3117" s="3">
        <v>22</v>
      </c>
      <c r="B3117" s="2">
        <f>Walmart_Sales_raw_data!C3117</f>
        <v>965769.93</v>
      </c>
      <c r="C3117" t="str">
        <f>IF(B3117&gt;=Walmart_Sales_raw_data!$C$6437,"High","low")</f>
        <v>low</v>
      </c>
    </row>
    <row r="3118" spans="1:3">
      <c r="A3118" s="1">
        <v>22</v>
      </c>
      <c r="B3118" s="2">
        <f>Walmart_Sales_raw_data!C3118</f>
        <v>1197489.66</v>
      </c>
      <c r="C3118" t="str">
        <f>IF(B3118&gt;=Walmart_Sales_raw_data!$C$6437,"High","low")</f>
        <v>High</v>
      </c>
    </row>
    <row r="3119" spans="1:3">
      <c r="A3119" s="3">
        <v>22</v>
      </c>
      <c r="B3119" s="2">
        <f>Walmart_Sales_raw_data!C3119</f>
        <v>939118.24</v>
      </c>
      <c r="C3119" t="str">
        <f>IF(B3119&gt;=Walmart_Sales_raw_data!$C$6437,"High","low")</f>
        <v>low</v>
      </c>
    </row>
    <row r="3120" spans="1:3">
      <c r="A3120" s="1">
        <v>22</v>
      </c>
      <c r="B3120" s="2">
        <f>Walmart_Sales_raw_data!C3120</f>
        <v>1000342.87</v>
      </c>
      <c r="C3120" t="str">
        <f>IF(B3120&gt;=Walmart_Sales_raw_data!$C$6437,"High","low")</f>
        <v>low</v>
      </c>
    </row>
    <row r="3121" spans="1:3">
      <c r="A3121" s="3">
        <v>22</v>
      </c>
      <c r="B3121" s="2">
        <f>Walmart_Sales_raw_data!C3121</f>
        <v>922539.94</v>
      </c>
      <c r="C3121" t="str">
        <f>IF(B3121&gt;=Walmart_Sales_raw_data!$C$6437,"High","low")</f>
        <v>low</v>
      </c>
    </row>
    <row r="3122" spans="1:3">
      <c r="A3122" s="1">
        <v>22</v>
      </c>
      <c r="B3122" s="2">
        <f>Walmart_Sales_raw_data!C3122</f>
        <v>1005083.31</v>
      </c>
      <c r="C3122" t="str">
        <f>IF(B3122&gt;=Walmart_Sales_raw_data!$C$6437,"High","low")</f>
        <v>low</v>
      </c>
    </row>
    <row r="3123" spans="1:3">
      <c r="A3123" s="3">
        <v>22</v>
      </c>
      <c r="B3123" s="2">
        <f>Walmart_Sales_raw_data!C3123</f>
        <v>997868.63</v>
      </c>
      <c r="C3123" t="str">
        <f>IF(B3123&gt;=Walmart_Sales_raw_data!$C$6437,"High","low")</f>
        <v>low</v>
      </c>
    </row>
    <row r="3124" spans="1:3">
      <c r="A3124" s="1">
        <v>22</v>
      </c>
      <c r="B3124" s="2">
        <f>Walmart_Sales_raw_data!C3124</f>
        <v>986612.02</v>
      </c>
      <c r="C3124" t="str">
        <f>IF(B3124&gt;=Walmart_Sales_raw_data!$C$6437,"High","low")</f>
        <v>low</v>
      </c>
    </row>
    <row r="3125" spans="1:3">
      <c r="A3125" s="3">
        <v>22</v>
      </c>
      <c r="B3125" s="2">
        <f>Walmart_Sales_raw_data!C3125</f>
        <v>1047297.38</v>
      </c>
      <c r="C3125" t="str">
        <f>IF(B3125&gt;=Walmart_Sales_raw_data!$C$6437,"High","low")</f>
        <v>High</v>
      </c>
    </row>
    <row r="3126" spans="1:3">
      <c r="A3126" s="1">
        <v>22</v>
      </c>
      <c r="B3126" s="2">
        <f>Walmart_Sales_raw_data!C3126</f>
        <v>1102857.37</v>
      </c>
      <c r="C3126" t="str">
        <f>IF(B3126&gt;=Walmart_Sales_raw_data!$C$6437,"High","low")</f>
        <v>High</v>
      </c>
    </row>
    <row r="3127" spans="1:3">
      <c r="A3127" s="3">
        <v>22</v>
      </c>
      <c r="B3127" s="2">
        <f>Walmart_Sales_raw_data!C3127</f>
        <v>1061134.37</v>
      </c>
      <c r="C3127" t="str">
        <f>IF(B3127&gt;=Walmart_Sales_raw_data!$C$6437,"High","low")</f>
        <v>High</v>
      </c>
    </row>
    <row r="3128" spans="1:3">
      <c r="A3128" s="1">
        <v>22</v>
      </c>
      <c r="B3128" s="2">
        <f>Walmart_Sales_raw_data!C3128</f>
        <v>1061219.19</v>
      </c>
      <c r="C3128" t="str">
        <f>IF(B3128&gt;=Walmart_Sales_raw_data!$C$6437,"High","low")</f>
        <v>High</v>
      </c>
    </row>
    <row r="3129" spans="1:3">
      <c r="A3129" s="3">
        <v>22</v>
      </c>
      <c r="B3129" s="2">
        <f>Walmart_Sales_raw_data!C3129</f>
        <v>1112449.3</v>
      </c>
      <c r="C3129" t="str">
        <f>IF(B3129&gt;=Walmart_Sales_raw_data!$C$6437,"High","low")</f>
        <v>High</v>
      </c>
    </row>
    <row r="3130" spans="1:3">
      <c r="A3130" s="1">
        <v>22</v>
      </c>
      <c r="B3130" s="2">
        <f>Walmart_Sales_raw_data!C3130</f>
        <v>1053881.78</v>
      </c>
      <c r="C3130" t="str">
        <f>IF(B3130&gt;=Walmart_Sales_raw_data!$C$6437,"High","low")</f>
        <v>High</v>
      </c>
    </row>
    <row r="3131" spans="1:3">
      <c r="A3131" s="3">
        <v>22</v>
      </c>
      <c r="B3131" s="2">
        <f>Walmart_Sales_raw_data!C3131</f>
        <v>1097786.14</v>
      </c>
      <c r="C3131" t="str">
        <f>IF(B3131&gt;=Walmart_Sales_raw_data!$C$6437,"High","low")</f>
        <v>High</v>
      </c>
    </row>
    <row r="3132" spans="1:3">
      <c r="A3132" s="1">
        <v>22</v>
      </c>
      <c r="B3132" s="2">
        <f>Walmart_Sales_raw_data!C3132</f>
        <v>971361.38</v>
      </c>
      <c r="C3132" t="str">
        <f>IF(B3132&gt;=Walmart_Sales_raw_data!$C$6437,"High","low")</f>
        <v>low</v>
      </c>
    </row>
    <row r="3133" spans="1:3">
      <c r="A3133" s="3">
        <v>22</v>
      </c>
      <c r="B3133" s="2">
        <f>Walmart_Sales_raw_data!C3133</f>
        <v>991969.37</v>
      </c>
      <c r="C3133" t="str">
        <f>IF(B3133&gt;=Walmart_Sales_raw_data!$C$6437,"High","low")</f>
        <v>low</v>
      </c>
    </row>
    <row r="3134" spans="1:3">
      <c r="A3134" s="1">
        <v>22</v>
      </c>
      <c r="B3134" s="2">
        <f>Walmart_Sales_raw_data!C3134</f>
        <v>925731.21</v>
      </c>
      <c r="C3134" t="str">
        <f>IF(B3134&gt;=Walmart_Sales_raw_data!$C$6437,"High","low")</f>
        <v>low</v>
      </c>
    </row>
    <row r="3135" spans="1:3">
      <c r="A3135" s="3">
        <v>22</v>
      </c>
      <c r="B3135" s="2">
        <f>Walmart_Sales_raw_data!C3135</f>
        <v>1007257.83</v>
      </c>
      <c r="C3135" t="str">
        <f>IF(B3135&gt;=Walmart_Sales_raw_data!$C$6437,"High","low")</f>
        <v>low</v>
      </c>
    </row>
    <row r="3136" spans="1:3">
      <c r="A3136" s="1">
        <v>22</v>
      </c>
      <c r="B3136" s="2">
        <f>Walmart_Sales_raw_data!C3136</f>
        <v>973812.79</v>
      </c>
      <c r="C3136" t="str">
        <f>IF(B3136&gt;=Walmart_Sales_raw_data!$C$6437,"High","low")</f>
        <v>low</v>
      </c>
    </row>
    <row r="3137" spans="1:3">
      <c r="A3137" s="3">
        <v>22</v>
      </c>
      <c r="B3137" s="2">
        <f>Walmart_Sales_raw_data!C3137</f>
        <v>981273.26</v>
      </c>
      <c r="C3137" t="str">
        <f>IF(B3137&gt;=Walmart_Sales_raw_data!$C$6437,"High","low")</f>
        <v>low</v>
      </c>
    </row>
    <row r="3138" spans="1:3">
      <c r="A3138" s="1">
        <v>22</v>
      </c>
      <c r="B3138" s="2">
        <f>Walmart_Sales_raw_data!C3138</f>
        <v>1060906.75</v>
      </c>
      <c r="C3138" t="str">
        <f>IF(B3138&gt;=Walmart_Sales_raw_data!$C$6437,"High","low")</f>
        <v>High</v>
      </c>
    </row>
    <row r="3139" spans="1:3">
      <c r="A3139" s="3">
        <v>22</v>
      </c>
      <c r="B3139" s="2">
        <f>Walmart_Sales_raw_data!C3139</f>
        <v>1022270.86</v>
      </c>
      <c r="C3139" t="str">
        <f>IF(B3139&gt;=Walmart_Sales_raw_data!$C$6437,"High","low")</f>
        <v>low</v>
      </c>
    </row>
    <row r="3140" spans="1:3">
      <c r="A3140" s="1">
        <v>22</v>
      </c>
      <c r="B3140" s="2">
        <f>Walmart_Sales_raw_data!C3140</f>
        <v>996628.8</v>
      </c>
      <c r="C3140" t="str">
        <f>IF(B3140&gt;=Walmart_Sales_raw_data!$C$6437,"High","low")</f>
        <v>low</v>
      </c>
    </row>
    <row r="3141" spans="1:3">
      <c r="A3141" s="3">
        <v>22</v>
      </c>
      <c r="B3141" s="2">
        <f>Walmart_Sales_raw_data!C3141</f>
        <v>918049.28</v>
      </c>
      <c r="C3141" t="str">
        <f>IF(B3141&gt;=Walmart_Sales_raw_data!$C$6437,"High","low")</f>
        <v>low</v>
      </c>
    </row>
    <row r="3142" spans="1:3">
      <c r="A3142" s="1">
        <v>22</v>
      </c>
      <c r="B3142" s="2">
        <f>Walmart_Sales_raw_data!C3142</f>
        <v>921612.53</v>
      </c>
      <c r="C3142" t="str">
        <f>IF(B3142&gt;=Walmart_Sales_raw_data!$C$6437,"High","low")</f>
        <v>low</v>
      </c>
    </row>
    <row r="3143" spans="1:3">
      <c r="A3143" s="3">
        <v>22</v>
      </c>
      <c r="B3143" s="2">
        <f>Walmart_Sales_raw_data!C3143</f>
        <v>976479.51</v>
      </c>
      <c r="C3143" t="str">
        <f>IF(B3143&gt;=Walmart_Sales_raw_data!$C$6437,"High","low")</f>
        <v>low</v>
      </c>
    </row>
    <row r="3144" spans="1:3">
      <c r="A3144" s="1">
        <v>22</v>
      </c>
      <c r="B3144" s="2">
        <f>Walmart_Sales_raw_data!C3144</f>
        <v>1009887.36</v>
      </c>
      <c r="C3144" t="str">
        <f>IF(B3144&gt;=Walmart_Sales_raw_data!$C$6437,"High","low")</f>
        <v>low</v>
      </c>
    </row>
    <row r="3145" spans="1:3">
      <c r="A3145" s="3">
        <v>22</v>
      </c>
      <c r="B3145" s="2">
        <f>Walmart_Sales_raw_data!C3145</f>
        <v>1004039.84</v>
      </c>
      <c r="C3145" t="str">
        <f>IF(B3145&gt;=Walmart_Sales_raw_data!$C$6437,"High","low")</f>
        <v>low</v>
      </c>
    </row>
    <row r="3146" spans="1:3">
      <c r="A3146" s="1">
        <v>22</v>
      </c>
      <c r="B3146" s="2">
        <f>Walmart_Sales_raw_data!C3146</f>
        <v>978027.95</v>
      </c>
      <c r="C3146" t="str">
        <f>IF(B3146&gt;=Walmart_Sales_raw_data!$C$6437,"High","low")</f>
        <v>low</v>
      </c>
    </row>
    <row r="3147" spans="1:3">
      <c r="A3147" s="3">
        <v>22</v>
      </c>
      <c r="B3147" s="2">
        <f>Walmart_Sales_raw_data!C3147</f>
        <v>1094422.69</v>
      </c>
      <c r="C3147" t="str">
        <f>IF(B3147&gt;=Walmart_Sales_raw_data!$C$6437,"High","low")</f>
        <v>High</v>
      </c>
    </row>
    <row r="3148" spans="1:3">
      <c r="A3148" s="1">
        <v>23</v>
      </c>
      <c r="B3148" s="2">
        <f>Walmart_Sales_raw_data!C3148</f>
        <v>1364721.58</v>
      </c>
      <c r="C3148" t="str">
        <f>IF(B3148&gt;=Walmart_Sales_raw_data!$C$6437,"High","low")</f>
        <v>High</v>
      </c>
    </row>
    <row r="3149" spans="1:3">
      <c r="A3149" s="3">
        <v>23</v>
      </c>
      <c r="B3149" s="2">
        <f>Walmart_Sales_raw_data!C3149</f>
        <v>1380892.08</v>
      </c>
      <c r="C3149" t="str">
        <f>IF(B3149&gt;=Walmart_Sales_raw_data!$C$6437,"High","low")</f>
        <v>High</v>
      </c>
    </row>
    <row r="3150" spans="1:3">
      <c r="A3150" s="1">
        <v>23</v>
      </c>
      <c r="B3150" s="2">
        <f>Walmart_Sales_raw_data!C3150</f>
        <v>1319588.04</v>
      </c>
      <c r="C3150" t="str">
        <f>IF(B3150&gt;=Walmart_Sales_raw_data!$C$6437,"High","low")</f>
        <v>High</v>
      </c>
    </row>
    <row r="3151" spans="1:3">
      <c r="A3151" s="3">
        <v>23</v>
      </c>
      <c r="B3151" s="2">
        <f>Walmart_Sales_raw_data!C3151</f>
        <v>1198709.65</v>
      </c>
      <c r="C3151" t="str">
        <f>IF(B3151&gt;=Walmart_Sales_raw_data!$C$6437,"High","low")</f>
        <v>High</v>
      </c>
    </row>
    <row r="3152" spans="1:3">
      <c r="A3152" s="1">
        <v>23</v>
      </c>
      <c r="B3152" s="2">
        <f>Walmart_Sales_raw_data!C3152</f>
        <v>1311175.93</v>
      </c>
      <c r="C3152" t="str">
        <f>IF(B3152&gt;=Walmart_Sales_raw_data!$C$6437,"High","low")</f>
        <v>High</v>
      </c>
    </row>
    <row r="3153" spans="1:3">
      <c r="A3153" s="3">
        <v>23</v>
      </c>
      <c r="B3153" s="2">
        <f>Walmart_Sales_raw_data!C3153</f>
        <v>1408082.96</v>
      </c>
      <c r="C3153" t="str">
        <f>IF(B3153&gt;=Walmart_Sales_raw_data!$C$6437,"High","low")</f>
        <v>High</v>
      </c>
    </row>
    <row r="3154" spans="1:3">
      <c r="A3154" s="1">
        <v>23</v>
      </c>
      <c r="B3154" s="2">
        <f>Walmart_Sales_raw_data!C3154</f>
        <v>1229008.32</v>
      </c>
      <c r="C3154" t="str">
        <f>IF(B3154&gt;=Walmart_Sales_raw_data!$C$6437,"High","low")</f>
        <v>High</v>
      </c>
    </row>
    <row r="3155" spans="1:3">
      <c r="A3155" s="3">
        <v>23</v>
      </c>
      <c r="B3155" s="2">
        <f>Walmart_Sales_raw_data!C3155</f>
        <v>1310701.8</v>
      </c>
      <c r="C3155" t="str">
        <f>IF(B3155&gt;=Walmart_Sales_raw_data!$C$6437,"High","low")</f>
        <v>High</v>
      </c>
    </row>
    <row r="3156" spans="1:3">
      <c r="A3156" s="1">
        <v>23</v>
      </c>
      <c r="B3156" s="2">
        <f>Walmart_Sales_raw_data!C3156</f>
        <v>1556627.62</v>
      </c>
      <c r="C3156" t="str">
        <f>IF(B3156&gt;=Walmart_Sales_raw_data!$C$6437,"High","low")</f>
        <v>High</v>
      </c>
    </row>
    <row r="3157" spans="1:3">
      <c r="A3157" s="3">
        <v>23</v>
      </c>
      <c r="B3157" s="2">
        <f>Walmart_Sales_raw_data!C3157</f>
        <v>1264434.7</v>
      </c>
      <c r="C3157" t="str">
        <f>IF(B3157&gt;=Walmart_Sales_raw_data!$C$6437,"High","low")</f>
        <v>High</v>
      </c>
    </row>
    <row r="3158" spans="1:3">
      <c r="A3158" s="1">
        <v>23</v>
      </c>
      <c r="B3158" s="2">
        <f>Walmart_Sales_raw_data!C3158</f>
        <v>1288823.72</v>
      </c>
      <c r="C3158" t="str">
        <f>IF(B3158&gt;=Walmart_Sales_raw_data!$C$6437,"High","low")</f>
        <v>High</v>
      </c>
    </row>
    <row r="3159" spans="1:3">
      <c r="A3159" s="3">
        <v>23</v>
      </c>
      <c r="B3159" s="2">
        <f>Walmart_Sales_raw_data!C3159</f>
        <v>1315023.08</v>
      </c>
      <c r="C3159" t="str">
        <f>IF(B3159&gt;=Walmart_Sales_raw_data!$C$6437,"High","low")</f>
        <v>High</v>
      </c>
    </row>
    <row r="3160" spans="1:3">
      <c r="A3160" s="1">
        <v>23</v>
      </c>
      <c r="B3160" s="2">
        <f>Walmart_Sales_raw_data!C3160</f>
        <v>1259414.52</v>
      </c>
      <c r="C3160" t="str">
        <f>IF(B3160&gt;=Walmart_Sales_raw_data!$C$6437,"High","low")</f>
        <v>High</v>
      </c>
    </row>
    <row r="3161" spans="1:3">
      <c r="A3161" s="3">
        <v>23</v>
      </c>
      <c r="B3161" s="2">
        <f>Walmart_Sales_raw_data!C3161</f>
        <v>1365552.28</v>
      </c>
      <c r="C3161" t="str">
        <f>IF(B3161&gt;=Walmart_Sales_raw_data!$C$6437,"High","low")</f>
        <v>High</v>
      </c>
    </row>
    <row r="3162" spans="1:3">
      <c r="A3162" s="1">
        <v>23</v>
      </c>
      <c r="B3162" s="2">
        <f>Walmart_Sales_raw_data!C3162</f>
        <v>1303055.09</v>
      </c>
      <c r="C3162" t="str">
        <f>IF(B3162&gt;=Walmart_Sales_raw_data!$C$6437,"High","low")</f>
        <v>High</v>
      </c>
    </row>
    <row r="3163" spans="1:3">
      <c r="A3163" s="3">
        <v>23</v>
      </c>
      <c r="B3163" s="2">
        <f>Walmart_Sales_raw_data!C3163</f>
        <v>1327424.28</v>
      </c>
      <c r="C3163" t="str">
        <f>IF(B3163&gt;=Walmart_Sales_raw_data!$C$6437,"High","low")</f>
        <v>High</v>
      </c>
    </row>
    <row r="3164" spans="1:3">
      <c r="A3164" s="1">
        <v>23</v>
      </c>
      <c r="B3164" s="2">
        <f>Walmart_Sales_raw_data!C3164</f>
        <v>1571158.56</v>
      </c>
      <c r="C3164" t="str">
        <f>IF(B3164&gt;=Walmart_Sales_raw_data!$C$6437,"High","low")</f>
        <v>High</v>
      </c>
    </row>
    <row r="3165" spans="1:3">
      <c r="A3165" s="3">
        <v>23</v>
      </c>
      <c r="B3165" s="2">
        <f>Walmart_Sales_raw_data!C3165</f>
        <v>1514435.51</v>
      </c>
      <c r="C3165" t="str">
        <f>IF(B3165&gt;=Walmart_Sales_raw_data!$C$6437,"High","low")</f>
        <v>High</v>
      </c>
    </row>
    <row r="3166" spans="1:3">
      <c r="A3166" s="1">
        <v>23</v>
      </c>
      <c r="B3166" s="2">
        <f>Walmart_Sales_raw_data!C3166</f>
        <v>1439432.06</v>
      </c>
      <c r="C3166" t="str">
        <f>IF(B3166&gt;=Walmart_Sales_raw_data!$C$6437,"High","low")</f>
        <v>High</v>
      </c>
    </row>
    <row r="3167" spans="1:3">
      <c r="A3167" s="3">
        <v>23</v>
      </c>
      <c r="B3167" s="2">
        <f>Walmart_Sales_raw_data!C3167</f>
        <v>1507708.93</v>
      </c>
      <c r="C3167" t="str">
        <f>IF(B3167&gt;=Walmart_Sales_raw_data!$C$6437,"High","low")</f>
        <v>High</v>
      </c>
    </row>
    <row r="3168" spans="1:3">
      <c r="A3168" s="1">
        <v>23</v>
      </c>
      <c r="B3168" s="2">
        <f>Walmart_Sales_raw_data!C3168</f>
        <v>1415204.88</v>
      </c>
      <c r="C3168" t="str">
        <f>IF(B3168&gt;=Walmart_Sales_raw_data!$C$6437,"High","low")</f>
        <v>High</v>
      </c>
    </row>
    <row r="3169" spans="1:3">
      <c r="A3169" s="3">
        <v>23</v>
      </c>
      <c r="B3169" s="2">
        <f>Walmart_Sales_raw_data!C3169</f>
        <v>1549113.18</v>
      </c>
      <c r="C3169" t="str">
        <f>IF(B3169&gt;=Walmart_Sales_raw_data!$C$6437,"High","low")</f>
        <v>High</v>
      </c>
    </row>
    <row r="3170" spans="1:3">
      <c r="A3170" s="1">
        <v>23</v>
      </c>
      <c r="B3170" s="2">
        <f>Walmart_Sales_raw_data!C3170</f>
        <v>1417535.78</v>
      </c>
      <c r="C3170" t="str">
        <f>IF(B3170&gt;=Walmart_Sales_raw_data!$C$6437,"High","low")</f>
        <v>High</v>
      </c>
    </row>
    <row r="3171" spans="1:3">
      <c r="A3171" s="3">
        <v>23</v>
      </c>
      <c r="B3171" s="2">
        <f>Walmart_Sales_raw_data!C3171</f>
        <v>1413124.11</v>
      </c>
      <c r="C3171" t="str">
        <f>IF(B3171&gt;=Walmart_Sales_raw_data!$C$6437,"High","low")</f>
        <v>High</v>
      </c>
    </row>
    <row r="3172" spans="1:3">
      <c r="A3172" s="1">
        <v>23</v>
      </c>
      <c r="B3172" s="2">
        <f>Walmart_Sales_raw_data!C3172</f>
        <v>1333634.45</v>
      </c>
      <c r="C3172" t="str">
        <f>IF(B3172&gt;=Walmart_Sales_raw_data!$C$6437,"High","low")</f>
        <v>High</v>
      </c>
    </row>
    <row r="3173" spans="1:3">
      <c r="A3173" s="3">
        <v>23</v>
      </c>
      <c r="B3173" s="2">
        <f>Walmart_Sales_raw_data!C3173</f>
        <v>1319773.55</v>
      </c>
      <c r="C3173" t="str">
        <f>IF(B3173&gt;=Walmart_Sales_raw_data!$C$6437,"High","low")</f>
        <v>High</v>
      </c>
    </row>
    <row r="3174" spans="1:3">
      <c r="A3174" s="1">
        <v>23</v>
      </c>
      <c r="B3174" s="2">
        <f>Walmart_Sales_raw_data!C3174</f>
        <v>1417013.07</v>
      </c>
      <c r="C3174" t="str">
        <f>IF(B3174&gt;=Walmart_Sales_raw_data!$C$6437,"High","low")</f>
        <v>High</v>
      </c>
    </row>
    <row r="3175" spans="1:3">
      <c r="A3175" s="3">
        <v>23</v>
      </c>
      <c r="B3175" s="2">
        <f>Walmart_Sales_raw_data!C3175</f>
        <v>1346345.97</v>
      </c>
      <c r="C3175" t="str">
        <f>IF(B3175&gt;=Walmart_Sales_raw_data!$C$6437,"High","low")</f>
        <v>High</v>
      </c>
    </row>
    <row r="3176" spans="1:3">
      <c r="A3176" s="1">
        <v>23</v>
      </c>
      <c r="B3176" s="2">
        <f>Walmart_Sales_raw_data!C3176</f>
        <v>1439901.05</v>
      </c>
      <c r="C3176" t="str">
        <f>IF(B3176&gt;=Walmart_Sales_raw_data!$C$6437,"High","low")</f>
        <v>High</v>
      </c>
    </row>
    <row r="3177" spans="1:3">
      <c r="A3177" s="3">
        <v>23</v>
      </c>
      <c r="B3177" s="2">
        <f>Walmart_Sales_raw_data!C3177</f>
        <v>1584623.36</v>
      </c>
      <c r="C3177" t="str">
        <f>IF(B3177&gt;=Walmart_Sales_raw_data!$C$6437,"High","low")</f>
        <v>High</v>
      </c>
    </row>
    <row r="3178" spans="1:3">
      <c r="A3178" s="1">
        <v>23</v>
      </c>
      <c r="B3178" s="2">
        <f>Walmart_Sales_raw_data!C3178</f>
        <v>1405119.23</v>
      </c>
      <c r="C3178" t="str">
        <f>IF(B3178&gt;=Walmart_Sales_raw_data!$C$6437,"High","low")</f>
        <v>High</v>
      </c>
    </row>
    <row r="3179" spans="1:3">
      <c r="A3179" s="3">
        <v>23</v>
      </c>
      <c r="B3179" s="2">
        <f>Walmart_Sales_raw_data!C3179</f>
        <v>1272842.85</v>
      </c>
      <c r="C3179" t="str">
        <f>IF(B3179&gt;=Walmart_Sales_raw_data!$C$6437,"High","low")</f>
        <v>High</v>
      </c>
    </row>
    <row r="3180" spans="1:3">
      <c r="A3180" s="1">
        <v>23</v>
      </c>
      <c r="B3180" s="2">
        <f>Walmart_Sales_raw_data!C3180</f>
        <v>1159132.58</v>
      </c>
      <c r="C3180" t="str">
        <f>IF(B3180&gt;=Walmart_Sales_raw_data!$C$6437,"High","low")</f>
        <v>High</v>
      </c>
    </row>
    <row r="3181" spans="1:3">
      <c r="A3181" s="3">
        <v>23</v>
      </c>
      <c r="B3181" s="2">
        <f>Walmart_Sales_raw_data!C3181</f>
        <v>1099055.65</v>
      </c>
      <c r="C3181" t="str">
        <f>IF(B3181&gt;=Walmart_Sales_raw_data!$C$6437,"High","low")</f>
        <v>High</v>
      </c>
    </row>
    <row r="3182" spans="1:3">
      <c r="A3182" s="1">
        <v>23</v>
      </c>
      <c r="B3182" s="2">
        <f>Walmart_Sales_raw_data!C3182</f>
        <v>1129909.44</v>
      </c>
      <c r="C3182" t="str">
        <f>IF(B3182&gt;=Walmart_Sales_raw_data!$C$6437,"High","low")</f>
        <v>High</v>
      </c>
    </row>
    <row r="3183" spans="1:3">
      <c r="A3183" s="3">
        <v>23</v>
      </c>
      <c r="B3183" s="2">
        <f>Walmart_Sales_raw_data!C3183</f>
        <v>1179851.68</v>
      </c>
      <c r="C3183" t="str">
        <f>IF(B3183&gt;=Walmart_Sales_raw_data!$C$6437,"High","low")</f>
        <v>High</v>
      </c>
    </row>
    <row r="3184" spans="1:3">
      <c r="A3184" s="1">
        <v>23</v>
      </c>
      <c r="B3184" s="2">
        <f>Walmart_Sales_raw_data!C3184</f>
        <v>1119809.71</v>
      </c>
      <c r="C3184" t="str">
        <f>IF(B3184&gt;=Walmart_Sales_raw_data!$C$6437,"High","low")</f>
        <v>High</v>
      </c>
    </row>
    <row r="3185" spans="1:3">
      <c r="A3185" s="3">
        <v>23</v>
      </c>
      <c r="B3185" s="2">
        <f>Walmart_Sales_raw_data!C3185</f>
        <v>1147503.92</v>
      </c>
      <c r="C3185" t="str">
        <f>IF(B3185&gt;=Walmart_Sales_raw_data!$C$6437,"High","low")</f>
        <v>High</v>
      </c>
    </row>
    <row r="3186" spans="1:3">
      <c r="A3186" s="1">
        <v>23</v>
      </c>
      <c r="B3186" s="2">
        <f>Walmart_Sales_raw_data!C3186</f>
        <v>1112871.23</v>
      </c>
      <c r="C3186" t="str">
        <f>IF(B3186&gt;=Walmart_Sales_raw_data!$C$6437,"High","low")</f>
        <v>High</v>
      </c>
    </row>
    <row r="3187" spans="1:3">
      <c r="A3187" s="3">
        <v>23</v>
      </c>
      <c r="B3187" s="2">
        <f>Walmart_Sales_raw_data!C3187</f>
        <v>1203119.96</v>
      </c>
      <c r="C3187" t="str">
        <f>IF(B3187&gt;=Walmart_Sales_raw_data!$C$6437,"High","low")</f>
        <v>High</v>
      </c>
    </row>
    <row r="3188" spans="1:3">
      <c r="A3188" s="1">
        <v>23</v>
      </c>
      <c r="B3188" s="2">
        <f>Walmart_Sales_raw_data!C3188</f>
        <v>1387953.75</v>
      </c>
      <c r="C3188" t="str">
        <f>IF(B3188&gt;=Walmart_Sales_raw_data!$C$6437,"High","low")</f>
        <v>High</v>
      </c>
    </row>
    <row r="3189" spans="1:3">
      <c r="A3189" s="3">
        <v>23</v>
      </c>
      <c r="B3189" s="2">
        <f>Walmart_Sales_raw_data!C3189</f>
        <v>1314994.32</v>
      </c>
      <c r="C3189" t="str">
        <f>IF(B3189&gt;=Walmart_Sales_raw_data!$C$6437,"High","low")</f>
        <v>High</v>
      </c>
    </row>
    <row r="3190" spans="1:3">
      <c r="A3190" s="1">
        <v>23</v>
      </c>
      <c r="B3190" s="2">
        <f>Walmart_Sales_raw_data!C3190</f>
        <v>2072685.05</v>
      </c>
      <c r="C3190" t="str">
        <f>IF(B3190&gt;=Walmart_Sales_raw_data!$C$6437,"High","low")</f>
        <v>High</v>
      </c>
    </row>
    <row r="3191" spans="1:3">
      <c r="A3191" s="3">
        <v>23</v>
      </c>
      <c r="B3191" s="2">
        <f>Walmart_Sales_raw_data!C3191</f>
        <v>1617025.41</v>
      </c>
      <c r="C3191" t="str">
        <f>IF(B3191&gt;=Walmart_Sales_raw_data!$C$6437,"High","low")</f>
        <v>High</v>
      </c>
    </row>
    <row r="3192" spans="1:3">
      <c r="A3192" s="1">
        <v>23</v>
      </c>
      <c r="B3192" s="2">
        <f>Walmart_Sales_raw_data!C3192</f>
        <v>1872365.99</v>
      </c>
      <c r="C3192" t="str">
        <f>IF(B3192&gt;=Walmart_Sales_raw_data!$C$6437,"High","low")</f>
        <v>High</v>
      </c>
    </row>
    <row r="3193" spans="1:3">
      <c r="A3193" s="3">
        <v>23</v>
      </c>
      <c r="B3193" s="2">
        <f>Walmart_Sales_raw_data!C3193</f>
        <v>2238573.48</v>
      </c>
      <c r="C3193" t="str">
        <f>IF(B3193&gt;=Walmart_Sales_raw_data!$C$6437,"High","low")</f>
        <v>High</v>
      </c>
    </row>
    <row r="3194" spans="1:3">
      <c r="A3194" s="1">
        <v>23</v>
      </c>
      <c r="B3194" s="2">
        <f>Walmart_Sales_raw_data!C3194</f>
        <v>2734277.1</v>
      </c>
      <c r="C3194" t="str">
        <f>IF(B3194&gt;=Walmart_Sales_raw_data!$C$6437,"High","low")</f>
        <v>High</v>
      </c>
    </row>
    <row r="3195" spans="1:3">
      <c r="A3195" s="3">
        <v>23</v>
      </c>
      <c r="B3195" s="2">
        <f>Walmart_Sales_raw_data!C3195</f>
        <v>1169773.85</v>
      </c>
      <c r="C3195" t="str">
        <f>IF(B3195&gt;=Walmart_Sales_raw_data!$C$6437,"High","low")</f>
        <v>High</v>
      </c>
    </row>
    <row r="3196" spans="1:3">
      <c r="A3196" s="1">
        <v>23</v>
      </c>
      <c r="B3196" s="2">
        <f>Walmart_Sales_raw_data!C3196</f>
        <v>1122034.48</v>
      </c>
      <c r="C3196" t="str">
        <f>IF(B3196&gt;=Walmart_Sales_raw_data!$C$6437,"High","low")</f>
        <v>High</v>
      </c>
    </row>
    <row r="3197" spans="1:3">
      <c r="A3197" s="3">
        <v>23</v>
      </c>
      <c r="B3197" s="2">
        <f>Walmart_Sales_raw_data!C3197</f>
        <v>1016756.1</v>
      </c>
      <c r="C3197" t="str">
        <f>IF(B3197&gt;=Walmart_Sales_raw_data!$C$6437,"High","low")</f>
        <v>low</v>
      </c>
    </row>
    <row r="3198" spans="1:3">
      <c r="A3198" s="1">
        <v>23</v>
      </c>
      <c r="B3198" s="2">
        <f>Walmart_Sales_raw_data!C3198</f>
        <v>1110706.06</v>
      </c>
      <c r="C3198" t="str">
        <f>IF(B3198&gt;=Walmart_Sales_raw_data!$C$6437,"High","low")</f>
        <v>High</v>
      </c>
    </row>
    <row r="3199" spans="1:3">
      <c r="A3199" s="3">
        <v>23</v>
      </c>
      <c r="B3199" s="2">
        <f>Walmart_Sales_raw_data!C3199</f>
        <v>1083657.61</v>
      </c>
      <c r="C3199" t="str">
        <f>IF(B3199&gt;=Walmart_Sales_raw_data!$C$6437,"High","low")</f>
        <v>High</v>
      </c>
    </row>
    <row r="3200" spans="1:3">
      <c r="A3200" s="1">
        <v>23</v>
      </c>
      <c r="B3200" s="2">
        <f>Walmart_Sales_raw_data!C3200</f>
        <v>1159438.53</v>
      </c>
      <c r="C3200" t="str">
        <f>IF(B3200&gt;=Walmart_Sales_raw_data!$C$6437,"High","low")</f>
        <v>High</v>
      </c>
    </row>
    <row r="3201" spans="1:3">
      <c r="A3201" s="3">
        <v>23</v>
      </c>
      <c r="B3201" s="2">
        <f>Walmart_Sales_raw_data!C3201</f>
        <v>1249786.4</v>
      </c>
      <c r="C3201" t="str">
        <f>IF(B3201&gt;=Walmart_Sales_raw_data!$C$6437,"High","low")</f>
        <v>High</v>
      </c>
    </row>
    <row r="3202" spans="1:3">
      <c r="A3202" s="1">
        <v>23</v>
      </c>
      <c r="B3202" s="2">
        <f>Walmart_Sales_raw_data!C3202</f>
        <v>1369971.57</v>
      </c>
      <c r="C3202" t="str">
        <f>IF(B3202&gt;=Walmart_Sales_raw_data!$C$6437,"High","low")</f>
        <v>High</v>
      </c>
    </row>
    <row r="3203" spans="1:3">
      <c r="A3203" s="3">
        <v>23</v>
      </c>
      <c r="B3203" s="2">
        <f>Walmart_Sales_raw_data!C3203</f>
        <v>1206917.2</v>
      </c>
      <c r="C3203" t="str">
        <f>IF(B3203&gt;=Walmart_Sales_raw_data!$C$6437,"High","low")</f>
        <v>High</v>
      </c>
    </row>
    <row r="3204" spans="1:3">
      <c r="A3204" s="1">
        <v>23</v>
      </c>
      <c r="B3204" s="2">
        <f>Walmart_Sales_raw_data!C3204</f>
        <v>1301185.28</v>
      </c>
      <c r="C3204" t="str">
        <f>IF(B3204&gt;=Walmart_Sales_raw_data!$C$6437,"High","low")</f>
        <v>High</v>
      </c>
    </row>
    <row r="3205" spans="1:3">
      <c r="A3205" s="3">
        <v>23</v>
      </c>
      <c r="B3205" s="2">
        <f>Walmart_Sales_raw_data!C3205</f>
        <v>1042043.55</v>
      </c>
      <c r="C3205" t="str">
        <f>IF(B3205&gt;=Walmart_Sales_raw_data!$C$6437,"High","low")</f>
        <v>low</v>
      </c>
    </row>
    <row r="3206" spans="1:3">
      <c r="A3206" s="1">
        <v>23</v>
      </c>
      <c r="B3206" s="2">
        <f>Walmart_Sales_raw_data!C3206</f>
        <v>1203682.62</v>
      </c>
      <c r="C3206" t="str">
        <f>IF(B3206&gt;=Walmart_Sales_raw_data!$C$6437,"High","low")</f>
        <v>High</v>
      </c>
    </row>
    <row r="3207" spans="1:3">
      <c r="A3207" s="3">
        <v>23</v>
      </c>
      <c r="B3207" s="2">
        <f>Walmart_Sales_raw_data!C3207</f>
        <v>1148624.83</v>
      </c>
      <c r="C3207" t="str">
        <f>IF(B3207&gt;=Walmart_Sales_raw_data!$C$6437,"High","low")</f>
        <v>High</v>
      </c>
    </row>
    <row r="3208" spans="1:3">
      <c r="A3208" s="1">
        <v>23</v>
      </c>
      <c r="B3208" s="2">
        <f>Walmart_Sales_raw_data!C3208</f>
        <v>1182694.95</v>
      </c>
      <c r="C3208" t="str">
        <f>IF(B3208&gt;=Walmart_Sales_raw_data!$C$6437,"High","low")</f>
        <v>High</v>
      </c>
    </row>
    <row r="3209" spans="1:3">
      <c r="A3209" s="3">
        <v>23</v>
      </c>
      <c r="B3209" s="2">
        <f>Walmart_Sales_raw_data!C3209</f>
        <v>1248901.98</v>
      </c>
      <c r="C3209" t="str">
        <f>IF(B3209&gt;=Walmart_Sales_raw_data!$C$6437,"High","low")</f>
        <v>High</v>
      </c>
    </row>
    <row r="3210" spans="1:3">
      <c r="A3210" s="1">
        <v>23</v>
      </c>
      <c r="B3210" s="2">
        <f>Walmart_Sales_raw_data!C3210</f>
        <v>1263680.51</v>
      </c>
      <c r="C3210" t="str">
        <f>IF(B3210&gt;=Walmart_Sales_raw_data!$C$6437,"High","low")</f>
        <v>High</v>
      </c>
    </row>
    <row r="3211" spans="1:3">
      <c r="A3211" s="3">
        <v>23</v>
      </c>
      <c r="B3211" s="2">
        <f>Walmart_Sales_raw_data!C3211</f>
        <v>1447301.24</v>
      </c>
      <c r="C3211" t="str">
        <f>IF(B3211&gt;=Walmart_Sales_raw_data!$C$6437,"High","low")</f>
        <v>High</v>
      </c>
    </row>
    <row r="3212" spans="1:3">
      <c r="A3212" s="1">
        <v>23</v>
      </c>
      <c r="B3212" s="2">
        <f>Walmart_Sales_raw_data!C3212</f>
        <v>1173307.4</v>
      </c>
      <c r="C3212" t="str">
        <f>IF(B3212&gt;=Walmart_Sales_raw_data!$C$6437,"High","low")</f>
        <v>High</v>
      </c>
    </row>
    <row r="3213" spans="1:3">
      <c r="A3213" s="3">
        <v>23</v>
      </c>
      <c r="B3213" s="2">
        <f>Walmart_Sales_raw_data!C3213</f>
        <v>1359921.13</v>
      </c>
      <c r="C3213" t="str">
        <f>IF(B3213&gt;=Walmart_Sales_raw_data!$C$6437,"High","low")</f>
        <v>High</v>
      </c>
    </row>
    <row r="3214" spans="1:3">
      <c r="A3214" s="1">
        <v>23</v>
      </c>
      <c r="B3214" s="2">
        <f>Walmart_Sales_raw_data!C3214</f>
        <v>1254914.87</v>
      </c>
      <c r="C3214" t="str">
        <f>IF(B3214&gt;=Walmart_Sales_raw_data!$C$6437,"High","low")</f>
        <v>High</v>
      </c>
    </row>
    <row r="3215" spans="1:3">
      <c r="A3215" s="3">
        <v>23</v>
      </c>
      <c r="B3215" s="2">
        <f>Walmart_Sales_raw_data!C3215</f>
        <v>1337617.55</v>
      </c>
      <c r="C3215" t="str">
        <f>IF(B3215&gt;=Walmart_Sales_raw_data!$C$6437,"High","low")</f>
        <v>High</v>
      </c>
    </row>
    <row r="3216" spans="1:3">
      <c r="A3216" s="1">
        <v>23</v>
      </c>
      <c r="B3216" s="2">
        <f>Walmart_Sales_raw_data!C3216</f>
        <v>1361945.18</v>
      </c>
      <c r="C3216" t="str">
        <f>IF(B3216&gt;=Walmart_Sales_raw_data!$C$6437,"High","low")</f>
        <v>High</v>
      </c>
    </row>
    <row r="3217" spans="1:3">
      <c r="A3217" s="3">
        <v>23</v>
      </c>
      <c r="B3217" s="2">
        <f>Walmart_Sales_raw_data!C3217</f>
        <v>1562161.97</v>
      </c>
      <c r="C3217" t="str">
        <f>IF(B3217&gt;=Walmart_Sales_raw_data!$C$6437,"High","low")</f>
        <v>High</v>
      </c>
    </row>
    <row r="3218" spans="1:3">
      <c r="A3218" s="1">
        <v>23</v>
      </c>
      <c r="B3218" s="2">
        <f>Walmart_Sales_raw_data!C3218</f>
        <v>1447028.06</v>
      </c>
      <c r="C3218" t="str">
        <f>IF(B3218&gt;=Walmart_Sales_raw_data!$C$6437,"High","low")</f>
        <v>High</v>
      </c>
    </row>
    <row r="3219" spans="1:3">
      <c r="A3219" s="3">
        <v>23</v>
      </c>
      <c r="B3219" s="2">
        <f>Walmart_Sales_raw_data!C3219</f>
        <v>1470520.83</v>
      </c>
      <c r="C3219" t="str">
        <f>IF(B3219&gt;=Walmart_Sales_raw_data!$C$6437,"High","low")</f>
        <v>High</v>
      </c>
    </row>
    <row r="3220" spans="1:3">
      <c r="A3220" s="1">
        <v>23</v>
      </c>
      <c r="B3220" s="2">
        <f>Walmart_Sales_raw_data!C3220</f>
        <v>1434036.18</v>
      </c>
      <c r="C3220" t="str">
        <f>IF(B3220&gt;=Walmart_Sales_raw_data!$C$6437,"High","low")</f>
        <v>High</v>
      </c>
    </row>
    <row r="3221" spans="1:3">
      <c r="A3221" s="3">
        <v>23</v>
      </c>
      <c r="B3221" s="2">
        <f>Walmart_Sales_raw_data!C3221</f>
        <v>1492507.44</v>
      </c>
      <c r="C3221" t="str">
        <f>IF(B3221&gt;=Walmart_Sales_raw_data!$C$6437,"High","low")</f>
        <v>High</v>
      </c>
    </row>
    <row r="3222" spans="1:3">
      <c r="A3222" s="1">
        <v>23</v>
      </c>
      <c r="B3222" s="2">
        <f>Walmart_Sales_raw_data!C3222</f>
        <v>1379488.05</v>
      </c>
      <c r="C3222" t="str">
        <f>IF(B3222&gt;=Walmart_Sales_raw_data!$C$6437,"High","low")</f>
        <v>High</v>
      </c>
    </row>
    <row r="3223" spans="1:3">
      <c r="A3223" s="3">
        <v>23</v>
      </c>
      <c r="B3223" s="2">
        <f>Walmart_Sales_raw_data!C3223</f>
        <v>1360520.56</v>
      </c>
      <c r="C3223" t="str">
        <f>IF(B3223&gt;=Walmart_Sales_raw_data!$C$6437,"High","low")</f>
        <v>High</v>
      </c>
    </row>
    <row r="3224" spans="1:3">
      <c r="A3224" s="1">
        <v>23</v>
      </c>
      <c r="B3224" s="2">
        <f>Walmart_Sales_raw_data!C3224</f>
        <v>1362144</v>
      </c>
      <c r="C3224" t="str">
        <f>IF(B3224&gt;=Walmart_Sales_raw_data!$C$6437,"High","low")</f>
        <v>High</v>
      </c>
    </row>
    <row r="3225" spans="1:3">
      <c r="A3225" s="3">
        <v>23</v>
      </c>
      <c r="B3225" s="2">
        <f>Walmart_Sales_raw_data!C3225</f>
        <v>1319767.55</v>
      </c>
      <c r="C3225" t="str">
        <f>IF(B3225&gt;=Walmart_Sales_raw_data!$C$6437,"High","low")</f>
        <v>High</v>
      </c>
    </row>
    <row r="3226" spans="1:3">
      <c r="A3226" s="1">
        <v>23</v>
      </c>
      <c r="B3226" s="2">
        <f>Walmart_Sales_raw_data!C3226</f>
        <v>1416344.68</v>
      </c>
      <c r="C3226" t="str">
        <f>IF(B3226&gt;=Walmart_Sales_raw_data!$C$6437,"High","low")</f>
        <v>High</v>
      </c>
    </row>
    <row r="3227" spans="1:3">
      <c r="A3227" s="3">
        <v>23</v>
      </c>
      <c r="B3227" s="2">
        <f>Walmart_Sales_raw_data!C3227</f>
        <v>1380952.05</v>
      </c>
      <c r="C3227" t="str">
        <f>IF(B3227&gt;=Walmart_Sales_raw_data!$C$6437,"High","low")</f>
        <v>High</v>
      </c>
    </row>
    <row r="3228" spans="1:3">
      <c r="A3228" s="1">
        <v>23</v>
      </c>
      <c r="B3228" s="2">
        <f>Walmart_Sales_raw_data!C3228</f>
        <v>1453416.53</v>
      </c>
      <c r="C3228" t="str">
        <f>IF(B3228&gt;=Walmart_Sales_raw_data!$C$6437,"High","low")</f>
        <v>High</v>
      </c>
    </row>
    <row r="3229" spans="1:3">
      <c r="A3229" s="3">
        <v>23</v>
      </c>
      <c r="B3229" s="2">
        <f>Walmart_Sales_raw_data!C3229</f>
        <v>1637266.29</v>
      </c>
      <c r="C3229" t="str">
        <f>IF(B3229&gt;=Walmart_Sales_raw_data!$C$6437,"High","low")</f>
        <v>High</v>
      </c>
    </row>
    <row r="3230" spans="1:3">
      <c r="A3230" s="1">
        <v>23</v>
      </c>
      <c r="B3230" s="2">
        <f>Walmart_Sales_raw_data!C3230</f>
        <v>1464295.69</v>
      </c>
      <c r="C3230" t="str">
        <f>IF(B3230&gt;=Walmart_Sales_raw_data!$C$6437,"High","low")</f>
        <v>High</v>
      </c>
    </row>
    <row r="3231" spans="1:3">
      <c r="A3231" s="3">
        <v>23</v>
      </c>
      <c r="B3231" s="2">
        <f>Walmart_Sales_raw_data!C3231</f>
        <v>1423289.9</v>
      </c>
      <c r="C3231" t="str">
        <f>IF(B3231&gt;=Walmart_Sales_raw_data!$C$6437,"High","low")</f>
        <v>High</v>
      </c>
    </row>
    <row r="3232" spans="1:3">
      <c r="A3232" s="1">
        <v>23</v>
      </c>
      <c r="B3232" s="2">
        <f>Walmart_Sales_raw_data!C3232</f>
        <v>1253329.17</v>
      </c>
      <c r="C3232" t="str">
        <f>IF(B3232&gt;=Walmart_Sales_raw_data!$C$6437,"High","low")</f>
        <v>High</v>
      </c>
    </row>
    <row r="3233" spans="1:3">
      <c r="A3233" s="3">
        <v>23</v>
      </c>
      <c r="B3233" s="2">
        <f>Walmart_Sales_raw_data!C3233</f>
        <v>1289082.81</v>
      </c>
      <c r="C3233" t="str">
        <f>IF(B3233&gt;=Walmart_Sales_raw_data!$C$6437,"High","low")</f>
        <v>High</v>
      </c>
    </row>
    <row r="3234" spans="1:3">
      <c r="A3234" s="1">
        <v>23</v>
      </c>
      <c r="B3234" s="2">
        <f>Walmart_Sales_raw_data!C3234</f>
        <v>1275597.85</v>
      </c>
      <c r="C3234" t="str">
        <f>IF(B3234&gt;=Walmart_Sales_raw_data!$C$6437,"High","low")</f>
        <v>High</v>
      </c>
    </row>
    <row r="3235" spans="1:3">
      <c r="A3235" s="3">
        <v>23</v>
      </c>
      <c r="B3235" s="2">
        <f>Walmart_Sales_raw_data!C3235</f>
        <v>1463501.99</v>
      </c>
      <c r="C3235" t="str">
        <f>IF(B3235&gt;=Walmart_Sales_raw_data!$C$6437,"High","low")</f>
        <v>High</v>
      </c>
    </row>
    <row r="3236" spans="1:3">
      <c r="A3236" s="1">
        <v>23</v>
      </c>
      <c r="B3236" s="2">
        <f>Walmart_Sales_raw_data!C3236</f>
        <v>1257778.34</v>
      </c>
      <c r="C3236" t="str">
        <f>IF(B3236&gt;=Walmart_Sales_raw_data!$C$6437,"High","low")</f>
        <v>High</v>
      </c>
    </row>
    <row r="3237" spans="1:3">
      <c r="A3237" s="3">
        <v>23</v>
      </c>
      <c r="B3237" s="2">
        <f>Walmart_Sales_raw_data!C3237</f>
        <v>1441032.59</v>
      </c>
      <c r="C3237" t="str">
        <f>IF(B3237&gt;=Walmart_Sales_raw_data!$C$6437,"High","low")</f>
        <v>High</v>
      </c>
    </row>
    <row r="3238" spans="1:3">
      <c r="A3238" s="1">
        <v>23</v>
      </c>
      <c r="B3238" s="2">
        <f>Walmart_Sales_raw_data!C3238</f>
        <v>1407191.96</v>
      </c>
      <c r="C3238" t="str">
        <f>IF(B3238&gt;=Walmart_Sales_raw_data!$C$6437,"High","low")</f>
        <v>High</v>
      </c>
    </row>
    <row r="3239" spans="1:3">
      <c r="A3239" s="3">
        <v>23</v>
      </c>
      <c r="B3239" s="2">
        <f>Walmart_Sales_raw_data!C3239</f>
        <v>1428436.33</v>
      </c>
      <c r="C3239" t="str">
        <f>IF(B3239&gt;=Walmart_Sales_raw_data!$C$6437,"High","low")</f>
        <v>High</v>
      </c>
    </row>
    <row r="3240" spans="1:3">
      <c r="A3240" s="1">
        <v>23</v>
      </c>
      <c r="B3240" s="2">
        <f>Walmart_Sales_raw_data!C3240</f>
        <v>1436940.78</v>
      </c>
      <c r="C3240" t="str">
        <f>IF(B3240&gt;=Walmart_Sales_raw_data!$C$6437,"High","low")</f>
        <v>High</v>
      </c>
    </row>
    <row r="3241" spans="1:3">
      <c r="A3241" s="3">
        <v>23</v>
      </c>
      <c r="B3241" s="2">
        <f>Walmart_Sales_raw_data!C3241</f>
        <v>1345631.96</v>
      </c>
      <c r="C3241" t="str">
        <f>IF(B3241&gt;=Walmart_Sales_raw_data!$C$6437,"High","low")</f>
        <v>High</v>
      </c>
    </row>
    <row r="3242" spans="1:3">
      <c r="A3242" s="1">
        <v>23</v>
      </c>
      <c r="B3242" s="2">
        <f>Walmart_Sales_raw_data!C3242</f>
        <v>2057059.53</v>
      </c>
      <c r="C3242" t="str">
        <f>IF(B3242&gt;=Walmart_Sales_raw_data!$C$6437,"High","low")</f>
        <v>High</v>
      </c>
    </row>
    <row r="3243" spans="1:3">
      <c r="A3243" s="3">
        <v>23</v>
      </c>
      <c r="B3243" s="2">
        <f>Walmart_Sales_raw_data!C3243</f>
        <v>1552886.59</v>
      </c>
      <c r="C3243" t="str">
        <f>IF(B3243&gt;=Walmart_Sales_raw_data!$C$6437,"High","low")</f>
        <v>High</v>
      </c>
    </row>
    <row r="3244" spans="1:3">
      <c r="A3244" s="1">
        <v>23</v>
      </c>
      <c r="B3244" s="2">
        <f>Walmart_Sales_raw_data!C3244</f>
        <v>1841173.6</v>
      </c>
      <c r="C3244" t="str">
        <f>IF(B3244&gt;=Walmart_Sales_raw_data!$C$6437,"High","low")</f>
        <v>High</v>
      </c>
    </row>
    <row r="3245" spans="1:3">
      <c r="A3245" s="3">
        <v>23</v>
      </c>
      <c r="B3245" s="2">
        <f>Walmart_Sales_raw_data!C3245</f>
        <v>2173621.2</v>
      </c>
      <c r="C3245" t="str">
        <f>IF(B3245&gt;=Walmart_Sales_raw_data!$C$6437,"High","low")</f>
        <v>High</v>
      </c>
    </row>
    <row r="3246" spans="1:3">
      <c r="A3246" s="1">
        <v>23</v>
      </c>
      <c r="B3246" s="2">
        <f>Walmart_Sales_raw_data!C3246</f>
        <v>2587953.32</v>
      </c>
      <c r="C3246" t="str">
        <f>IF(B3246&gt;=Walmart_Sales_raw_data!$C$6437,"High","low")</f>
        <v>High</v>
      </c>
    </row>
    <row r="3247" spans="1:3">
      <c r="A3247" s="3">
        <v>23</v>
      </c>
      <c r="B3247" s="2">
        <f>Walmart_Sales_raw_data!C3247</f>
        <v>1213486.95</v>
      </c>
      <c r="C3247" t="str">
        <f>IF(B3247&gt;=Walmart_Sales_raw_data!$C$6437,"High","low")</f>
        <v>High</v>
      </c>
    </row>
    <row r="3248" spans="1:3">
      <c r="A3248" s="1">
        <v>23</v>
      </c>
      <c r="B3248" s="2">
        <f>Walmart_Sales_raw_data!C3248</f>
        <v>1150662.55</v>
      </c>
      <c r="C3248" t="str">
        <f>IF(B3248&gt;=Walmart_Sales_raw_data!$C$6437,"High","low")</f>
        <v>High</v>
      </c>
    </row>
    <row r="3249" spans="1:3">
      <c r="A3249" s="3">
        <v>23</v>
      </c>
      <c r="B3249" s="2">
        <f>Walmart_Sales_raw_data!C3249</f>
        <v>1031451.35</v>
      </c>
      <c r="C3249" t="str">
        <f>IF(B3249&gt;=Walmart_Sales_raw_data!$C$6437,"High","low")</f>
        <v>low</v>
      </c>
    </row>
    <row r="3250" spans="1:3">
      <c r="A3250" s="1">
        <v>23</v>
      </c>
      <c r="B3250" s="2">
        <f>Walmart_Sales_raw_data!C3250</f>
        <v>1146992.13</v>
      </c>
      <c r="C3250" t="str">
        <f>IF(B3250&gt;=Walmart_Sales_raw_data!$C$6437,"High","low")</f>
        <v>High</v>
      </c>
    </row>
    <row r="3251" spans="1:3">
      <c r="A3251" s="3">
        <v>23</v>
      </c>
      <c r="B3251" s="2">
        <f>Walmart_Sales_raw_data!C3251</f>
        <v>1037476.38</v>
      </c>
      <c r="C3251" t="str">
        <f>IF(B3251&gt;=Walmart_Sales_raw_data!$C$6437,"High","low")</f>
        <v>low</v>
      </c>
    </row>
    <row r="3252" spans="1:3">
      <c r="A3252" s="1">
        <v>23</v>
      </c>
      <c r="B3252" s="2">
        <f>Walmart_Sales_raw_data!C3252</f>
        <v>1261872.67</v>
      </c>
      <c r="C3252" t="str">
        <f>IF(B3252&gt;=Walmart_Sales_raw_data!$C$6437,"High","low")</f>
        <v>High</v>
      </c>
    </row>
    <row r="3253" spans="1:3">
      <c r="A3253" s="3">
        <v>23</v>
      </c>
      <c r="B3253" s="2">
        <f>Walmart_Sales_raw_data!C3253</f>
        <v>1358444.07</v>
      </c>
      <c r="C3253" t="str">
        <f>IF(B3253&gt;=Walmart_Sales_raw_data!$C$6437,"High","low")</f>
        <v>High</v>
      </c>
    </row>
    <row r="3254" spans="1:3">
      <c r="A3254" s="1">
        <v>23</v>
      </c>
      <c r="B3254" s="2">
        <f>Walmart_Sales_raw_data!C3254</f>
        <v>1365546.69</v>
      </c>
      <c r="C3254" t="str">
        <f>IF(B3254&gt;=Walmart_Sales_raw_data!$C$6437,"High","low")</f>
        <v>High</v>
      </c>
    </row>
    <row r="3255" spans="1:3">
      <c r="A3255" s="3">
        <v>23</v>
      </c>
      <c r="B3255" s="2">
        <f>Walmart_Sales_raw_data!C3255</f>
        <v>1272948.27</v>
      </c>
      <c r="C3255" t="str">
        <f>IF(B3255&gt;=Walmart_Sales_raw_data!$C$6437,"High","low")</f>
        <v>High</v>
      </c>
    </row>
    <row r="3256" spans="1:3">
      <c r="A3256" s="1">
        <v>23</v>
      </c>
      <c r="B3256" s="2">
        <f>Walmart_Sales_raw_data!C3256</f>
        <v>1322852.2</v>
      </c>
      <c r="C3256" t="str">
        <f>IF(B3256&gt;=Walmart_Sales_raw_data!$C$6437,"High","low")</f>
        <v>High</v>
      </c>
    </row>
    <row r="3257" spans="1:3">
      <c r="A3257" s="3">
        <v>23</v>
      </c>
      <c r="B3257" s="2">
        <f>Walmart_Sales_raw_data!C3257</f>
        <v>1292724.9</v>
      </c>
      <c r="C3257" t="str">
        <f>IF(B3257&gt;=Walmart_Sales_raw_data!$C$6437,"High","low")</f>
        <v>High</v>
      </c>
    </row>
    <row r="3258" spans="1:3">
      <c r="A3258" s="1">
        <v>23</v>
      </c>
      <c r="B3258" s="2">
        <f>Walmart_Sales_raw_data!C3258</f>
        <v>1258364.31</v>
      </c>
      <c r="C3258" t="str">
        <f>IF(B3258&gt;=Walmart_Sales_raw_data!$C$6437,"High","low")</f>
        <v>High</v>
      </c>
    </row>
    <row r="3259" spans="1:3">
      <c r="A3259" s="3">
        <v>23</v>
      </c>
      <c r="B3259" s="2">
        <f>Walmart_Sales_raw_data!C3259</f>
        <v>1288154.1</v>
      </c>
      <c r="C3259" t="str">
        <f>IF(B3259&gt;=Walmart_Sales_raw_data!$C$6437,"High","low")</f>
        <v>High</v>
      </c>
    </row>
    <row r="3260" spans="1:3">
      <c r="A3260" s="1">
        <v>23</v>
      </c>
      <c r="B3260" s="2">
        <f>Walmart_Sales_raw_data!C3260</f>
        <v>1261964.96</v>
      </c>
      <c r="C3260" t="str">
        <f>IF(B3260&gt;=Walmart_Sales_raw_data!$C$6437,"High","low")</f>
        <v>High</v>
      </c>
    </row>
    <row r="3261" spans="1:3">
      <c r="A3261" s="3">
        <v>23</v>
      </c>
      <c r="B3261" s="2">
        <f>Walmart_Sales_raw_data!C3261</f>
        <v>1604605.69</v>
      </c>
      <c r="C3261" t="str">
        <f>IF(B3261&gt;=Walmart_Sales_raw_data!$C$6437,"High","low")</f>
        <v>High</v>
      </c>
    </row>
    <row r="3262" spans="1:3">
      <c r="A3262" s="1">
        <v>23</v>
      </c>
      <c r="B3262" s="2">
        <f>Walmart_Sales_raw_data!C3262</f>
        <v>1231752.54</v>
      </c>
      <c r="C3262" t="str">
        <f>IF(B3262&gt;=Walmart_Sales_raw_data!$C$6437,"High","low")</f>
        <v>High</v>
      </c>
    </row>
    <row r="3263" spans="1:3">
      <c r="A3263" s="3">
        <v>23</v>
      </c>
      <c r="B3263" s="2">
        <f>Walmart_Sales_raw_data!C3263</f>
        <v>1287899.41</v>
      </c>
      <c r="C3263" t="str">
        <f>IF(B3263&gt;=Walmart_Sales_raw_data!$C$6437,"High","low")</f>
        <v>High</v>
      </c>
    </row>
    <row r="3264" spans="1:3">
      <c r="A3264" s="1">
        <v>23</v>
      </c>
      <c r="B3264" s="2">
        <f>Walmart_Sales_raw_data!C3264</f>
        <v>1277758.76</v>
      </c>
      <c r="C3264" t="str">
        <f>IF(B3264&gt;=Walmart_Sales_raw_data!$C$6437,"High","low")</f>
        <v>High</v>
      </c>
    </row>
    <row r="3265" spans="1:3">
      <c r="A3265" s="3">
        <v>23</v>
      </c>
      <c r="B3265" s="2">
        <f>Walmart_Sales_raw_data!C3265</f>
        <v>1317379.68</v>
      </c>
      <c r="C3265" t="str">
        <f>IF(B3265&gt;=Walmart_Sales_raw_data!$C$6437,"High","low")</f>
        <v>High</v>
      </c>
    </row>
    <row r="3266" spans="1:3">
      <c r="A3266" s="1">
        <v>23</v>
      </c>
      <c r="B3266" s="2">
        <f>Walmart_Sales_raw_data!C3266</f>
        <v>1321914.34</v>
      </c>
      <c r="C3266" t="str">
        <f>IF(B3266&gt;=Walmart_Sales_raw_data!$C$6437,"High","low")</f>
        <v>High</v>
      </c>
    </row>
    <row r="3267" spans="1:3">
      <c r="A3267" s="3">
        <v>23</v>
      </c>
      <c r="B3267" s="2">
        <f>Walmart_Sales_raw_data!C3267</f>
        <v>1332952.47</v>
      </c>
      <c r="C3267" t="str">
        <f>IF(B3267&gt;=Walmart_Sales_raw_data!$C$6437,"High","low")</f>
        <v>High</v>
      </c>
    </row>
    <row r="3268" spans="1:3">
      <c r="A3268" s="1">
        <v>23</v>
      </c>
      <c r="B3268" s="2">
        <f>Walmart_Sales_raw_data!C3268</f>
        <v>1552934.64</v>
      </c>
      <c r="C3268" t="str">
        <f>IF(B3268&gt;=Walmart_Sales_raw_data!$C$6437,"High","low")</f>
        <v>High</v>
      </c>
    </row>
    <row r="3269" spans="1:3">
      <c r="A3269" s="3">
        <v>23</v>
      </c>
      <c r="B3269" s="2">
        <f>Walmart_Sales_raw_data!C3269</f>
        <v>1476144.34</v>
      </c>
      <c r="C3269" t="str">
        <f>IF(B3269&gt;=Walmart_Sales_raw_data!$C$6437,"High","low")</f>
        <v>High</v>
      </c>
    </row>
    <row r="3270" spans="1:3">
      <c r="A3270" s="1">
        <v>23</v>
      </c>
      <c r="B3270" s="2">
        <f>Walmart_Sales_raw_data!C3270</f>
        <v>1568048.54</v>
      </c>
      <c r="C3270" t="str">
        <f>IF(B3270&gt;=Walmart_Sales_raw_data!$C$6437,"High","low")</f>
        <v>High</v>
      </c>
    </row>
    <row r="3271" spans="1:3">
      <c r="A3271" s="3">
        <v>23</v>
      </c>
      <c r="B3271" s="2">
        <f>Walmart_Sales_raw_data!C3271</f>
        <v>1543667.68</v>
      </c>
      <c r="C3271" t="str">
        <f>IF(B3271&gt;=Walmart_Sales_raw_data!$C$6437,"High","low")</f>
        <v>High</v>
      </c>
    </row>
    <row r="3272" spans="1:3">
      <c r="A3272" s="1">
        <v>23</v>
      </c>
      <c r="B3272" s="2">
        <f>Walmart_Sales_raw_data!C3272</f>
        <v>1522042.57</v>
      </c>
      <c r="C3272" t="str">
        <f>IF(B3272&gt;=Walmart_Sales_raw_data!$C$6437,"High","low")</f>
        <v>High</v>
      </c>
    </row>
    <row r="3273" spans="1:3">
      <c r="A3273" s="3">
        <v>23</v>
      </c>
      <c r="B3273" s="2">
        <f>Walmart_Sales_raw_data!C3273</f>
        <v>1451782.16</v>
      </c>
      <c r="C3273" t="str">
        <f>IF(B3273&gt;=Walmart_Sales_raw_data!$C$6437,"High","low")</f>
        <v>High</v>
      </c>
    </row>
    <row r="3274" spans="1:3">
      <c r="A3274" s="1">
        <v>23</v>
      </c>
      <c r="B3274" s="2">
        <f>Walmart_Sales_raw_data!C3274</f>
        <v>1545370.16</v>
      </c>
      <c r="C3274" t="str">
        <f>IF(B3274&gt;=Walmart_Sales_raw_data!$C$6437,"High","low")</f>
        <v>High</v>
      </c>
    </row>
    <row r="3275" spans="1:3">
      <c r="A3275" s="3">
        <v>23</v>
      </c>
      <c r="B3275" s="2">
        <f>Walmart_Sales_raw_data!C3275</f>
        <v>1384921.63</v>
      </c>
      <c r="C3275" t="str">
        <f>IF(B3275&gt;=Walmart_Sales_raw_data!$C$6437,"High","low")</f>
        <v>High</v>
      </c>
    </row>
    <row r="3276" spans="1:3">
      <c r="A3276" s="1">
        <v>23</v>
      </c>
      <c r="B3276" s="2">
        <f>Walmart_Sales_raw_data!C3276</f>
        <v>1381339.23</v>
      </c>
      <c r="C3276" t="str">
        <f>IF(B3276&gt;=Walmart_Sales_raw_data!$C$6437,"High","low")</f>
        <v>High</v>
      </c>
    </row>
    <row r="3277" spans="1:3">
      <c r="A3277" s="3">
        <v>23</v>
      </c>
      <c r="B3277" s="2">
        <f>Walmart_Sales_raw_data!C3277</f>
        <v>1322932.36</v>
      </c>
      <c r="C3277" t="str">
        <f>IF(B3277&gt;=Walmart_Sales_raw_data!$C$6437,"High","low")</f>
        <v>High</v>
      </c>
    </row>
    <row r="3278" spans="1:3">
      <c r="A3278" s="1">
        <v>23</v>
      </c>
      <c r="B3278" s="2">
        <f>Walmart_Sales_raw_data!C3278</f>
        <v>1416926.31</v>
      </c>
      <c r="C3278" t="str">
        <f>IF(B3278&gt;=Walmart_Sales_raw_data!$C$6437,"High","low")</f>
        <v>High</v>
      </c>
    </row>
    <row r="3279" spans="1:3">
      <c r="A3279" s="3">
        <v>23</v>
      </c>
      <c r="B3279" s="2">
        <f>Walmart_Sales_raw_data!C3279</f>
        <v>1436311.76</v>
      </c>
      <c r="C3279" t="str">
        <f>IF(B3279&gt;=Walmart_Sales_raw_data!$C$6437,"High","low")</f>
        <v>High</v>
      </c>
    </row>
    <row r="3280" spans="1:3">
      <c r="A3280" s="1">
        <v>23</v>
      </c>
      <c r="B3280" s="2">
        <f>Walmart_Sales_raw_data!C3280</f>
        <v>1510131.45</v>
      </c>
      <c r="C3280" t="str">
        <f>IF(B3280&gt;=Walmart_Sales_raw_data!$C$6437,"High","low")</f>
        <v>High</v>
      </c>
    </row>
    <row r="3281" spans="1:3">
      <c r="A3281" s="3">
        <v>23</v>
      </c>
      <c r="B3281" s="2">
        <f>Walmart_Sales_raw_data!C3281</f>
        <v>1702220.96</v>
      </c>
      <c r="C3281" t="str">
        <f>IF(B3281&gt;=Walmart_Sales_raw_data!$C$6437,"High","low")</f>
        <v>High</v>
      </c>
    </row>
    <row r="3282" spans="1:3">
      <c r="A3282" s="1">
        <v>23</v>
      </c>
      <c r="B3282" s="2">
        <f>Walmart_Sales_raw_data!C3282</f>
        <v>1577468.78</v>
      </c>
      <c r="C3282" t="str">
        <f>IF(B3282&gt;=Walmart_Sales_raw_data!$C$6437,"High","low")</f>
        <v>High</v>
      </c>
    </row>
    <row r="3283" spans="1:3">
      <c r="A3283" s="3">
        <v>23</v>
      </c>
      <c r="B3283" s="2">
        <f>Walmart_Sales_raw_data!C3283</f>
        <v>1427162.26</v>
      </c>
      <c r="C3283" t="str">
        <f>IF(B3283&gt;=Walmart_Sales_raw_data!$C$6437,"High","low")</f>
        <v>High</v>
      </c>
    </row>
    <row r="3284" spans="1:3">
      <c r="A3284" s="1">
        <v>23</v>
      </c>
      <c r="B3284" s="2">
        <f>Walmart_Sales_raw_data!C3284</f>
        <v>1279041.64</v>
      </c>
      <c r="C3284" t="str">
        <f>IF(B3284&gt;=Walmart_Sales_raw_data!$C$6437,"High","low")</f>
        <v>High</v>
      </c>
    </row>
    <row r="3285" spans="1:3">
      <c r="A3285" s="3">
        <v>23</v>
      </c>
      <c r="B3285" s="2">
        <f>Walmart_Sales_raw_data!C3285</f>
        <v>1338627.55</v>
      </c>
      <c r="C3285" t="str">
        <f>IF(B3285&gt;=Walmart_Sales_raw_data!$C$6437,"High","low")</f>
        <v>High</v>
      </c>
    </row>
    <row r="3286" spans="1:3">
      <c r="A3286" s="1">
        <v>23</v>
      </c>
      <c r="B3286" s="2">
        <f>Walmart_Sales_raw_data!C3286</f>
        <v>1319035.06</v>
      </c>
      <c r="C3286" t="str">
        <f>IF(B3286&gt;=Walmart_Sales_raw_data!$C$6437,"High","low")</f>
        <v>High</v>
      </c>
    </row>
    <row r="3287" spans="1:3">
      <c r="A3287" s="3">
        <v>23</v>
      </c>
      <c r="B3287" s="2">
        <f>Walmart_Sales_raw_data!C3287</f>
        <v>1464616.59</v>
      </c>
      <c r="C3287" t="str">
        <f>IF(B3287&gt;=Walmart_Sales_raw_data!$C$6437,"High","low")</f>
        <v>High</v>
      </c>
    </row>
    <row r="3288" spans="1:3">
      <c r="A3288" s="1">
        <v>23</v>
      </c>
      <c r="B3288" s="2">
        <f>Walmart_Sales_raw_data!C3288</f>
        <v>1412925.25</v>
      </c>
      <c r="C3288" t="str">
        <f>IF(B3288&gt;=Walmart_Sales_raw_data!$C$6437,"High","low")</f>
        <v>High</v>
      </c>
    </row>
    <row r="3289" spans="1:3">
      <c r="A3289" s="3">
        <v>23</v>
      </c>
      <c r="B3289" s="2">
        <f>Walmart_Sales_raw_data!C3289</f>
        <v>1363155.77</v>
      </c>
      <c r="C3289" t="str">
        <f>IF(B3289&gt;=Walmart_Sales_raw_data!$C$6437,"High","low")</f>
        <v>High</v>
      </c>
    </row>
    <row r="3290" spans="1:3">
      <c r="A3290" s="1">
        <v>23</v>
      </c>
      <c r="B3290" s="2">
        <f>Walmart_Sales_raw_data!C3290</f>
        <v>1347454.59</v>
      </c>
      <c r="C3290" t="str">
        <f>IF(B3290&gt;=Walmart_Sales_raw_data!$C$6437,"High","low")</f>
        <v>High</v>
      </c>
    </row>
    <row r="3291" spans="1:3">
      <c r="A3291" s="3">
        <v>24</v>
      </c>
      <c r="B3291" s="2">
        <f>Walmart_Sales_raw_data!C3291</f>
        <v>1388725.63</v>
      </c>
      <c r="C3291" t="str">
        <f>IF(B3291&gt;=Walmart_Sales_raw_data!$C$6437,"High","low")</f>
        <v>High</v>
      </c>
    </row>
    <row r="3292" spans="1:3">
      <c r="A3292" s="1">
        <v>24</v>
      </c>
      <c r="B3292" s="2">
        <f>Walmart_Sales_raw_data!C3292</f>
        <v>1414107.1</v>
      </c>
      <c r="C3292" t="str">
        <f>IF(B3292&gt;=Walmart_Sales_raw_data!$C$6437,"High","low")</f>
        <v>High</v>
      </c>
    </row>
    <row r="3293" spans="1:3">
      <c r="A3293" s="3">
        <v>24</v>
      </c>
      <c r="B3293" s="2">
        <f>Walmart_Sales_raw_data!C3293</f>
        <v>1385362.49</v>
      </c>
      <c r="C3293" t="str">
        <f>IF(B3293&gt;=Walmart_Sales_raw_data!$C$6437,"High","low")</f>
        <v>High</v>
      </c>
    </row>
    <row r="3294" spans="1:3">
      <c r="A3294" s="1">
        <v>24</v>
      </c>
      <c r="B3294" s="2">
        <f>Walmart_Sales_raw_data!C3294</f>
        <v>1158722.74</v>
      </c>
      <c r="C3294" t="str">
        <f>IF(B3294&gt;=Walmart_Sales_raw_data!$C$6437,"High","low")</f>
        <v>High</v>
      </c>
    </row>
    <row r="3295" spans="1:3">
      <c r="A3295" s="3">
        <v>24</v>
      </c>
      <c r="B3295" s="2">
        <f>Walmart_Sales_raw_data!C3295</f>
        <v>1412387.37</v>
      </c>
      <c r="C3295" t="str">
        <f>IF(B3295&gt;=Walmart_Sales_raw_data!$C$6437,"High","low")</f>
        <v>High</v>
      </c>
    </row>
    <row r="3296" spans="1:3">
      <c r="A3296" s="1">
        <v>24</v>
      </c>
      <c r="B3296" s="2">
        <f>Walmart_Sales_raw_data!C3296</f>
        <v>1309340.16</v>
      </c>
      <c r="C3296" t="str">
        <f>IF(B3296&gt;=Walmart_Sales_raw_data!$C$6437,"High","low")</f>
        <v>High</v>
      </c>
    </row>
    <row r="3297" spans="1:3">
      <c r="A3297" s="3">
        <v>24</v>
      </c>
      <c r="B3297" s="2">
        <f>Walmart_Sales_raw_data!C3297</f>
        <v>1222511.29</v>
      </c>
      <c r="C3297" t="str">
        <f>IF(B3297&gt;=Walmart_Sales_raw_data!$C$6437,"High","low")</f>
        <v>High</v>
      </c>
    </row>
    <row r="3298" spans="1:3">
      <c r="A3298" s="1">
        <v>24</v>
      </c>
      <c r="B3298" s="2">
        <f>Walmart_Sales_raw_data!C3298</f>
        <v>1258311.56</v>
      </c>
      <c r="C3298" t="str">
        <f>IF(B3298&gt;=Walmart_Sales_raw_data!$C$6437,"High","low")</f>
        <v>High</v>
      </c>
    </row>
    <row r="3299" spans="1:3">
      <c r="A3299" s="3">
        <v>24</v>
      </c>
      <c r="B3299" s="2">
        <f>Walmart_Sales_raw_data!C3299</f>
        <v>1478321.26</v>
      </c>
      <c r="C3299" t="str">
        <f>IF(B3299&gt;=Walmart_Sales_raw_data!$C$6437,"High","low")</f>
        <v>High</v>
      </c>
    </row>
    <row r="3300" spans="1:3">
      <c r="A3300" s="1">
        <v>24</v>
      </c>
      <c r="B3300" s="2">
        <f>Walmart_Sales_raw_data!C3300</f>
        <v>1379579.63</v>
      </c>
      <c r="C3300" t="str">
        <f>IF(B3300&gt;=Walmart_Sales_raw_data!$C$6437,"High","low")</f>
        <v>High</v>
      </c>
    </row>
    <row r="3301" spans="1:3">
      <c r="A3301" s="3">
        <v>24</v>
      </c>
      <c r="B3301" s="2">
        <f>Walmart_Sales_raw_data!C3301</f>
        <v>1268266.72</v>
      </c>
      <c r="C3301" t="str">
        <f>IF(B3301&gt;=Walmart_Sales_raw_data!$C$6437,"High","low")</f>
        <v>High</v>
      </c>
    </row>
    <row r="3302" spans="1:3">
      <c r="A3302" s="1">
        <v>24</v>
      </c>
      <c r="B3302" s="2">
        <f>Walmart_Sales_raw_data!C3302</f>
        <v>1264117.01</v>
      </c>
      <c r="C3302" t="str">
        <f>IF(B3302&gt;=Walmart_Sales_raw_data!$C$6437,"High","low")</f>
        <v>High</v>
      </c>
    </row>
    <row r="3303" spans="1:3">
      <c r="A3303" s="3">
        <v>24</v>
      </c>
      <c r="B3303" s="2">
        <f>Walmart_Sales_raw_data!C3303</f>
        <v>1259877.19</v>
      </c>
      <c r="C3303" t="str">
        <f>IF(B3303&gt;=Walmart_Sales_raw_data!$C$6437,"High","low")</f>
        <v>High</v>
      </c>
    </row>
    <row r="3304" spans="1:3">
      <c r="A3304" s="1">
        <v>24</v>
      </c>
      <c r="B3304" s="2">
        <f>Walmart_Sales_raw_data!C3304</f>
        <v>1409705.03</v>
      </c>
      <c r="C3304" t="str">
        <f>IF(B3304&gt;=Walmart_Sales_raw_data!$C$6437,"High","low")</f>
        <v>High</v>
      </c>
    </row>
    <row r="3305" spans="1:3">
      <c r="A3305" s="3">
        <v>24</v>
      </c>
      <c r="B3305" s="2">
        <f>Walmart_Sales_raw_data!C3305</f>
        <v>1346783.35</v>
      </c>
      <c r="C3305" t="str">
        <f>IF(B3305&gt;=Walmart_Sales_raw_data!$C$6437,"High","low")</f>
        <v>High</v>
      </c>
    </row>
    <row r="3306" spans="1:3">
      <c r="A3306" s="1">
        <v>24</v>
      </c>
      <c r="B3306" s="2">
        <f>Walmart_Sales_raw_data!C3306</f>
        <v>1283482.85</v>
      </c>
      <c r="C3306" t="str">
        <f>IF(B3306&gt;=Walmart_Sales_raw_data!$C$6437,"High","low")</f>
        <v>High</v>
      </c>
    </row>
    <row r="3307" spans="1:3">
      <c r="A3307" s="3">
        <v>24</v>
      </c>
      <c r="B3307" s="2">
        <f>Walmart_Sales_raw_data!C3307</f>
        <v>1473868.15</v>
      </c>
      <c r="C3307" t="str">
        <f>IF(B3307&gt;=Walmart_Sales_raw_data!$C$6437,"High","low")</f>
        <v>High</v>
      </c>
    </row>
    <row r="3308" spans="1:3">
      <c r="A3308" s="1">
        <v>24</v>
      </c>
      <c r="B3308" s="2">
        <f>Walmart_Sales_raw_data!C3308</f>
        <v>1566668.91</v>
      </c>
      <c r="C3308" t="str">
        <f>IF(B3308&gt;=Walmart_Sales_raw_data!$C$6437,"High","low")</f>
        <v>High</v>
      </c>
    </row>
    <row r="3309" spans="1:3">
      <c r="A3309" s="3">
        <v>24</v>
      </c>
      <c r="B3309" s="2">
        <f>Walmart_Sales_raw_data!C3309</f>
        <v>1375458.21</v>
      </c>
      <c r="C3309" t="str">
        <f>IF(B3309&gt;=Walmart_Sales_raw_data!$C$6437,"High","low")</f>
        <v>High</v>
      </c>
    </row>
    <row r="3310" spans="1:3">
      <c r="A3310" s="1">
        <v>24</v>
      </c>
      <c r="B3310" s="2">
        <f>Walmart_Sales_raw_data!C3310</f>
        <v>1354168.18</v>
      </c>
      <c r="C3310" t="str">
        <f>IF(B3310&gt;=Walmart_Sales_raw_data!$C$6437,"High","low")</f>
        <v>High</v>
      </c>
    </row>
    <row r="3311" spans="1:3">
      <c r="A3311" s="3">
        <v>24</v>
      </c>
      <c r="B3311" s="2">
        <f>Walmart_Sales_raw_data!C3311</f>
        <v>1399073.75</v>
      </c>
      <c r="C3311" t="str">
        <f>IF(B3311&gt;=Walmart_Sales_raw_data!$C$6437,"High","low")</f>
        <v>High</v>
      </c>
    </row>
    <row r="3312" spans="1:3">
      <c r="A3312" s="1">
        <v>24</v>
      </c>
      <c r="B3312" s="2">
        <f>Walmart_Sales_raw_data!C3312</f>
        <v>1563387.94</v>
      </c>
      <c r="C3312" t="str">
        <f>IF(B3312&gt;=Walmart_Sales_raw_data!$C$6437,"High","low")</f>
        <v>High</v>
      </c>
    </row>
    <row r="3313" spans="1:3">
      <c r="A3313" s="3">
        <v>24</v>
      </c>
      <c r="B3313" s="2">
        <f>Walmart_Sales_raw_data!C3313</f>
        <v>1665502.55</v>
      </c>
      <c r="C3313" t="str">
        <f>IF(B3313&gt;=Walmart_Sales_raw_data!$C$6437,"High","low")</f>
        <v>High</v>
      </c>
    </row>
    <row r="3314" spans="1:3">
      <c r="A3314" s="1">
        <v>24</v>
      </c>
      <c r="B3314" s="2">
        <f>Walmart_Sales_raw_data!C3314</f>
        <v>1418697.05</v>
      </c>
      <c r="C3314" t="str">
        <f>IF(B3314&gt;=Walmart_Sales_raw_data!$C$6437,"High","low")</f>
        <v>High</v>
      </c>
    </row>
    <row r="3315" spans="1:3">
      <c r="A3315" s="3">
        <v>24</v>
      </c>
      <c r="B3315" s="2">
        <f>Walmart_Sales_raw_data!C3315</f>
        <v>1333740.35</v>
      </c>
      <c r="C3315" t="str">
        <f>IF(B3315&gt;=Walmart_Sales_raw_data!$C$6437,"High","low")</f>
        <v>High</v>
      </c>
    </row>
    <row r="3316" spans="1:3">
      <c r="A3316" s="1">
        <v>24</v>
      </c>
      <c r="B3316" s="2">
        <f>Walmart_Sales_raw_data!C3316</f>
        <v>1387517.63</v>
      </c>
      <c r="C3316" t="str">
        <f>IF(B3316&gt;=Walmart_Sales_raw_data!$C$6437,"High","low")</f>
        <v>High</v>
      </c>
    </row>
    <row r="3317" spans="1:3">
      <c r="A3317" s="3">
        <v>24</v>
      </c>
      <c r="B3317" s="2">
        <f>Walmart_Sales_raw_data!C3317</f>
        <v>1442819.28</v>
      </c>
      <c r="C3317" t="str">
        <f>IF(B3317&gt;=Walmart_Sales_raw_data!$C$6437,"High","low")</f>
        <v>High</v>
      </c>
    </row>
    <row r="3318" spans="1:3">
      <c r="A3318" s="1">
        <v>24</v>
      </c>
      <c r="B3318" s="2">
        <f>Walmart_Sales_raw_data!C3318</f>
        <v>1384243.75</v>
      </c>
      <c r="C3318" t="str">
        <f>IF(B3318&gt;=Walmart_Sales_raw_data!$C$6437,"High","low")</f>
        <v>High</v>
      </c>
    </row>
    <row r="3319" spans="1:3">
      <c r="A3319" s="3">
        <v>24</v>
      </c>
      <c r="B3319" s="2">
        <f>Walmart_Sales_raw_data!C3319</f>
        <v>1375307.54</v>
      </c>
      <c r="C3319" t="str">
        <f>IF(B3319&gt;=Walmart_Sales_raw_data!$C$6437,"High","low")</f>
        <v>High</v>
      </c>
    </row>
    <row r="3320" spans="1:3">
      <c r="A3320" s="1">
        <v>24</v>
      </c>
      <c r="B3320" s="2">
        <f>Walmart_Sales_raw_data!C3320</f>
        <v>1350059.35</v>
      </c>
      <c r="C3320" t="str">
        <f>IF(B3320&gt;=Walmart_Sales_raw_data!$C$6437,"High","low")</f>
        <v>High</v>
      </c>
    </row>
    <row r="3321" spans="1:3">
      <c r="A3321" s="3">
        <v>24</v>
      </c>
      <c r="B3321" s="2">
        <f>Walmart_Sales_raw_data!C3321</f>
        <v>1366381.6</v>
      </c>
      <c r="C3321" t="str">
        <f>IF(B3321&gt;=Walmart_Sales_raw_data!$C$6437,"High","low")</f>
        <v>High</v>
      </c>
    </row>
    <row r="3322" spans="1:3">
      <c r="A3322" s="1">
        <v>24</v>
      </c>
      <c r="B3322" s="2">
        <f>Walmart_Sales_raw_data!C3322</f>
        <v>1474498.59</v>
      </c>
      <c r="C3322" t="str">
        <f>IF(B3322&gt;=Walmart_Sales_raw_data!$C$6437,"High","low")</f>
        <v>High</v>
      </c>
    </row>
    <row r="3323" spans="1:3">
      <c r="A3323" s="3">
        <v>24</v>
      </c>
      <c r="B3323" s="2">
        <f>Walmart_Sales_raw_data!C3323</f>
        <v>1273295.46</v>
      </c>
      <c r="C3323" t="str">
        <f>IF(B3323&gt;=Walmart_Sales_raw_data!$C$6437,"High","low")</f>
        <v>High</v>
      </c>
    </row>
    <row r="3324" spans="1:3">
      <c r="A3324" s="1">
        <v>24</v>
      </c>
      <c r="B3324" s="2">
        <f>Walmart_Sales_raw_data!C3324</f>
        <v>1169413.27</v>
      </c>
      <c r="C3324" t="str">
        <f>IF(B3324&gt;=Walmart_Sales_raw_data!$C$6437,"High","low")</f>
        <v>High</v>
      </c>
    </row>
    <row r="3325" spans="1:3">
      <c r="A3325" s="3">
        <v>24</v>
      </c>
      <c r="B3325" s="2">
        <f>Walmart_Sales_raw_data!C3325</f>
        <v>1215273.2</v>
      </c>
      <c r="C3325" t="str">
        <f>IF(B3325&gt;=Walmart_Sales_raw_data!$C$6437,"High","low")</f>
        <v>High</v>
      </c>
    </row>
    <row r="3326" spans="1:3">
      <c r="A3326" s="1">
        <v>24</v>
      </c>
      <c r="B3326" s="2">
        <f>Walmart_Sales_raw_data!C3326</f>
        <v>1361944.94</v>
      </c>
      <c r="C3326" t="str">
        <f>IF(B3326&gt;=Walmart_Sales_raw_data!$C$6437,"High","low")</f>
        <v>High</v>
      </c>
    </row>
    <row r="3327" spans="1:3">
      <c r="A3327" s="3">
        <v>24</v>
      </c>
      <c r="B3327" s="2">
        <f>Walmart_Sales_raw_data!C3327</f>
        <v>1300806.74</v>
      </c>
      <c r="C3327" t="str">
        <f>IF(B3327&gt;=Walmart_Sales_raw_data!$C$6437,"High","low")</f>
        <v>High</v>
      </c>
    </row>
    <row r="3328" spans="1:3">
      <c r="A3328" s="1">
        <v>24</v>
      </c>
      <c r="B3328" s="2">
        <f>Walmart_Sales_raw_data!C3328</f>
        <v>1234875.33</v>
      </c>
      <c r="C3328" t="str">
        <f>IF(B3328&gt;=Walmart_Sales_raw_data!$C$6437,"High","low")</f>
        <v>High</v>
      </c>
    </row>
    <row r="3329" spans="1:3">
      <c r="A3329" s="3">
        <v>24</v>
      </c>
      <c r="B3329" s="2">
        <f>Walmart_Sales_raw_data!C3329</f>
        <v>1244925.94</v>
      </c>
      <c r="C3329" t="str">
        <f>IF(B3329&gt;=Walmart_Sales_raw_data!$C$6437,"High","low")</f>
        <v>High</v>
      </c>
    </row>
    <row r="3330" spans="1:3">
      <c r="A3330" s="1">
        <v>24</v>
      </c>
      <c r="B3330" s="2">
        <f>Walmart_Sales_raw_data!C3330</f>
        <v>1285358.01</v>
      </c>
      <c r="C3330" t="str">
        <f>IF(B3330&gt;=Walmart_Sales_raw_data!$C$6437,"High","low")</f>
        <v>High</v>
      </c>
    </row>
    <row r="3331" spans="1:3">
      <c r="A3331" s="3">
        <v>24</v>
      </c>
      <c r="B3331" s="2">
        <f>Walmart_Sales_raw_data!C3331</f>
        <v>1312877.01</v>
      </c>
      <c r="C3331" t="str">
        <f>IF(B3331&gt;=Walmart_Sales_raw_data!$C$6437,"High","low")</f>
        <v>High</v>
      </c>
    </row>
    <row r="3332" spans="1:3">
      <c r="A3332" s="1">
        <v>24</v>
      </c>
      <c r="B3332" s="2">
        <f>Walmart_Sales_raw_data!C3332</f>
        <v>1277150.6</v>
      </c>
      <c r="C3332" t="str">
        <f>IF(B3332&gt;=Walmart_Sales_raw_data!$C$6437,"High","low")</f>
        <v>High</v>
      </c>
    </row>
    <row r="3333" spans="1:3">
      <c r="A3333" s="3">
        <v>24</v>
      </c>
      <c r="B3333" s="2">
        <f>Walmart_Sales_raw_data!C3333</f>
        <v>1779276.51</v>
      </c>
      <c r="C3333" t="str">
        <f>IF(B3333&gt;=Walmart_Sales_raw_data!$C$6437,"High","low")</f>
        <v>High</v>
      </c>
    </row>
    <row r="3334" spans="1:3">
      <c r="A3334" s="1">
        <v>24</v>
      </c>
      <c r="B3334" s="2">
        <f>Walmart_Sales_raw_data!C3334</f>
        <v>1413302.7</v>
      </c>
      <c r="C3334" t="str">
        <f>IF(B3334&gt;=Walmart_Sales_raw_data!$C$6437,"High","low")</f>
        <v>High</v>
      </c>
    </row>
    <row r="3335" spans="1:3">
      <c r="A3335" s="3">
        <v>24</v>
      </c>
      <c r="B3335" s="2">
        <f>Walmart_Sales_raw_data!C3335</f>
        <v>1593012.75</v>
      </c>
      <c r="C3335" t="str">
        <f>IF(B3335&gt;=Walmart_Sales_raw_data!$C$6437,"High","low")</f>
        <v>High</v>
      </c>
    </row>
    <row r="3336" spans="1:3">
      <c r="A3336" s="1">
        <v>24</v>
      </c>
      <c r="B3336" s="2">
        <f>Walmart_Sales_raw_data!C3336</f>
        <v>1663525.77</v>
      </c>
      <c r="C3336" t="str">
        <f>IF(B3336&gt;=Walmart_Sales_raw_data!$C$6437,"High","low")</f>
        <v>High</v>
      </c>
    </row>
    <row r="3337" spans="1:3">
      <c r="A3337" s="3">
        <v>24</v>
      </c>
      <c r="B3337" s="2">
        <f>Walmart_Sales_raw_data!C3337</f>
        <v>2386015.75</v>
      </c>
      <c r="C3337" t="str">
        <f>IF(B3337&gt;=Walmart_Sales_raw_data!$C$6437,"High","low")</f>
        <v>High</v>
      </c>
    </row>
    <row r="3338" spans="1:3">
      <c r="A3338" s="1">
        <v>24</v>
      </c>
      <c r="B3338" s="2">
        <f>Walmart_Sales_raw_data!C3338</f>
        <v>1208600.05</v>
      </c>
      <c r="C3338" t="str">
        <f>IF(B3338&gt;=Walmart_Sales_raw_data!$C$6437,"High","low")</f>
        <v>High</v>
      </c>
    </row>
    <row r="3339" spans="1:3">
      <c r="A3339" s="3">
        <v>24</v>
      </c>
      <c r="B3339" s="2">
        <f>Walmart_Sales_raw_data!C3339</f>
        <v>1178641.71</v>
      </c>
      <c r="C3339" t="str">
        <f>IF(B3339&gt;=Walmart_Sales_raw_data!$C$6437,"High","low")</f>
        <v>High</v>
      </c>
    </row>
    <row r="3340" spans="1:3">
      <c r="A3340" s="1">
        <v>24</v>
      </c>
      <c r="B3340" s="2">
        <f>Walmart_Sales_raw_data!C3340</f>
        <v>1167740.2</v>
      </c>
      <c r="C3340" t="str">
        <f>IF(B3340&gt;=Walmart_Sales_raw_data!$C$6437,"High","low")</f>
        <v>High</v>
      </c>
    </row>
    <row r="3341" spans="1:3">
      <c r="A3341" s="3">
        <v>24</v>
      </c>
      <c r="B3341" s="2">
        <f>Walmart_Sales_raw_data!C3341</f>
        <v>1107170.39</v>
      </c>
      <c r="C3341" t="str">
        <f>IF(B3341&gt;=Walmart_Sales_raw_data!$C$6437,"High","low")</f>
        <v>High</v>
      </c>
    </row>
    <row r="3342" spans="1:3">
      <c r="A3342" s="1">
        <v>24</v>
      </c>
      <c r="B3342" s="2">
        <f>Walmart_Sales_raw_data!C3342</f>
        <v>1126921.34</v>
      </c>
      <c r="C3342" t="str">
        <f>IF(B3342&gt;=Walmart_Sales_raw_data!$C$6437,"High","low")</f>
        <v>High</v>
      </c>
    </row>
    <row r="3343" spans="1:3">
      <c r="A3343" s="3">
        <v>24</v>
      </c>
      <c r="B3343" s="2">
        <f>Walmart_Sales_raw_data!C3343</f>
        <v>1225182.04</v>
      </c>
      <c r="C3343" t="str">
        <f>IF(B3343&gt;=Walmart_Sales_raw_data!$C$6437,"High","low")</f>
        <v>High</v>
      </c>
    </row>
    <row r="3344" spans="1:3">
      <c r="A3344" s="1">
        <v>24</v>
      </c>
      <c r="B3344" s="2">
        <f>Walmart_Sales_raw_data!C3344</f>
        <v>1341240.62</v>
      </c>
      <c r="C3344" t="str">
        <f>IF(B3344&gt;=Walmart_Sales_raw_data!$C$6437,"High","low")</f>
        <v>High</v>
      </c>
    </row>
    <row r="3345" spans="1:3">
      <c r="A3345" s="3">
        <v>24</v>
      </c>
      <c r="B3345" s="2">
        <f>Walmart_Sales_raw_data!C3345</f>
        <v>1360150.12</v>
      </c>
      <c r="C3345" t="str">
        <f>IF(B3345&gt;=Walmart_Sales_raw_data!$C$6437,"High","low")</f>
        <v>High</v>
      </c>
    </row>
    <row r="3346" spans="1:3">
      <c r="A3346" s="1">
        <v>24</v>
      </c>
      <c r="B3346" s="2">
        <f>Walmart_Sales_raw_data!C3346</f>
        <v>1235121.33</v>
      </c>
      <c r="C3346" t="str">
        <f>IF(B3346&gt;=Walmart_Sales_raw_data!$C$6437,"High","low")</f>
        <v>High</v>
      </c>
    </row>
    <row r="3347" spans="1:3">
      <c r="A3347" s="3">
        <v>24</v>
      </c>
      <c r="B3347" s="2">
        <f>Walmart_Sales_raw_data!C3347</f>
        <v>1346994.53</v>
      </c>
      <c r="C3347" t="str">
        <f>IF(B3347&gt;=Walmart_Sales_raw_data!$C$6437,"High","low")</f>
        <v>High</v>
      </c>
    </row>
    <row r="3348" spans="1:3">
      <c r="A3348" s="1">
        <v>24</v>
      </c>
      <c r="B3348" s="2">
        <f>Walmart_Sales_raw_data!C3348</f>
        <v>1253218.7</v>
      </c>
      <c r="C3348" t="str">
        <f>IF(B3348&gt;=Walmart_Sales_raw_data!$C$6437,"High","low")</f>
        <v>High</v>
      </c>
    </row>
    <row r="3349" spans="1:3">
      <c r="A3349" s="3">
        <v>24</v>
      </c>
      <c r="B3349" s="2">
        <f>Walmart_Sales_raw_data!C3349</f>
        <v>1168397.26</v>
      </c>
      <c r="C3349" t="str">
        <f>IF(B3349&gt;=Walmart_Sales_raw_data!$C$6437,"High","low")</f>
        <v>High</v>
      </c>
    </row>
    <row r="3350" spans="1:3">
      <c r="A3350" s="1">
        <v>24</v>
      </c>
      <c r="B3350" s="2">
        <f>Walmart_Sales_raw_data!C3350</f>
        <v>1158693.12</v>
      </c>
      <c r="C3350" t="str">
        <f>IF(B3350&gt;=Walmart_Sales_raw_data!$C$6437,"High","low")</f>
        <v>High</v>
      </c>
    </row>
    <row r="3351" spans="1:3">
      <c r="A3351" s="3">
        <v>24</v>
      </c>
      <c r="B3351" s="2">
        <f>Walmart_Sales_raw_data!C3351</f>
        <v>1163803.3</v>
      </c>
      <c r="C3351" t="str">
        <f>IF(B3351&gt;=Walmart_Sales_raw_data!$C$6437,"High","low")</f>
        <v>High</v>
      </c>
    </row>
    <row r="3352" spans="1:3">
      <c r="A3352" s="1">
        <v>24</v>
      </c>
      <c r="B3352" s="2">
        <f>Walmart_Sales_raw_data!C3352</f>
        <v>1273670.32</v>
      </c>
      <c r="C3352" t="str">
        <f>IF(B3352&gt;=Walmart_Sales_raw_data!$C$6437,"High","low")</f>
        <v>High</v>
      </c>
    </row>
    <row r="3353" spans="1:3">
      <c r="A3353" s="3">
        <v>24</v>
      </c>
      <c r="B3353" s="2">
        <f>Walmart_Sales_raw_data!C3353</f>
        <v>1245576.65</v>
      </c>
      <c r="C3353" t="str">
        <f>IF(B3353&gt;=Walmart_Sales_raw_data!$C$6437,"High","low")</f>
        <v>High</v>
      </c>
    </row>
    <row r="3354" spans="1:3">
      <c r="A3354" s="1">
        <v>24</v>
      </c>
      <c r="B3354" s="2">
        <f>Walmart_Sales_raw_data!C3354</f>
        <v>1372484.9</v>
      </c>
      <c r="C3354" t="str">
        <f>IF(B3354&gt;=Walmart_Sales_raw_data!$C$6437,"High","low")</f>
        <v>High</v>
      </c>
    </row>
    <row r="3355" spans="1:3">
      <c r="A3355" s="3">
        <v>24</v>
      </c>
      <c r="B3355" s="2">
        <f>Walmart_Sales_raw_data!C3355</f>
        <v>1197761.17</v>
      </c>
      <c r="C3355" t="str">
        <f>IF(B3355&gt;=Walmart_Sales_raw_data!$C$6437,"High","low")</f>
        <v>High</v>
      </c>
    </row>
    <row r="3356" spans="1:3">
      <c r="A3356" s="1">
        <v>24</v>
      </c>
      <c r="B3356" s="2">
        <f>Walmart_Sales_raw_data!C3356</f>
        <v>1339630.35</v>
      </c>
      <c r="C3356" t="str">
        <f>IF(B3356&gt;=Walmart_Sales_raw_data!$C$6437,"High","low")</f>
        <v>High</v>
      </c>
    </row>
    <row r="3357" spans="1:3">
      <c r="A3357" s="3">
        <v>24</v>
      </c>
      <c r="B3357" s="2">
        <f>Walmart_Sales_raw_data!C3357</f>
        <v>1311950.16</v>
      </c>
      <c r="C3357" t="str">
        <f>IF(B3357&gt;=Walmart_Sales_raw_data!$C$6437,"High","low")</f>
        <v>High</v>
      </c>
    </row>
    <row r="3358" spans="1:3">
      <c r="A3358" s="1">
        <v>24</v>
      </c>
      <c r="B3358" s="2">
        <f>Walmart_Sales_raw_data!C3358</f>
        <v>1234281.7</v>
      </c>
      <c r="C3358" t="str">
        <f>IF(B3358&gt;=Walmart_Sales_raw_data!$C$6437,"High","low")</f>
        <v>High</v>
      </c>
    </row>
    <row r="3359" spans="1:3">
      <c r="A3359" s="3">
        <v>24</v>
      </c>
      <c r="B3359" s="2">
        <f>Walmart_Sales_raw_data!C3359</f>
        <v>1311153.72</v>
      </c>
      <c r="C3359" t="str">
        <f>IF(B3359&gt;=Walmart_Sales_raw_data!$C$6437,"High","low")</f>
        <v>High</v>
      </c>
    </row>
    <row r="3360" spans="1:3">
      <c r="A3360" s="1">
        <v>24</v>
      </c>
      <c r="B3360" s="2">
        <f>Walmart_Sales_raw_data!C3360</f>
        <v>1554837.62</v>
      </c>
      <c r="C3360" t="str">
        <f>IF(B3360&gt;=Walmart_Sales_raw_data!$C$6437,"High","low")</f>
        <v>High</v>
      </c>
    </row>
    <row r="3361" spans="1:3">
      <c r="A3361" s="3">
        <v>24</v>
      </c>
      <c r="B3361" s="2">
        <f>Walmart_Sales_raw_data!C3361</f>
        <v>1373841.91</v>
      </c>
      <c r="C3361" t="str">
        <f>IF(B3361&gt;=Walmart_Sales_raw_data!$C$6437,"High","low")</f>
        <v>High</v>
      </c>
    </row>
    <row r="3362" spans="1:3">
      <c r="A3362" s="1">
        <v>24</v>
      </c>
      <c r="B3362" s="2">
        <f>Walmart_Sales_raw_data!C3362</f>
        <v>1320359.23</v>
      </c>
      <c r="C3362" t="str">
        <f>IF(B3362&gt;=Walmart_Sales_raw_data!$C$6437,"High","low")</f>
        <v>High</v>
      </c>
    </row>
    <row r="3363" spans="1:3">
      <c r="A3363" s="3">
        <v>24</v>
      </c>
      <c r="B3363" s="2">
        <f>Walmart_Sales_raw_data!C3363</f>
        <v>1304850.67</v>
      </c>
      <c r="C3363" t="str">
        <f>IF(B3363&gt;=Walmart_Sales_raw_data!$C$6437,"High","low")</f>
        <v>High</v>
      </c>
    </row>
    <row r="3364" spans="1:3">
      <c r="A3364" s="1">
        <v>24</v>
      </c>
      <c r="B3364" s="2">
        <f>Walmart_Sales_raw_data!C3364</f>
        <v>1445596.61</v>
      </c>
      <c r="C3364" t="str">
        <f>IF(B3364&gt;=Walmart_Sales_raw_data!$C$6437,"High","low")</f>
        <v>High</v>
      </c>
    </row>
    <row r="3365" spans="1:3">
      <c r="A3365" s="3">
        <v>24</v>
      </c>
      <c r="B3365" s="2">
        <f>Walmart_Sales_raw_data!C3365</f>
        <v>1567340.07</v>
      </c>
      <c r="C3365" t="str">
        <f>IF(B3365&gt;=Walmart_Sales_raw_data!$C$6437,"High","low")</f>
        <v>High</v>
      </c>
    </row>
    <row r="3366" spans="1:3">
      <c r="A3366" s="1">
        <v>24</v>
      </c>
      <c r="B3366" s="2">
        <f>Walmart_Sales_raw_data!C3366</f>
        <v>1356938.95</v>
      </c>
      <c r="C3366" t="str">
        <f>IF(B3366&gt;=Walmart_Sales_raw_data!$C$6437,"High","low")</f>
        <v>High</v>
      </c>
    </row>
    <row r="3367" spans="1:3">
      <c r="A3367" s="3">
        <v>24</v>
      </c>
      <c r="B3367" s="2">
        <f>Walmart_Sales_raw_data!C3367</f>
        <v>1357672.24</v>
      </c>
      <c r="C3367" t="str">
        <f>IF(B3367&gt;=Walmart_Sales_raw_data!$C$6437,"High","low")</f>
        <v>High</v>
      </c>
    </row>
    <row r="3368" spans="1:3">
      <c r="A3368" s="1">
        <v>24</v>
      </c>
      <c r="B3368" s="2">
        <f>Walmart_Sales_raw_data!C3368</f>
        <v>1310973.06</v>
      </c>
      <c r="C3368" t="str">
        <f>IF(B3368&gt;=Walmart_Sales_raw_data!$C$6437,"High","low")</f>
        <v>High</v>
      </c>
    </row>
    <row r="3369" spans="1:3">
      <c r="A3369" s="3">
        <v>24</v>
      </c>
      <c r="B3369" s="2">
        <f>Walmart_Sales_raw_data!C3369</f>
        <v>1417616.81</v>
      </c>
      <c r="C3369" t="str">
        <f>IF(B3369&gt;=Walmart_Sales_raw_data!$C$6437,"High","low")</f>
        <v>High</v>
      </c>
    </row>
    <row r="3370" spans="1:3">
      <c r="A3370" s="1">
        <v>24</v>
      </c>
      <c r="B3370" s="2">
        <f>Walmart_Sales_raw_data!C3370</f>
        <v>1402818.01</v>
      </c>
      <c r="C3370" t="str">
        <f>IF(B3370&gt;=Walmart_Sales_raw_data!$C$6437,"High","low")</f>
        <v>High</v>
      </c>
    </row>
    <row r="3371" spans="1:3">
      <c r="A3371" s="3">
        <v>24</v>
      </c>
      <c r="B3371" s="2">
        <f>Walmart_Sales_raw_data!C3371</f>
        <v>1352039.88</v>
      </c>
      <c r="C3371" t="str">
        <f>IF(B3371&gt;=Walmart_Sales_raw_data!$C$6437,"High","low")</f>
        <v>High</v>
      </c>
    </row>
    <row r="3372" spans="1:3">
      <c r="A3372" s="1">
        <v>24</v>
      </c>
      <c r="B3372" s="2">
        <f>Walmart_Sales_raw_data!C3372</f>
        <v>1402372.09</v>
      </c>
      <c r="C3372" t="str">
        <f>IF(B3372&gt;=Walmart_Sales_raw_data!$C$6437,"High","low")</f>
        <v>High</v>
      </c>
    </row>
    <row r="3373" spans="1:3">
      <c r="A3373" s="3">
        <v>24</v>
      </c>
      <c r="B3373" s="2">
        <f>Walmart_Sales_raw_data!C3373</f>
        <v>1196105.44</v>
      </c>
      <c r="C3373" t="str">
        <f>IF(B3373&gt;=Walmart_Sales_raw_data!$C$6437,"High","low")</f>
        <v>High</v>
      </c>
    </row>
    <row r="3374" spans="1:3">
      <c r="A3374" s="1">
        <v>24</v>
      </c>
      <c r="B3374" s="2">
        <f>Walmart_Sales_raw_data!C3374</f>
        <v>1527455.19</v>
      </c>
      <c r="C3374" t="str">
        <f>IF(B3374&gt;=Walmart_Sales_raw_data!$C$6437,"High","low")</f>
        <v>High</v>
      </c>
    </row>
    <row r="3375" spans="1:3">
      <c r="A3375" s="3">
        <v>24</v>
      </c>
      <c r="B3375" s="2">
        <f>Walmart_Sales_raw_data!C3375</f>
        <v>1227535.97</v>
      </c>
      <c r="C3375" t="str">
        <f>IF(B3375&gt;=Walmart_Sales_raw_data!$C$6437,"High","low")</f>
        <v>High</v>
      </c>
    </row>
    <row r="3376" spans="1:3">
      <c r="A3376" s="1">
        <v>24</v>
      </c>
      <c r="B3376" s="2">
        <f>Walmart_Sales_raw_data!C3376</f>
        <v>1232376.49</v>
      </c>
      <c r="C3376" t="str">
        <f>IF(B3376&gt;=Walmart_Sales_raw_data!$C$6437,"High","low")</f>
        <v>High</v>
      </c>
    </row>
    <row r="3377" spans="1:3">
      <c r="A3377" s="3">
        <v>24</v>
      </c>
      <c r="B3377" s="2">
        <f>Walmart_Sales_raw_data!C3377</f>
        <v>1246242.61</v>
      </c>
      <c r="C3377" t="str">
        <f>IF(B3377&gt;=Walmart_Sales_raw_data!$C$6437,"High","low")</f>
        <v>High</v>
      </c>
    </row>
    <row r="3378" spans="1:3">
      <c r="A3378" s="1">
        <v>24</v>
      </c>
      <c r="B3378" s="2">
        <f>Walmart_Sales_raw_data!C3378</f>
        <v>1405914.39</v>
      </c>
      <c r="C3378" t="str">
        <f>IF(B3378&gt;=Walmart_Sales_raw_data!$C$6437,"High","low")</f>
        <v>High</v>
      </c>
    </row>
    <row r="3379" spans="1:3">
      <c r="A3379" s="3">
        <v>24</v>
      </c>
      <c r="B3379" s="2">
        <f>Walmart_Sales_raw_data!C3379</f>
        <v>1333315.03</v>
      </c>
      <c r="C3379" t="str">
        <f>IF(B3379&gt;=Walmart_Sales_raw_data!$C$6437,"High","low")</f>
        <v>High</v>
      </c>
    </row>
    <row r="3380" spans="1:3">
      <c r="A3380" s="1">
        <v>24</v>
      </c>
      <c r="B3380" s="2">
        <f>Walmart_Sales_raw_data!C3380</f>
        <v>1283563.43</v>
      </c>
      <c r="C3380" t="str">
        <f>IF(B3380&gt;=Walmart_Sales_raw_data!$C$6437,"High","low")</f>
        <v>High</v>
      </c>
    </row>
    <row r="3381" spans="1:3">
      <c r="A3381" s="3">
        <v>24</v>
      </c>
      <c r="B3381" s="2">
        <f>Walmart_Sales_raw_data!C3381</f>
        <v>1307142.75</v>
      </c>
      <c r="C3381" t="str">
        <f>IF(B3381&gt;=Walmart_Sales_raw_data!$C$6437,"High","low")</f>
        <v>High</v>
      </c>
    </row>
    <row r="3382" spans="1:3">
      <c r="A3382" s="1">
        <v>24</v>
      </c>
      <c r="B3382" s="2">
        <f>Walmart_Sales_raw_data!C3382</f>
        <v>1385860.38</v>
      </c>
      <c r="C3382" t="str">
        <f>IF(B3382&gt;=Walmart_Sales_raw_data!$C$6437,"High","low")</f>
        <v>High</v>
      </c>
    </row>
    <row r="3383" spans="1:3">
      <c r="A3383" s="3">
        <v>24</v>
      </c>
      <c r="B3383" s="2">
        <f>Walmart_Sales_raw_data!C3383</f>
        <v>1425078.59</v>
      </c>
      <c r="C3383" t="str">
        <f>IF(B3383&gt;=Walmart_Sales_raw_data!$C$6437,"High","low")</f>
        <v>High</v>
      </c>
    </row>
    <row r="3384" spans="1:3">
      <c r="A3384" s="1">
        <v>24</v>
      </c>
      <c r="B3384" s="2">
        <f>Walmart_Sales_raw_data!C3384</f>
        <v>1297535.69</v>
      </c>
      <c r="C3384" t="str">
        <f>IF(B3384&gt;=Walmart_Sales_raw_data!$C$6437,"High","low")</f>
        <v>High</v>
      </c>
    </row>
    <row r="3385" spans="1:3">
      <c r="A3385" s="3">
        <v>24</v>
      </c>
      <c r="B3385" s="2">
        <f>Walmart_Sales_raw_data!C3385</f>
        <v>1761235.67</v>
      </c>
      <c r="C3385" t="str">
        <f>IF(B3385&gt;=Walmart_Sales_raw_data!$C$6437,"High","low")</f>
        <v>High</v>
      </c>
    </row>
    <row r="3386" spans="1:3">
      <c r="A3386" s="1">
        <v>24</v>
      </c>
      <c r="B3386" s="2">
        <f>Walmart_Sales_raw_data!C3386</f>
        <v>1335647.1</v>
      </c>
      <c r="C3386" t="str">
        <f>IF(B3386&gt;=Walmart_Sales_raw_data!$C$6437,"High","low")</f>
        <v>High</v>
      </c>
    </row>
    <row r="3387" spans="1:3">
      <c r="A3387" s="3">
        <v>24</v>
      </c>
      <c r="B3387" s="2">
        <f>Walmart_Sales_raw_data!C3387</f>
        <v>1529615.54</v>
      </c>
      <c r="C3387" t="str">
        <f>IF(B3387&gt;=Walmart_Sales_raw_data!$C$6437,"High","low")</f>
        <v>High</v>
      </c>
    </row>
    <row r="3388" spans="1:3">
      <c r="A3388" s="1">
        <v>24</v>
      </c>
      <c r="B3388" s="2">
        <f>Walmart_Sales_raw_data!C3388</f>
        <v>1624994.43</v>
      </c>
      <c r="C3388" t="str">
        <f>IF(B3388&gt;=Walmart_Sales_raw_data!$C$6437,"High","low")</f>
        <v>High</v>
      </c>
    </row>
    <row r="3389" spans="1:3">
      <c r="A3389" s="3">
        <v>24</v>
      </c>
      <c r="B3389" s="2">
        <f>Walmart_Sales_raw_data!C3389</f>
        <v>2168344.23</v>
      </c>
      <c r="C3389" t="str">
        <f>IF(B3389&gt;=Walmart_Sales_raw_data!$C$6437,"High","low")</f>
        <v>High</v>
      </c>
    </row>
    <row r="3390" spans="1:3">
      <c r="A3390" s="1">
        <v>24</v>
      </c>
      <c r="B3390" s="2">
        <f>Walmart_Sales_raw_data!C3390</f>
        <v>1363973.16</v>
      </c>
      <c r="C3390" t="str">
        <f>IF(B3390&gt;=Walmart_Sales_raw_data!$C$6437,"High","low")</f>
        <v>High</v>
      </c>
    </row>
    <row r="3391" spans="1:3">
      <c r="A3391" s="3">
        <v>24</v>
      </c>
      <c r="B3391" s="2">
        <f>Walmart_Sales_raw_data!C3391</f>
        <v>1251581.89</v>
      </c>
      <c r="C3391" t="str">
        <f>IF(B3391&gt;=Walmart_Sales_raw_data!$C$6437,"High","low")</f>
        <v>High</v>
      </c>
    </row>
    <row r="3392" spans="1:3">
      <c r="A3392" s="1">
        <v>24</v>
      </c>
      <c r="B3392" s="2">
        <f>Walmart_Sales_raw_data!C3392</f>
        <v>1155594.2</v>
      </c>
      <c r="C3392" t="str">
        <f>IF(B3392&gt;=Walmart_Sales_raw_data!$C$6437,"High","low")</f>
        <v>High</v>
      </c>
    </row>
    <row r="3393" spans="1:3">
      <c r="A3393" s="3">
        <v>24</v>
      </c>
      <c r="B3393" s="2">
        <f>Walmart_Sales_raw_data!C3393</f>
        <v>1151993.85</v>
      </c>
      <c r="C3393" t="str">
        <f>IF(B3393&gt;=Walmart_Sales_raw_data!$C$6437,"High","low")</f>
        <v>High</v>
      </c>
    </row>
    <row r="3394" spans="1:3">
      <c r="A3394" s="1">
        <v>24</v>
      </c>
      <c r="B3394" s="2">
        <f>Walmart_Sales_raw_data!C3394</f>
        <v>1057290.41</v>
      </c>
      <c r="C3394" t="str">
        <f>IF(B3394&gt;=Walmart_Sales_raw_data!$C$6437,"High","low")</f>
        <v>High</v>
      </c>
    </row>
    <row r="3395" spans="1:3">
      <c r="A3395" s="3">
        <v>24</v>
      </c>
      <c r="B3395" s="2">
        <f>Walmart_Sales_raw_data!C3395</f>
        <v>1249696.97</v>
      </c>
      <c r="C3395" t="str">
        <f>IF(B3395&gt;=Walmart_Sales_raw_data!$C$6437,"High","low")</f>
        <v>High</v>
      </c>
    </row>
    <row r="3396" spans="1:3">
      <c r="A3396" s="1">
        <v>24</v>
      </c>
      <c r="B3396" s="2">
        <f>Walmart_Sales_raw_data!C3396</f>
        <v>1403460.87</v>
      </c>
      <c r="C3396" t="str">
        <f>IF(B3396&gt;=Walmart_Sales_raw_data!$C$6437,"High","low")</f>
        <v>High</v>
      </c>
    </row>
    <row r="3397" spans="1:3">
      <c r="A3397" s="3">
        <v>24</v>
      </c>
      <c r="B3397" s="2">
        <f>Walmart_Sales_raw_data!C3397</f>
        <v>1326370.08</v>
      </c>
      <c r="C3397" t="str">
        <f>IF(B3397&gt;=Walmart_Sales_raw_data!$C$6437,"High","low")</f>
        <v>High</v>
      </c>
    </row>
    <row r="3398" spans="1:3">
      <c r="A3398" s="1">
        <v>24</v>
      </c>
      <c r="B3398" s="2">
        <f>Walmart_Sales_raw_data!C3398</f>
        <v>1303233.15</v>
      </c>
      <c r="C3398" t="str">
        <f>IF(B3398&gt;=Walmart_Sales_raw_data!$C$6437,"High","low")</f>
        <v>High</v>
      </c>
    </row>
    <row r="3399" spans="1:3">
      <c r="A3399" s="3">
        <v>24</v>
      </c>
      <c r="B3399" s="2">
        <f>Walmart_Sales_raw_data!C3399</f>
        <v>1213994.39</v>
      </c>
      <c r="C3399" t="str">
        <f>IF(B3399&gt;=Walmart_Sales_raw_data!$C$6437,"High","low")</f>
        <v>High</v>
      </c>
    </row>
    <row r="3400" spans="1:3">
      <c r="A3400" s="1">
        <v>24</v>
      </c>
      <c r="B3400" s="2">
        <f>Walmart_Sales_raw_data!C3400</f>
        <v>1325835.7</v>
      </c>
      <c r="C3400" t="str">
        <f>IF(B3400&gt;=Walmart_Sales_raw_data!$C$6437,"High","low")</f>
        <v>High</v>
      </c>
    </row>
    <row r="3401" spans="1:3">
      <c r="A3401" s="3">
        <v>24</v>
      </c>
      <c r="B3401" s="2">
        <f>Walmart_Sales_raw_data!C3401</f>
        <v>1239299.12</v>
      </c>
      <c r="C3401" t="str">
        <f>IF(B3401&gt;=Walmart_Sales_raw_data!$C$6437,"High","low")</f>
        <v>High</v>
      </c>
    </row>
    <row r="3402" spans="1:3">
      <c r="A3402" s="1">
        <v>24</v>
      </c>
      <c r="B3402" s="2">
        <f>Walmart_Sales_raw_data!C3402</f>
        <v>1221723.94</v>
      </c>
      <c r="C3402" t="str">
        <f>IF(B3402&gt;=Walmart_Sales_raw_data!$C$6437,"High","low")</f>
        <v>High</v>
      </c>
    </row>
    <row r="3403" spans="1:3">
      <c r="A3403" s="3">
        <v>24</v>
      </c>
      <c r="B3403" s="2">
        <f>Walmart_Sales_raw_data!C3403</f>
        <v>1230106.13</v>
      </c>
      <c r="C3403" t="str">
        <f>IF(B3403&gt;=Walmart_Sales_raw_data!$C$6437,"High","low")</f>
        <v>High</v>
      </c>
    </row>
    <row r="3404" spans="1:3">
      <c r="A3404" s="1">
        <v>24</v>
      </c>
      <c r="B3404" s="2">
        <f>Walmart_Sales_raw_data!C3404</f>
        <v>1524734.29</v>
      </c>
      <c r="C3404" t="str">
        <f>IF(B3404&gt;=Walmart_Sales_raw_data!$C$6437,"High","low")</f>
        <v>High</v>
      </c>
    </row>
    <row r="3405" spans="1:3">
      <c r="A3405" s="3">
        <v>24</v>
      </c>
      <c r="B3405" s="2">
        <f>Walmart_Sales_raw_data!C3405</f>
        <v>1285783.87</v>
      </c>
      <c r="C3405" t="str">
        <f>IF(B3405&gt;=Walmart_Sales_raw_data!$C$6437,"High","low")</f>
        <v>High</v>
      </c>
    </row>
    <row r="3406" spans="1:3">
      <c r="A3406" s="1">
        <v>24</v>
      </c>
      <c r="B3406" s="2">
        <f>Walmart_Sales_raw_data!C3406</f>
        <v>1208654.4</v>
      </c>
      <c r="C3406" t="str">
        <f>IF(B3406&gt;=Walmart_Sales_raw_data!$C$6437,"High","low")</f>
        <v>High</v>
      </c>
    </row>
    <row r="3407" spans="1:3">
      <c r="A3407" s="3">
        <v>24</v>
      </c>
      <c r="B3407" s="2">
        <f>Walmart_Sales_raw_data!C3407</f>
        <v>1194334.65</v>
      </c>
      <c r="C3407" t="str">
        <f>IF(B3407&gt;=Walmart_Sales_raw_data!$C$6437,"High","low")</f>
        <v>High</v>
      </c>
    </row>
    <row r="3408" spans="1:3">
      <c r="A3408" s="1">
        <v>24</v>
      </c>
      <c r="B3408" s="2">
        <f>Walmart_Sales_raw_data!C3408</f>
        <v>1306551.71</v>
      </c>
      <c r="C3408" t="str">
        <f>IF(B3408&gt;=Walmart_Sales_raw_data!$C$6437,"High","low")</f>
        <v>High</v>
      </c>
    </row>
    <row r="3409" spans="1:3">
      <c r="A3409" s="3">
        <v>24</v>
      </c>
      <c r="B3409" s="2">
        <f>Walmart_Sales_raw_data!C3409</f>
        <v>1355391.79</v>
      </c>
      <c r="C3409" t="str">
        <f>IF(B3409&gt;=Walmart_Sales_raw_data!$C$6437,"High","low")</f>
        <v>High</v>
      </c>
    </row>
    <row r="3410" spans="1:3">
      <c r="A3410" s="1">
        <v>24</v>
      </c>
      <c r="B3410" s="2">
        <f>Walmart_Sales_raw_data!C3410</f>
        <v>1298809.8</v>
      </c>
      <c r="C3410" t="str">
        <f>IF(B3410&gt;=Walmart_Sales_raw_data!$C$6437,"High","low")</f>
        <v>High</v>
      </c>
    </row>
    <row r="3411" spans="1:3">
      <c r="A3411" s="3">
        <v>24</v>
      </c>
      <c r="B3411" s="2">
        <f>Walmart_Sales_raw_data!C3411</f>
        <v>1407897.57</v>
      </c>
      <c r="C3411" t="str">
        <f>IF(B3411&gt;=Walmart_Sales_raw_data!$C$6437,"High","low")</f>
        <v>High</v>
      </c>
    </row>
    <row r="3412" spans="1:3">
      <c r="A3412" s="1">
        <v>24</v>
      </c>
      <c r="B3412" s="2">
        <f>Walmart_Sales_raw_data!C3412</f>
        <v>1467722.19</v>
      </c>
      <c r="C3412" t="str">
        <f>IF(B3412&gt;=Walmart_Sales_raw_data!$C$6437,"High","low")</f>
        <v>High</v>
      </c>
    </row>
    <row r="3413" spans="1:3">
      <c r="A3413" s="3">
        <v>24</v>
      </c>
      <c r="B3413" s="2">
        <f>Walmart_Sales_raw_data!C3413</f>
        <v>1406313.13</v>
      </c>
      <c r="C3413" t="str">
        <f>IF(B3413&gt;=Walmart_Sales_raw_data!$C$6437,"High","low")</f>
        <v>High</v>
      </c>
    </row>
    <row r="3414" spans="1:3">
      <c r="A3414" s="1">
        <v>24</v>
      </c>
      <c r="B3414" s="2">
        <f>Walmart_Sales_raw_data!C3414</f>
        <v>1364445.98</v>
      </c>
      <c r="C3414" t="str">
        <f>IF(B3414&gt;=Walmart_Sales_raw_data!$C$6437,"High","low")</f>
        <v>High</v>
      </c>
    </row>
    <row r="3415" spans="1:3">
      <c r="A3415" s="3">
        <v>24</v>
      </c>
      <c r="B3415" s="2">
        <f>Walmart_Sales_raw_data!C3415</f>
        <v>1434709.63</v>
      </c>
      <c r="C3415" t="str">
        <f>IF(B3415&gt;=Walmart_Sales_raw_data!$C$6437,"High","low")</f>
        <v>High</v>
      </c>
    </row>
    <row r="3416" spans="1:3">
      <c r="A3416" s="1">
        <v>24</v>
      </c>
      <c r="B3416" s="2">
        <f>Walmart_Sales_raw_data!C3416</f>
        <v>1428869.9</v>
      </c>
      <c r="C3416" t="str">
        <f>IF(B3416&gt;=Walmart_Sales_raw_data!$C$6437,"High","low")</f>
        <v>High</v>
      </c>
    </row>
    <row r="3417" spans="1:3">
      <c r="A3417" s="3">
        <v>24</v>
      </c>
      <c r="B3417" s="2">
        <f>Walmart_Sales_raw_data!C3417</f>
        <v>1645097.75</v>
      </c>
      <c r="C3417" t="str">
        <f>IF(B3417&gt;=Walmart_Sales_raw_data!$C$6437,"High","low")</f>
        <v>High</v>
      </c>
    </row>
    <row r="3418" spans="1:3">
      <c r="A3418" s="1">
        <v>24</v>
      </c>
      <c r="B3418" s="2">
        <f>Walmart_Sales_raw_data!C3418</f>
        <v>1405475.78</v>
      </c>
      <c r="C3418" t="str">
        <f>IF(B3418&gt;=Walmart_Sales_raw_data!$C$6437,"High","low")</f>
        <v>High</v>
      </c>
    </row>
    <row r="3419" spans="1:3">
      <c r="A3419" s="3">
        <v>24</v>
      </c>
      <c r="B3419" s="2">
        <f>Walmart_Sales_raw_data!C3419</f>
        <v>1394299</v>
      </c>
      <c r="C3419" t="str">
        <f>IF(B3419&gt;=Walmart_Sales_raw_data!$C$6437,"High","low")</f>
        <v>High</v>
      </c>
    </row>
    <row r="3420" spans="1:3">
      <c r="A3420" s="1">
        <v>24</v>
      </c>
      <c r="B3420" s="2">
        <f>Walmart_Sales_raw_data!C3420</f>
        <v>1307339.14</v>
      </c>
      <c r="C3420" t="str">
        <f>IF(B3420&gt;=Walmart_Sales_raw_data!$C$6437,"High","low")</f>
        <v>High</v>
      </c>
    </row>
    <row r="3421" spans="1:3">
      <c r="A3421" s="3">
        <v>24</v>
      </c>
      <c r="B3421" s="2">
        <f>Walmart_Sales_raw_data!C3421</f>
        <v>1440374.13</v>
      </c>
      <c r="C3421" t="str">
        <f>IF(B3421&gt;=Walmart_Sales_raw_data!$C$6437,"High","low")</f>
        <v>High</v>
      </c>
    </row>
    <row r="3422" spans="1:3">
      <c r="A3422" s="1">
        <v>24</v>
      </c>
      <c r="B3422" s="2">
        <f>Walmart_Sales_raw_data!C3422</f>
        <v>1497054.81</v>
      </c>
      <c r="C3422" t="str">
        <f>IF(B3422&gt;=Walmart_Sales_raw_data!$C$6437,"High","low")</f>
        <v>High</v>
      </c>
    </row>
    <row r="3423" spans="1:3">
      <c r="A3423" s="3">
        <v>24</v>
      </c>
      <c r="B3423" s="2">
        <f>Walmart_Sales_raw_data!C3423</f>
        <v>1397970.54</v>
      </c>
      <c r="C3423" t="str">
        <f>IF(B3423&gt;=Walmart_Sales_raw_data!$C$6437,"High","low")</f>
        <v>High</v>
      </c>
    </row>
    <row r="3424" spans="1:3">
      <c r="A3424" s="1">
        <v>24</v>
      </c>
      <c r="B3424" s="2">
        <f>Walmart_Sales_raw_data!C3424</f>
        <v>1303726.54</v>
      </c>
      <c r="C3424" t="str">
        <f>IF(B3424&gt;=Walmart_Sales_raw_data!$C$6437,"High","low")</f>
        <v>High</v>
      </c>
    </row>
    <row r="3425" spans="1:3">
      <c r="A3425" s="3">
        <v>24</v>
      </c>
      <c r="B3425" s="2">
        <f>Walmart_Sales_raw_data!C3425</f>
        <v>1344558.92</v>
      </c>
      <c r="C3425" t="str">
        <f>IF(B3425&gt;=Walmart_Sales_raw_data!$C$6437,"High","low")</f>
        <v>High</v>
      </c>
    </row>
    <row r="3426" spans="1:3">
      <c r="A3426" s="1">
        <v>24</v>
      </c>
      <c r="B3426" s="2">
        <f>Walmart_Sales_raw_data!C3426</f>
        <v>1477134.75</v>
      </c>
      <c r="C3426" t="str">
        <f>IF(B3426&gt;=Walmart_Sales_raw_data!$C$6437,"High","low")</f>
        <v>High</v>
      </c>
    </row>
    <row r="3427" spans="1:3">
      <c r="A3427" s="3">
        <v>24</v>
      </c>
      <c r="B3427" s="2">
        <f>Walmart_Sales_raw_data!C3427</f>
        <v>1242909.53</v>
      </c>
      <c r="C3427" t="str">
        <f>IF(B3427&gt;=Walmart_Sales_raw_data!$C$6437,"High","low")</f>
        <v>High</v>
      </c>
    </row>
    <row r="3428" spans="1:3">
      <c r="A3428" s="1">
        <v>24</v>
      </c>
      <c r="B3428" s="2">
        <f>Walmart_Sales_raw_data!C3428</f>
        <v>1261158.47</v>
      </c>
      <c r="C3428" t="str">
        <f>IF(B3428&gt;=Walmart_Sales_raw_data!$C$6437,"High","low")</f>
        <v>High</v>
      </c>
    </row>
    <row r="3429" spans="1:3">
      <c r="A3429" s="3">
        <v>24</v>
      </c>
      <c r="B3429" s="2">
        <f>Walmart_Sales_raw_data!C3429</f>
        <v>1259278.36</v>
      </c>
      <c r="C3429" t="str">
        <f>IF(B3429&gt;=Walmart_Sales_raw_data!$C$6437,"High","low")</f>
        <v>High</v>
      </c>
    </row>
    <row r="3430" spans="1:3">
      <c r="A3430" s="1">
        <v>24</v>
      </c>
      <c r="B3430" s="2">
        <f>Walmart_Sales_raw_data!C3430</f>
        <v>1416720.54</v>
      </c>
      <c r="C3430" t="str">
        <f>IF(B3430&gt;=Walmart_Sales_raw_data!$C$6437,"High","low")</f>
        <v>High</v>
      </c>
    </row>
    <row r="3431" spans="1:3">
      <c r="A3431" s="3">
        <v>24</v>
      </c>
      <c r="B3431" s="2">
        <f>Walmart_Sales_raw_data!C3431</f>
        <v>1416301.17</v>
      </c>
      <c r="C3431" t="str">
        <f>IF(B3431&gt;=Walmart_Sales_raw_data!$C$6437,"High","low")</f>
        <v>High</v>
      </c>
    </row>
    <row r="3432" spans="1:3">
      <c r="A3432" s="1">
        <v>24</v>
      </c>
      <c r="B3432" s="2">
        <f>Walmart_Sales_raw_data!C3432</f>
        <v>1255414.84</v>
      </c>
      <c r="C3432" t="str">
        <f>IF(B3432&gt;=Walmart_Sales_raw_data!$C$6437,"High","low")</f>
        <v>High</v>
      </c>
    </row>
    <row r="3433" spans="1:3">
      <c r="A3433" s="3">
        <v>24</v>
      </c>
      <c r="B3433" s="2">
        <f>Walmart_Sales_raw_data!C3433</f>
        <v>1307182.29</v>
      </c>
      <c r="C3433" t="str">
        <f>IF(B3433&gt;=Walmart_Sales_raw_data!$C$6437,"High","low")</f>
        <v>High</v>
      </c>
    </row>
    <row r="3434" spans="1:3">
      <c r="A3434" s="1">
        <v>25</v>
      </c>
      <c r="B3434" s="2">
        <f>Walmart_Sales_raw_data!C3434</f>
        <v>677231.63</v>
      </c>
      <c r="C3434" t="str">
        <f>IF(B3434&gt;=Walmart_Sales_raw_data!$C$6437,"High","low")</f>
        <v>low</v>
      </c>
    </row>
    <row r="3435" spans="1:3">
      <c r="A3435" s="3">
        <v>25</v>
      </c>
      <c r="B3435" s="2">
        <f>Walmart_Sales_raw_data!C3435</f>
        <v>583364.02</v>
      </c>
      <c r="C3435" t="str">
        <f>IF(B3435&gt;=Walmart_Sales_raw_data!$C$6437,"High","low")</f>
        <v>low</v>
      </c>
    </row>
    <row r="3436" spans="1:3">
      <c r="A3436" s="1">
        <v>25</v>
      </c>
      <c r="B3436" s="2">
        <f>Walmart_Sales_raw_data!C3436</f>
        <v>676260.67</v>
      </c>
      <c r="C3436" t="str">
        <f>IF(B3436&gt;=Walmart_Sales_raw_data!$C$6437,"High","low")</f>
        <v>low</v>
      </c>
    </row>
    <row r="3437" spans="1:3">
      <c r="A3437" s="3">
        <v>25</v>
      </c>
      <c r="B3437" s="2">
        <f>Walmart_Sales_raw_data!C3437</f>
        <v>628516.57</v>
      </c>
      <c r="C3437" t="str">
        <f>IF(B3437&gt;=Walmart_Sales_raw_data!$C$6437,"High","low")</f>
        <v>low</v>
      </c>
    </row>
    <row r="3438" spans="1:3">
      <c r="A3438" s="1">
        <v>25</v>
      </c>
      <c r="B3438" s="2">
        <f>Walmart_Sales_raw_data!C3438</f>
        <v>665750.06</v>
      </c>
      <c r="C3438" t="str">
        <f>IF(B3438&gt;=Walmart_Sales_raw_data!$C$6437,"High","low")</f>
        <v>low</v>
      </c>
    </row>
    <row r="3439" spans="1:3">
      <c r="A3439" s="3">
        <v>25</v>
      </c>
      <c r="B3439" s="2">
        <f>Walmart_Sales_raw_data!C3439</f>
        <v>660619.99</v>
      </c>
      <c r="C3439" t="str">
        <f>IF(B3439&gt;=Walmart_Sales_raw_data!$C$6437,"High","low")</f>
        <v>low</v>
      </c>
    </row>
    <row r="3440" spans="1:3">
      <c r="A3440" s="1">
        <v>25</v>
      </c>
      <c r="B3440" s="2">
        <f>Walmart_Sales_raw_data!C3440</f>
        <v>659795.84</v>
      </c>
      <c r="C3440" t="str">
        <f>IF(B3440&gt;=Walmart_Sales_raw_data!$C$6437,"High","low")</f>
        <v>low</v>
      </c>
    </row>
    <row r="3441" spans="1:3">
      <c r="A3441" s="3">
        <v>25</v>
      </c>
      <c r="B3441" s="2">
        <f>Walmart_Sales_raw_data!C3441</f>
        <v>696687.6</v>
      </c>
      <c r="C3441" t="str">
        <f>IF(B3441&gt;=Walmart_Sales_raw_data!$C$6437,"High","low")</f>
        <v>low</v>
      </c>
    </row>
    <row r="3442" spans="1:3">
      <c r="A3442" s="1">
        <v>25</v>
      </c>
      <c r="B3442" s="2">
        <f>Walmart_Sales_raw_data!C3442</f>
        <v>822486.37</v>
      </c>
      <c r="C3442" t="str">
        <f>IF(B3442&gt;=Walmart_Sales_raw_data!$C$6437,"High","low")</f>
        <v>low</v>
      </c>
    </row>
    <row r="3443" spans="1:3">
      <c r="A3443" s="3">
        <v>25</v>
      </c>
      <c r="B3443" s="2">
        <f>Walmart_Sales_raw_data!C3443</f>
        <v>712647.97</v>
      </c>
      <c r="C3443" t="str">
        <f>IF(B3443&gt;=Walmart_Sales_raw_data!$C$6437,"High","low")</f>
        <v>low</v>
      </c>
    </row>
    <row r="3444" spans="1:3">
      <c r="A3444" s="1">
        <v>25</v>
      </c>
      <c r="B3444" s="2">
        <f>Walmart_Sales_raw_data!C3444</f>
        <v>715311.6</v>
      </c>
      <c r="C3444" t="str">
        <f>IF(B3444&gt;=Walmart_Sales_raw_data!$C$6437,"High","low")</f>
        <v>low</v>
      </c>
    </row>
    <row r="3445" spans="1:3">
      <c r="A3445" s="3">
        <v>25</v>
      </c>
      <c r="B3445" s="2">
        <f>Walmart_Sales_raw_data!C3445</f>
        <v>694531.72</v>
      </c>
      <c r="C3445" t="str">
        <f>IF(B3445&gt;=Walmart_Sales_raw_data!$C$6437,"High","low")</f>
        <v>low</v>
      </c>
    </row>
    <row r="3446" spans="1:3">
      <c r="A3446" s="1">
        <v>25</v>
      </c>
      <c r="B3446" s="2">
        <f>Walmart_Sales_raw_data!C3446</f>
        <v>706924.02</v>
      </c>
      <c r="C3446" t="str">
        <f>IF(B3446&gt;=Walmart_Sales_raw_data!$C$6437,"High","low")</f>
        <v>low</v>
      </c>
    </row>
    <row r="3447" spans="1:3">
      <c r="A3447" s="3">
        <v>25</v>
      </c>
      <c r="B3447" s="2">
        <f>Walmart_Sales_raw_data!C3447</f>
        <v>724468.97</v>
      </c>
      <c r="C3447" t="str">
        <f>IF(B3447&gt;=Walmart_Sales_raw_data!$C$6437,"High","low")</f>
        <v>low</v>
      </c>
    </row>
    <row r="3448" spans="1:3">
      <c r="A3448" s="1">
        <v>25</v>
      </c>
      <c r="B3448" s="2">
        <f>Walmart_Sales_raw_data!C3448</f>
        <v>698073.95</v>
      </c>
      <c r="C3448" t="str">
        <f>IF(B3448&gt;=Walmart_Sales_raw_data!$C$6437,"High","low")</f>
        <v>low</v>
      </c>
    </row>
    <row r="3449" spans="1:3">
      <c r="A3449" s="3">
        <v>25</v>
      </c>
      <c r="B3449" s="2">
        <f>Walmart_Sales_raw_data!C3449</f>
        <v>704113.22</v>
      </c>
      <c r="C3449" t="str">
        <f>IF(B3449&gt;=Walmart_Sales_raw_data!$C$6437,"High","low")</f>
        <v>low</v>
      </c>
    </row>
    <row r="3450" spans="1:3">
      <c r="A3450" s="1">
        <v>25</v>
      </c>
      <c r="B3450" s="2">
        <f>Walmart_Sales_raw_data!C3450</f>
        <v>792442.54</v>
      </c>
      <c r="C3450" t="str">
        <f>IF(B3450&gt;=Walmart_Sales_raw_data!$C$6437,"High","low")</f>
        <v>low</v>
      </c>
    </row>
    <row r="3451" spans="1:3">
      <c r="A3451" s="3">
        <v>25</v>
      </c>
      <c r="B3451" s="2">
        <f>Walmart_Sales_raw_data!C3451</f>
        <v>764155.44</v>
      </c>
      <c r="C3451" t="str">
        <f>IF(B3451&gt;=Walmart_Sales_raw_data!$C$6437,"High","low")</f>
        <v>low</v>
      </c>
    </row>
    <row r="3452" spans="1:3">
      <c r="A3452" s="1">
        <v>25</v>
      </c>
      <c r="B3452" s="2">
        <f>Walmart_Sales_raw_data!C3452</f>
        <v>737163.2</v>
      </c>
      <c r="C3452" t="str">
        <f>IF(B3452&gt;=Walmart_Sales_raw_data!$C$6437,"High","low")</f>
        <v>low</v>
      </c>
    </row>
    <row r="3453" spans="1:3">
      <c r="A3453" s="3">
        <v>25</v>
      </c>
      <c r="B3453" s="2">
        <f>Walmart_Sales_raw_data!C3453</f>
        <v>780444.94</v>
      </c>
      <c r="C3453" t="str">
        <f>IF(B3453&gt;=Walmart_Sales_raw_data!$C$6437,"High","low")</f>
        <v>low</v>
      </c>
    </row>
    <row r="3454" spans="1:3">
      <c r="A3454" s="1">
        <v>25</v>
      </c>
      <c r="B3454" s="2">
        <f>Walmart_Sales_raw_data!C3454</f>
        <v>737569.14</v>
      </c>
      <c r="C3454" t="str">
        <f>IF(B3454&gt;=Walmart_Sales_raw_data!$C$6437,"High","low")</f>
        <v>low</v>
      </c>
    </row>
    <row r="3455" spans="1:3">
      <c r="A3455" s="3">
        <v>25</v>
      </c>
      <c r="B3455" s="2">
        <f>Walmart_Sales_raw_data!C3455</f>
        <v>759407.87</v>
      </c>
      <c r="C3455" t="str">
        <f>IF(B3455&gt;=Walmart_Sales_raw_data!$C$6437,"High","low")</f>
        <v>low</v>
      </c>
    </row>
    <row r="3456" spans="1:3">
      <c r="A3456" s="1">
        <v>25</v>
      </c>
      <c r="B3456" s="2">
        <f>Walmart_Sales_raw_data!C3456</f>
        <v>719591.13</v>
      </c>
      <c r="C3456" t="str">
        <f>IF(B3456&gt;=Walmart_Sales_raw_data!$C$6437,"High","low")</f>
        <v>low</v>
      </c>
    </row>
    <row r="3457" spans="1:3">
      <c r="A3457" s="3">
        <v>25</v>
      </c>
      <c r="B3457" s="2">
        <f>Walmart_Sales_raw_data!C3457</f>
        <v>726997.84</v>
      </c>
      <c r="C3457" t="str">
        <f>IF(B3457&gt;=Walmart_Sales_raw_data!$C$6437,"High","low")</f>
        <v>low</v>
      </c>
    </row>
    <row r="3458" spans="1:3">
      <c r="A3458" s="1">
        <v>25</v>
      </c>
      <c r="B3458" s="2">
        <f>Walmart_Sales_raw_data!C3458</f>
        <v>665290.93</v>
      </c>
      <c r="C3458" t="str">
        <f>IF(B3458&gt;=Walmart_Sales_raw_data!$C$6437,"High","low")</f>
        <v>low</v>
      </c>
    </row>
    <row r="3459" spans="1:3">
      <c r="A3459" s="3">
        <v>25</v>
      </c>
      <c r="B3459" s="2">
        <f>Walmart_Sales_raw_data!C3459</f>
        <v>682124.34</v>
      </c>
      <c r="C3459" t="str">
        <f>IF(B3459&gt;=Walmart_Sales_raw_data!$C$6437,"High","low")</f>
        <v>low</v>
      </c>
    </row>
    <row r="3460" spans="1:3">
      <c r="A3460" s="1">
        <v>25</v>
      </c>
      <c r="B3460" s="2">
        <f>Walmart_Sales_raw_data!C3460</f>
        <v>699464.43</v>
      </c>
      <c r="C3460" t="str">
        <f>IF(B3460&gt;=Walmart_Sales_raw_data!$C$6437,"High","low")</f>
        <v>low</v>
      </c>
    </row>
    <row r="3461" spans="1:3">
      <c r="A3461" s="3">
        <v>25</v>
      </c>
      <c r="B3461" s="2">
        <f>Walmart_Sales_raw_data!C3461</f>
        <v>686072.39</v>
      </c>
      <c r="C3461" t="str">
        <f>IF(B3461&gt;=Walmart_Sales_raw_data!$C$6437,"High","low")</f>
        <v>low</v>
      </c>
    </row>
    <row r="3462" spans="1:3">
      <c r="A3462" s="1">
        <v>25</v>
      </c>
      <c r="B3462" s="2">
        <f>Walmart_Sales_raw_data!C3462</f>
        <v>724499.81</v>
      </c>
      <c r="C3462" t="str">
        <f>IF(B3462&gt;=Walmart_Sales_raw_data!$C$6437,"High","low")</f>
        <v>low</v>
      </c>
    </row>
    <row r="3463" spans="1:3">
      <c r="A3463" s="3">
        <v>25</v>
      </c>
      <c r="B3463" s="2">
        <f>Walmart_Sales_raw_data!C3463</f>
        <v>711461.95</v>
      </c>
      <c r="C3463" t="str">
        <f>IF(B3463&gt;=Walmart_Sales_raw_data!$C$6437,"High","low")</f>
        <v>low</v>
      </c>
    </row>
    <row r="3464" spans="1:3">
      <c r="A3464" s="1">
        <v>25</v>
      </c>
      <c r="B3464" s="2">
        <f>Walmart_Sales_raw_data!C3464</f>
        <v>685700.08</v>
      </c>
      <c r="C3464" t="str">
        <f>IF(B3464&gt;=Walmart_Sales_raw_data!$C$6437,"High","low")</f>
        <v>low</v>
      </c>
    </row>
    <row r="3465" spans="1:3">
      <c r="A3465" s="3">
        <v>25</v>
      </c>
      <c r="B3465" s="2">
        <f>Walmart_Sales_raw_data!C3465</f>
        <v>655811.95</v>
      </c>
      <c r="C3465" t="str">
        <f>IF(B3465&gt;=Walmart_Sales_raw_data!$C$6437,"High","low")</f>
        <v>low</v>
      </c>
    </row>
    <row r="3466" spans="1:3">
      <c r="A3466" s="1">
        <v>25</v>
      </c>
      <c r="B3466" s="2">
        <f>Walmart_Sales_raw_data!C3466</f>
        <v>628989.88</v>
      </c>
      <c r="C3466" t="str">
        <f>IF(B3466&gt;=Walmart_Sales_raw_data!$C$6437,"High","low")</f>
        <v>low</v>
      </c>
    </row>
    <row r="3467" spans="1:3">
      <c r="A3467" s="3">
        <v>25</v>
      </c>
      <c r="B3467" s="2">
        <f>Walmart_Sales_raw_data!C3467</f>
        <v>607819.33</v>
      </c>
      <c r="C3467" t="str">
        <f>IF(B3467&gt;=Walmart_Sales_raw_data!$C$6437,"High","low")</f>
        <v>low</v>
      </c>
    </row>
    <row r="3468" spans="1:3">
      <c r="A3468" s="1">
        <v>25</v>
      </c>
      <c r="B3468" s="2">
        <f>Walmart_Sales_raw_data!C3468</f>
        <v>658640.14</v>
      </c>
      <c r="C3468" t="str">
        <f>IF(B3468&gt;=Walmart_Sales_raw_data!$C$6437,"High","low")</f>
        <v>low</v>
      </c>
    </row>
    <row r="3469" spans="1:3">
      <c r="A3469" s="3">
        <v>25</v>
      </c>
      <c r="B3469" s="2">
        <f>Walmart_Sales_raw_data!C3469</f>
        <v>674283.86</v>
      </c>
      <c r="C3469" t="str">
        <f>IF(B3469&gt;=Walmart_Sales_raw_data!$C$6437,"High","low")</f>
        <v>low</v>
      </c>
    </row>
    <row r="3470" spans="1:3">
      <c r="A3470" s="1">
        <v>25</v>
      </c>
      <c r="B3470" s="2">
        <f>Walmart_Sales_raw_data!C3470</f>
        <v>616094.72</v>
      </c>
      <c r="C3470" t="str">
        <f>IF(B3470&gt;=Walmart_Sales_raw_data!$C$6437,"High","low")</f>
        <v>low</v>
      </c>
    </row>
    <row r="3471" spans="1:3">
      <c r="A3471" s="3">
        <v>25</v>
      </c>
      <c r="B3471" s="2">
        <f>Walmart_Sales_raw_data!C3471</f>
        <v>661644.19</v>
      </c>
      <c r="C3471" t="str">
        <f>IF(B3471&gt;=Walmart_Sales_raw_data!$C$6437,"High","low")</f>
        <v>low</v>
      </c>
    </row>
    <row r="3472" spans="1:3">
      <c r="A3472" s="1">
        <v>25</v>
      </c>
      <c r="B3472" s="2">
        <f>Walmart_Sales_raw_data!C3472</f>
        <v>674458.03</v>
      </c>
      <c r="C3472" t="str">
        <f>IF(B3472&gt;=Walmart_Sales_raw_data!$C$6437,"High","low")</f>
        <v>low</v>
      </c>
    </row>
    <row r="3473" spans="1:3">
      <c r="A3473" s="3">
        <v>25</v>
      </c>
      <c r="B3473" s="2">
        <f>Walmart_Sales_raw_data!C3473</f>
        <v>696314.53</v>
      </c>
      <c r="C3473" t="str">
        <f>IF(B3473&gt;=Walmart_Sales_raw_data!$C$6437,"High","low")</f>
        <v>low</v>
      </c>
    </row>
    <row r="3474" spans="1:3">
      <c r="A3474" s="1">
        <v>25</v>
      </c>
      <c r="B3474" s="2">
        <f>Walmart_Sales_raw_data!C3474</f>
        <v>713250.08</v>
      </c>
      <c r="C3474" t="str">
        <f>IF(B3474&gt;=Walmart_Sales_raw_data!$C$6437,"High","low")</f>
        <v>low</v>
      </c>
    </row>
    <row r="3475" spans="1:3">
      <c r="A3475" s="3">
        <v>25</v>
      </c>
      <c r="B3475" s="2">
        <f>Walmart_Sales_raw_data!C3475</f>
        <v>718056.73</v>
      </c>
      <c r="C3475" t="str">
        <f>IF(B3475&gt;=Walmart_Sales_raw_data!$C$6437,"High","low")</f>
        <v>low</v>
      </c>
    </row>
    <row r="3476" spans="1:3">
      <c r="A3476" s="1">
        <v>25</v>
      </c>
      <c r="B3476" s="2">
        <f>Walmart_Sales_raw_data!C3476</f>
        <v>1115240.61</v>
      </c>
      <c r="C3476" t="str">
        <f>IF(B3476&gt;=Walmart_Sales_raw_data!$C$6437,"High","low")</f>
        <v>High</v>
      </c>
    </row>
    <row r="3477" spans="1:3">
      <c r="A3477" s="3">
        <v>25</v>
      </c>
      <c r="B3477" s="2">
        <f>Walmart_Sales_raw_data!C3477</f>
        <v>885572.96</v>
      </c>
      <c r="C3477" t="str">
        <f>IF(B3477&gt;=Walmart_Sales_raw_data!$C$6437,"High","low")</f>
        <v>low</v>
      </c>
    </row>
    <row r="3478" spans="1:3">
      <c r="A3478" s="1">
        <v>25</v>
      </c>
      <c r="B3478" s="2">
        <f>Walmart_Sales_raw_data!C3478</f>
        <v>964729.18</v>
      </c>
      <c r="C3478" t="str">
        <f>IF(B3478&gt;=Walmart_Sales_raw_data!$C$6437,"High","low")</f>
        <v>low</v>
      </c>
    </row>
    <row r="3479" spans="1:3">
      <c r="A3479" s="3">
        <v>25</v>
      </c>
      <c r="B3479" s="2">
        <f>Walmart_Sales_raw_data!C3479</f>
        <v>1047707.59</v>
      </c>
      <c r="C3479" t="str">
        <f>IF(B3479&gt;=Walmart_Sales_raw_data!$C$6437,"High","low")</f>
        <v>High</v>
      </c>
    </row>
    <row r="3480" spans="1:3">
      <c r="A3480" s="1">
        <v>25</v>
      </c>
      <c r="B3480" s="2">
        <f>Walmart_Sales_raw_data!C3480</f>
        <v>1295391.19</v>
      </c>
      <c r="C3480" t="str">
        <f>IF(B3480&gt;=Walmart_Sales_raw_data!$C$6437,"High","low")</f>
        <v>High</v>
      </c>
    </row>
    <row r="3481" spans="1:3">
      <c r="A3481" s="3">
        <v>25</v>
      </c>
      <c r="B3481" s="2">
        <f>Walmart_Sales_raw_data!C3481</f>
        <v>623092.54</v>
      </c>
      <c r="C3481" t="str">
        <f>IF(B3481&gt;=Walmart_Sales_raw_data!$C$6437,"High","low")</f>
        <v>low</v>
      </c>
    </row>
    <row r="3482" spans="1:3">
      <c r="A3482" s="1">
        <v>25</v>
      </c>
      <c r="B3482" s="2">
        <f>Walmart_Sales_raw_data!C3482</f>
        <v>558794.63</v>
      </c>
      <c r="C3482" t="str">
        <f>IF(B3482&gt;=Walmart_Sales_raw_data!$C$6437,"High","low")</f>
        <v>low</v>
      </c>
    </row>
    <row r="3483" spans="1:3">
      <c r="A3483" s="3">
        <v>25</v>
      </c>
      <c r="B3483" s="2">
        <f>Walmart_Sales_raw_data!C3483</f>
        <v>572360.83</v>
      </c>
      <c r="C3483" t="str">
        <f>IF(B3483&gt;=Walmart_Sales_raw_data!$C$6437,"High","low")</f>
        <v>low</v>
      </c>
    </row>
    <row r="3484" spans="1:3">
      <c r="A3484" s="1">
        <v>25</v>
      </c>
      <c r="B3484" s="2">
        <f>Walmart_Sales_raw_data!C3484</f>
        <v>568093.57</v>
      </c>
      <c r="C3484" t="str">
        <f>IF(B3484&gt;=Walmart_Sales_raw_data!$C$6437,"High","low")</f>
        <v>low</v>
      </c>
    </row>
    <row r="3485" spans="1:3">
      <c r="A3485" s="3">
        <v>25</v>
      </c>
      <c r="B3485" s="2">
        <f>Walmart_Sales_raw_data!C3485</f>
        <v>600448.69</v>
      </c>
      <c r="C3485" t="str">
        <f>IF(B3485&gt;=Walmart_Sales_raw_data!$C$6437,"High","low")</f>
        <v>low</v>
      </c>
    </row>
    <row r="3486" spans="1:3">
      <c r="A3486" s="1">
        <v>25</v>
      </c>
      <c r="B3486" s="2">
        <f>Walmart_Sales_raw_data!C3486</f>
        <v>639830.45</v>
      </c>
      <c r="C3486" t="str">
        <f>IF(B3486&gt;=Walmart_Sales_raw_data!$C$6437,"High","low")</f>
        <v>low</v>
      </c>
    </row>
    <row r="3487" spans="1:3">
      <c r="A3487" s="3">
        <v>25</v>
      </c>
      <c r="B3487" s="2">
        <f>Walmart_Sales_raw_data!C3487</f>
        <v>615666.78</v>
      </c>
      <c r="C3487" t="str">
        <f>IF(B3487&gt;=Walmart_Sales_raw_data!$C$6437,"High","low")</f>
        <v>low</v>
      </c>
    </row>
    <row r="3488" spans="1:3">
      <c r="A3488" s="1">
        <v>25</v>
      </c>
      <c r="B3488" s="2">
        <f>Walmart_Sales_raw_data!C3488</f>
        <v>634637.03</v>
      </c>
      <c r="C3488" t="str">
        <f>IF(B3488&gt;=Walmart_Sales_raw_data!$C$6437,"High","low")</f>
        <v>low</v>
      </c>
    </row>
    <row r="3489" spans="1:3">
      <c r="A3489" s="3">
        <v>25</v>
      </c>
      <c r="B3489" s="2">
        <f>Walmart_Sales_raw_data!C3489</f>
        <v>570816.34</v>
      </c>
      <c r="C3489" t="str">
        <f>IF(B3489&gt;=Walmart_Sales_raw_data!$C$6437,"High","low")</f>
        <v>low</v>
      </c>
    </row>
    <row r="3490" spans="1:3">
      <c r="A3490" s="1">
        <v>25</v>
      </c>
      <c r="B3490" s="2">
        <f>Walmart_Sales_raw_data!C3490</f>
        <v>640912.18</v>
      </c>
      <c r="C3490" t="str">
        <f>IF(B3490&gt;=Walmart_Sales_raw_data!$C$6437,"High","low")</f>
        <v>low</v>
      </c>
    </row>
    <row r="3491" spans="1:3">
      <c r="A3491" s="3">
        <v>25</v>
      </c>
      <c r="B3491" s="2">
        <f>Walmart_Sales_raw_data!C3491</f>
        <v>599828.39</v>
      </c>
      <c r="C3491" t="str">
        <f>IF(B3491&gt;=Walmart_Sales_raw_data!$C$6437,"High","low")</f>
        <v>low</v>
      </c>
    </row>
    <row r="3492" spans="1:3">
      <c r="A3492" s="1">
        <v>25</v>
      </c>
      <c r="B3492" s="2">
        <f>Walmart_Sales_raw_data!C3492</f>
        <v>603393.64</v>
      </c>
      <c r="C3492" t="str">
        <f>IF(B3492&gt;=Walmart_Sales_raw_data!$C$6437,"High","low")</f>
        <v>low</v>
      </c>
    </row>
    <row r="3493" spans="1:3">
      <c r="A3493" s="3">
        <v>25</v>
      </c>
      <c r="B3493" s="2">
        <f>Walmart_Sales_raw_data!C3493</f>
        <v>616324.24</v>
      </c>
      <c r="C3493" t="str">
        <f>IF(B3493&gt;=Walmart_Sales_raw_data!$C$6437,"High","low")</f>
        <v>low</v>
      </c>
    </row>
    <row r="3494" spans="1:3">
      <c r="A3494" s="1">
        <v>25</v>
      </c>
      <c r="B3494" s="2">
        <f>Walmart_Sales_raw_data!C3494</f>
        <v>618377.79</v>
      </c>
      <c r="C3494" t="str">
        <f>IF(B3494&gt;=Walmart_Sales_raw_data!$C$6437,"High","low")</f>
        <v>low</v>
      </c>
    </row>
    <row r="3495" spans="1:3">
      <c r="A3495" s="3">
        <v>25</v>
      </c>
      <c r="B3495" s="2">
        <f>Walmart_Sales_raw_data!C3495</f>
        <v>648606.13</v>
      </c>
      <c r="C3495" t="str">
        <f>IF(B3495&gt;=Walmart_Sales_raw_data!$C$6437,"High","low")</f>
        <v>low</v>
      </c>
    </row>
    <row r="3496" spans="1:3">
      <c r="A3496" s="1">
        <v>25</v>
      </c>
      <c r="B3496" s="2">
        <f>Walmart_Sales_raw_data!C3496</f>
        <v>674562.45</v>
      </c>
      <c r="C3496" t="str">
        <f>IF(B3496&gt;=Walmart_Sales_raw_data!$C$6437,"High","low")</f>
        <v>low</v>
      </c>
    </row>
    <row r="3497" spans="1:3">
      <c r="A3497" s="3">
        <v>25</v>
      </c>
      <c r="B3497" s="2">
        <f>Walmart_Sales_raw_data!C3497</f>
        <v>756588.42</v>
      </c>
      <c r="C3497" t="str">
        <f>IF(B3497&gt;=Walmart_Sales_raw_data!$C$6437,"High","low")</f>
        <v>low</v>
      </c>
    </row>
    <row r="3498" spans="1:3">
      <c r="A3498" s="1">
        <v>25</v>
      </c>
      <c r="B3498" s="2">
        <f>Walmart_Sales_raw_data!C3498</f>
        <v>649245</v>
      </c>
      <c r="C3498" t="str">
        <f>IF(B3498&gt;=Walmart_Sales_raw_data!$C$6437,"High","low")</f>
        <v>low</v>
      </c>
    </row>
    <row r="3499" spans="1:3">
      <c r="A3499" s="3">
        <v>25</v>
      </c>
      <c r="B3499" s="2">
        <f>Walmart_Sales_raw_data!C3499</f>
        <v>659446.55</v>
      </c>
      <c r="C3499" t="str">
        <f>IF(B3499&gt;=Walmart_Sales_raw_data!$C$6437,"High","low")</f>
        <v>low</v>
      </c>
    </row>
    <row r="3500" spans="1:3">
      <c r="A3500" s="1">
        <v>25</v>
      </c>
      <c r="B3500" s="2">
        <f>Walmart_Sales_raw_data!C3500</f>
        <v>684783.15</v>
      </c>
      <c r="C3500" t="str">
        <f>IF(B3500&gt;=Walmart_Sales_raw_data!$C$6437,"High","low")</f>
        <v>low</v>
      </c>
    </row>
    <row r="3501" spans="1:3">
      <c r="A3501" s="3">
        <v>25</v>
      </c>
      <c r="B3501" s="2">
        <f>Walmart_Sales_raw_data!C3501</f>
        <v>677971.33</v>
      </c>
      <c r="C3501" t="str">
        <f>IF(B3501&gt;=Walmart_Sales_raw_data!$C$6437,"High","low")</f>
        <v>low</v>
      </c>
    </row>
    <row r="3502" spans="1:3">
      <c r="A3502" s="1">
        <v>25</v>
      </c>
      <c r="B3502" s="2">
        <f>Walmart_Sales_raw_data!C3502</f>
        <v>718373.94</v>
      </c>
      <c r="C3502" t="str">
        <f>IF(B3502&gt;=Walmart_Sales_raw_data!$C$6437,"High","low")</f>
        <v>low</v>
      </c>
    </row>
    <row r="3503" spans="1:3">
      <c r="A3503" s="3">
        <v>25</v>
      </c>
      <c r="B3503" s="2">
        <f>Walmart_Sales_raw_data!C3503</f>
        <v>737551.74</v>
      </c>
      <c r="C3503" t="str">
        <f>IF(B3503&gt;=Walmart_Sales_raw_data!$C$6437,"High","low")</f>
        <v>low</v>
      </c>
    </row>
    <row r="3504" spans="1:3">
      <c r="A3504" s="1">
        <v>25</v>
      </c>
      <c r="B3504" s="2">
        <f>Walmart_Sales_raw_data!C3504</f>
        <v>740259.63</v>
      </c>
      <c r="C3504" t="str">
        <f>IF(B3504&gt;=Walmart_Sales_raw_data!$C$6437,"High","low")</f>
        <v>low</v>
      </c>
    </row>
    <row r="3505" spans="1:3">
      <c r="A3505" s="3">
        <v>25</v>
      </c>
      <c r="B3505" s="2">
        <f>Walmart_Sales_raw_data!C3505</f>
        <v>717373.43</v>
      </c>
      <c r="C3505" t="str">
        <f>IF(B3505&gt;=Walmart_Sales_raw_data!$C$6437,"High","low")</f>
        <v>low</v>
      </c>
    </row>
    <row r="3506" spans="1:3">
      <c r="A3506" s="1">
        <v>25</v>
      </c>
      <c r="B3506" s="2">
        <f>Walmart_Sales_raw_data!C3506</f>
        <v>699270.1</v>
      </c>
      <c r="C3506" t="str">
        <f>IF(B3506&gt;=Walmart_Sales_raw_data!$C$6437,"High","low")</f>
        <v>low</v>
      </c>
    </row>
    <row r="3507" spans="1:3">
      <c r="A3507" s="3">
        <v>25</v>
      </c>
      <c r="B3507" s="2">
        <f>Walmart_Sales_raw_data!C3507</f>
        <v>706206.86</v>
      </c>
      <c r="C3507" t="str">
        <f>IF(B3507&gt;=Walmart_Sales_raw_data!$C$6437,"High","low")</f>
        <v>low</v>
      </c>
    </row>
    <row r="3508" spans="1:3">
      <c r="A3508" s="1">
        <v>25</v>
      </c>
      <c r="B3508" s="2">
        <f>Walmart_Sales_raw_data!C3508</f>
        <v>698529.64</v>
      </c>
      <c r="C3508" t="str">
        <f>IF(B3508&gt;=Walmart_Sales_raw_data!$C$6437,"High","low")</f>
        <v>low</v>
      </c>
    </row>
    <row r="3509" spans="1:3">
      <c r="A3509" s="3">
        <v>25</v>
      </c>
      <c r="B3509" s="2">
        <f>Walmart_Sales_raw_data!C3509</f>
        <v>680510.23</v>
      </c>
      <c r="C3509" t="str">
        <f>IF(B3509&gt;=Walmart_Sales_raw_data!$C$6437,"High","low")</f>
        <v>low</v>
      </c>
    </row>
    <row r="3510" spans="1:3">
      <c r="A3510" s="1">
        <v>25</v>
      </c>
      <c r="B3510" s="2">
        <f>Walmart_Sales_raw_data!C3510</f>
        <v>670854.96</v>
      </c>
      <c r="C3510" t="str">
        <f>IF(B3510&gt;=Walmart_Sales_raw_data!$C$6437,"High","low")</f>
        <v>low</v>
      </c>
    </row>
    <row r="3511" spans="1:3">
      <c r="A3511" s="3">
        <v>25</v>
      </c>
      <c r="B3511" s="2">
        <f>Walmart_Sales_raw_data!C3511</f>
        <v>668390.82</v>
      </c>
      <c r="C3511" t="str">
        <f>IF(B3511&gt;=Walmart_Sales_raw_data!$C$6437,"High","low")</f>
        <v>low</v>
      </c>
    </row>
    <row r="3512" spans="1:3">
      <c r="A3512" s="1">
        <v>25</v>
      </c>
      <c r="B3512" s="2">
        <f>Walmart_Sales_raw_data!C3512</f>
        <v>679706.01</v>
      </c>
      <c r="C3512" t="str">
        <f>IF(B3512&gt;=Walmart_Sales_raw_data!$C$6437,"High","low")</f>
        <v>low</v>
      </c>
    </row>
    <row r="3513" spans="1:3">
      <c r="A3513" s="3">
        <v>25</v>
      </c>
      <c r="B3513" s="2">
        <f>Walmart_Sales_raw_data!C3513</f>
        <v>667130.48</v>
      </c>
      <c r="C3513" t="str">
        <f>IF(B3513&gt;=Walmart_Sales_raw_data!$C$6437,"High","low")</f>
        <v>low</v>
      </c>
    </row>
    <row r="3514" spans="1:3">
      <c r="A3514" s="1">
        <v>25</v>
      </c>
      <c r="B3514" s="2">
        <f>Walmart_Sales_raw_data!C3514</f>
        <v>688958.75</v>
      </c>
      <c r="C3514" t="str">
        <f>IF(B3514&gt;=Walmart_Sales_raw_data!$C$6437,"High","low")</f>
        <v>low</v>
      </c>
    </row>
    <row r="3515" spans="1:3">
      <c r="A3515" s="3">
        <v>25</v>
      </c>
      <c r="B3515" s="2">
        <f>Walmart_Sales_raw_data!C3515</f>
        <v>726422.55</v>
      </c>
      <c r="C3515" t="str">
        <f>IF(B3515&gt;=Walmart_Sales_raw_data!$C$6437,"High","low")</f>
        <v>low</v>
      </c>
    </row>
    <row r="3516" spans="1:3">
      <c r="A3516" s="1">
        <v>25</v>
      </c>
      <c r="B3516" s="2">
        <f>Walmart_Sales_raw_data!C3516</f>
        <v>699779</v>
      </c>
      <c r="C3516" t="str">
        <f>IF(B3516&gt;=Walmart_Sales_raw_data!$C$6437,"High","low")</f>
        <v>low</v>
      </c>
    </row>
    <row r="3517" spans="1:3">
      <c r="A3517" s="3">
        <v>25</v>
      </c>
      <c r="B3517" s="2">
        <f>Walmart_Sales_raw_data!C3517</f>
        <v>673248.48</v>
      </c>
      <c r="C3517" t="str">
        <f>IF(B3517&gt;=Walmart_Sales_raw_data!$C$6437,"High","low")</f>
        <v>low</v>
      </c>
    </row>
    <row r="3518" spans="1:3">
      <c r="A3518" s="1">
        <v>25</v>
      </c>
      <c r="B3518" s="2">
        <f>Walmart_Sales_raw_data!C3518</f>
        <v>628720.46</v>
      </c>
      <c r="C3518" t="str">
        <f>IF(B3518&gt;=Walmart_Sales_raw_data!$C$6437,"High","low")</f>
        <v>low</v>
      </c>
    </row>
    <row r="3519" spans="1:3">
      <c r="A3519" s="3">
        <v>25</v>
      </c>
      <c r="B3519" s="2">
        <f>Walmart_Sales_raw_data!C3519</f>
        <v>620885.93</v>
      </c>
      <c r="C3519" t="str">
        <f>IF(B3519&gt;=Walmart_Sales_raw_data!$C$6437,"High","low")</f>
        <v>low</v>
      </c>
    </row>
    <row r="3520" spans="1:3">
      <c r="A3520" s="1">
        <v>25</v>
      </c>
      <c r="B3520" s="2">
        <f>Walmart_Sales_raw_data!C3520</f>
        <v>639160.24</v>
      </c>
      <c r="C3520" t="str">
        <f>IF(B3520&gt;=Walmart_Sales_raw_data!$C$6437,"High","low")</f>
        <v>low</v>
      </c>
    </row>
    <row r="3521" spans="1:3">
      <c r="A3521" s="3">
        <v>25</v>
      </c>
      <c r="B3521" s="2">
        <f>Walmart_Sales_raw_data!C3521</f>
        <v>671522.87</v>
      </c>
      <c r="C3521" t="str">
        <f>IF(B3521&gt;=Walmart_Sales_raw_data!$C$6437,"High","low")</f>
        <v>low</v>
      </c>
    </row>
    <row r="3522" spans="1:3">
      <c r="A3522" s="1">
        <v>25</v>
      </c>
      <c r="B3522" s="2">
        <f>Walmart_Sales_raw_data!C3522</f>
        <v>646915.47</v>
      </c>
      <c r="C3522" t="str">
        <f>IF(B3522&gt;=Walmart_Sales_raw_data!$C$6437,"High","low")</f>
        <v>low</v>
      </c>
    </row>
    <row r="3523" spans="1:3">
      <c r="A3523" s="3">
        <v>25</v>
      </c>
      <c r="B3523" s="2">
        <f>Walmart_Sales_raw_data!C3523</f>
        <v>690675.5</v>
      </c>
      <c r="C3523" t="str">
        <f>IF(B3523&gt;=Walmart_Sales_raw_data!$C$6437,"High","low")</f>
        <v>low</v>
      </c>
    </row>
    <row r="3524" spans="1:3">
      <c r="A3524" s="1">
        <v>25</v>
      </c>
      <c r="B3524" s="2">
        <f>Walmart_Sales_raw_data!C3524</f>
        <v>724443.97</v>
      </c>
      <c r="C3524" t="str">
        <f>IF(B3524&gt;=Walmart_Sales_raw_data!$C$6437,"High","low")</f>
        <v>low</v>
      </c>
    </row>
    <row r="3525" spans="1:3">
      <c r="A3525" s="3">
        <v>25</v>
      </c>
      <c r="B3525" s="2">
        <f>Walmart_Sales_raw_data!C3525</f>
        <v>718393.61</v>
      </c>
      <c r="C3525" t="str">
        <f>IF(B3525&gt;=Walmart_Sales_raw_data!$C$6437,"High","low")</f>
        <v>low</v>
      </c>
    </row>
    <row r="3526" spans="1:3">
      <c r="A3526" s="1">
        <v>25</v>
      </c>
      <c r="B3526" s="2">
        <f>Walmart_Sales_raw_data!C3526</f>
        <v>719235.07</v>
      </c>
      <c r="C3526" t="str">
        <f>IF(B3526&gt;=Walmart_Sales_raw_data!$C$6437,"High","low")</f>
        <v>low</v>
      </c>
    </row>
    <row r="3527" spans="1:3">
      <c r="A3527" s="3">
        <v>25</v>
      </c>
      <c r="B3527" s="2">
        <f>Walmart_Sales_raw_data!C3527</f>
        <v>728525.6</v>
      </c>
      <c r="C3527" t="str">
        <f>IF(B3527&gt;=Walmart_Sales_raw_data!$C$6437,"High","low")</f>
        <v>low</v>
      </c>
    </row>
    <row r="3528" spans="1:3">
      <c r="A3528" s="1">
        <v>25</v>
      </c>
      <c r="B3528" s="2">
        <f>Walmart_Sales_raw_data!C3528</f>
        <v>1116211.39</v>
      </c>
      <c r="C3528" t="str">
        <f>IF(B3528&gt;=Walmart_Sales_raw_data!$C$6437,"High","low")</f>
        <v>High</v>
      </c>
    </row>
    <row r="3529" spans="1:3">
      <c r="A3529" s="3">
        <v>25</v>
      </c>
      <c r="B3529" s="2">
        <f>Walmart_Sales_raw_data!C3529</f>
        <v>878314.57</v>
      </c>
      <c r="C3529" t="str">
        <f>IF(B3529&gt;=Walmart_Sales_raw_data!$C$6437,"High","low")</f>
        <v>low</v>
      </c>
    </row>
    <row r="3530" spans="1:3">
      <c r="A3530" s="1">
        <v>25</v>
      </c>
      <c r="B3530" s="2">
        <f>Walmart_Sales_raw_data!C3530</f>
        <v>916446.02</v>
      </c>
      <c r="C3530" t="str">
        <f>IF(B3530&gt;=Walmart_Sales_raw_data!$C$6437,"High","low")</f>
        <v>low</v>
      </c>
    </row>
    <row r="3531" spans="1:3">
      <c r="A3531" s="3">
        <v>25</v>
      </c>
      <c r="B3531" s="2">
        <f>Walmart_Sales_raw_data!C3531</f>
        <v>997502.47</v>
      </c>
      <c r="C3531" t="str">
        <f>IF(B3531&gt;=Walmart_Sales_raw_data!$C$6437,"High","low")</f>
        <v>low</v>
      </c>
    </row>
    <row r="3532" spans="1:3">
      <c r="A3532" s="1">
        <v>25</v>
      </c>
      <c r="B3532" s="2">
        <f>Walmart_Sales_raw_data!C3532</f>
        <v>1290532.97</v>
      </c>
      <c r="C3532" t="str">
        <f>IF(B3532&gt;=Walmart_Sales_raw_data!$C$6437,"High","low")</f>
        <v>High</v>
      </c>
    </row>
    <row r="3533" spans="1:3">
      <c r="A3533" s="3">
        <v>25</v>
      </c>
      <c r="B3533" s="2">
        <f>Walmart_Sales_raw_data!C3533</f>
        <v>683665.37</v>
      </c>
      <c r="C3533" t="str">
        <f>IF(B3533&gt;=Walmart_Sales_raw_data!$C$6437,"High","low")</f>
        <v>low</v>
      </c>
    </row>
    <row r="3534" spans="1:3">
      <c r="A3534" s="1">
        <v>25</v>
      </c>
      <c r="B3534" s="2">
        <f>Walmart_Sales_raw_data!C3534</f>
        <v>636419.12</v>
      </c>
      <c r="C3534" t="str">
        <f>IF(B3534&gt;=Walmart_Sales_raw_data!$C$6437,"High","low")</f>
        <v>low</v>
      </c>
    </row>
    <row r="3535" spans="1:3">
      <c r="A3535" s="3">
        <v>25</v>
      </c>
      <c r="B3535" s="2">
        <f>Walmart_Sales_raw_data!C3535</f>
        <v>614764.31</v>
      </c>
      <c r="C3535" t="str">
        <f>IF(B3535&gt;=Walmart_Sales_raw_data!$C$6437,"High","low")</f>
        <v>low</v>
      </c>
    </row>
    <row r="3536" spans="1:3">
      <c r="A3536" s="1">
        <v>25</v>
      </c>
      <c r="B3536" s="2">
        <f>Walmart_Sales_raw_data!C3536</f>
        <v>594744.89</v>
      </c>
      <c r="C3536" t="str">
        <f>IF(B3536&gt;=Walmart_Sales_raw_data!$C$6437,"High","low")</f>
        <v>low</v>
      </c>
    </row>
    <row r="3537" spans="1:3">
      <c r="A3537" s="3">
        <v>25</v>
      </c>
      <c r="B3537" s="2">
        <f>Walmart_Sales_raw_data!C3537</f>
        <v>589554.29</v>
      </c>
      <c r="C3537" t="str">
        <f>IF(B3537&gt;=Walmart_Sales_raw_data!$C$6437,"High","low")</f>
        <v>low</v>
      </c>
    </row>
    <row r="3538" spans="1:3">
      <c r="A3538" s="1">
        <v>25</v>
      </c>
      <c r="B3538" s="2">
        <f>Walmart_Sales_raw_data!C3538</f>
        <v>642776.4</v>
      </c>
      <c r="C3538" t="str">
        <f>IF(B3538&gt;=Walmart_Sales_raw_data!$C$6437,"High","low")</f>
        <v>low</v>
      </c>
    </row>
    <row r="3539" spans="1:3">
      <c r="A3539" s="3">
        <v>25</v>
      </c>
      <c r="B3539" s="2">
        <f>Walmart_Sales_raw_data!C3539</f>
        <v>658984.38</v>
      </c>
      <c r="C3539" t="str">
        <f>IF(B3539&gt;=Walmart_Sales_raw_data!$C$6437,"High","low")</f>
        <v>low</v>
      </c>
    </row>
    <row r="3540" spans="1:3">
      <c r="A3540" s="1">
        <v>25</v>
      </c>
      <c r="B3540" s="2">
        <f>Walmart_Sales_raw_data!C3540</f>
        <v>654088.02</v>
      </c>
      <c r="C3540" t="str">
        <f>IF(B3540&gt;=Walmart_Sales_raw_data!$C$6437,"High","low")</f>
        <v>low</v>
      </c>
    </row>
    <row r="3541" spans="1:3">
      <c r="A3541" s="3">
        <v>25</v>
      </c>
      <c r="B3541" s="2">
        <f>Walmart_Sales_raw_data!C3541</f>
        <v>613501.05</v>
      </c>
      <c r="C3541" t="str">
        <f>IF(B3541&gt;=Walmart_Sales_raw_data!$C$6437,"High","low")</f>
        <v>low</v>
      </c>
    </row>
    <row r="3542" spans="1:3">
      <c r="A3542" s="1">
        <v>25</v>
      </c>
      <c r="B3542" s="2">
        <f>Walmart_Sales_raw_data!C3542</f>
        <v>643155.89</v>
      </c>
      <c r="C3542" t="str">
        <f>IF(B3542&gt;=Walmart_Sales_raw_data!$C$6437,"High","low")</f>
        <v>low</v>
      </c>
    </row>
    <row r="3543" spans="1:3">
      <c r="A3543" s="3">
        <v>25</v>
      </c>
      <c r="B3543" s="2">
        <f>Walmart_Sales_raw_data!C3543</f>
        <v>643711.53</v>
      </c>
      <c r="C3543" t="str">
        <f>IF(B3543&gt;=Walmart_Sales_raw_data!$C$6437,"High","low")</f>
        <v>low</v>
      </c>
    </row>
    <row r="3544" spans="1:3">
      <c r="A3544" s="1">
        <v>25</v>
      </c>
      <c r="B3544" s="2">
        <f>Walmart_Sales_raw_data!C3544</f>
        <v>638204.27</v>
      </c>
      <c r="C3544" t="str">
        <f>IF(B3544&gt;=Walmart_Sales_raw_data!$C$6437,"High","low")</f>
        <v>low</v>
      </c>
    </row>
    <row r="3545" spans="1:3">
      <c r="A3545" s="3">
        <v>25</v>
      </c>
      <c r="B3545" s="2">
        <f>Walmart_Sales_raw_data!C3545</f>
        <v>672831.78</v>
      </c>
      <c r="C3545" t="str">
        <f>IF(B3545&gt;=Walmart_Sales_raw_data!$C$6437,"High","low")</f>
        <v>low</v>
      </c>
    </row>
    <row r="3546" spans="1:3">
      <c r="A3546" s="1">
        <v>25</v>
      </c>
      <c r="B3546" s="2">
        <f>Walmart_Sales_raw_data!C3546</f>
        <v>684348.92</v>
      </c>
      <c r="C3546" t="str">
        <f>IF(B3546&gt;=Walmart_Sales_raw_data!$C$6437,"High","low")</f>
        <v>low</v>
      </c>
    </row>
    <row r="3547" spans="1:3">
      <c r="A3547" s="3">
        <v>25</v>
      </c>
      <c r="B3547" s="2">
        <f>Walmart_Sales_raw_data!C3547</f>
        <v>791356.9</v>
      </c>
      <c r="C3547" t="str">
        <f>IF(B3547&gt;=Walmart_Sales_raw_data!$C$6437,"High","low")</f>
        <v>low</v>
      </c>
    </row>
    <row r="3548" spans="1:3">
      <c r="A3548" s="1">
        <v>25</v>
      </c>
      <c r="B3548" s="2">
        <f>Walmart_Sales_raw_data!C3548</f>
        <v>658691.56</v>
      </c>
      <c r="C3548" t="str">
        <f>IF(B3548&gt;=Walmart_Sales_raw_data!$C$6437,"High","low")</f>
        <v>low</v>
      </c>
    </row>
    <row r="3549" spans="1:3">
      <c r="A3549" s="3">
        <v>25</v>
      </c>
      <c r="B3549" s="2">
        <f>Walmart_Sales_raw_data!C3549</f>
        <v>661566.48</v>
      </c>
      <c r="C3549" t="str">
        <f>IF(B3549&gt;=Walmart_Sales_raw_data!$C$6437,"High","low")</f>
        <v>low</v>
      </c>
    </row>
    <row r="3550" spans="1:3">
      <c r="A3550" s="1">
        <v>25</v>
      </c>
      <c r="B3550" s="2">
        <f>Walmart_Sales_raw_data!C3550</f>
        <v>655157.32</v>
      </c>
      <c r="C3550" t="str">
        <f>IF(B3550&gt;=Walmart_Sales_raw_data!$C$6437,"High","low")</f>
        <v>low</v>
      </c>
    </row>
    <row r="3551" spans="1:3">
      <c r="A3551" s="3">
        <v>25</v>
      </c>
      <c r="B3551" s="2">
        <f>Walmart_Sales_raw_data!C3551</f>
        <v>696421.72</v>
      </c>
      <c r="C3551" t="str">
        <f>IF(B3551&gt;=Walmart_Sales_raw_data!$C$6437,"High","low")</f>
        <v>low</v>
      </c>
    </row>
    <row r="3552" spans="1:3">
      <c r="A3552" s="1">
        <v>25</v>
      </c>
      <c r="B3552" s="2">
        <f>Walmart_Sales_raw_data!C3552</f>
        <v>739866.16</v>
      </c>
      <c r="C3552" t="str">
        <f>IF(B3552&gt;=Walmart_Sales_raw_data!$C$6437,"High","low")</f>
        <v>low</v>
      </c>
    </row>
    <row r="3553" spans="1:3">
      <c r="A3553" s="3">
        <v>25</v>
      </c>
      <c r="B3553" s="2">
        <f>Walmart_Sales_raw_data!C3553</f>
        <v>717207.19</v>
      </c>
      <c r="C3553" t="str">
        <f>IF(B3553&gt;=Walmart_Sales_raw_data!$C$6437,"High","low")</f>
        <v>low</v>
      </c>
    </row>
    <row r="3554" spans="1:3">
      <c r="A3554" s="1">
        <v>25</v>
      </c>
      <c r="B3554" s="2">
        <f>Walmart_Sales_raw_data!C3554</f>
        <v>783371.02</v>
      </c>
      <c r="C3554" t="str">
        <f>IF(B3554&gt;=Walmart_Sales_raw_data!$C$6437,"High","low")</f>
        <v>low</v>
      </c>
    </row>
    <row r="3555" spans="1:3">
      <c r="A3555" s="3">
        <v>25</v>
      </c>
      <c r="B3555" s="2">
        <f>Walmart_Sales_raw_data!C3555</f>
        <v>694765.95</v>
      </c>
      <c r="C3555" t="str">
        <f>IF(B3555&gt;=Walmart_Sales_raw_data!$C$6437,"High","low")</f>
        <v>low</v>
      </c>
    </row>
    <row r="3556" spans="1:3">
      <c r="A3556" s="1">
        <v>25</v>
      </c>
      <c r="B3556" s="2">
        <f>Walmart_Sales_raw_data!C3556</f>
        <v>730254.19</v>
      </c>
      <c r="C3556" t="str">
        <f>IF(B3556&gt;=Walmart_Sales_raw_data!$C$6437,"High","low")</f>
        <v>low</v>
      </c>
    </row>
    <row r="3557" spans="1:3">
      <c r="A3557" s="3">
        <v>25</v>
      </c>
      <c r="B3557" s="2">
        <f>Walmart_Sales_raw_data!C3557</f>
        <v>753860.89</v>
      </c>
      <c r="C3557" t="str">
        <f>IF(B3557&gt;=Walmart_Sales_raw_data!$C$6437,"High","low")</f>
        <v>low</v>
      </c>
    </row>
    <row r="3558" spans="1:3">
      <c r="A3558" s="1">
        <v>25</v>
      </c>
      <c r="B3558" s="2">
        <f>Walmart_Sales_raw_data!C3558</f>
        <v>721601.9</v>
      </c>
      <c r="C3558" t="str">
        <f>IF(B3558&gt;=Walmart_Sales_raw_data!$C$6437,"High","low")</f>
        <v>low</v>
      </c>
    </row>
    <row r="3559" spans="1:3">
      <c r="A3559" s="3">
        <v>25</v>
      </c>
      <c r="B3559" s="2">
        <f>Walmart_Sales_raw_data!C3559</f>
        <v>718890.81</v>
      </c>
      <c r="C3559" t="str">
        <f>IF(B3559&gt;=Walmart_Sales_raw_data!$C$6437,"High","low")</f>
        <v>low</v>
      </c>
    </row>
    <row r="3560" spans="1:3">
      <c r="A3560" s="1">
        <v>25</v>
      </c>
      <c r="B3560" s="2">
        <f>Walmart_Sales_raw_data!C3560</f>
        <v>753385.55</v>
      </c>
      <c r="C3560" t="str">
        <f>IF(B3560&gt;=Walmart_Sales_raw_data!$C$6437,"High","low")</f>
        <v>low</v>
      </c>
    </row>
    <row r="3561" spans="1:3">
      <c r="A3561" s="3">
        <v>25</v>
      </c>
      <c r="B3561" s="2">
        <f>Walmart_Sales_raw_data!C3561</f>
        <v>714093.95</v>
      </c>
      <c r="C3561" t="str">
        <f>IF(B3561&gt;=Walmart_Sales_raw_data!$C$6437,"High","low")</f>
        <v>low</v>
      </c>
    </row>
    <row r="3562" spans="1:3">
      <c r="A3562" s="1">
        <v>25</v>
      </c>
      <c r="B3562" s="2">
        <f>Walmart_Sales_raw_data!C3562</f>
        <v>685676.58</v>
      </c>
      <c r="C3562" t="str">
        <f>IF(B3562&gt;=Walmart_Sales_raw_data!$C$6437,"High","low")</f>
        <v>low</v>
      </c>
    </row>
    <row r="3563" spans="1:3">
      <c r="A3563" s="3">
        <v>25</v>
      </c>
      <c r="B3563" s="2">
        <f>Walmart_Sales_raw_data!C3563</f>
        <v>659109.53</v>
      </c>
      <c r="C3563" t="str">
        <f>IF(B3563&gt;=Walmart_Sales_raw_data!$C$6437,"High","low")</f>
        <v>low</v>
      </c>
    </row>
    <row r="3564" spans="1:3">
      <c r="A3564" s="1">
        <v>25</v>
      </c>
      <c r="B3564" s="2">
        <f>Walmart_Sales_raw_data!C3564</f>
        <v>709724.6</v>
      </c>
      <c r="C3564" t="str">
        <f>IF(B3564&gt;=Walmart_Sales_raw_data!$C$6437,"High","low")</f>
        <v>low</v>
      </c>
    </row>
    <row r="3565" spans="1:3">
      <c r="A3565" s="3">
        <v>25</v>
      </c>
      <c r="B3565" s="2">
        <f>Walmart_Sales_raw_data!C3565</f>
        <v>710496.97</v>
      </c>
      <c r="C3565" t="str">
        <f>IF(B3565&gt;=Walmart_Sales_raw_data!$C$6437,"High","low")</f>
        <v>low</v>
      </c>
    </row>
    <row r="3566" spans="1:3">
      <c r="A3566" s="1">
        <v>25</v>
      </c>
      <c r="B3566" s="2">
        <f>Walmart_Sales_raw_data!C3566</f>
        <v>728467.72</v>
      </c>
      <c r="C3566" t="str">
        <f>IF(B3566&gt;=Walmart_Sales_raw_data!$C$6437,"High","low")</f>
        <v>low</v>
      </c>
    </row>
    <row r="3567" spans="1:3">
      <c r="A3567" s="3">
        <v>25</v>
      </c>
      <c r="B3567" s="2">
        <f>Walmart_Sales_raw_data!C3567</f>
        <v>756527.64</v>
      </c>
      <c r="C3567" t="str">
        <f>IF(B3567&gt;=Walmart_Sales_raw_data!$C$6437,"High","low")</f>
        <v>low</v>
      </c>
    </row>
    <row r="3568" spans="1:3">
      <c r="A3568" s="1">
        <v>25</v>
      </c>
      <c r="B3568" s="2">
        <f>Walmart_Sales_raw_data!C3568</f>
        <v>714828.73</v>
      </c>
      <c r="C3568" t="str">
        <f>IF(B3568&gt;=Walmart_Sales_raw_data!$C$6437,"High","low")</f>
        <v>low</v>
      </c>
    </row>
    <row r="3569" spans="1:3">
      <c r="A3569" s="3">
        <v>25</v>
      </c>
      <c r="B3569" s="2">
        <f>Walmart_Sales_raw_data!C3569</f>
        <v>671482.9</v>
      </c>
      <c r="C3569" t="str">
        <f>IF(B3569&gt;=Walmart_Sales_raw_data!$C$6437,"High","low")</f>
        <v>low</v>
      </c>
    </row>
    <row r="3570" spans="1:3">
      <c r="A3570" s="1">
        <v>25</v>
      </c>
      <c r="B3570" s="2">
        <f>Walmart_Sales_raw_data!C3570</f>
        <v>657241.63</v>
      </c>
      <c r="C3570" t="str">
        <f>IF(B3570&gt;=Walmart_Sales_raw_data!$C$6437,"High","low")</f>
        <v>low</v>
      </c>
    </row>
    <row r="3571" spans="1:3">
      <c r="A3571" s="3">
        <v>25</v>
      </c>
      <c r="B3571" s="2">
        <f>Walmart_Sales_raw_data!C3571</f>
        <v>664745.2</v>
      </c>
      <c r="C3571" t="str">
        <f>IF(B3571&gt;=Walmart_Sales_raw_data!$C$6437,"High","low")</f>
        <v>low</v>
      </c>
    </row>
    <row r="3572" spans="1:3">
      <c r="A3572" s="1">
        <v>25</v>
      </c>
      <c r="B3572" s="2">
        <f>Walmart_Sales_raw_data!C3572</f>
        <v>683300.84</v>
      </c>
      <c r="C3572" t="str">
        <f>IF(B3572&gt;=Walmart_Sales_raw_data!$C$6437,"High","low")</f>
        <v>low</v>
      </c>
    </row>
    <row r="3573" spans="1:3">
      <c r="A3573" s="3">
        <v>25</v>
      </c>
      <c r="B3573" s="2">
        <f>Walmart_Sales_raw_data!C3573</f>
        <v>699536.73</v>
      </c>
      <c r="C3573" t="str">
        <f>IF(B3573&gt;=Walmart_Sales_raw_data!$C$6437,"High","low")</f>
        <v>low</v>
      </c>
    </row>
    <row r="3574" spans="1:3">
      <c r="A3574" s="1">
        <v>25</v>
      </c>
      <c r="B3574" s="2">
        <f>Walmart_Sales_raw_data!C3574</f>
        <v>697317.41</v>
      </c>
      <c r="C3574" t="str">
        <f>IF(B3574&gt;=Walmart_Sales_raw_data!$C$6437,"High","low")</f>
        <v>low</v>
      </c>
    </row>
    <row r="3575" spans="1:3">
      <c r="A3575" s="3">
        <v>25</v>
      </c>
      <c r="B3575" s="2">
        <f>Walmart_Sales_raw_data!C3575</f>
        <v>685531.85</v>
      </c>
      <c r="C3575" t="str">
        <f>IF(B3575&gt;=Walmart_Sales_raw_data!$C$6437,"High","low")</f>
        <v>low</v>
      </c>
    </row>
    <row r="3576" spans="1:3">
      <c r="A3576" s="1">
        <v>25</v>
      </c>
      <c r="B3576" s="2">
        <f>Walmart_Sales_raw_data!C3576</f>
        <v>688940.94</v>
      </c>
      <c r="C3576" t="str">
        <f>IF(B3576&gt;=Walmart_Sales_raw_data!$C$6437,"High","low")</f>
        <v>low</v>
      </c>
    </row>
    <row r="3577" spans="1:3">
      <c r="A3577" s="3">
        <v>26</v>
      </c>
      <c r="B3577" s="2">
        <f>Walmart_Sales_raw_data!C3577</f>
        <v>1034119.21</v>
      </c>
      <c r="C3577" t="str">
        <f>IF(B3577&gt;=Walmart_Sales_raw_data!$C$6437,"High","low")</f>
        <v>low</v>
      </c>
    </row>
    <row r="3578" spans="1:3">
      <c r="A3578" s="1">
        <v>26</v>
      </c>
      <c r="B3578" s="2">
        <f>Walmart_Sales_raw_data!C3578</f>
        <v>1015684.09</v>
      </c>
      <c r="C3578" t="str">
        <f>IF(B3578&gt;=Walmart_Sales_raw_data!$C$6437,"High","low")</f>
        <v>low</v>
      </c>
    </row>
    <row r="3579" spans="1:3">
      <c r="A3579" s="3">
        <v>26</v>
      </c>
      <c r="B3579" s="2">
        <f>Walmart_Sales_raw_data!C3579</f>
        <v>999348.55</v>
      </c>
      <c r="C3579" t="str">
        <f>IF(B3579&gt;=Walmart_Sales_raw_data!$C$6437,"High","low")</f>
        <v>low</v>
      </c>
    </row>
    <row r="3580" spans="1:3">
      <c r="A3580" s="1">
        <v>26</v>
      </c>
      <c r="B3580" s="2">
        <f>Walmart_Sales_raw_data!C3580</f>
        <v>855385.01</v>
      </c>
      <c r="C3580" t="str">
        <f>IF(B3580&gt;=Walmart_Sales_raw_data!$C$6437,"High","low")</f>
        <v>low</v>
      </c>
    </row>
    <row r="3581" spans="1:3">
      <c r="A3581" s="3">
        <v>26</v>
      </c>
      <c r="B3581" s="2">
        <f>Walmart_Sales_raw_data!C3581</f>
        <v>1005669.58</v>
      </c>
      <c r="C3581" t="str">
        <f>IF(B3581&gt;=Walmart_Sales_raw_data!$C$6437,"High","low")</f>
        <v>low</v>
      </c>
    </row>
    <row r="3582" spans="1:3">
      <c r="A3582" s="1">
        <v>26</v>
      </c>
      <c r="B3582" s="2">
        <f>Walmart_Sales_raw_data!C3582</f>
        <v>963382.09</v>
      </c>
      <c r="C3582" t="str">
        <f>IF(B3582&gt;=Walmart_Sales_raw_data!$C$6437,"High","low")</f>
        <v>low</v>
      </c>
    </row>
    <row r="3583" spans="1:3">
      <c r="A3583" s="3">
        <v>26</v>
      </c>
      <c r="B3583" s="2">
        <f>Walmart_Sales_raw_data!C3583</f>
        <v>903366.55</v>
      </c>
      <c r="C3583" t="str">
        <f>IF(B3583&gt;=Walmart_Sales_raw_data!$C$6437,"High","low")</f>
        <v>low</v>
      </c>
    </row>
    <row r="3584" spans="1:3">
      <c r="A3584" s="1">
        <v>26</v>
      </c>
      <c r="B3584" s="2">
        <f>Walmart_Sales_raw_data!C3584</f>
        <v>893613</v>
      </c>
      <c r="C3584" t="str">
        <f>IF(B3584&gt;=Walmart_Sales_raw_data!$C$6437,"High","low")</f>
        <v>low</v>
      </c>
    </row>
    <row r="3585" spans="1:3">
      <c r="A3585" s="3">
        <v>26</v>
      </c>
      <c r="B3585" s="2">
        <f>Walmart_Sales_raw_data!C3585</f>
        <v>1029849.2</v>
      </c>
      <c r="C3585" t="str">
        <f>IF(B3585&gt;=Walmart_Sales_raw_data!$C$6437,"High","low")</f>
        <v>low</v>
      </c>
    </row>
    <row r="3586" spans="1:3">
      <c r="A3586" s="1">
        <v>26</v>
      </c>
      <c r="B3586" s="2">
        <f>Walmart_Sales_raw_data!C3586</f>
        <v>1022293.81</v>
      </c>
      <c r="C3586" t="str">
        <f>IF(B3586&gt;=Walmart_Sales_raw_data!$C$6437,"High","low")</f>
        <v>low</v>
      </c>
    </row>
    <row r="3587" spans="1:3">
      <c r="A3587" s="3">
        <v>26</v>
      </c>
      <c r="B3587" s="2">
        <f>Walmart_Sales_raw_data!C3587</f>
        <v>905548.38</v>
      </c>
      <c r="C3587" t="str">
        <f>IF(B3587&gt;=Walmart_Sales_raw_data!$C$6437,"High","low")</f>
        <v>low</v>
      </c>
    </row>
    <row r="3588" spans="1:3">
      <c r="A3588" s="1">
        <v>26</v>
      </c>
      <c r="B3588" s="2">
        <f>Walmart_Sales_raw_data!C3588</f>
        <v>881930.87</v>
      </c>
      <c r="C3588" t="str">
        <f>IF(B3588&gt;=Walmart_Sales_raw_data!$C$6437,"High","low")</f>
        <v>low</v>
      </c>
    </row>
    <row r="3589" spans="1:3">
      <c r="A3589" s="3">
        <v>26</v>
      </c>
      <c r="B3589" s="2">
        <f>Walmart_Sales_raw_data!C3589</f>
        <v>904503.85</v>
      </c>
      <c r="C3589" t="str">
        <f>IF(B3589&gt;=Walmart_Sales_raw_data!$C$6437,"High","low")</f>
        <v>low</v>
      </c>
    </row>
    <row r="3590" spans="1:3">
      <c r="A3590" s="1">
        <v>26</v>
      </c>
      <c r="B3590" s="2">
        <f>Walmart_Sales_raw_data!C3590</f>
        <v>1074479.73</v>
      </c>
      <c r="C3590" t="str">
        <f>IF(B3590&gt;=Walmart_Sales_raw_data!$C$6437,"High","low")</f>
        <v>High</v>
      </c>
    </row>
    <row r="3591" spans="1:3">
      <c r="A3591" s="3">
        <v>26</v>
      </c>
      <c r="B3591" s="2">
        <f>Walmart_Sales_raw_data!C3591</f>
        <v>972663.59</v>
      </c>
      <c r="C3591" t="str">
        <f>IF(B3591&gt;=Walmart_Sales_raw_data!$C$6437,"High","low")</f>
        <v>low</v>
      </c>
    </row>
    <row r="3592" spans="1:3">
      <c r="A3592" s="1">
        <v>26</v>
      </c>
      <c r="B3592" s="2">
        <f>Walmart_Sales_raw_data!C3592</f>
        <v>986765.01</v>
      </c>
      <c r="C3592" t="str">
        <f>IF(B3592&gt;=Walmart_Sales_raw_data!$C$6437,"High","low")</f>
        <v>low</v>
      </c>
    </row>
    <row r="3593" spans="1:3">
      <c r="A3593" s="3">
        <v>26</v>
      </c>
      <c r="B3593" s="2">
        <f>Walmart_Sales_raw_data!C3593</f>
        <v>1069851.59</v>
      </c>
      <c r="C3593" t="str">
        <f>IF(B3593&gt;=Walmart_Sales_raw_data!$C$6437,"High","low")</f>
        <v>High</v>
      </c>
    </row>
    <row r="3594" spans="1:3">
      <c r="A3594" s="1">
        <v>26</v>
      </c>
      <c r="B3594" s="2">
        <f>Walmart_Sales_raw_data!C3594</f>
        <v>1003202.66</v>
      </c>
      <c r="C3594" t="str">
        <f>IF(B3594&gt;=Walmart_Sales_raw_data!$C$6437,"High","low")</f>
        <v>low</v>
      </c>
    </row>
    <row r="3595" spans="1:3">
      <c r="A3595" s="3">
        <v>26</v>
      </c>
      <c r="B3595" s="2">
        <f>Walmart_Sales_raw_data!C3595</f>
        <v>1073862.59</v>
      </c>
      <c r="C3595" t="str">
        <f>IF(B3595&gt;=Walmart_Sales_raw_data!$C$6437,"High","low")</f>
        <v>High</v>
      </c>
    </row>
    <row r="3596" spans="1:3">
      <c r="A3596" s="1">
        <v>26</v>
      </c>
      <c r="B3596" s="2">
        <f>Walmart_Sales_raw_data!C3596</f>
        <v>1001286.67</v>
      </c>
      <c r="C3596" t="str">
        <f>IF(B3596&gt;=Walmart_Sales_raw_data!$C$6437,"High","low")</f>
        <v>low</v>
      </c>
    </row>
    <row r="3597" spans="1:3">
      <c r="A3597" s="3">
        <v>26</v>
      </c>
      <c r="B3597" s="2">
        <f>Walmart_Sales_raw_data!C3597</f>
        <v>976242.09</v>
      </c>
      <c r="C3597" t="str">
        <f>IF(B3597&gt;=Walmart_Sales_raw_data!$C$6437,"High","low")</f>
        <v>low</v>
      </c>
    </row>
    <row r="3598" spans="1:3">
      <c r="A3598" s="1">
        <v>26</v>
      </c>
      <c r="B3598" s="2">
        <f>Walmart_Sales_raw_data!C3598</f>
        <v>1078455.48</v>
      </c>
      <c r="C3598" t="str">
        <f>IF(B3598&gt;=Walmart_Sales_raw_data!$C$6437,"High","low")</f>
        <v>High</v>
      </c>
    </row>
    <row r="3599" spans="1:3">
      <c r="A3599" s="3">
        <v>26</v>
      </c>
      <c r="B3599" s="2">
        <f>Walmart_Sales_raw_data!C3599</f>
        <v>1122356.53</v>
      </c>
      <c r="C3599" t="str">
        <f>IF(B3599&gt;=Walmart_Sales_raw_data!$C$6437,"High","low")</f>
        <v>High</v>
      </c>
    </row>
    <row r="3600" spans="1:3">
      <c r="A3600" s="1">
        <v>26</v>
      </c>
      <c r="B3600" s="2">
        <f>Walmart_Sales_raw_data!C3600</f>
        <v>1028151.72</v>
      </c>
      <c r="C3600" t="str">
        <f>IF(B3600&gt;=Walmart_Sales_raw_data!$C$6437,"High","low")</f>
        <v>low</v>
      </c>
    </row>
    <row r="3601" spans="1:3">
      <c r="A3601" s="3">
        <v>26</v>
      </c>
      <c r="B3601" s="2">
        <f>Walmart_Sales_raw_data!C3601</f>
        <v>971615.62</v>
      </c>
      <c r="C3601" t="str">
        <f>IF(B3601&gt;=Walmart_Sales_raw_data!$C$6437,"High","low")</f>
        <v>low</v>
      </c>
    </row>
    <row r="3602" spans="1:3">
      <c r="A3602" s="1">
        <v>26</v>
      </c>
      <c r="B3602" s="2">
        <f>Walmart_Sales_raw_data!C3602</f>
        <v>1005324.28</v>
      </c>
      <c r="C3602" t="str">
        <f>IF(B3602&gt;=Walmart_Sales_raw_data!$C$6437,"High","low")</f>
        <v>low</v>
      </c>
    </row>
    <row r="3603" spans="1:3">
      <c r="A3603" s="3">
        <v>26</v>
      </c>
      <c r="B3603" s="2">
        <f>Walmart_Sales_raw_data!C3603</f>
        <v>1125329.77</v>
      </c>
      <c r="C3603" t="str">
        <f>IF(B3603&gt;=Walmart_Sales_raw_data!$C$6437,"High","low")</f>
        <v>High</v>
      </c>
    </row>
    <row r="3604" spans="1:3">
      <c r="A3604" s="1">
        <v>26</v>
      </c>
      <c r="B3604" s="2">
        <f>Walmart_Sales_raw_data!C3604</f>
        <v>1011938.29</v>
      </c>
      <c r="C3604" t="str">
        <f>IF(B3604&gt;=Walmart_Sales_raw_data!$C$6437,"High","low")</f>
        <v>low</v>
      </c>
    </row>
    <row r="3605" spans="1:3">
      <c r="A3605" s="3">
        <v>26</v>
      </c>
      <c r="B3605" s="2">
        <f>Walmart_Sales_raw_data!C3605</f>
        <v>1007385.36</v>
      </c>
      <c r="C3605" t="str">
        <f>IF(B3605&gt;=Walmart_Sales_raw_data!$C$6437,"High","low")</f>
        <v>low</v>
      </c>
    </row>
    <row r="3606" spans="1:3">
      <c r="A3606" s="1">
        <v>26</v>
      </c>
      <c r="B3606" s="2">
        <f>Walmart_Sales_raw_data!C3606</f>
        <v>977322.52</v>
      </c>
      <c r="C3606" t="str">
        <f>IF(B3606&gt;=Walmart_Sales_raw_data!$C$6437,"High","low")</f>
        <v>low</v>
      </c>
    </row>
    <row r="3607" spans="1:3">
      <c r="A3607" s="3">
        <v>26</v>
      </c>
      <c r="B3607" s="2">
        <f>Walmart_Sales_raw_data!C3607</f>
        <v>1037549.71</v>
      </c>
      <c r="C3607" t="str">
        <f>IF(B3607&gt;=Walmart_Sales_raw_data!$C$6437,"High","low")</f>
        <v>low</v>
      </c>
    </row>
    <row r="3608" spans="1:3">
      <c r="A3608" s="1">
        <v>26</v>
      </c>
      <c r="B3608" s="2">
        <f>Walmart_Sales_raw_data!C3608</f>
        <v>1042226.3</v>
      </c>
      <c r="C3608" t="str">
        <f>IF(B3608&gt;=Walmart_Sales_raw_data!$C$6437,"High","low")</f>
        <v>low</v>
      </c>
    </row>
    <row r="3609" spans="1:3">
      <c r="A3609" s="3">
        <v>26</v>
      </c>
      <c r="B3609" s="2">
        <f>Walmart_Sales_raw_data!C3609</f>
        <v>923473.7</v>
      </c>
      <c r="C3609" t="str">
        <f>IF(B3609&gt;=Walmart_Sales_raw_data!$C$6437,"High","low")</f>
        <v>low</v>
      </c>
    </row>
    <row r="3610" spans="1:3">
      <c r="A3610" s="1">
        <v>26</v>
      </c>
      <c r="B3610" s="2">
        <f>Walmart_Sales_raw_data!C3610</f>
        <v>868636.3</v>
      </c>
      <c r="C3610" t="str">
        <f>IF(B3610&gt;=Walmart_Sales_raw_data!$C$6437,"High","low")</f>
        <v>low</v>
      </c>
    </row>
    <row r="3611" spans="1:3">
      <c r="A3611" s="3">
        <v>26</v>
      </c>
      <c r="B3611" s="2">
        <f>Walmart_Sales_raw_data!C3611</f>
        <v>923221.52</v>
      </c>
      <c r="C3611" t="str">
        <f>IF(B3611&gt;=Walmart_Sales_raw_data!$C$6437,"High","low")</f>
        <v>low</v>
      </c>
    </row>
    <row r="3612" spans="1:3">
      <c r="A3612" s="1">
        <v>26</v>
      </c>
      <c r="B3612" s="2">
        <f>Walmart_Sales_raw_data!C3612</f>
        <v>1001069.52</v>
      </c>
      <c r="C3612" t="str">
        <f>IF(B3612&gt;=Walmart_Sales_raw_data!$C$6437,"High","low")</f>
        <v>low</v>
      </c>
    </row>
    <row r="3613" spans="1:3">
      <c r="A3613" s="3">
        <v>26</v>
      </c>
      <c r="B3613" s="2">
        <f>Walmart_Sales_raw_data!C3613</f>
        <v>937956.89</v>
      </c>
      <c r="C3613" t="str">
        <f>IF(B3613&gt;=Walmart_Sales_raw_data!$C$6437,"High","low")</f>
        <v>low</v>
      </c>
    </row>
    <row r="3614" spans="1:3">
      <c r="A3614" s="1">
        <v>26</v>
      </c>
      <c r="B3614" s="2">
        <f>Walmart_Sales_raw_data!C3614</f>
        <v>916522.66</v>
      </c>
      <c r="C3614" t="str">
        <f>IF(B3614&gt;=Walmart_Sales_raw_data!$C$6437,"High","low")</f>
        <v>low</v>
      </c>
    </row>
    <row r="3615" spans="1:3">
      <c r="A3615" s="3">
        <v>26</v>
      </c>
      <c r="B3615" s="2">
        <f>Walmart_Sales_raw_data!C3615</f>
        <v>895069.88</v>
      </c>
      <c r="C3615" t="str">
        <f>IF(B3615&gt;=Walmart_Sales_raw_data!$C$6437,"High","low")</f>
        <v>low</v>
      </c>
    </row>
    <row r="3616" spans="1:3">
      <c r="A3616" s="1">
        <v>26</v>
      </c>
      <c r="B3616" s="2">
        <f>Walmart_Sales_raw_data!C3616</f>
        <v>970224.51</v>
      </c>
      <c r="C3616" t="str">
        <f>IF(B3616&gt;=Walmart_Sales_raw_data!$C$6437,"High","low")</f>
        <v>low</v>
      </c>
    </row>
    <row r="3617" spans="1:3">
      <c r="A3617" s="3">
        <v>26</v>
      </c>
      <c r="B3617" s="2">
        <f>Walmart_Sales_raw_data!C3617</f>
        <v>971193.01</v>
      </c>
      <c r="C3617" t="str">
        <f>IF(B3617&gt;=Walmart_Sales_raw_data!$C$6437,"High","low")</f>
        <v>low</v>
      </c>
    </row>
    <row r="3618" spans="1:3">
      <c r="A3618" s="1">
        <v>26</v>
      </c>
      <c r="B3618" s="2">
        <f>Walmart_Sales_raw_data!C3618</f>
        <v>901972.7</v>
      </c>
      <c r="C3618" t="str">
        <f>IF(B3618&gt;=Walmart_Sales_raw_data!$C$6437,"High","low")</f>
        <v>low</v>
      </c>
    </row>
    <row r="3619" spans="1:3">
      <c r="A3619" s="3">
        <v>26</v>
      </c>
      <c r="B3619" s="2">
        <f>Walmart_Sales_raw_data!C3619</f>
        <v>1286833.62</v>
      </c>
      <c r="C3619" t="str">
        <f>IF(B3619&gt;=Walmart_Sales_raw_data!$C$6437,"High","low")</f>
        <v>High</v>
      </c>
    </row>
    <row r="3620" spans="1:3">
      <c r="A3620" s="1">
        <v>26</v>
      </c>
      <c r="B3620" s="2">
        <f>Walmart_Sales_raw_data!C3620</f>
        <v>1016143.64</v>
      </c>
      <c r="C3620" t="str">
        <f>IF(B3620&gt;=Walmart_Sales_raw_data!$C$6437,"High","low")</f>
        <v>low</v>
      </c>
    </row>
    <row r="3621" spans="1:3">
      <c r="A3621" s="3">
        <v>26</v>
      </c>
      <c r="B3621" s="2">
        <f>Walmart_Sales_raw_data!C3621</f>
        <v>1149612.04</v>
      </c>
      <c r="C3621" t="str">
        <f>IF(B3621&gt;=Walmart_Sales_raw_data!$C$6437,"High","low")</f>
        <v>High</v>
      </c>
    </row>
    <row r="3622" spans="1:3">
      <c r="A3622" s="1">
        <v>26</v>
      </c>
      <c r="B3622" s="2">
        <f>Walmart_Sales_raw_data!C3622</f>
        <v>1196813.33</v>
      </c>
      <c r="C3622" t="str">
        <f>IF(B3622&gt;=Walmart_Sales_raw_data!$C$6437,"High","low")</f>
        <v>High</v>
      </c>
    </row>
    <row r="3623" spans="1:3">
      <c r="A3623" s="3">
        <v>26</v>
      </c>
      <c r="B3623" s="2">
        <f>Walmart_Sales_raw_data!C3623</f>
        <v>1573982.47</v>
      </c>
      <c r="C3623" t="str">
        <f>IF(B3623&gt;=Walmart_Sales_raw_data!$C$6437,"High","low")</f>
        <v>High</v>
      </c>
    </row>
    <row r="3624" spans="1:3">
      <c r="A3624" s="1">
        <v>26</v>
      </c>
      <c r="B3624" s="2">
        <f>Walmart_Sales_raw_data!C3624</f>
        <v>877268.29</v>
      </c>
      <c r="C3624" t="str">
        <f>IF(B3624&gt;=Walmart_Sales_raw_data!$C$6437,"High","low")</f>
        <v>low</v>
      </c>
    </row>
    <row r="3625" spans="1:3">
      <c r="A3625" s="3">
        <v>26</v>
      </c>
      <c r="B3625" s="2">
        <f>Walmart_Sales_raw_data!C3625</f>
        <v>938149.21</v>
      </c>
      <c r="C3625" t="str">
        <f>IF(B3625&gt;=Walmart_Sales_raw_data!$C$6437,"High","low")</f>
        <v>low</v>
      </c>
    </row>
    <row r="3626" spans="1:3">
      <c r="A3626" s="1">
        <v>26</v>
      </c>
      <c r="B3626" s="2">
        <f>Walmart_Sales_raw_data!C3626</f>
        <v>812323.29</v>
      </c>
      <c r="C3626" t="str">
        <f>IF(B3626&gt;=Walmart_Sales_raw_data!$C$6437,"High","low")</f>
        <v>low</v>
      </c>
    </row>
    <row r="3627" spans="1:3">
      <c r="A3627" s="3">
        <v>26</v>
      </c>
      <c r="B3627" s="2">
        <f>Walmart_Sales_raw_data!C3627</f>
        <v>809833.21</v>
      </c>
      <c r="C3627" t="str">
        <f>IF(B3627&gt;=Walmart_Sales_raw_data!$C$6437,"High","low")</f>
        <v>low</v>
      </c>
    </row>
    <row r="3628" spans="1:3">
      <c r="A3628" s="1">
        <v>26</v>
      </c>
      <c r="B3628" s="2">
        <f>Walmart_Sales_raw_data!C3628</f>
        <v>817485.14</v>
      </c>
      <c r="C3628" t="str">
        <f>IF(B3628&gt;=Walmart_Sales_raw_data!$C$6437,"High","low")</f>
        <v>low</v>
      </c>
    </row>
    <row r="3629" spans="1:3">
      <c r="A3629" s="3">
        <v>26</v>
      </c>
      <c r="B3629" s="2">
        <f>Walmart_Sales_raw_data!C3629</f>
        <v>911807.02</v>
      </c>
      <c r="C3629" t="str">
        <f>IF(B3629&gt;=Walmart_Sales_raw_data!$C$6437,"High","low")</f>
        <v>low</v>
      </c>
    </row>
    <row r="3630" spans="1:3">
      <c r="A3630" s="1">
        <v>26</v>
      </c>
      <c r="B3630" s="2">
        <f>Walmart_Sales_raw_data!C3630</f>
        <v>1010711.08</v>
      </c>
      <c r="C3630" t="str">
        <f>IF(B3630&gt;=Walmart_Sales_raw_data!$C$6437,"High","low")</f>
        <v>low</v>
      </c>
    </row>
    <row r="3631" spans="1:3">
      <c r="A3631" s="3">
        <v>26</v>
      </c>
      <c r="B3631" s="2">
        <f>Walmart_Sales_raw_data!C3631</f>
        <v>981978.02</v>
      </c>
      <c r="C3631" t="str">
        <f>IF(B3631&gt;=Walmart_Sales_raw_data!$C$6437,"High","low")</f>
        <v>low</v>
      </c>
    </row>
    <row r="3632" spans="1:3">
      <c r="A3632" s="1">
        <v>26</v>
      </c>
      <c r="B3632" s="2">
        <f>Walmart_Sales_raw_data!C3632</f>
        <v>910298.44</v>
      </c>
      <c r="C3632" t="str">
        <f>IF(B3632&gt;=Walmart_Sales_raw_data!$C$6437,"High","low")</f>
        <v>low</v>
      </c>
    </row>
    <row r="3633" spans="1:3">
      <c r="A3633" s="3">
        <v>26</v>
      </c>
      <c r="B3633" s="2">
        <f>Walmart_Sales_raw_data!C3633</f>
        <v>945643.17</v>
      </c>
      <c r="C3633" t="str">
        <f>IF(B3633&gt;=Walmart_Sales_raw_data!$C$6437,"High","low")</f>
        <v>low</v>
      </c>
    </row>
    <row r="3634" spans="1:3">
      <c r="A3634" s="1">
        <v>26</v>
      </c>
      <c r="B3634" s="2">
        <f>Walmart_Sales_raw_data!C3634</f>
        <v>946614.55</v>
      </c>
      <c r="C3634" t="str">
        <f>IF(B3634&gt;=Walmart_Sales_raw_data!$C$6437,"High","low")</f>
        <v>low</v>
      </c>
    </row>
    <row r="3635" spans="1:3">
      <c r="A3635" s="3">
        <v>26</v>
      </c>
      <c r="B3635" s="2">
        <f>Walmart_Sales_raw_data!C3635</f>
        <v>887426.12</v>
      </c>
      <c r="C3635" t="str">
        <f>IF(B3635&gt;=Walmart_Sales_raw_data!$C$6437,"High","low")</f>
        <v>low</v>
      </c>
    </row>
    <row r="3636" spans="1:3">
      <c r="A3636" s="1">
        <v>26</v>
      </c>
      <c r="B3636" s="2">
        <f>Walmart_Sales_raw_data!C3636</f>
        <v>866566.54</v>
      </c>
      <c r="C3636" t="str">
        <f>IF(B3636&gt;=Walmart_Sales_raw_data!$C$6437,"High","low")</f>
        <v>low</v>
      </c>
    </row>
    <row r="3637" spans="1:3">
      <c r="A3637" s="3">
        <v>26</v>
      </c>
      <c r="B3637" s="2">
        <f>Walmart_Sales_raw_data!C3637</f>
        <v>849231.61</v>
      </c>
      <c r="C3637" t="str">
        <f>IF(B3637&gt;=Walmart_Sales_raw_data!$C$6437,"High","low")</f>
        <v>low</v>
      </c>
    </row>
    <row r="3638" spans="1:3">
      <c r="A3638" s="1">
        <v>26</v>
      </c>
      <c r="B3638" s="2">
        <f>Walmart_Sales_raw_data!C3638</f>
        <v>985229.81</v>
      </c>
      <c r="C3638" t="str">
        <f>IF(B3638&gt;=Walmart_Sales_raw_data!$C$6437,"High","low")</f>
        <v>low</v>
      </c>
    </row>
    <row r="3639" spans="1:3">
      <c r="A3639" s="3">
        <v>26</v>
      </c>
      <c r="B3639" s="2">
        <f>Walmart_Sales_raw_data!C3639</f>
        <v>863266.12</v>
      </c>
      <c r="C3639" t="str">
        <f>IF(B3639&gt;=Walmart_Sales_raw_data!$C$6437,"High","low")</f>
        <v>low</v>
      </c>
    </row>
    <row r="3640" spans="1:3">
      <c r="A3640" s="1">
        <v>26</v>
      </c>
      <c r="B3640" s="2">
        <f>Walmart_Sales_raw_data!C3640</f>
        <v>921700.61</v>
      </c>
      <c r="C3640" t="str">
        <f>IF(B3640&gt;=Walmart_Sales_raw_data!$C$6437,"High","low")</f>
        <v>low</v>
      </c>
    </row>
    <row r="3641" spans="1:3">
      <c r="A3641" s="3">
        <v>26</v>
      </c>
      <c r="B3641" s="2">
        <f>Walmart_Sales_raw_data!C3641</f>
        <v>873450.29</v>
      </c>
      <c r="C3641" t="str">
        <f>IF(B3641&gt;=Walmart_Sales_raw_data!$C$6437,"High","low")</f>
        <v>low</v>
      </c>
    </row>
    <row r="3642" spans="1:3">
      <c r="A3642" s="1">
        <v>26</v>
      </c>
      <c r="B3642" s="2">
        <f>Walmart_Sales_raw_data!C3642</f>
        <v>1024778.23</v>
      </c>
      <c r="C3642" t="str">
        <f>IF(B3642&gt;=Walmart_Sales_raw_data!$C$6437,"High","low")</f>
        <v>low</v>
      </c>
    </row>
    <row r="3643" spans="1:3">
      <c r="A3643" s="3">
        <v>26</v>
      </c>
      <c r="B3643" s="2">
        <f>Walmart_Sales_raw_data!C3643</f>
        <v>941008.85</v>
      </c>
      <c r="C3643" t="str">
        <f>IF(B3643&gt;=Walmart_Sales_raw_data!$C$6437,"High","low")</f>
        <v>low</v>
      </c>
    </row>
    <row r="3644" spans="1:3">
      <c r="A3644" s="1">
        <v>26</v>
      </c>
      <c r="B3644" s="2">
        <f>Walmart_Sales_raw_data!C3644</f>
        <v>938334.62</v>
      </c>
      <c r="C3644" t="str">
        <f>IF(B3644&gt;=Walmart_Sales_raw_data!$C$6437,"High","low")</f>
        <v>low</v>
      </c>
    </row>
    <row r="3645" spans="1:3">
      <c r="A3645" s="3">
        <v>26</v>
      </c>
      <c r="B3645" s="2">
        <f>Walmart_Sales_raw_data!C3645</f>
        <v>996723.58</v>
      </c>
      <c r="C3645" t="str">
        <f>IF(B3645&gt;=Walmart_Sales_raw_data!$C$6437,"High","low")</f>
        <v>low</v>
      </c>
    </row>
    <row r="3646" spans="1:3">
      <c r="A3646" s="1">
        <v>26</v>
      </c>
      <c r="B3646" s="2">
        <f>Walmart_Sales_raw_data!C3646</f>
        <v>1054454.4</v>
      </c>
      <c r="C3646" t="str">
        <f>IF(B3646&gt;=Walmart_Sales_raw_data!$C$6437,"High","low")</f>
        <v>High</v>
      </c>
    </row>
    <row r="3647" spans="1:3">
      <c r="A3647" s="3">
        <v>26</v>
      </c>
      <c r="B3647" s="2">
        <f>Walmart_Sales_raw_data!C3647</f>
        <v>1094058.68</v>
      </c>
      <c r="C3647" t="str">
        <f>IF(B3647&gt;=Walmart_Sales_raw_data!$C$6437,"High","low")</f>
        <v>High</v>
      </c>
    </row>
    <row r="3648" spans="1:3">
      <c r="A3648" s="1">
        <v>26</v>
      </c>
      <c r="B3648" s="2">
        <f>Walmart_Sales_raw_data!C3648</f>
        <v>981646.46</v>
      </c>
      <c r="C3648" t="str">
        <f>IF(B3648&gt;=Walmart_Sales_raw_data!$C$6437,"High","low")</f>
        <v>low</v>
      </c>
    </row>
    <row r="3649" spans="1:3">
      <c r="A3649" s="3">
        <v>26</v>
      </c>
      <c r="B3649" s="2">
        <f>Walmart_Sales_raw_data!C3649</f>
        <v>997474.93</v>
      </c>
      <c r="C3649" t="str">
        <f>IF(B3649&gt;=Walmart_Sales_raw_data!$C$6437,"High","low")</f>
        <v>low</v>
      </c>
    </row>
    <row r="3650" spans="1:3">
      <c r="A3650" s="1">
        <v>26</v>
      </c>
      <c r="B3650" s="2">
        <f>Walmart_Sales_raw_data!C3650</f>
        <v>1070119.09</v>
      </c>
      <c r="C3650" t="str">
        <f>IF(B3650&gt;=Walmart_Sales_raw_data!$C$6437,"High","low")</f>
        <v>High</v>
      </c>
    </row>
    <row r="3651" spans="1:3">
      <c r="A3651" s="3">
        <v>26</v>
      </c>
      <c r="B3651" s="2">
        <f>Walmart_Sales_raw_data!C3651</f>
        <v>1133807.03</v>
      </c>
      <c r="C3651" t="str">
        <f>IF(B3651&gt;=Walmart_Sales_raw_data!$C$6437,"High","low")</f>
        <v>High</v>
      </c>
    </row>
    <row r="3652" spans="1:3">
      <c r="A3652" s="1">
        <v>26</v>
      </c>
      <c r="B3652" s="2">
        <f>Walmart_Sales_raw_data!C3652</f>
        <v>1021534.7</v>
      </c>
      <c r="C3652" t="str">
        <f>IF(B3652&gt;=Walmart_Sales_raw_data!$C$6437,"High","low")</f>
        <v>low</v>
      </c>
    </row>
    <row r="3653" spans="1:3">
      <c r="A3653" s="3">
        <v>26</v>
      </c>
      <c r="B3653" s="2">
        <f>Walmart_Sales_raw_data!C3653</f>
        <v>1017867.8</v>
      </c>
      <c r="C3653" t="str">
        <f>IF(B3653&gt;=Walmart_Sales_raw_data!$C$6437,"High","low")</f>
        <v>low</v>
      </c>
    </row>
    <row r="3654" spans="1:3">
      <c r="A3654" s="1">
        <v>26</v>
      </c>
      <c r="B3654" s="2">
        <f>Walmart_Sales_raw_data!C3654</f>
        <v>1005360.5</v>
      </c>
      <c r="C3654" t="str">
        <f>IF(B3654&gt;=Walmart_Sales_raw_data!$C$6437,"High","low")</f>
        <v>low</v>
      </c>
    </row>
    <row r="3655" spans="1:3">
      <c r="A3655" s="3">
        <v>26</v>
      </c>
      <c r="B3655" s="2">
        <f>Walmart_Sales_raw_data!C3655</f>
        <v>1107552.43</v>
      </c>
      <c r="C3655" t="str">
        <f>IF(B3655&gt;=Walmart_Sales_raw_data!$C$6437,"High","low")</f>
        <v>High</v>
      </c>
    </row>
    <row r="3656" spans="1:3">
      <c r="A3656" s="1">
        <v>26</v>
      </c>
      <c r="B3656" s="2">
        <f>Walmart_Sales_raw_data!C3656</f>
        <v>1087644.5</v>
      </c>
      <c r="C3656" t="str">
        <f>IF(B3656&gt;=Walmart_Sales_raw_data!$C$6437,"High","low")</f>
        <v>High</v>
      </c>
    </row>
    <row r="3657" spans="1:3">
      <c r="A3657" s="3">
        <v>26</v>
      </c>
      <c r="B3657" s="2">
        <f>Walmart_Sales_raw_data!C3657</f>
        <v>1021766.75</v>
      </c>
      <c r="C3657" t="str">
        <f>IF(B3657&gt;=Walmart_Sales_raw_data!$C$6437,"High","low")</f>
        <v>low</v>
      </c>
    </row>
    <row r="3658" spans="1:3">
      <c r="A3658" s="1">
        <v>26</v>
      </c>
      <c r="B3658" s="2">
        <f>Walmart_Sales_raw_data!C3658</f>
        <v>1064617.62</v>
      </c>
      <c r="C3658" t="str">
        <f>IF(B3658&gt;=Walmart_Sales_raw_data!$C$6437,"High","low")</f>
        <v>High</v>
      </c>
    </row>
    <row r="3659" spans="1:3">
      <c r="A3659" s="3">
        <v>26</v>
      </c>
      <c r="B3659" s="2">
        <f>Walmart_Sales_raw_data!C3659</f>
        <v>1040143.14</v>
      </c>
      <c r="C3659" t="str">
        <f>IF(B3659&gt;=Walmart_Sales_raw_data!$C$6437,"High","low")</f>
        <v>low</v>
      </c>
    </row>
    <row r="3660" spans="1:3">
      <c r="A3660" s="1">
        <v>26</v>
      </c>
      <c r="B3660" s="2">
        <f>Walmart_Sales_raw_data!C3660</f>
        <v>1069710.97</v>
      </c>
      <c r="C3660" t="str">
        <f>IF(B3660&gt;=Walmart_Sales_raw_data!$C$6437,"High","low")</f>
        <v>High</v>
      </c>
    </row>
    <row r="3661" spans="1:3">
      <c r="A3661" s="3">
        <v>26</v>
      </c>
      <c r="B3661" s="2">
        <f>Walmart_Sales_raw_data!C3661</f>
        <v>951569.84</v>
      </c>
      <c r="C3661" t="str">
        <f>IF(B3661&gt;=Walmart_Sales_raw_data!$C$6437,"High","low")</f>
        <v>low</v>
      </c>
    </row>
    <row r="3662" spans="1:3">
      <c r="A3662" s="1">
        <v>26</v>
      </c>
      <c r="B3662" s="2">
        <f>Walmart_Sales_raw_data!C3662</f>
        <v>923644.6</v>
      </c>
      <c r="C3662" t="str">
        <f>IF(B3662&gt;=Walmart_Sales_raw_data!$C$6437,"High","low")</f>
        <v>low</v>
      </c>
    </row>
    <row r="3663" spans="1:3">
      <c r="A3663" s="3">
        <v>26</v>
      </c>
      <c r="B3663" s="2">
        <f>Walmart_Sales_raw_data!C3663</f>
        <v>959339.51</v>
      </c>
      <c r="C3663" t="str">
        <f>IF(B3663&gt;=Walmart_Sales_raw_data!$C$6437,"High","low")</f>
        <v>low</v>
      </c>
    </row>
    <row r="3664" spans="1:3">
      <c r="A3664" s="1">
        <v>26</v>
      </c>
      <c r="B3664" s="2">
        <f>Walmart_Sales_raw_data!C3664</f>
        <v>1130022.99</v>
      </c>
      <c r="C3664" t="str">
        <f>IF(B3664&gt;=Walmart_Sales_raw_data!$C$6437,"High","low")</f>
        <v>High</v>
      </c>
    </row>
    <row r="3665" spans="1:3">
      <c r="A3665" s="3">
        <v>26</v>
      </c>
      <c r="B3665" s="2">
        <f>Walmart_Sales_raw_data!C3665</f>
        <v>987886.08</v>
      </c>
      <c r="C3665" t="str">
        <f>IF(B3665&gt;=Walmart_Sales_raw_data!$C$6437,"High","low")</f>
        <v>low</v>
      </c>
    </row>
    <row r="3666" spans="1:3">
      <c r="A3666" s="1">
        <v>26</v>
      </c>
      <c r="B3666" s="2">
        <f>Walmart_Sales_raw_data!C3666</f>
        <v>974907.28</v>
      </c>
      <c r="C3666" t="str">
        <f>IF(B3666&gt;=Walmart_Sales_raw_data!$C$6437,"High","low")</f>
        <v>low</v>
      </c>
    </row>
    <row r="3667" spans="1:3">
      <c r="A3667" s="3">
        <v>26</v>
      </c>
      <c r="B3667" s="2">
        <f>Walmart_Sales_raw_data!C3667</f>
        <v>972256.98</v>
      </c>
      <c r="C3667" t="str">
        <f>IF(B3667&gt;=Walmart_Sales_raw_data!$C$6437,"High","low")</f>
        <v>low</v>
      </c>
    </row>
    <row r="3668" spans="1:3">
      <c r="A3668" s="1">
        <v>26</v>
      </c>
      <c r="B3668" s="2">
        <f>Walmart_Sales_raw_data!C3668</f>
        <v>988950.75</v>
      </c>
      <c r="C3668" t="str">
        <f>IF(B3668&gt;=Walmart_Sales_raw_data!$C$6437,"High","low")</f>
        <v>low</v>
      </c>
    </row>
    <row r="3669" spans="1:3">
      <c r="A3669" s="3">
        <v>26</v>
      </c>
      <c r="B3669" s="2">
        <f>Walmart_Sales_raw_data!C3669</f>
        <v>1077640.13</v>
      </c>
      <c r="C3669" t="str">
        <f>IF(B3669&gt;=Walmart_Sales_raw_data!$C$6437,"High","low")</f>
        <v>High</v>
      </c>
    </row>
    <row r="3670" spans="1:3">
      <c r="A3670" s="1">
        <v>26</v>
      </c>
      <c r="B3670" s="2">
        <f>Walmart_Sales_raw_data!C3670</f>
        <v>946091.79</v>
      </c>
      <c r="C3670" t="str">
        <f>IF(B3670&gt;=Walmart_Sales_raw_data!$C$6437,"High","low")</f>
        <v>low</v>
      </c>
    </row>
    <row r="3671" spans="1:3">
      <c r="A3671" s="3">
        <v>26</v>
      </c>
      <c r="B3671" s="2">
        <f>Walmart_Sales_raw_data!C3671</f>
        <v>1282320.05</v>
      </c>
      <c r="C3671" t="str">
        <f>IF(B3671&gt;=Walmart_Sales_raw_data!$C$6437,"High","low")</f>
        <v>High</v>
      </c>
    </row>
    <row r="3672" spans="1:3">
      <c r="A3672" s="1">
        <v>26</v>
      </c>
      <c r="B3672" s="2">
        <f>Walmart_Sales_raw_data!C3672</f>
        <v>1012498.49</v>
      </c>
      <c r="C3672" t="str">
        <f>IF(B3672&gt;=Walmart_Sales_raw_data!$C$6437,"High","low")</f>
        <v>low</v>
      </c>
    </row>
    <row r="3673" spans="1:3">
      <c r="A3673" s="3">
        <v>26</v>
      </c>
      <c r="B3673" s="2">
        <f>Walmart_Sales_raw_data!C3673</f>
        <v>1148987.46</v>
      </c>
      <c r="C3673" t="str">
        <f>IF(B3673&gt;=Walmart_Sales_raw_data!$C$6437,"High","low")</f>
        <v>High</v>
      </c>
    </row>
    <row r="3674" spans="1:3">
      <c r="A3674" s="1">
        <v>26</v>
      </c>
      <c r="B3674" s="2">
        <f>Walmart_Sales_raw_data!C3674</f>
        <v>1204807.83</v>
      </c>
      <c r="C3674" t="str">
        <f>IF(B3674&gt;=Walmart_Sales_raw_data!$C$6437,"High","low")</f>
        <v>High</v>
      </c>
    </row>
    <row r="3675" spans="1:3">
      <c r="A3675" s="3">
        <v>26</v>
      </c>
      <c r="B3675" s="2">
        <f>Walmart_Sales_raw_data!C3675</f>
        <v>1515175.01</v>
      </c>
      <c r="C3675" t="str">
        <f>IF(B3675&gt;=Walmart_Sales_raw_data!$C$6437,"High","low")</f>
        <v>High</v>
      </c>
    </row>
    <row r="3676" spans="1:3">
      <c r="A3676" s="1">
        <v>26</v>
      </c>
      <c r="B3676" s="2">
        <f>Walmart_Sales_raw_data!C3676</f>
        <v>972834.42</v>
      </c>
      <c r="C3676" t="str">
        <f>IF(B3676&gt;=Walmart_Sales_raw_data!$C$6437,"High","low")</f>
        <v>low</v>
      </c>
    </row>
    <row r="3677" spans="1:3">
      <c r="A3677" s="3">
        <v>26</v>
      </c>
      <c r="B3677" s="2">
        <f>Walmart_Sales_raw_data!C3677</f>
        <v>971557.62</v>
      </c>
      <c r="C3677" t="str">
        <f>IF(B3677&gt;=Walmart_Sales_raw_data!$C$6437,"High","low")</f>
        <v>low</v>
      </c>
    </row>
    <row r="3678" spans="1:3">
      <c r="A3678" s="1">
        <v>26</v>
      </c>
      <c r="B3678" s="2">
        <f>Walmart_Sales_raw_data!C3678</f>
        <v>836305.65</v>
      </c>
      <c r="C3678" t="str">
        <f>IF(B3678&gt;=Walmart_Sales_raw_data!$C$6437,"High","low")</f>
        <v>low</v>
      </c>
    </row>
    <row r="3679" spans="1:3">
      <c r="A3679" s="3">
        <v>26</v>
      </c>
      <c r="B3679" s="2">
        <f>Walmart_Sales_raw_data!C3679</f>
        <v>838751.5</v>
      </c>
      <c r="C3679" t="str">
        <f>IF(B3679&gt;=Walmart_Sales_raw_data!$C$6437,"High","low")</f>
        <v>low</v>
      </c>
    </row>
    <row r="3680" spans="1:3">
      <c r="A3680" s="1">
        <v>26</v>
      </c>
      <c r="B3680" s="2">
        <f>Walmart_Sales_raw_data!C3680</f>
        <v>820059.89</v>
      </c>
      <c r="C3680" t="str">
        <f>IF(B3680&gt;=Walmart_Sales_raw_data!$C$6437,"High","low")</f>
        <v>low</v>
      </c>
    </row>
    <row r="3681" spans="1:3">
      <c r="A3681" s="3">
        <v>26</v>
      </c>
      <c r="B3681" s="2">
        <f>Walmart_Sales_raw_data!C3681</f>
        <v>939158.25</v>
      </c>
      <c r="C3681" t="str">
        <f>IF(B3681&gt;=Walmart_Sales_raw_data!$C$6437,"High","low")</f>
        <v>low</v>
      </c>
    </row>
    <row r="3682" spans="1:3">
      <c r="A3682" s="1">
        <v>26</v>
      </c>
      <c r="B3682" s="2">
        <f>Walmart_Sales_raw_data!C3682</f>
        <v>1081005.64</v>
      </c>
      <c r="C3682" t="str">
        <f>IF(B3682&gt;=Walmart_Sales_raw_data!$C$6437,"High","low")</f>
        <v>High</v>
      </c>
    </row>
    <row r="3683" spans="1:3">
      <c r="A3683" s="3">
        <v>26</v>
      </c>
      <c r="B3683" s="2">
        <f>Walmart_Sales_raw_data!C3683</f>
        <v>965788.76</v>
      </c>
      <c r="C3683" t="str">
        <f>IF(B3683&gt;=Walmart_Sales_raw_data!$C$6437,"High","low")</f>
        <v>low</v>
      </c>
    </row>
    <row r="3684" spans="1:3">
      <c r="A3684" s="1">
        <v>26</v>
      </c>
      <c r="B3684" s="2">
        <f>Walmart_Sales_raw_data!C3684</f>
        <v>917924.47</v>
      </c>
      <c r="C3684" t="str">
        <f>IF(B3684&gt;=Walmart_Sales_raw_data!$C$6437,"High","low")</f>
        <v>low</v>
      </c>
    </row>
    <row r="3685" spans="1:3">
      <c r="A3685" s="3">
        <v>26</v>
      </c>
      <c r="B3685" s="2">
        <f>Walmart_Sales_raw_data!C3685</f>
        <v>955641.74</v>
      </c>
      <c r="C3685" t="str">
        <f>IF(B3685&gt;=Walmart_Sales_raw_data!$C$6437,"High","low")</f>
        <v>low</v>
      </c>
    </row>
    <row r="3686" spans="1:3">
      <c r="A3686" s="1">
        <v>26</v>
      </c>
      <c r="B3686" s="2">
        <f>Walmart_Sales_raw_data!C3686</f>
        <v>1028569.01</v>
      </c>
      <c r="C3686" t="str">
        <f>IF(B3686&gt;=Walmart_Sales_raw_data!$C$6437,"High","low")</f>
        <v>low</v>
      </c>
    </row>
    <row r="3687" spans="1:3">
      <c r="A3687" s="3">
        <v>26</v>
      </c>
      <c r="B3687" s="2">
        <f>Walmart_Sales_raw_data!C3687</f>
        <v>919503.4</v>
      </c>
      <c r="C3687" t="str">
        <f>IF(B3687&gt;=Walmart_Sales_raw_data!$C$6437,"High","low")</f>
        <v>low</v>
      </c>
    </row>
    <row r="3688" spans="1:3">
      <c r="A3688" s="1">
        <v>26</v>
      </c>
      <c r="B3688" s="2">
        <f>Walmart_Sales_raw_data!C3688</f>
        <v>874790.68</v>
      </c>
      <c r="C3688" t="str">
        <f>IF(B3688&gt;=Walmart_Sales_raw_data!$C$6437,"High","low")</f>
        <v>low</v>
      </c>
    </row>
    <row r="3689" spans="1:3">
      <c r="A3689" s="3">
        <v>26</v>
      </c>
      <c r="B3689" s="2">
        <f>Walmart_Sales_raw_data!C3689</f>
        <v>922018.43</v>
      </c>
      <c r="C3689" t="str">
        <f>IF(B3689&gt;=Walmart_Sales_raw_data!$C$6437,"High","low")</f>
        <v>low</v>
      </c>
    </row>
    <row r="3690" spans="1:3">
      <c r="A3690" s="1">
        <v>26</v>
      </c>
      <c r="B3690" s="2">
        <f>Walmart_Sales_raw_data!C3690</f>
        <v>1116829.23</v>
      </c>
      <c r="C3690" t="str">
        <f>IF(B3690&gt;=Walmart_Sales_raw_data!$C$6437,"High","low")</f>
        <v>High</v>
      </c>
    </row>
    <row r="3691" spans="1:3">
      <c r="A3691" s="3">
        <v>26</v>
      </c>
      <c r="B3691" s="2">
        <f>Walmart_Sales_raw_data!C3691</f>
        <v>889670.29</v>
      </c>
      <c r="C3691" t="str">
        <f>IF(B3691&gt;=Walmart_Sales_raw_data!$C$6437,"High","low")</f>
        <v>low</v>
      </c>
    </row>
    <row r="3692" spans="1:3">
      <c r="A3692" s="1">
        <v>26</v>
      </c>
      <c r="B3692" s="2">
        <f>Walmart_Sales_raw_data!C3692</f>
        <v>923600.02</v>
      </c>
      <c r="C3692" t="str">
        <f>IF(B3692&gt;=Walmart_Sales_raw_data!$C$6437,"High","low")</f>
        <v>low</v>
      </c>
    </row>
    <row r="3693" spans="1:3">
      <c r="A3693" s="3">
        <v>26</v>
      </c>
      <c r="B3693" s="2">
        <f>Walmart_Sales_raw_data!C3693</f>
        <v>911969</v>
      </c>
      <c r="C3693" t="str">
        <f>IF(B3693&gt;=Walmart_Sales_raw_data!$C$6437,"High","low")</f>
        <v>low</v>
      </c>
    </row>
    <row r="3694" spans="1:3">
      <c r="A3694" s="1">
        <v>26</v>
      </c>
      <c r="B3694" s="2">
        <f>Walmart_Sales_raw_data!C3694</f>
        <v>946573.29</v>
      </c>
      <c r="C3694" t="str">
        <f>IF(B3694&gt;=Walmart_Sales_raw_data!$C$6437,"High","low")</f>
        <v>low</v>
      </c>
    </row>
    <row r="3695" spans="1:3">
      <c r="A3695" s="3">
        <v>26</v>
      </c>
      <c r="B3695" s="2">
        <f>Walmart_Sales_raw_data!C3695</f>
        <v>1062548.73</v>
      </c>
      <c r="C3695" t="str">
        <f>IF(B3695&gt;=Walmart_Sales_raw_data!$C$6437,"High","low")</f>
        <v>High</v>
      </c>
    </row>
    <row r="3696" spans="1:3">
      <c r="A3696" s="1">
        <v>26</v>
      </c>
      <c r="B3696" s="2">
        <f>Walmart_Sales_raw_data!C3696</f>
        <v>978082.84</v>
      </c>
      <c r="C3696" t="str">
        <f>IF(B3696&gt;=Walmart_Sales_raw_data!$C$6437,"High","low")</f>
        <v>low</v>
      </c>
    </row>
    <row r="3697" spans="1:3">
      <c r="A3697" s="3">
        <v>26</v>
      </c>
      <c r="B3697" s="2">
        <f>Walmart_Sales_raw_data!C3697</f>
        <v>1067310.74</v>
      </c>
      <c r="C3697" t="str">
        <f>IF(B3697&gt;=Walmart_Sales_raw_data!$C$6437,"High","low")</f>
        <v>High</v>
      </c>
    </row>
    <row r="3698" spans="1:3">
      <c r="A3698" s="1">
        <v>26</v>
      </c>
      <c r="B3698" s="2">
        <f>Walmart_Sales_raw_data!C3698</f>
        <v>1015853.03</v>
      </c>
      <c r="C3698" t="str">
        <f>IF(B3698&gt;=Walmart_Sales_raw_data!$C$6437,"High","low")</f>
        <v>low</v>
      </c>
    </row>
    <row r="3699" spans="1:3">
      <c r="A3699" s="3">
        <v>26</v>
      </c>
      <c r="B3699" s="2">
        <f>Walmart_Sales_raw_data!C3699</f>
        <v>1106176.83</v>
      </c>
      <c r="C3699" t="str">
        <f>IF(B3699&gt;=Walmart_Sales_raw_data!$C$6437,"High","low")</f>
        <v>High</v>
      </c>
    </row>
    <row r="3700" spans="1:3">
      <c r="A3700" s="1">
        <v>26</v>
      </c>
      <c r="B3700" s="2">
        <f>Walmart_Sales_raw_data!C3700</f>
        <v>1029248.22</v>
      </c>
      <c r="C3700" t="str">
        <f>IF(B3700&gt;=Walmart_Sales_raw_data!$C$6437,"High","low")</f>
        <v>low</v>
      </c>
    </row>
    <row r="3701" spans="1:3">
      <c r="A3701" s="3">
        <v>26</v>
      </c>
      <c r="B3701" s="2">
        <f>Walmart_Sales_raw_data!C3701</f>
        <v>1056282.91</v>
      </c>
      <c r="C3701" t="str">
        <f>IF(B3701&gt;=Walmart_Sales_raw_data!$C$6437,"High","low")</f>
        <v>High</v>
      </c>
    </row>
    <row r="3702" spans="1:3">
      <c r="A3702" s="1">
        <v>26</v>
      </c>
      <c r="B3702" s="2">
        <f>Walmart_Sales_raw_data!C3702</f>
        <v>1051190.44</v>
      </c>
      <c r="C3702" t="str">
        <f>IF(B3702&gt;=Walmart_Sales_raw_data!$C$6437,"High","low")</f>
        <v>High</v>
      </c>
    </row>
    <row r="3703" spans="1:3">
      <c r="A3703" s="3">
        <v>26</v>
      </c>
      <c r="B3703" s="2">
        <f>Walmart_Sales_raw_data!C3703</f>
        <v>1180470.8</v>
      </c>
      <c r="C3703" t="str">
        <f>IF(B3703&gt;=Walmart_Sales_raw_data!$C$6437,"High","low")</f>
        <v>High</v>
      </c>
    </row>
    <row r="3704" spans="1:3">
      <c r="A3704" s="1">
        <v>26</v>
      </c>
      <c r="B3704" s="2">
        <f>Walmart_Sales_raw_data!C3704</f>
        <v>1063149.78</v>
      </c>
      <c r="C3704" t="str">
        <f>IF(B3704&gt;=Walmart_Sales_raw_data!$C$6437,"High","low")</f>
        <v>High</v>
      </c>
    </row>
    <row r="3705" spans="1:3">
      <c r="A3705" s="3">
        <v>26</v>
      </c>
      <c r="B3705" s="2">
        <f>Walmart_Sales_raw_data!C3705</f>
        <v>1049625.9</v>
      </c>
      <c r="C3705" t="str">
        <f>IF(B3705&gt;=Walmart_Sales_raw_data!$C$6437,"High","low")</f>
        <v>High</v>
      </c>
    </row>
    <row r="3706" spans="1:3">
      <c r="A3706" s="1">
        <v>26</v>
      </c>
      <c r="B3706" s="2">
        <f>Walmart_Sales_raw_data!C3706</f>
        <v>1031745.14</v>
      </c>
      <c r="C3706" t="str">
        <f>IF(B3706&gt;=Walmart_Sales_raw_data!$C$6437,"High","low")</f>
        <v>low</v>
      </c>
    </row>
    <row r="3707" spans="1:3">
      <c r="A3707" s="3">
        <v>26</v>
      </c>
      <c r="B3707" s="2">
        <f>Walmart_Sales_raw_data!C3707</f>
        <v>1090915.09</v>
      </c>
      <c r="C3707" t="str">
        <f>IF(B3707&gt;=Walmart_Sales_raw_data!$C$6437,"High","low")</f>
        <v>High</v>
      </c>
    </row>
    <row r="3708" spans="1:3">
      <c r="A3708" s="1">
        <v>26</v>
      </c>
      <c r="B3708" s="2">
        <f>Walmart_Sales_raw_data!C3708</f>
        <v>1121476.51</v>
      </c>
      <c r="C3708" t="str">
        <f>IF(B3708&gt;=Walmart_Sales_raw_data!$C$6437,"High","low")</f>
        <v>High</v>
      </c>
    </row>
    <row r="3709" spans="1:3">
      <c r="A3709" s="3">
        <v>26</v>
      </c>
      <c r="B3709" s="2">
        <f>Walmart_Sales_raw_data!C3709</f>
        <v>1068292.56</v>
      </c>
      <c r="C3709" t="str">
        <f>IF(B3709&gt;=Walmart_Sales_raw_data!$C$6437,"High","low")</f>
        <v>High</v>
      </c>
    </row>
    <row r="3710" spans="1:3">
      <c r="A3710" s="1">
        <v>26</v>
      </c>
      <c r="B3710" s="2">
        <f>Walmart_Sales_raw_data!C3710</f>
        <v>1022704.2</v>
      </c>
      <c r="C3710" t="str">
        <f>IF(B3710&gt;=Walmart_Sales_raw_data!$C$6437,"High","low")</f>
        <v>low</v>
      </c>
    </row>
    <row r="3711" spans="1:3">
      <c r="A3711" s="3">
        <v>26</v>
      </c>
      <c r="B3711" s="2">
        <f>Walmart_Sales_raw_data!C3711</f>
        <v>1053495.51</v>
      </c>
      <c r="C3711" t="str">
        <f>IF(B3711&gt;=Walmart_Sales_raw_data!$C$6437,"High","low")</f>
        <v>High</v>
      </c>
    </row>
    <row r="3712" spans="1:3">
      <c r="A3712" s="1">
        <v>26</v>
      </c>
      <c r="B3712" s="2">
        <f>Walmart_Sales_raw_data!C3712</f>
        <v>1081874.03</v>
      </c>
      <c r="C3712" t="str">
        <f>IF(B3712&gt;=Walmart_Sales_raw_data!$C$6437,"High","low")</f>
        <v>High</v>
      </c>
    </row>
    <row r="3713" spans="1:3">
      <c r="A3713" s="3">
        <v>26</v>
      </c>
      <c r="B3713" s="2">
        <f>Walmart_Sales_raw_data!C3713</f>
        <v>986131.94</v>
      </c>
      <c r="C3713" t="str">
        <f>IF(B3713&gt;=Walmart_Sales_raw_data!$C$6437,"High","low")</f>
        <v>low</v>
      </c>
    </row>
    <row r="3714" spans="1:3">
      <c r="A3714" s="1">
        <v>26</v>
      </c>
      <c r="B3714" s="2">
        <f>Walmart_Sales_raw_data!C3714</f>
        <v>961084.08</v>
      </c>
      <c r="C3714" t="str">
        <f>IF(B3714&gt;=Walmart_Sales_raw_data!$C$6437,"High","low")</f>
        <v>low</v>
      </c>
    </row>
    <row r="3715" spans="1:3">
      <c r="A3715" s="3">
        <v>26</v>
      </c>
      <c r="B3715" s="2">
        <f>Walmart_Sales_raw_data!C3715</f>
        <v>964726.37</v>
      </c>
      <c r="C3715" t="str">
        <f>IF(B3715&gt;=Walmart_Sales_raw_data!$C$6437,"High","low")</f>
        <v>low</v>
      </c>
    </row>
    <row r="3716" spans="1:3">
      <c r="A3716" s="1">
        <v>26</v>
      </c>
      <c r="B3716" s="2">
        <f>Walmart_Sales_raw_data!C3716</f>
        <v>1095504.26</v>
      </c>
      <c r="C3716" t="str">
        <f>IF(B3716&gt;=Walmart_Sales_raw_data!$C$6437,"High","low")</f>
        <v>High</v>
      </c>
    </row>
    <row r="3717" spans="1:3">
      <c r="A3717" s="3">
        <v>26</v>
      </c>
      <c r="B3717" s="2">
        <f>Walmart_Sales_raw_data!C3717</f>
        <v>1044639.69</v>
      </c>
      <c r="C3717" t="str">
        <f>IF(B3717&gt;=Walmart_Sales_raw_data!$C$6437,"High","low")</f>
        <v>low</v>
      </c>
    </row>
    <row r="3718" spans="1:3">
      <c r="A3718" s="1">
        <v>26</v>
      </c>
      <c r="B3718" s="2">
        <f>Walmart_Sales_raw_data!C3718</f>
        <v>975578.02</v>
      </c>
      <c r="C3718" t="str">
        <f>IF(B3718&gt;=Walmart_Sales_raw_data!$C$6437,"High","low")</f>
        <v>low</v>
      </c>
    </row>
    <row r="3719" spans="1:3">
      <c r="A3719" s="3">
        <v>26</v>
      </c>
      <c r="B3719" s="2">
        <f>Walmart_Sales_raw_data!C3719</f>
        <v>958619.8</v>
      </c>
      <c r="C3719" t="str">
        <f>IF(B3719&gt;=Walmart_Sales_raw_data!$C$6437,"High","low")</f>
        <v>low</v>
      </c>
    </row>
    <row r="3720" spans="1:3">
      <c r="A3720" s="1">
        <v>27</v>
      </c>
      <c r="B3720" s="2">
        <f>Walmart_Sales_raw_data!C3720</f>
        <v>1874289.79</v>
      </c>
      <c r="C3720" t="str">
        <f>IF(B3720&gt;=Walmart_Sales_raw_data!$C$6437,"High","low")</f>
        <v>High</v>
      </c>
    </row>
    <row r="3721" spans="1:3">
      <c r="A3721" s="3">
        <v>27</v>
      </c>
      <c r="B3721" s="2">
        <f>Walmart_Sales_raw_data!C3721</f>
        <v>1745362.72</v>
      </c>
      <c r="C3721" t="str">
        <f>IF(B3721&gt;=Walmart_Sales_raw_data!$C$6437,"High","low")</f>
        <v>High</v>
      </c>
    </row>
    <row r="3722" spans="1:3">
      <c r="A3722" s="1">
        <v>27</v>
      </c>
      <c r="B3722" s="2">
        <f>Walmart_Sales_raw_data!C3722</f>
        <v>1945070.33</v>
      </c>
      <c r="C3722" t="str">
        <f>IF(B3722&gt;=Walmart_Sales_raw_data!$C$6437,"High","low")</f>
        <v>High</v>
      </c>
    </row>
    <row r="3723" spans="1:3">
      <c r="A3723" s="3">
        <v>27</v>
      </c>
      <c r="B3723" s="2">
        <f>Walmart_Sales_raw_data!C3723</f>
        <v>1390934.27</v>
      </c>
      <c r="C3723" t="str">
        <f>IF(B3723&gt;=Walmart_Sales_raw_data!$C$6437,"High","low")</f>
        <v>High</v>
      </c>
    </row>
    <row r="3724" spans="1:3">
      <c r="A3724" s="1">
        <v>27</v>
      </c>
      <c r="B3724" s="2">
        <f>Walmart_Sales_raw_data!C3724</f>
        <v>1313729.72</v>
      </c>
      <c r="C3724" t="str">
        <f>IF(B3724&gt;=Walmart_Sales_raw_data!$C$6437,"High","low")</f>
        <v>High</v>
      </c>
    </row>
    <row r="3725" spans="1:3">
      <c r="A3725" s="3">
        <v>27</v>
      </c>
      <c r="B3725" s="2">
        <f>Walmart_Sales_raw_data!C3725</f>
        <v>1925113.12</v>
      </c>
      <c r="C3725" t="str">
        <f>IF(B3725&gt;=Walmart_Sales_raw_data!$C$6437,"High","low")</f>
        <v>High</v>
      </c>
    </row>
    <row r="3726" spans="1:3">
      <c r="A3726" s="1">
        <v>27</v>
      </c>
      <c r="B3726" s="2">
        <f>Walmart_Sales_raw_data!C3726</f>
        <v>1700627.97</v>
      </c>
      <c r="C3726" t="str">
        <f>IF(B3726&gt;=Walmart_Sales_raw_data!$C$6437,"High","low")</f>
        <v>High</v>
      </c>
    </row>
    <row r="3727" spans="1:3">
      <c r="A3727" s="3">
        <v>27</v>
      </c>
      <c r="B3727" s="2">
        <f>Walmart_Sales_raw_data!C3727</f>
        <v>1836714.84</v>
      </c>
      <c r="C3727" t="str">
        <f>IF(B3727&gt;=Walmart_Sales_raw_data!$C$6437,"High","low")</f>
        <v>High</v>
      </c>
    </row>
    <row r="3728" spans="1:3">
      <c r="A3728" s="1">
        <v>27</v>
      </c>
      <c r="B3728" s="2">
        <f>Walmart_Sales_raw_data!C3728</f>
        <v>2053952.97</v>
      </c>
      <c r="C3728" t="str">
        <f>IF(B3728&gt;=Walmart_Sales_raw_data!$C$6437,"High","low")</f>
        <v>High</v>
      </c>
    </row>
    <row r="3729" spans="1:3">
      <c r="A3729" s="3">
        <v>27</v>
      </c>
      <c r="B3729" s="2">
        <f>Walmart_Sales_raw_data!C3729</f>
        <v>1955814.13</v>
      </c>
      <c r="C3729" t="str">
        <f>IF(B3729&gt;=Walmart_Sales_raw_data!$C$6437,"High","low")</f>
        <v>High</v>
      </c>
    </row>
    <row r="3730" spans="1:3">
      <c r="A3730" s="1">
        <v>27</v>
      </c>
      <c r="B3730" s="2">
        <f>Walmart_Sales_raw_data!C3730</f>
        <v>1857500.96</v>
      </c>
      <c r="C3730" t="str">
        <f>IF(B3730&gt;=Walmart_Sales_raw_data!$C$6437,"High","low")</f>
        <v>High</v>
      </c>
    </row>
    <row r="3731" spans="1:3">
      <c r="A3731" s="3">
        <v>27</v>
      </c>
      <c r="B3731" s="2">
        <f>Walmart_Sales_raw_data!C3731</f>
        <v>1850205.47</v>
      </c>
      <c r="C3731" t="str">
        <f>IF(B3731&gt;=Walmart_Sales_raw_data!$C$6437,"High","low")</f>
        <v>High</v>
      </c>
    </row>
    <row r="3732" spans="1:3">
      <c r="A3732" s="1">
        <v>27</v>
      </c>
      <c r="B3732" s="2">
        <f>Walmart_Sales_raw_data!C3732</f>
        <v>1805885.04</v>
      </c>
      <c r="C3732" t="str">
        <f>IF(B3732&gt;=Walmart_Sales_raw_data!$C$6437,"High","low")</f>
        <v>High</v>
      </c>
    </row>
    <row r="3733" spans="1:3">
      <c r="A3733" s="3">
        <v>27</v>
      </c>
      <c r="B3733" s="2">
        <f>Walmart_Sales_raw_data!C3733</f>
        <v>1939458.84</v>
      </c>
      <c r="C3733" t="str">
        <f>IF(B3733&gt;=Walmart_Sales_raw_data!$C$6437,"High","low")</f>
        <v>High</v>
      </c>
    </row>
    <row r="3734" spans="1:3">
      <c r="A3734" s="1">
        <v>27</v>
      </c>
      <c r="B3734" s="2">
        <f>Walmart_Sales_raw_data!C3734</f>
        <v>1842465.78</v>
      </c>
      <c r="C3734" t="str">
        <f>IF(B3734&gt;=Walmart_Sales_raw_data!$C$6437,"High","low")</f>
        <v>High</v>
      </c>
    </row>
    <row r="3735" spans="1:3">
      <c r="A3735" s="3">
        <v>27</v>
      </c>
      <c r="B3735" s="2">
        <f>Walmart_Sales_raw_data!C3735</f>
        <v>1836595.58</v>
      </c>
      <c r="C3735" t="str">
        <f>IF(B3735&gt;=Walmart_Sales_raw_data!$C$6437,"High","low")</f>
        <v>High</v>
      </c>
    </row>
    <row r="3736" spans="1:3">
      <c r="A3736" s="1">
        <v>27</v>
      </c>
      <c r="B3736" s="2">
        <f>Walmart_Sales_raw_data!C3736</f>
        <v>1962468.67</v>
      </c>
      <c r="C3736" t="str">
        <f>IF(B3736&gt;=Walmart_Sales_raw_data!$C$6437,"High","low")</f>
        <v>High</v>
      </c>
    </row>
    <row r="3737" spans="1:3">
      <c r="A3737" s="3">
        <v>27</v>
      </c>
      <c r="B3737" s="2">
        <f>Walmart_Sales_raw_data!C3737</f>
        <v>2073102.59</v>
      </c>
      <c r="C3737" t="str">
        <f>IF(B3737&gt;=Walmart_Sales_raw_data!$C$6437,"High","low")</f>
        <v>High</v>
      </c>
    </row>
    <row r="3738" spans="1:3">
      <c r="A3738" s="1">
        <v>27</v>
      </c>
      <c r="B3738" s="2">
        <f>Walmart_Sales_raw_data!C3738</f>
        <v>1873812.93</v>
      </c>
      <c r="C3738" t="str">
        <f>IF(B3738&gt;=Walmart_Sales_raw_data!$C$6437,"High","low")</f>
        <v>High</v>
      </c>
    </row>
    <row r="3739" spans="1:3">
      <c r="A3739" s="3">
        <v>27</v>
      </c>
      <c r="B3739" s="2">
        <f>Walmart_Sales_raw_data!C3739</f>
        <v>1887182.27</v>
      </c>
      <c r="C3739" t="str">
        <f>IF(B3739&gt;=Walmart_Sales_raw_data!$C$6437,"High","low")</f>
        <v>High</v>
      </c>
    </row>
    <row r="3740" spans="1:3">
      <c r="A3740" s="1">
        <v>27</v>
      </c>
      <c r="B3740" s="2">
        <f>Walmart_Sales_raw_data!C3740</f>
        <v>1962625.01</v>
      </c>
      <c r="C3740" t="str">
        <f>IF(B3740&gt;=Walmart_Sales_raw_data!$C$6437,"High","low")</f>
        <v>High</v>
      </c>
    </row>
    <row r="3741" spans="1:3">
      <c r="A3741" s="3">
        <v>27</v>
      </c>
      <c r="B3741" s="2">
        <f>Walmart_Sales_raw_data!C3741</f>
        <v>2024554.1</v>
      </c>
      <c r="C3741" t="str">
        <f>IF(B3741&gt;=Walmart_Sales_raw_data!$C$6437,"High","low")</f>
        <v>High</v>
      </c>
    </row>
    <row r="3742" spans="1:3">
      <c r="A3742" s="1">
        <v>27</v>
      </c>
      <c r="B3742" s="2">
        <f>Walmart_Sales_raw_data!C3742</f>
        <v>2119163.01</v>
      </c>
      <c r="C3742" t="str">
        <f>IF(B3742&gt;=Walmart_Sales_raw_data!$C$6437,"High","low")</f>
        <v>High</v>
      </c>
    </row>
    <row r="3743" spans="1:3">
      <c r="A3743" s="3">
        <v>27</v>
      </c>
      <c r="B3743" s="2">
        <f>Walmart_Sales_raw_data!C3743</f>
        <v>1880691.64</v>
      </c>
      <c r="C3743" t="str">
        <f>IF(B3743&gt;=Walmart_Sales_raw_data!$C$6437,"High","low")</f>
        <v>High</v>
      </c>
    </row>
    <row r="3744" spans="1:3">
      <c r="A3744" s="1">
        <v>27</v>
      </c>
      <c r="B3744" s="2">
        <f>Walmart_Sales_raw_data!C3744</f>
        <v>1808250.71</v>
      </c>
      <c r="C3744" t="str">
        <f>IF(B3744&gt;=Walmart_Sales_raw_data!$C$6437,"High","low")</f>
        <v>High</v>
      </c>
    </row>
    <row r="3745" spans="1:3">
      <c r="A3745" s="3">
        <v>27</v>
      </c>
      <c r="B3745" s="2">
        <f>Walmart_Sales_raw_data!C3745</f>
        <v>1816489.53</v>
      </c>
      <c r="C3745" t="str">
        <f>IF(B3745&gt;=Walmart_Sales_raw_data!$C$6437,"High","low")</f>
        <v>High</v>
      </c>
    </row>
    <row r="3746" spans="1:3">
      <c r="A3746" s="1">
        <v>27</v>
      </c>
      <c r="B3746" s="2">
        <f>Walmart_Sales_raw_data!C3746</f>
        <v>1908036.68</v>
      </c>
      <c r="C3746" t="str">
        <f>IF(B3746&gt;=Walmart_Sales_raw_data!$C$6437,"High","low")</f>
        <v>High</v>
      </c>
    </row>
    <row r="3747" spans="1:3">
      <c r="A3747" s="3">
        <v>27</v>
      </c>
      <c r="B3747" s="2">
        <f>Walmart_Sales_raw_data!C3747</f>
        <v>1864436.12</v>
      </c>
      <c r="C3747" t="str">
        <f>IF(B3747&gt;=Walmart_Sales_raw_data!$C$6437,"High","low")</f>
        <v>High</v>
      </c>
    </row>
    <row r="3748" spans="1:3">
      <c r="A3748" s="1">
        <v>27</v>
      </c>
      <c r="B3748" s="2">
        <f>Walmart_Sales_raw_data!C3748</f>
        <v>1936878.46</v>
      </c>
      <c r="C3748" t="str">
        <f>IF(B3748&gt;=Walmart_Sales_raw_data!$C$6437,"High","low")</f>
        <v>High</v>
      </c>
    </row>
    <row r="3749" spans="1:3">
      <c r="A3749" s="3">
        <v>27</v>
      </c>
      <c r="B3749" s="2">
        <f>Walmart_Sales_raw_data!C3749</f>
        <v>1870684.21</v>
      </c>
      <c r="C3749" t="str">
        <f>IF(B3749&gt;=Walmart_Sales_raw_data!$C$6437,"High","low")</f>
        <v>High</v>
      </c>
    </row>
    <row r="3750" spans="1:3">
      <c r="A3750" s="1">
        <v>27</v>
      </c>
      <c r="B3750" s="2">
        <f>Walmart_Sales_raw_data!C3750</f>
        <v>1908110.9</v>
      </c>
      <c r="C3750" t="str">
        <f>IF(B3750&gt;=Walmart_Sales_raw_data!$C$6437,"High","low")</f>
        <v>High</v>
      </c>
    </row>
    <row r="3751" spans="1:3">
      <c r="A3751" s="3">
        <v>27</v>
      </c>
      <c r="B3751" s="2">
        <f>Walmart_Sales_raw_data!C3751</f>
        <v>1913494.81</v>
      </c>
      <c r="C3751" t="str">
        <f>IF(B3751&gt;=Walmart_Sales_raw_data!$C$6437,"High","low")</f>
        <v>High</v>
      </c>
    </row>
    <row r="3752" spans="1:3">
      <c r="A3752" s="1">
        <v>27</v>
      </c>
      <c r="B3752" s="2">
        <f>Walmart_Sales_raw_data!C3752</f>
        <v>1629978.46</v>
      </c>
      <c r="C3752" t="str">
        <f>IF(B3752&gt;=Walmart_Sales_raw_data!$C$6437,"High","low")</f>
        <v>High</v>
      </c>
    </row>
    <row r="3753" spans="1:3">
      <c r="A3753" s="3">
        <v>27</v>
      </c>
      <c r="B3753" s="2">
        <f>Walmart_Sales_raw_data!C3753</f>
        <v>1597002.71</v>
      </c>
      <c r="C3753" t="str">
        <f>IF(B3753&gt;=Walmart_Sales_raw_data!$C$6437,"High","low")</f>
        <v>High</v>
      </c>
    </row>
    <row r="3754" spans="1:3">
      <c r="A3754" s="1">
        <v>27</v>
      </c>
      <c r="B3754" s="2">
        <f>Walmart_Sales_raw_data!C3754</f>
        <v>1543532.83</v>
      </c>
      <c r="C3754" t="str">
        <f>IF(B3754&gt;=Walmart_Sales_raw_data!$C$6437,"High","low")</f>
        <v>High</v>
      </c>
    </row>
    <row r="3755" spans="1:3">
      <c r="A3755" s="3">
        <v>27</v>
      </c>
      <c r="B3755" s="2">
        <f>Walmart_Sales_raw_data!C3755</f>
        <v>1707662.87</v>
      </c>
      <c r="C3755" t="str">
        <f>IF(B3755&gt;=Walmart_Sales_raw_data!$C$6437,"High","low")</f>
        <v>High</v>
      </c>
    </row>
    <row r="3756" spans="1:3">
      <c r="A3756" s="1">
        <v>27</v>
      </c>
      <c r="B3756" s="2">
        <f>Walmart_Sales_raw_data!C3756</f>
        <v>1728388.2</v>
      </c>
      <c r="C3756" t="str">
        <f>IF(B3756&gt;=Walmart_Sales_raw_data!$C$6437,"High","low")</f>
        <v>High</v>
      </c>
    </row>
    <row r="3757" spans="1:3">
      <c r="A3757" s="3">
        <v>27</v>
      </c>
      <c r="B3757" s="2">
        <f>Walmart_Sales_raw_data!C3757</f>
        <v>1693935.29</v>
      </c>
      <c r="C3757" t="str">
        <f>IF(B3757&gt;=Walmart_Sales_raw_data!$C$6437,"High","low")</f>
        <v>High</v>
      </c>
    </row>
    <row r="3758" spans="1:3">
      <c r="A3758" s="1">
        <v>27</v>
      </c>
      <c r="B3758" s="2">
        <f>Walmart_Sales_raw_data!C3758</f>
        <v>1688955.49</v>
      </c>
      <c r="C3758" t="str">
        <f>IF(B3758&gt;=Walmart_Sales_raw_data!$C$6437,"High","low")</f>
        <v>High</v>
      </c>
    </row>
    <row r="3759" spans="1:3">
      <c r="A3759" s="3">
        <v>27</v>
      </c>
      <c r="B3759" s="2">
        <f>Walmart_Sales_raw_data!C3759</f>
        <v>1686010.02</v>
      </c>
      <c r="C3759" t="str">
        <f>IF(B3759&gt;=Walmart_Sales_raw_data!$C$6437,"High","low")</f>
        <v>High</v>
      </c>
    </row>
    <row r="3760" spans="1:3">
      <c r="A3760" s="1">
        <v>27</v>
      </c>
      <c r="B3760" s="2">
        <f>Walmart_Sales_raw_data!C3760</f>
        <v>1828010.25</v>
      </c>
      <c r="C3760" t="str">
        <f>IF(B3760&gt;=Walmart_Sales_raw_data!$C$6437,"High","low")</f>
        <v>High</v>
      </c>
    </row>
    <row r="3761" spans="1:3">
      <c r="A3761" s="3">
        <v>27</v>
      </c>
      <c r="B3761" s="2">
        <f>Walmart_Sales_raw_data!C3761</f>
        <v>1704785.74</v>
      </c>
      <c r="C3761" t="str">
        <f>IF(B3761&gt;=Walmart_Sales_raw_data!$C$6437,"High","low")</f>
        <v>High</v>
      </c>
    </row>
    <row r="3762" spans="1:3">
      <c r="A3762" s="1">
        <v>27</v>
      </c>
      <c r="B3762" s="2">
        <f>Walmart_Sales_raw_data!C3762</f>
        <v>2627910.75</v>
      </c>
      <c r="C3762" t="str">
        <f>IF(B3762&gt;=Walmart_Sales_raw_data!$C$6437,"High","low")</f>
        <v>High</v>
      </c>
    </row>
    <row r="3763" spans="1:3">
      <c r="A3763" s="3">
        <v>27</v>
      </c>
      <c r="B3763" s="2">
        <f>Walmart_Sales_raw_data!C3763</f>
        <v>1884343.67</v>
      </c>
      <c r="C3763" t="str">
        <f>IF(B3763&gt;=Walmart_Sales_raw_data!$C$6437,"High","low")</f>
        <v>High</v>
      </c>
    </row>
    <row r="3764" spans="1:3">
      <c r="A3764" s="1">
        <v>27</v>
      </c>
      <c r="B3764" s="2">
        <f>Walmart_Sales_raw_data!C3764</f>
        <v>2139733.68</v>
      </c>
      <c r="C3764" t="str">
        <f>IF(B3764&gt;=Walmart_Sales_raw_data!$C$6437,"High","low")</f>
        <v>High</v>
      </c>
    </row>
    <row r="3765" spans="1:3">
      <c r="A3765" s="3">
        <v>27</v>
      </c>
      <c r="B3765" s="2">
        <f>Walmart_Sales_raw_data!C3765</f>
        <v>2350098.36</v>
      </c>
      <c r="C3765" t="str">
        <f>IF(B3765&gt;=Walmart_Sales_raw_data!$C$6437,"High","low")</f>
        <v>High</v>
      </c>
    </row>
    <row r="3766" spans="1:3">
      <c r="A3766" s="1">
        <v>27</v>
      </c>
      <c r="B3766" s="2">
        <f>Walmart_Sales_raw_data!C3766</f>
        <v>3078162.08</v>
      </c>
      <c r="C3766" t="str">
        <f>IF(B3766&gt;=Walmart_Sales_raw_data!$C$6437,"High","low")</f>
        <v>High</v>
      </c>
    </row>
    <row r="3767" spans="1:3">
      <c r="A3767" s="3">
        <v>27</v>
      </c>
      <c r="B3767" s="2">
        <f>Walmart_Sales_raw_data!C3767</f>
        <v>1440963</v>
      </c>
      <c r="C3767" t="str">
        <f>IF(B3767&gt;=Walmart_Sales_raw_data!$C$6437,"High","low")</f>
        <v>High</v>
      </c>
    </row>
    <row r="3768" spans="1:3">
      <c r="A3768" s="1">
        <v>27</v>
      </c>
      <c r="B3768" s="2">
        <f>Walmart_Sales_raw_data!C3768</f>
        <v>1568159.48</v>
      </c>
      <c r="C3768" t="str">
        <f>IF(B3768&gt;=Walmart_Sales_raw_data!$C$6437,"High","low")</f>
        <v>High</v>
      </c>
    </row>
    <row r="3769" spans="1:3">
      <c r="A3769" s="3">
        <v>27</v>
      </c>
      <c r="B3769" s="2">
        <f>Walmart_Sales_raw_data!C3769</f>
        <v>1532308.62</v>
      </c>
      <c r="C3769" t="str">
        <f>IF(B3769&gt;=Walmart_Sales_raw_data!$C$6437,"High","low")</f>
        <v>High</v>
      </c>
    </row>
    <row r="3770" spans="1:3">
      <c r="A3770" s="1">
        <v>27</v>
      </c>
      <c r="B3770" s="2">
        <f>Walmart_Sales_raw_data!C3770</f>
        <v>1517029.9</v>
      </c>
      <c r="C3770" t="str">
        <f>IF(B3770&gt;=Walmart_Sales_raw_data!$C$6437,"High","low")</f>
        <v>High</v>
      </c>
    </row>
    <row r="3771" spans="1:3">
      <c r="A3771" s="3">
        <v>27</v>
      </c>
      <c r="B3771" s="2">
        <f>Walmart_Sales_raw_data!C3771</f>
        <v>1421111.55</v>
      </c>
      <c r="C3771" t="str">
        <f>IF(B3771&gt;=Walmart_Sales_raw_data!$C$6437,"High","low")</f>
        <v>High</v>
      </c>
    </row>
    <row r="3772" spans="1:3">
      <c r="A3772" s="1">
        <v>27</v>
      </c>
      <c r="B3772" s="2">
        <f>Walmart_Sales_raw_data!C3772</f>
        <v>1628100.79</v>
      </c>
      <c r="C3772" t="str">
        <f>IF(B3772&gt;=Walmart_Sales_raw_data!$C$6437,"High","low")</f>
        <v>High</v>
      </c>
    </row>
    <row r="3773" spans="1:3">
      <c r="A3773" s="3">
        <v>27</v>
      </c>
      <c r="B3773" s="2">
        <f>Walmart_Sales_raw_data!C3773</f>
        <v>1636224.77</v>
      </c>
      <c r="C3773" t="str">
        <f>IF(B3773&gt;=Walmart_Sales_raw_data!$C$6437,"High","low")</f>
        <v>High</v>
      </c>
    </row>
    <row r="3774" spans="1:3">
      <c r="A3774" s="1">
        <v>27</v>
      </c>
      <c r="B3774" s="2">
        <f>Walmart_Sales_raw_data!C3774</f>
        <v>1709365.19</v>
      </c>
      <c r="C3774" t="str">
        <f>IF(B3774&gt;=Walmart_Sales_raw_data!$C$6437,"High","low")</f>
        <v>High</v>
      </c>
    </row>
    <row r="3775" spans="1:3">
      <c r="A3775" s="3">
        <v>27</v>
      </c>
      <c r="B3775" s="2">
        <f>Walmart_Sales_raw_data!C3775</f>
        <v>1688935.71</v>
      </c>
      <c r="C3775" t="str">
        <f>IF(B3775&gt;=Walmart_Sales_raw_data!$C$6437,"High","low")</f>
        <v>High</v>
      </c>
    </row>
    <row r="3776" spans="1:3">
      <c r="A3776" s="1">
        <v>27</v>
      </c>
      <c r="B3776" s="2">
        <f>Walmart_Sales_raw_data!C3776</f>
        <v>1656130.67</v>
      </c>
      <c r="C3776" t="str">
        <f>IF(B3776&gt;=Walmart_Sales_raw_data!$C$6437,"High","low")</f>
        <v>High</v>
      </c>
    </row>
    <row r="3777" spans="1:3">
      <c r="A3777" s="3">
        <v>27</v>
      </c>
      <c r="B3777" s="2">
        <f>Walmart_Sales_raw_data!C3777</f>
        <v>1613259.77</v>
      </c>
      <c r="C3777" t="str">
        <f>IF(B3777&gt;=Walmart_Sales_raw_data!$C$6437,"High","low")</f>
        <v>High</v>
      </c>
    </row>
    <row r="3778" spans="1:3">
      <c r="A3778" s="1">
        <v>27</v>
      </c>
      <c r="B3778" s="2">
        <f>Walmart_Sales_raw_data!C3778</f>
        <v>1624539.21</v>
      </c>
      <c r="C3778" t="str">
        <f>IF(B3778&gt;=Walmart_Sales_raw_data!$C$6437,"High","low")</f>
        <v>High</v>
      </c>
    </row>
    <row r="3779" spans="1:3">
      <c r="A3779" s="3">
        <v>27</v>
      </c>
      <c r="B3779" s="2">
        <f>Walmart_Sales_raw_data!C3779</f>
        <v>1554651.08</v>
      </c>
      <c r="C3779" t="str">
        <f>IF(B3779&gt;=Walmart_Sales_raw_data!$C$6437,"High","low")</f>
        <v>High</v>
      </c>
    </row>
    <row r="3780" spans="1:3">
      <c r="A3780" s="1">
        <v>27</v>
      </c>
      <c r="B3780" s="2">
        <f>Walmart_Sales_raw_data!C3780</f>
        <v>1628868.28</v>
      </c>
      <c r="C3780" t="str">
        <f>IF(B3780&gt;=Walmart_Sales_raw_data!$C$6437,"High","low")</f>
        <v>High</v>
      </c>
    </row>
    <row r="3781" spans="1:3">
      <c r="A3781" s="3">
        <v>27</v>
      </c>
      <c r="B3781" s="2">
        <f>Walmart_Sales_raw_data!C3781</f>
        <v>1689844.18</v>
      </c>
      <c r="C3781" t="str">
        <f>IF(B3781&gt;=Walmart_Sales_raw_data!$C$6437,"High","low")</f>
        <v>High</v>
      </c>
    </row>
    <row r="3782" spans="1:3">
      <c r="A3782" s="1">
        <v>27</v>
      </c>
      <c r="B3782" s="2">
        <f>Walmart_Sales_raw_data!C3782</f>
        <v>1727175.61</v>
      </c>
      <c r="C3782" t="str">
        <f>IF(B3782&gt;=Walmart_Sales_raw_data!$C$6437,"High","low")</f>
        <v>High</v>
      </c>
    </row>
    <row r="3783" spans="1:3">
      <c r="A3783" s="3">
        <v>27</v>
      </c>
      <c r="B3783" s="2">
        <f>Walmart_Sales_raw_data!C3783</f>
        <v>1921655.48</v>
      </c>
      <c r="C3783" t="str">
        <f>IF(B3783&gt;=Walmart_Sales_raw_data!$C$6437,"High","low")</f>
        <v>High</v>
      </c>
    </row>
    <row r="3784" spans="1:3">
      <c r="A3784" s="1">
        <v>27</v>
      </c>
      <c r="B3784" s="2">
        <f>Walmart_Sales_raw_data!C3784</f>
        <v>1642074.64</v>
      </c>
      <c r="C3784" t="str">
        <f>IF(B3784&gt;=Walmart_Sales_raw_data!$C$6437,"High","low")</f>
        <v>High</v>
      </c>
    </row>
    <row r="3785" spans="1:3">
      <c r="A3785" s="3">
        <v>27</v>
      </c>
      <c r="B3785" s="2">
        <f>Walmart_Sales_raw_data!C3785</f>
        <v>1757041.96</v>
      </c>
      <c r="C3785" t="str">
        <f>IF(B3785&gt;=Walmart_Sales_raw_data!$C$6437,"High","low")</f>
        <v>High</v>
      </c>
    </row>
    <row r="3786" spans="1:3">
      <c r="A3786" s="1">
        <v>27</v>
      </c>
      <c r="B3786" s="2">
        <f>Walmart_Sales_raw_data!C3786</f>
        <v>1763545.32</v>
      </c>
      <c r="C3786" t="str">
        <f>IF(B3786&gt;=Walmart_Sales_raw_data!$C$6437,"High","low")</f>
        <v>High</v>
      </c>
    </row>
    <row r="3787" spans="1:3">
      <c r="A3787" s="3">
        <v>27</v>
      </c>
      <c r="B3787" s="2">
        <f>Walmart_Sales_raw_data!C3787</f>
        <v>1725268.56</v>
      </c>
      <c r="C3787" t="str">
        <f>IF(B3787&gt;=Walmart_Sales_raw_data!$C$6437,"High","low")</f>
        <v>High</v>
      </c>
    </row>
    <row r="3788" spans="1:3">
      <c r="A3788" s="1">
        <v>27</v>
      </c>
      <c r="B3788" s="2">
        <f>Walmart_Sales_raw_data!C3788</f>
        <v>1820723.17</v>
      </c>
      <c r="C3788" t="str">
        <f>IF(B3788&gt;=Walmart_Sales_raw_data!$C$6437,"High","low")</f>
        <v>High</v>
      </c>
    </row>
    <row r="3789" spans="1:3">
      <c r="A3789" s="3">
        <v>27</v>
      </c>
      <c r="B3789" s="2">
        <f>Walmart_Sales_raw_data!C3789</f>
        <v>2053708.01</v>
      </c>
      <c r="C3789" t="str">
        <f>IF(B3789&gt;=Walmart_Sales_raw_data!$C$6437,"High","low")</f>
        <v>High</v>
      </c>
    </row>
    <row r="3790" spans="1:3">
      <c r="A3790" s="1">
        <v>27</v>
      </c>
      <c r="B3790" s="2">
        <f>Walmart_Sales_raw_data!C3790</f>
        <v>1817914.71</v>
      </c>
      <c r="C3790" t="str">
        <f>IF(B3790&gt;=Walmart_Sales_raw_data!$C$6437,"High","low")</f>
        <v>High</v>
      </c>
    </row>
    <row r="3791" spans="1:3">
      <c r="A3791" s="3">
        <v>27</v>
      </c>
      <c r="B3791" s="2">
        <f>Walmart_Sales_raw_data!C3791</f>
        <v>1814740.09</v>
      </c>
      <c r="C3791" t="str">
        <f>IF(B3791&gt;=Walmart_Sales_raw_data!$C$6437,"High","low")</f>
        <v>High</v>
      </c>
    </row>
    <row r="3792" spans="1:3">
      <c r="A3792" s="1">
        <v>27</v>
      </c>
      <c r="B3792" s="2">
        <f>Walmart_Sales_raw_data!C3792</f>
        <v>1811455.15</v>
      </c>
      <c r="C3792" t="str">
        <f>IF(B3792&gt;=Walmart_Sales_raw_data!$C$6437,"High","low")</f>
        <v>High</v>
      </c>
    </row>
    <row r="3793" spans="1:3">
      <c r="A3793" s="3">
        <v>27</v>
      </c>
      <c r="B3793" s="2">
        <f>Walmart_Sales_raw_data!C3793</f>
        <v>1949983.93</v>
      </c>
      <c r="C3793" t="str">
        <f>IF(B3793&gt;=Walmart_Sales_raw_data!$C$6437,"High","low")</f>
        <v>High</v>
      </c>
    </row>
    <row r="3794" spans="1:3">
      <c r="A3794" s="1">
        <v>27</v>
      </c>
      <c r="B3794" s="2">
        <f>Walmart_Sales_raw_data!C3794</f>
        <v>2000055.27</v>
      </c>
      <c r="C3794" t="str">
        <f>IF(B3794&gt;=Walmart_Sales_raw_data!$C$6437,"High","low")</f>
        <v>High</v>
      </c>
    </row>
    <row r="3795" spans="1:3">
      <c r="A3795" s="3">
        <v>27</v>
      </c>
      <c r="B3795" s="2">
        <f>Walmart_Sales_raw_data!C3795</f>
        <v>1762155.79</v>
      </c>
      <c r="C3795" t="str">
        <f>IF(B3795&gt;=Walmart_Sales_raw_data!$C$6437,"High","low")</f>
        <v>High</v>
      </c>
    </row>
    <row r="3796" spans="1:3">
      <c r="A3796" s="1">
        <v>27</v>
      </c>
      <c r="B3796" s="2">
        <f>Walmart_Sales_raw_data!C3796</f>
        <v>1754879.45</v>
      </c>
      <c r="C3796" t="str">
        <f>IF(B3796&gt;=Walmart_Sales_raw_data!$C$6437,"High","low")</f>
        <v>High</v>
      </c>
    </row>
    <row r="3797" spans="1:3">
      <c r="A3797" s="3">
        <v>27</v>
      </c>
      <c r="B3797" s="2">
        <f>Walmart_Sales_raw_data!C3797</f>
        <v>1744879.06</v>
      </c>
      <c r="C3797" t="str">
        <f>IF(B3797&gt;=Walmart_Sales_raw_data!$C$6437,"High","low")</f>
        <v>High</v>
      </c>
    </row>
    <row r="3798" spans="1:3">
      <c r="A3798" s="1">
        <v>27</v>
      </c>
      <c r="B3798" s="2">
        <f>Walmart_Sales_raw_data!C3798</f>
        <v>1747289.53</v>
      </c>
      <c r="C3798" t="str">
        <f>IF(B3798&gt;=Walmart_Sales_raw_data!$C$6437,"High","low")</f>
        <v>High</v>
      </c>
    </row>
    <row r="3799" spans="1:3">
      <c r="A3799" s="3">
        <v>27</v>
      </c>
      <c r="B3799" s="2">
        <f>Walmart_Sales_raw_data!C3799</f>
        <v>1758437.96</v>
      </c>
      <c r="C3799" t="str">
        <f>IF(B3799&gt;=Walmart_Sales_raw_data!$C$6437,"High","low")</f>
        <v>High</v>
      </c>
    </row>
    <row r="3800" spans="1:3">
      <c r="A3800" s="1">
        <v>27</v>
      </c>
      <c r="B3800" s="2">
        <f>Walmart_Sales_raw_data!C3800</f>
        <v>1781905.24</v>
      </c>
      <c r="C3800" t="str">
        <f>IF(B3800&gt;=Walmart_Sales_raw_data!$C$6437,"High","low")</f>
        <v>High</v>
      </c>
    </row>
    <row r="3801" spans="1:3">
      <c r="A3801" s="3">
        <v>27</v>
      </c>
      <c r="B3801" s="2">
        <f>Walmart_Sales_raw_data!C3801</f>
        <v>2034400.78</v>
      </c>
      <c r="C3801" t="str">
        <f>IF(B3801&gt;=Walmart_Sales_raw_data!$C$6437,"High","low")</f>
        <v>High</v>
      </c>
    </row>
    <row r="3802" spans="1:3">
      <c r="A3802" s="1">
        <v>27</v>
      </c>
      <c r="B3802" s="2">
        <f>Walmart_Sales_raw_data!C3802</f>
        <v>1511717.53</v>
      </c>
      <c r="C3802" t="str">
        <f>IF(B3802&gt;=Walmart_Sales_raw_data!$C$6437,"High","low")</f>
        <v>High</v>
      </c>
    </row>
    <row r="3803" spans="1:3">
      <c r="A3803" s="3">
        <v>27</v>
      </c>
      <c r="B3803" s="2">
        <f>Walmart_Sales_raw_data!C3803</f>
        <v>1911470.84</v>
      </c>
      <c r="C3803" t="str">
        <f>IF(B3803&gt;=Walmart_Sales_raw_data!$C$6437,"High","low")</f>
        <v>High</v>
      </c>
    </row>
    <row r="3804" spans="1:3">
      <c r="A3804" s="1">
        <v>27</v>
      </c>
      <c r="B3804" s="2">
        <f>Walmart_Sales_raw_data!C3804</f>
        <v>1613773.9</v>
      </c>
      <c r="C3804" t="str">
        <f>IF(B3804&gt;=Walmart_Sales_raw_data!$C$6437,"High","low")</f>
        <v>High</v>
      </c>
    </row>
    <row r="3805" spans="1:3">
      <c r="A3805" s="3">
        <v>27</v>
      </c>
      <c r="B3805" s="2">
        <f>Walmart_Sales_raw_data!C3805</f>
        <v>1606208.68</v>
      </c>
      <c r="C3805" t="str">
        <f>IF(B3805&gt;=Walmart_Sales_raw_data!$C$6437,"High","low")</f>
        <v>High</v>
      </c>
    </row>
    <row r="3806" spans="1:3">
      <c r="A3806" s="1">
        <v>27</v>
      </c>
      <c r="B3806" s="2">
        <f>Walmart_Sales_raw_data!C3806</f>
        <v>1599626.26</v>
      </c>
      <c r="C3806" t="str">
        <f>IF(B3806&gt;=Walmart_Sales_raw_data!$C$6437,"High","low")</f>
        <v>High</v>
      </c>
    </row>
    <row r="3807" spans="1:3">
      <c r="A3807" s="3">
        <v>27</v>
      </c>
      <c r="B3807" s="2">
        <f>Walmart_Sales_raw_data!C3807</f>
        <v>1672339.27</v>
      </c>
      <c r="C3807" t="str">
        <f>IF(B3807&gt;=Walmart_Sales_raw_data!$C$6437,"High","low")</f>
        <v>High</v>
      </c>
    </row>
    <row r="3808" spans="1:3">
      <c r="A3808" s="1">
        <v>27</v>
      </c>
      <c r="B3808" s="2">
        <f>Walmart_Sales_raw_data!C3808</f>
        <v>1682652.51</v>
      </c>
      <c r="C3808" t="str">
        <f>IF(B3808&gt;=Walmart_Sales_raw_data!$C$6437,"High","low")</f>
        <v>High</v>
      </c>
    </row>
    <row r="3809" spans="1:3">
      <c r="A3809" s="3">
        <v>27</v>
      </c>
      <c r="B3809" s="2">
        <f>Walmart_Sales_raw_data!C3809</f>
        <v>1689591.44</v>
      </c>
      <c r="C3809" t="str">
        <f>IF(B3809&gt;=Walmart_Sales_raw_data!$C$6437,"High","low")</f>
        <v>High</v>
      </c>
    </row>
    <row r="3810" spans="1:3">
      <c r="A3810" s="1">
        <v>27</v>
      </c>
      <c r="B3810" s="2">
        <f>Walmart_Sales_raw_data!C3810</f>
        <v>1710372.4</v>
      </c>
      <c r="C3810" t="str">
        <f>IF(B3810&gt;=Walmart_Sales_raw_data!$C$6437,"High","low")</f>
        <v>High</v>
      </c>
    </row>
    <row r="3811" spans="1:3">
      <c r="A3811" s="3">
        <v>27</v>
      </c>
      <c r="B3811" s="2">
        <f>Walmart_Sales_raw_data!C3811</f>
        <v>1621109.3</v>
      </c>
      <c r="C3811" t="str">
        <f>IF(B3811&gt;=Walmart_Sales_raw_data!$C$6437,"High","low")</f>
        <v>High</v>
      </c>
    </row>
    <row r="3812" spans="1:3">
      <c r="A3812" s="1">
        <v>27</v>
      </c>
      <c r="B3812" s="2">
        <f>Walmart_Sales_raw_data!C3812</f>
        <v>1800728.07</v>
      </c>
      <c r="C3812" t="str">
        <f>IF(B3812&gt;=Walmart_Sales_raw_data!$C$6437,"High","low")</f>
        <v>High</v>
      </c>
    </row>
    <row r="3813" spans="1:3">
      <c r="A3813" s="3">
        <v>27</v>
      </c>
      <c r="B3813" s="2">
        <f>Walmart_Sales_raw_data!C3813</f>
        <v>1723739.44</v>
      </c>
      <c r="C3813" t="str">
        <f>IF(B3813&gt;=Walmart_Sales_raw_data!$C$6437,"High","low")</f>
        <v>High</v>
      </c>
    </row>
    <row r="3814" spans="1:3">
      <c r="A3814" s="1">
        <v>27</v>
      </c>
      <c r="B3814" s="2">
        <f>Walmart_Sales_raw_data!C3814</f>
        <v>2504400.71</v>
      </c>
      <c r="C3814" t="str">
        <f>IF(B3814&gt;=Walmart_Sales_raw_data!$C$6437,"High","low")</f>
        <v>High</v>
      </c>
    </row>
    <row r="3815" spans="1:3">
      <c r="A3815" s="3">
        <v>27</v>
      </c>
      <c r="B3815" s="2">
        <f>Walmart_Sales_raw_data!C3815</f>
        <v>1806924.74</v>
      </c>
      <c r="C3815" t="str">
        <f>IF(B3815&gt;=Walmart_Sales_raw_data!$C$6437,"High","low")</f>
        <v>High</v>
      </c>
    </row>
    <row r="3816" spans="1:3">
      <c r="A3816" s="1">
        <v>27</v>
      </c>
      <c r="B3816" s="2">
        <f>Walmart_Sales_raw_data!C3816</f>
        <v>2014665.98</v>
      </c>
      <c r="C3816" t="str">
        <f>IF(B3816&gt;=Walmart_Sales_raw_data!$C$6437,"High","low")</f>
        <v>High</v>
      </c>
    </row>
    <row r="3817" spans="1:3">
      <c r="A3817" s="3">
        <v>27</v>
      </c>
      <c r="B3817" s="2">
        <f>Walmart_Sales_raw_data!C3817</f>
        <v>2205919.86</v>
      </c>
      <c r="C3817" t="str">
        <f>IF(B3817&gt;=Walmart_Sales_raw_data!$C$6437,"High","low")</f>
        <v>High</v>
      </c>
    </row>
    <row r="3818" spans="1:3">
      <c r="A3818" s="1">
        <v>27</v>
      </c>
      <c r="B3818" s="2">
        <f>Walmart_Sales_raw_data!C3818</f>
        <v>2739019.75</v>
      </c>
      <c r="C3818" t="str">
        <f>IF(B3818&gt;=Walmart_Sales_raw_data!$C$6437,"High","low")</f>
        <v>High</v>
      </c>
    </row>
    <row r="3819" spans="1:3">
      <c r="A3819" s="3">
        <v>27</v>
      </c>
      <c r="B3819" s="2">
        <f>Walmart_Sales_raw_data!C3819</f>
        <v>1650604.6</v>
      </c>
      <c r="C3819" t="str">
        <f>IF(B3819&gt;=Walmart_Sales_raw_data!$C$6437,"High","low")</f>
        <v>High</v>
      </c>
    </row>
    <row r="3820" spans="1:3">
      <c r="A3820" s="1">
        <v>27</v>
      </c>
      <c r="B3820" s="2">
        <f>Walmart_Sales_raw_data!C3820</f>
        <v>1535287.4</v>
      </c>
      <c r="C3820" t="str">
        <f>IF(B3820&gt;=Walmart_Sales_raw_data!$C$6437,"High","low")</f>
        <v>High</v>
      </c>
    </row>
    <row r="3821" spans="1:3">
      <c r="A3821" s="3">
        <v>27</v>
      </c>
      <c r="B3821" s="2">
        <f>Walmart_Sales_raw_data!C3821</f>
        <v>1492399.13</v>
      </c>
      <c r="C3821" t="str">
        <f>IF(B3821&gt;=Walmart_Sales_raw_data!$C$6437,"High","low")</f>
        <v>High</v>
      </c>
    </row>
    <row r="3822" spans="1:3">
      <c r="A3822" s="1">
        <v>27</v>
      </c>
      <c r="B3822" s="2">
        <f>Walmart_Sales_raw_data!C3822</f>
        <v>1542131.05</v>
      </c>
      <c r="C3822" t="str">
        <f>IF(B3822&gt;=Walmart_Sales_raw_data!$C$6437,"High","low")</f>
        <v>High</v>
      </c>
    </row>
    <row r="3823" spans="1:3">
      <c r="A3823" s="3">
        <v>27</v>
      </c>
      <c r="B3823" s="2">
        <f>Walmart_Sales_raw_data!C3823</f>
        <v>1263534.86</v>
      </c>
      <c r="C3823" t="str">
        <f>IF(B3823&gt;=Walmart_Sales_raw_data!$C$6437,"High","low")</f>
        <v>High</v>
      </c>
    </row>
    <row r="3824" spans="1:3">
      <c r="A3824" s="1">
        <v>27</v>
      </c>
      <c r="B3824" s="2">
        <f>Walmart_Sales_raw_data!C3824</f>
        <v>1564246.02</v>
      </c>
      <c r="C3824" t="str">
        <f>IF(B3824&gt;=Walmart_Sales_raw_data!$C$6437,"High","low")</f>
        <v>High</v>
      </c>
    </row>
    <row r="3825" spans="1:3">
      <c r="A3825" s="3">
        <v>27</v>
      </c>
      <c r="B3825" s="2">
        <f>Walmart_Sales_raw_data!C3825</f>
        <v>1651605.35</v>
      </c>
      <c r="C3825" t="str">
        <f>IF(B3825&gt;=Walmart_Sales_raw_data!$C$6437,"High","low")</f>
        <v>High</v>
      </c>
    </row>
    <row r="3826" spans="1:3">
      <c r="A3826" s="1">
        <v>27</v>
      </c>
      <c r="B3826" s="2">
        <f>Walmart_Sales_raw_data!C3826</f>
        <v>1606221.56</v>
      </c>
      <c r="C3826" t="str">
        <f>IF(B3826&gt;=Walmart_Sales_raw_data!$C$6437,"High","low")</f>
        <v>High</v>
      </c>
    </row>
    <row r="3827" spans="1:3">
      <c r="A3827" s="3">
        <v>27</v>
      </c>
      <c r="B3827" s="2">
        <f>Walmart_Sales_raw_data!C3827</f>
        <v>1648602.39</v>
      </c>
      <c r="C3827" t="str">
        <f>IF(B3827&gt;=Walmart_Sales_raw_data!$C$6437,"High","low")</f>
        <v>High</v>
      </c>
    </row>
    <row r="3828" spans="1:3">
      <c r="A3828" s="1">
        <v>27</v>
      </c>
      <c r="B3828" s="2">
        <f>Walmart_Sales_raw_data!C3828</f>
        <v>1509323.09</v>
      </c>
      <c r="C3828" t="str">
        <f>IF(B3828&gt;=Walmart_Sales_raw_data!$C$6437,"High","low")</f>
        <v>High</v>
      </c>
    </row>
    <row r="3829" spans="1:3">
      <c r="A3829" s="3">
        <v>27</v>
      </c>
      <c r="B3829" s="2">
        <f>Walmart_Sales_raw_data!C3829</f>
        <v>1607343.41</v>
      </c>
      <c r="C3829" t="str">
        <f>IF(B3829&gt;=Walmart_Sales_raw_data!$C$6437,"High","low")</f>
        <v>High</v>
      </c>
    </row>
    <row r="3830" spans="1:3">
      <c r="A3830" s="1">
        <v>27</v>
      </c>
      <c r="B3830" s="2">
        <f>Walmart_Sales_raw_data!C3830</f>
        <v>1635984.07</v>
      </c>
      <c r="C3830" t="str">
        <f>IF(B3830&gt;=Walmart_Sales_raw_data!$C$6437,"High","low")</f>
        <v>High</v>
      </c>
    </row>
    <row r="3831" spans="1:3">
      <c r="A3831" s="3">
        <v>27</v>
      </c>
      <c r="B3831" s="2">
        <f>Walmart_Sales_raw_data!C3831</f>
        <v>1620839.34</v>
      </c>
      <c r="C3831" t="str">
        <f>IF(B3831&gt;=Walmart_Sales_raw_data!$C$6437,"High","low")</f>
        <v>High</v>
      </c>
    </row>
    <row r="3832" spans="1:3">
      <c r="A3832" s="1">
        <v>27</v>
      </c>
      <c r="B3832" s="2">
        <f>Walmart_Sales_raw_data!C3832</f>
        <v>1615494.14</v>
      </c>
      <c r="C3832" t="str">
        <f>IF(B3832&gt;=Walmart_Sales_raw_data!$C$6437,"High","low")</f>
        <v>High</v>
      </c>
    </row>
    <row r="3833" spans="1:3">
      <c r="A3833" s="3">
        <v>27</v>
      </c>
      <c r="B3833" s="2">
        <f>Walmart_Sales_raw_data!C3833</f>
        <v>1899013.34</v>
      </c>
      <c r="C3833" t="str">
        <f>IF(B3833&gt;=Walmart_Sales_raw_data!$C$6437,"High","low")</f>
        <v>High</v>
      </c>
    </row>
    <row r="3834" spans="1:3">
      <c r="A3834" s="1">
        <v>27</v>
      </c>
      <c r="B3834" s="2">
        <f>Walmart_Sales_raw_data!C3834</f>
        <v>1650405.21</v>
      </c>
      <c r="C3834" t="str">
        <f>IF(B3834&gt;=Walmart_Sales_raw_data!$C$6437,"High","low")</f>
        <v>High</v>
      </c>
    </row>
    <row r="3835" spans="1:3">
      <c r="A3835" s="3">
        <v>27</v>
      </c>
      <c r="B3835" s="2">
        <f>Walmart_Sales_raw_data!C3835</f>
        <v>1639999.47</v>
      </c>
      <c r="C3835" t="str">
        <f>IF(B3835&gt;=Walmart_Sales_raw_data!$C$6437,"High","low")</f>
        <v>High</v>
      </c>
    </row>
    <row r="3836" spans="1:3">
      <c r="A3836" s="1">
        <v>27</v>
      </c>
      <c r="B3836" s="2">
        <f>Walmart_Sales_raw_data!C3836</f>
        <v>1565498.84</v>
      </c>
      <c r="C3836" t="str">
        <f>IF(B3836&gt;=Walmart_Sales_raw_data!$C$6437,"High","low")</f>
        <v>High</v>
      </c>
    </row>
    <row r="3837" spans="1:3">
      <c r="A3837" s="3">
        <v>27</v>
      </c>
      <c r="B3837" s="2">
        <f>Walmart_Sales_raw_data!C3837</f>
        <v>1669388.45</v>
      </c>
      <c r="C3837" t="str">
        <f>IF(B3837&gt;=Walmart_Sales_raw_data!$C$6437,"High","low")</f>
        <v>High</v>
      </c>
    </row>
    <row r="3838" spans="1:3">
      <c r="A3838" s="1">
        <v>27</v>
      </c>
      <c r="B3838" s="2">
        <f>Walmart_Sales_raw_data!C3838</f>
        <v>1674306.31</v>
      </c>
      <c r="C3838" t="str">
        <f>IF(B3838&gt;=Walmart_Sales_raw_data!$C$6437,"High","low")</f>
        <v>High</v>
      </c>
    </row>
    <row r="3839" spans="1:3">
      <c r="A3839" s="3">
        <v>27</v>
      </c>
      <c r="B3839" s="2">
        <f>Walmart_Sales_raw_data!C3839</f>
        <v>1707158.82</v>
      </c>
      <c r="C3839" t="str">
        <f>IF(B3839&gt;=Walmart_Sales_raw_data!$C$6437,"High","low")</f>
        <v>High</v>
      </c>
    </row>
    <row r="3840" spans="1:3">
      <c r="A3840" s="1">
        <v>27</v>
      </c>
      <c r="B3840" s="2">
        <f>Walmart_Sales_raw_data!C3840</f>
        <v>1818906.73</v>
      </c>
      <c r="C3840" t="str">
        <f>IF(B3840&gt;=Walmart_Sales_raw_data!$C$6437,"High","low")</f>
        <v>High</v>
      </c>
    </row>
    <row r="3841" spans="1:3">
      <c r="A3841" s="3">
        <v>27</v>
      </c>
      <c r="B3841" s="2">
        <f>Walmart_Sales_raw_data!C3841</f>
        <v>1900638.6</v>
      </c>
      <c r="C3841" t="str">
        <f>IF(B3841&gt;=Walmart_Sales_raw_data!$C$6437,"High","low")</f>
        <v>High</v>
      </c>
    </row>
    <row r="3842" spans="1:3">
      <c r="A3842" s="1">
        <v>27</v>
      </c>
      <c r="B3842" s="2">
        <f>Walmart_Sales_raw_data!C3842</f>
        <v>1764756.31</v>
      </c>
      <c r="C3842" t="str">
        <f>IF(B3842&gt;=Walmart_Sales_raw_data!$C$6437,"High","low")</f>
        <v>High</v>
      </c>
    </row>
    <row r="3843" spans="1:3">
      <c r="A3843" s="3">
        <v>27</v>
      </c>
      <c r="B3843" s="2">
        <f>Walmart_Sales_raw_data!C3843</f>
        <v>1773500.56</v>
      </c>
      <c r="C3843" t="str">
        <f>IF(B3843&gt;=Walmart_Sales_raw_data!$C$6437,"High","low")</f>
        <v>High</v>
      </c>
    </row>
    <row r="3844" spans="1:3">
      <c r="A3844" s="1">
        <v>27</v>
      </c>
      <c r="B3844" s="2">
        <f>Walmart_Sales_raw_data!C3844</f>
        <v>1837884.79</v>
      </c>
      <c r="C3844" t="str">
        <f>IF(B3844&gt;=Walmart_Sales_raw_data!$C$6437,"High","low")</f>
        <v>High</v>
      </c>
    </row>
    <row r="3845" spans="1:3">
      <c r="A3845" s="3">
        <v>27</v>
      </c>
      <c r="B3845" s="2">
        <f>Walmart_Sales_raw_data!C3845</f>
        <v>1842555.32</v>
      </c>
      <c r="C3845" t="str">
        <f>IF(B3845&gt;=Walmart_Sales_raw_data!$C$6437,"High","low")</f>
        <v>High</v>
      </c>
    </row>
    <row r="3846" spans="1:3">
      <c r="A3846" s="1">
        <v>27</v>
      </c>
      <c r="B3846" s="2">
        <f>Walmart_Sales_raw_data!C3846</f>
        <v>2062224.92</v>
      </c>
      <c r="C3846" t="str">
        <f>IF(B3846&gt;=Walmart_Sales_raw_data!$C$6437,"High","low")</f>
        <v>High</v>
      </c>
    </row>
    <row r="3847" spans="1:3">
      <c r="A3847" s="3">
        <v>27</v>
      </c>
      <c r="B3847" s="2">
        <f>Walmart_Sales_raw_data!C3847</f>
        <v>1755889.53</v>
      </c>
      <c r="C3847" t="str">
        <f>IF(B3847&gt;=Walmart_Sales_raw_data!$C$6437,"High","low")</f>
        <v>High</v>
      </c>
    </row>
    <row r="3848" spans="1:3">
      <c r="A3848" s="1">
        <v>27</v>
      </c>
      <c r="B3848" s="2">
        <f>Walmart_Sales_raw_data!C3848</f>
        <v>1730913.66</v>
      </c>
      <c r="C3848" t="str">
        <f>IF(B3848&gt;=Walmart_Sales_raw_data!$C$6437,"High","low")</f>
        <v>High</v>
      </c>
    </row>
    <row r="3849" spans="1:3">
      <c r="A3849" s="3">
        <v>27</v>
      </c>
      <c r="B3849" s="2">
        <f>Walmart_Sales_raw_data!C3849</f>
        <v>1625883.71</v>
      </c>
      <c r="C3849" t="str">
        <f>IF(B3849&gt;=Walmart_Sales_raw_data!$C$6437,"High","low")</f>
        <v>High</v>
      </c>
    </row>
    <row r="3850" spans="1:3">
      <c r="A3850" s="1">
        <v>27</v>
      </c>
      <c r="B3850" s="2">
        <f>Walmart_Sales_raw_data!C3850</f>
        <v>1705810.84</v>
      </c>
      <c r="C3850" t="str">
        <f>IF(B3850&gt;=Walmart_Sales_raw_data!$C$6437,"High","low")</f>
        <v>High</v>
      </c>
    </row>
    <row r="3851" spans="1:3">
      <c r="A3851" s="3">
        <v>27</v>
      </c>
      <c r="B3851" s="2">
        <f>Walmart_Sales_raw_data!C3851</f>
        <v>1720537.26</v>
      </c>
      <c r="C3851" t="str">
        <f>IF(B3851&gt;=Walmart_Sales_raw_data!$C$6437,"High","low")</f>
        <v>High</v>
      </c>
    </row>
    <row r="3852" spans="1:3">
      <c r="A3852" s="1">
        <v>27</v>
      </c>
      <c r="B3852" s="2">
        <f>Walmart_Sales_raw_data!C3852</f>
        <v>1735339.59</v>
      </c>
      <c r="C3852" t="str">
        <f>IF(B3852&gt;=Walmart_Sales_raw_data!$C$6437,"High","low")</f>
        <v>High</v>
      </c>
    </row>
    <row r="3853" spans="1:3">
      <c r="A3853" s="3">
        <v>27</v>
      </c>
      <c r="B3853" s="2">
        <f>Walmart_Sales_raw_data!C3853</f>
        <v>1780443.36</v>
      </c>
      <c r="C3853" t="str">
        <f>IF(B3853&gt;=Walmart_Sales_raw_data!$C$6437,"High","low")</f>
        <v>High</v>
      </c>
    </row>
    <row r="3854" spans="1:3">
      <c r="A3854" s="1">
        <v>27</v>
      </c>
      <c r="B3854" s="2">
        <f>Walmart_Sales_raw_data!C3854</f>
        <v>1731935.43</v>
      </c>
      <c r="C3854" t="str">
        <f>IF(B3854&gt;=Walmart_Sales_raw_data!$C$6437,"High","low")</f>
        <v>High</v>
      </c>
    </row>
    <row r="3855" spans="1:3">
      <c r="A3855" s="3">
        <v>27</v>
      </c>
      <c r="B3855" s="2">
        <f>Walmart_Sales_raw_data!C3855</f>
        <v>1840955.23</v>
      </c>
      <c r="C3855" t="str">
        <f>IF(B3855&gt;=Walmart_Sales_raw_data!$C$6437,"High","low")</f>
        <v>High</v>
      </c>
    </row>
    <row r="3856" spans="1:3">
      <c r="A3856" s="1">
        <v>27</v>
      </c>
      <c r="B3856" s="2">
        <f>Walmart_Sales_raw_data!C3856</f>
        <v>1519604.5</v>
      </c>
      <c r="C3856" t="str">
        <f>IF(B3856&gt;=Walmart_Sales_raw_data!$C$6437,"High","low")</f>
        <v>High</v>
      </c>
    </row>
    <row r="3857" spans="1:3">
      <c r="A3857" s="3">
        <v>27</v>
      </c>
      <c r="B3857" s="2">
        <f>Walmart_Sales_raw_data!C3857</f>
        <v>1557485.75</v>
      </c>
      <c r="C3857" t="str">
        <f>IF(B3857&gt;=Walmart_Sales_raw_data!$C$6437,"High","low")</f>
        <v>High</v>
      </c>
    </row>
    <row r="3858" spans="1:3">
      <c r="A3858" s="1">
        <v>27</v>
      </c>
      <c r="B3858" s="2">
        <f>Walmart_Sales_raw_data!C3858</f>
        <v>1540687.63</v>
      </c>
      <c r="C3858" t="str">
        <f>IF(B3858&gt;=Walmart_Sales_raw_data!$C$6437,"High","low")</f>
        <v>High</v>
      </c>
    </row>
    <row r="3859" spans="1:3">
      <c r="A3859" s="3">
        <v>27</v>
      </c>
      <c r="B3859" s="2">
        <f>Walmart_Sales_raw_data!C3859</f>
        <v>1591816.88</v>
      </c>
      <c r="C3859" t="str">
        <f>IF(B3859&gt;=Walmart_Sales_raw_data!$C$6437,"High","low")</f>
        <v>High</v>
      </c>
    </row>
    <row r="3860" spans="1:3">
      <c r="A3860" s="1">
        <v>27</v>
      </c>
      <c r="B3860" s="2">
        <f>Walmart_Sales_raw_data!C3860</f>
        <v>1660081.29</v>
      </c>
      <c r="C3860" t="str">
        <f>IF(B3860&gt;=Walmart_Sales_raw_data!$C$6437,"High","low")</f>
        <v>High</v>
      </c>
    </row>
    <row r="3861" spans="1:3">
      <c r="A3861" s="3">
        <v>27</v>
      </c>
      <c r="B3861" s="2">
        <f>Walmart_Sales_raw_data!C3861</f>
        <v>1620374.24</v>
      </c>
      <c r="C3861" t="str">
        <f>IF(B3861&gt;=Walmart_Sales_raw_data!$C$6437,"High","low")</f>
        <v>High</v>
      </c>
    </row>
    <row r="3862" spans="1:3">
      <c r="A3862" s="1">
        <v>27</v>
      </c>
      <c r="B3862" s="2">
        <f>Walmart_Sales_raw_data!C3862</f>
        <v>1703047.74</v>
      </c>
      <c r="C3862" t="str">
        <f>IF(B3862&gt;=Walmart_Sales_raw_data!$C$6437,"High","low")</f>
        <v>High</v>
      </c>
    </row>
    <row r="3863" spans="1:3">
      <c r="A3863" s="3">
        <v>28</v>
      </c>
      <c r="B3863" s="2">
        <f>Walmart_Sales_raw_data!C3863</f>
        <v>1672352.29</v>
      </c>
      <c r="C3863" t="str">
        <f>IF(B3863&gt;=Walmart_Sales_raw_data!$C$6437,"High","low")</f>
        <v>High</v>
      </c>
    </row>
    <row r="3864" spans="1:3">
      <c r="A3864" s="1">
        <v>28</v>
      </c>
      <c r="B3864" s="2">
        <f>Walmart_Sales_raw_data!C3864</f>
        <v>1558968.49</v>
      </c>
      <c r="C3864" t="str">
        <f>IF(B3864&gt;=Walmart_Sales_raw_data!$C$6437,"High","low")</f>
        <v>High</v>
      </c>
    </row>
    <row r="3865" spans="1:3">
      <c r="A3865" s="3">
        <v>28</v>
      </c>
      <c r="B3865" s="2">
        <f>Walmart_Sales_raw_data!C3865</f>
        <v>1491300.42</v>
      </c>
      <c r="C3865" t="str">
        <f>IF(B3865&gt;=Walmart_Sales_raw_data!$C$6437,"High","low")</f>
        <v>High</v>
      </c>
    </row>
    <row r="3866" spans="1:3">
      <c r="A3866" s="1">
        <v>28</v>
      </c>
      <c r="B3866" s="2">
        <f>Walmart_Sales_raw_data!C3866</f>
        <v>1542173.33</v>
      </c>
      <c r="C3866" t="str">
        <f>IF(B3866&gt;=Walmart_Sales_raw_data!$C$6437,"High","low")</f>
        <v>High</v>
      </c>
    </row>
    <row r="3867" spans="1:3">
      <c r="A3867" s="3">
        <v>28</v>
      </c>
      <c r="B3867" s="2">
        <f>Walmart_Sales_raw_data!C3867</f>
        <v>1608435.45</v>
      </c>
      <c r="C3867" t="str">
        <f>IF(B3867&gt;=Walmart_Sales_raw_data!$C$6437,"High","low")</f>
        <v>High</v>
      </c>
    </row>
    <row r="3868" spans="1:3">
      <c r="A3868" s="1">
        <v>28</v>
      </c>
      <c r="B3868" s="2">
        <f>Walmart_Sales_raw_data!C3868</f>
        <v>1326877.11</v>
      </c>
      <c r="C3868" t="str">
        <f>IF(B3868&gt;=Walmart_Sales_raw_data!$C$6437,"High","low")</f>
        <v>High</v>
      </c>
    </row>
    <row r="3869" spans="1:3">
      <c r="A3869" s="3">
        <v>28</v>
      </c>
      <c r="B3869" s="2">
        <f>Walmart_Sales_raw_data!C3869</f>
        <v>1279819.43</v>
      </c>
      <c r="C3869" t="str">
        <f>IF(B3869&gt;=Walmart_Sales_raw_data!$C$6437,"High","low")</f>
        <v>High</v>
      </c>
    </row>
    <row r="3870" spans="1:3">
      <c r="A3870" s="1">
        <v>28</v>
      </c>
      <c r="B3870" s="2">
        <f>Walmart_Sales_raw_data!C3870</f>
        <v>1245268.77</v>
      </c>
      <c r="C3870" t="str">
        <f>IF(B3870&gt;=Walmart_Sales_raw_data!$C$6437,"High","low")</f>
        <v>High</v>
      </c>
    </row>
    <row r="3871" spans="1:3">
      <c r="A3871" s="3">
        <v>28</v>
      </c>
      <c r="B3871" s="2">
        <f>Walmart_Sales_raw_data!C3871</f>
        <v>1441559.4</v>
      </c>
      <c r="C3871" t="str">
        <f>IF(B3871&gt;=Walmart_Sales_raw_data!$C$6437,"High","low")</f>
        <v>High</v>
      </c>
    </row>
    <row r="3872" spans="1:3">
      <c r="A3872" s="1">
        <v>28</v>
      </c>
      <c r="B3872" s="2">
        <f>Walmart_Sales_raw_data!C3872</f>
        <v>1382359.21</v>
      </c>
      <c r="C3872" t="str">
        <f>IF(B3872&gt;=Walmart_Sales_raw_data!$C$6437,"High","low")</f>
        <v>High</v>
      </c>
    </row>
    <row r="3873" spans="1:3">
      <c r="A3873" s="3">
        <v>28</v>
      </c>
      <c r="B3873" s="2">
        <f>Walmart_Sales_raw_data!C3873</f>
        <v>1268240.66</v>
      </c>
      <c r="C3873" t="str">
        <f>IF(B3873&gt;=Walmart_Sales_raw_data!$C$6437,"High","low")</f>
        <v>High</v>
      </c>
    </row>
    <row r="3874" spans="1:3">
      <c r="A3874" s="1">
        <v>28</v>
      </c>
      <c r="B3874" s="2">
        <f>Walmart_Sales_raw_data!C3874</f>
        <v>1244177.21</v>
      </c>
      <c r="C3874" t="str">
        <f>IF(B3874&gt;=Walmart_Sales_raw_data!$C$6437,"High","low")</f>
        <v>High</v>
      </c>
    </row>
    <row r="3875" spans="1:3">
      <c r="A3875" s="3">
        <v>28</v>
      </c>
      <c r="B3875" s="2">
        <f>Walmart_Sales_raw_data!C3875</f>
        <v>1186971.02</v>
      </c>
      <c r="C3875" t="str">
        <f>IF(B3875&gt;=Walmart_Sales_raw_data!$C$6437,"High","low")</f>
        <v>High</v>
      </c>
    </row>
    <row r="3876" spans="1:3">
      <c r="A3876" s="1">
        <v>28</v>
      </c>
      <c r="B3876" s="2">
        <f>Walmart_Sales_raw_data!C3876</f>
        <v>1532893.22</v>
      </c>
      <c r="C3876" t="str">
        <f>IF(B3876&gt;=Walmart_Sales_raw_data!$C$6437,"High","low")</f>
        <v>High</v>
      </c>
    </row>
    <row r="3877" spans="1:3">
      <c r="A3877" s="3">
        <v>28</v>
      </c>
      <c r="B3877" s="2">
        <f>Walmart_Sales_raw_data!C3877</f>
        <v>1245898.73</v>
      </c>
      <c r="C3877" t="str">
        <f>IF(B3877&gt;=Walmart_Sales_raw_data!$C$6437,"High","low")</f>
        <v>High</v>
      </c>
    </row>
    <row r="3878" spans="1:3">
      <c r="A3878" s="1">
        <v>28</v>
      </c>
      <c r="B3878" s="2">
        <f>Walmart_Sales_raw_data!C3878</f>
        <v>1217923.71</v>
      </c>
      <c r="C3878" t="str">
        <f>IF(B3878&gt;=Walmart_Sales_raw_data!$C$6437,"High","low")</f>
        <v>High</v>
      </c>
    </row>
    <row r="3879" spans="1:3">
      <c r="A3879" s="3">
        <v>28</v>
      </c>
      <c r="B3879" s="2">
        <f>Walmart_Sales_raw_data!C3879</f>
        <v>1176588.25</v>
      </c>
      <c r="C3879" t="str">
        <f>IF(B3879&gt;=Walmart_Sales_raw_data!$C$6437,"High","low")</f>
        <v>High</v>
      </c>
    </row>
    <row r="3880" spans="1:3">
      <c r="A3880" s="1">
        <v>28</v>
      </c>
      <c r="B3880" s="2">
        <f>Walmart_Sales_raw_data!C3880</f>
        <v>1543678.02</v>
      </c>
      <c r="C3880" t="str">
        <f>IF(B3880&gt;=Walmart_Sales_raw_data!$C$6437,"High","low")</f>
        <v>High</v>
      </c>
    </row>
    <row r="3881" spans="1:3">
      <c r="A3881" s="3">
        <v>28</v>
      </c>
      <c r="B3881" s="2">
        <f>Walmart_Sales_raw_data!C3881</f>
        <v>1348995.17</v>
      </c>
      <c r="C3881" t="str">
        <f>IF(B3881&gt;=Walmart_Sales_raw_data!$C$6437,"High","low")</f>
        <v>High</v>
      </c>
    </row>
    <row r="3882" spans="1:3">
      <c r="A3882" s="1">
        <v>28</v>
      </c>
      <c r="B3882" s="2">
        <f>Walmart_Sales_raw_data!C3882</f>
        <v>1267619.06</v>
      </c>
      <c r="C3882" t="str">
        <f>IF(B3882&gt;=Walmart_Sales_raw_data!$C$6437,"High","low")</f>
        <v>High</v>
      </c>
    </row>
    <row r="3883" spans="1:3">
      <c r="A3883" s="3">
        <v>28</v>
      </c>
      <c r="B3883" s="2">
        <f>Walmart_Sales_raw_data!C3883</f>
        <v>1231025.07</v>
      </c>
      <c r="C3883" t="str">
        <f>IF(B3883&gt;=Walmart_Sales_raw_data!$C$6437,"High","low")</f>
        <v>High</v>
      </c>
    </row>
    <row r="3884" spans="1:3">
      <c r="A3884" s="1">
        <v>28</v>
      </c>
      <c r="B3884" s="2">
        <f>Walmart_Sales_raw_data!C3884</f>
        <v>1399960.15</v>
      </c>
      <c r="C3884" t="str">
        <f>IF(B3884&gt;=Walmart_Sales_raw_data!$C$6437,"High","low")</f>
        <v>High</v>
      </c>
    </row>
    <row r="3885" spans="1:3">
      <c r="A3885" s="3">
        <v>28</v>
      </c>
      <c r="B3885" s="2">
        <f>Walmart_Sales_raw_data!C3885</f>
        <v>1340293.87</v>
      </c>
      <c r="C3885" t="str">
        <f>IF(B3885&gt;=Walmart_Sales_raw_data!$C$6437,"High","low")</f>
        <v>High</v>
      </c>
    </row>
    <row r="3886" spans="1:3">
      <c r="A3886" s="1">
        <v>28</v>
      </c>
      <c r="B3886" s="2">
        <f>Walmart_Sales_raw_data!C3886</f>
        <v>1225336.41</v>
      </c>
      <c r="C3886" t="str">
        <f>IF(B3886&gt;=Walmart_Sales_raw_data!$C$6437,"High","low")</f>
        <v>High</v>
      </c>
    </row>
    <row r="3887" spans="1:3">
      <c r="A3887" s="3">
        <v>28</v>
      </c>
      <c r="B3887" s="2">
        <f>Walmart_Sales_raw_data!C3887</f>
        <v>1205884.98</v>
      </c>
      <c r="C3887" t="str">
        <f>IF(B3887&gt;=Walmart_Sales_raw_data!$C$6437,"High","low")</f>
        <v>High</v>
      </c>
    </row>
    <row r="3888" spans="1:3">
      <c r="A3888" s="1">
        <v>28</v>
      </c>
      <c r="B3888" s="2">
        <f>Walmart_Sales_raw_data!C3888</f>
        <v>1150204.71</v>
      </c>
      <c r="C3888" t="str">
        <f>IF(B3888&gt;=Walmart_Sales_raw_data!$C$6437,"High","low")</f>
        <v>High</v>
      </c>
    </row>
    <row r="3889" spans="1:3">
      <c r="A3889" s="3">
        <v>28</v>
      </c>
      <c r="B3889" s="2">
        <f>Walmart_Sales_raw_data!C3889</f>
        <v>1523101.38</v>
      </c>
      <c r="C3889" t="str">
        <f>IF(B3889&gt;=Walmart_Sales_raw_data!$C$6437,"High","low")</f>
        <v>High</v>
      </c>
    </row>
    <row r="3890" spans="1:3">
      <c r="A3890" s="1">
        <v>28</v>
      </c>
      <c r="B3890" s="2">
        <f>Walmart_Sales_raw_data!C3890</f>
        <v>1218688.09</v>
      </c>
      <c r="C3890" t="str">
        <f>IF(B3890&gt;=Walmart_Sales_raw_data!$C$6437,"High","low")</f>
        <v>High</v>
      </c>
    </row>
    <row r="3891" spans="1:3">
      <c r="A3891" s="3">
        <v>28</v>
      </c>
      <c r="B3891" s="2">
        <f>Walmart_Sales_raw_data!C3891</f>
        <v>1195897.6</v>
      </c>
      <c r="C3891" t="str">
        <f>IF(B3891&gt;=Walmart_Sales_raw_data!$C$6437,"High","low")</f>
        <v>High</v>
      </c>
    </row>
    <row r="3892" spans="1:3">
      <c r="A3892" s="1">
        <v>28</v>
      </c>
      <c r="B3892" s="2">
        <f>Walmart_Sales_raw_data!C3892</f>
        <v>1191585.92</v>
      </c>
      <c r="C3892" t="str">
        <f>IF(B3892&gt;=Walmart_Sales_raw_data!$C$6437,"High","low")</f>
        <v>High</v>
      </c>
    </row>
    <row r="3893" spans="1:3">
      <c r="A3893" s="3">
        <v>28</v>
      </c>
      <c r="B3893" s="2">
        <f>Walmart_Sales_raw_data!C3893</f>
        <v>1523410.71</v>
      </c>
      <c r="C3893" t="str">
        <f>IF(B3893&gt;=Walmart_Sales_raw_data!$C$6437,"High","low")</f>
        <v>High</v>
      </c>
    </row>
    <row r="3894" spans="1:3">
      <c r="A3894" s="1">
        <v>28</v>
      </c>
      <c r="B3894" s="2">
        <f>Walmart_Sales_raw_data!C3894</f>
        <v>1246062.17</v>
      </c>
      <c r="C3894" t="str">
        <f>IF(B3894&gt;=Walmart_Sales_raw_data!$C$6437,"High","low")</f>
        <v>High</v>
      </c>
    </row>
    <row r="3895" spans="1:3">
      <c r="A3895" s="3">
        <v>28</v>
      </c>
      <c r="B3895" s="2">
        <f>Walmart_Sales_raw_data!C3895</f>
        <v>1159812.35</v>
      </c>
      <c r="C3895" t="str">
        <f>IF(B3895&gt;=Walmart_Sales_raw_data!$C$6437,"High","low")</f>
        <v>High</v>
      </c>
    </row>
    <row r="3896" spans="1:3">
      <c r="A3896" s="1">
        <v>28</v>
      </c>
      <c r="B3896" s="2">
        <f>Walmart_Sales_raw_data!C3896</f>
        <v>1111797.21</v>
      </c>
      <c r="C3896" t="str">
        <f>IF(B3896&gt;=Walmart_Sales_raw_data!$C$6437,"High","low")</f>
        <v>High</v>
      </c>
    </row>
    <row r="3897" spans="1:3">
      <c r="A3897" s="3">
        <v>28</v>
      </c>
      <c r="B3897" s="2">
        <f>Walmart_Sales_raw_data!C3897</f>
        <v>1203080.41</v>
      </c>
      <c r="C3897" t="str">
        <f>IF(B3897&gt;=Walmart_Sales_raw_data!$C$6437,"High","low")</f>
        <v>High</v>
      </c>
    </row>
    <row r="3898" spans="1:3">
      <c r="A3898" s="1">
        <v>28</v>
      </c>
      <c r="B3898" s="2">
        <f>Walmart_Sales_raw_data!C3898</f>
        <v>1334571.87</v>
      </c>
      <c r="C3898" t="str">
        <f>IF(B3898&gt;=Walmart_Sales_raw_data!$C$6437,"High","low")</f>
        <v>High</v>
      </c>
    </row>
    <row r="3899" spans="1:3">
      <c r="A3899" s="3">
        <v>28</v>
      </c>
      <c r="B3899" s="2">
        <f>Walmart_Sales_raw_data!C3899</f>
        <v>1158062.99</v>
      </c>
      <c r="C3899" t="str">
        <f>IF(B3899&gt;=Walmart_Sales_raw_data!$C$6437,"High","low")</f>
        <v>High</v>
      </c>
    </row>
    <row r="3900" spans="1:3">
      <c r="A3900" s="1">
        <v>28</v>
      </c>
      <c r="B3900" s="2">
        <f>Walmart_Sales_raw_data!C3900</f>
        <v>1120619.32</v>
      </c>
      <c r="C3900" t="str">
        <f>IF(B3900&gt;=Walmart_Sales_raw_data!$C$6437,"High","low")</f>
        <v>High</v>
      </c>
    </row>
    <row r="3901" spans="1:3">
      <c r="A3901" s="3">
        <v>28</v>
      </c>
      <c r="B3901" s="2">
        <f>Walmart_Sales_raw_data!C3901</f>
        <v>1231688.48</v>
      </c>
      <c r="C3901" t="str">
        <f>IF(B3901&gt;=Walmart_Sales_raw_data!$C$6437,"High","low")</f>
        <v>High</v>
      </c>
    </row>
    <row r="3902" spans="1:3">
      <c r="A3902" s="1">
        <v>28</v>
      </c>
      <c r="B3902" s="2">
        <f>Walmart_Sales_raw_data!C3902</f>
        <v>1501663.26</v>
      </c>
      <c r="C3902" t="str">
        <f>IF(B3902&gt;=Walmart_Sales_raw_data!$C$6437,"High","low")</f>
        <v>High</v>
      </c>
    </row>
    <row r="3903" spans="1:3">
      <c r="A3903" s="3">
        <v>28</v>
      </c>
      <c r="B3903" s="2">
        <f>Walmart_Sales_raw_data!C3903</f>
        <v>1266460.45</v>
      </c>
      <c r="C3903" t="str">
        <f>IF(B3903&gt;=Walmart_Sales_raw_data!$C$6437,"High","low")</f>
        <v>High</v>
      </c>
    </row>
    <row r="3904" spans="1:3">
      <c r="A3904" s="1">
        <v>28</v>
      </c>
      <c r="B3904" s="2">
        <f>Walmart_Sales_raw_data!C3904</f>
        <v>1179315.72</v>
      </c>
      <c r="C3904" t="str">
        <f>IF(B3904&gt;=Walmart_Sales_raw_data!$C$6437,"High","low")</f>
        <v>High</v>
      </c>
    </row>
    <row r="3905" spans="1:3">
      <c r="A3905" s="3">
        <v>28</v>
      </c>
      <c r="B3905" s="2">
        <f>Walmart_Sales_raw_data!C3905</f>
        <v>1937033.5</v>
      </c>
      <c r="C3905" t="str">
        <f>IF(B3905&gt;=Walmart_Sales_raw_data!$C$6437,"High","low")</f>
        <v>High</v>
      </c>
    </row>
    <row r="3906" spans="1:3">
      <c r="A3906" s="1">
        <v>28</v>
      </c>
      <c r="B3906" s="2">
        <f>Walmart_Sales_raw_data!C3906</f>
        <v>1447916.29</v>
      </c>
      <c r="C3906" t="str">
        <f>IF(B3906&gt;=Walmart_Sales_raw_data!$C$6437,"High","low")</f>
        <v>High</v>
      </c>
    </row>
    <row r="3907" spans="1:3">
      <c r="A3907" s="3">
        <v>28</v>
      </c>
      <c r="B3907" s="2">
        <f>Walmart_Sales_raw_data!C3907</f>
        <v>1466164.49</v>
      </c>
      <c r="C3907" t="str">
        <f>IF(B3907&gt;=Walmart_Sales_raw_data!$C$6437,"High","low")</f>
        <v>High</v>
      </c>
    </row>
    <row r="3908" spans="1:3">
      <c r="A3908" s="1">
        <v>28</v>
      </c>
      <c r="B3908" s="2">
        <f>Walmart_Sales_raw_data!C3908</f>
        <v>1510443.62</v>
      </c>
      <c r="C3908" t="str">
        <f>IF(B3908&gt;=Walmart_Sales_raw_data!$C$6437,"High","low")</f>
        <v>High</v>
      </c>
    </row>
    <row r="3909" spans="1:3">
      <c r="A3909" s="3">
        <v>28</v>
      </c>
      <c r="B3909" s="2">
        <f>Walmart_Sales_raw_data!C3909</f>
        <v>2026026.39</v>
      </c>
      <c r="C3909" t="str">
        <f>IF(B3909&gt;=Walmart_Sales_raw_data!$C$6437,"High","low")</f>
        <v>High</v>
      </c>
    </row>
    <row r="3910" spans="1:3">
      <c r="A3910" s="1">
        <v>28</v>
      </c>
      <c r="B3910" s="2">
        <f>Walmart_Sales_raw_data!C3910</f>
        <v>1090558.57</v>
      </c>
      <c r="C3910" t="str">
        <f>IF(B3910&gt;=Walmart_Sales_raw_data!$C$6437,"High","low")</f>
        <v>High</v>
      </c>
    </row>
    <row r="3911" spans="1:3">
      <c r="A3911" s="3">
        <v>28</v>
      </c>
      <c r="B3911" s="2">
        <f>Walmart_Sales_raw_data!C3911</f>
        <v>1402902.47</v>
      </c>
      <c r="C3911" t="str">
        <f>IF(B3911&gt;=Walmart_Sales_raw_data!$C$6437,"High","low")</f>
        <v>High</v>
      </c>
    </row>
    <row r="3912" spans="1:3">
      <c r="A3912" s="1">
        <v>28</v>
      </c>
      <c r="B3912" s="2">
        <f>Walmart_Sales_raw_data!C3912</f>
        <v>1098286.61</v>
      </c>
      <c r="C3912" t="str">
        <f>IF(B3912&gt;=Walmart_Sales_raw_data!$C$6437,"High","low")</f>
        <v>High</v>
      </c>
    </row>
    <row r="3913" spans="1:3">
      <c r="A3913" s="3">
        <v>28</v>
      </c>
      <c r="B3913" s="2">
        <f>Walmart_Sales_raw_data!C3913</f>
        <v>1079669.11</v>
      </c>
      <c r="C3913" t="str">
        <f>IF(B3913&gt;=Walmart_Sales_raw_data!$C$6437,"High","low")</f>
        <v>High</v>
      </c>
    </row>
    <row r="3914" spans="1:3">
      <c r="A3914" s="1">
        <v>28</v>
      </c>
      <c r="B3914" s="2">
        <f>Walmart_Sales_raw_data!C3914</f>
        <v>1127859.69</v>
      </c>
      <c r="C3914" t="str">
        <f>IF(B3914&gt;=Walmart_Sales_raw_data!$C$6437,"High","low")</f>
        <v>High</v>
      </c>
    </row>
    <row r="3915" spans="1:3">
      <c r="A3915" s="3">
        <v>28</v>
      </c>
      <c r="B3915" s="2">
        <f>Walmart_Sales_raw_data!C3915</f>
        <v>1564897.32</v>
      </c>
      <c r="C3915" t="str">
        <f>IF(B3915&gt;=Walmart_Sales_raw_data!$C$6437,"High","low")</f>
        <v>High</v>
      </c>
    </row>
    <row r="3916" spans="1:3">
      <c r="A3916" s="1">
        <v>28</v>
      </c>
      <c r="B3916" s="2">
        <f>Walmart_Sales_raw_data!C3916</f>
        <v>1397301.38</v>
      </c>
      <c r="C3916" t="str">
        <f>IF(B3916&gt;=Walmart_Sales_raw_data!$C$6437,"High","low")</f>
        <v>High</v>
      </c>
    </row>
    <row r="3917" spans="1:3">
      <c r="A3917" s="3">
        <v>28</v>
      </c>
      <c r="B3917" s="2">
        <f>Walmart_Sales_raw_data!C3917</f>
        <v>1514828.82</v>
      </c>
      <c r="C3917" t="str">
        <f>IF(B3917&gt;=Walmart_Sales_raw_data!$C$6437,"High","low")</f>
        <v>High</v>
      </c>
    </row>
    <row r="3918" spans="1:3">
      <c r="A3918" s="1">
        <v>28</v>
      </c>
      <c r="B3918" s="2">
        <f>Walmart_Sales_raw_data!C3918</f>
        <v>1311796.91</v>
      </c>
      <c r="C3918" t="str">
        <f>IF(B3918&gt;=Walmart_Sales_raw_data!$C$6437,"High","low")</f>
        <v>High</v>
      </c>
    </row>
    <row r="3919" spans="1:3">
      <c r="A3919" s="3">
        <v>28</v>
      </c>
      <c r="B3919" s="2">
        <f>Walmart_Sales_raw_data!C3919</f>
        <v>1723736.91</v>
      </c>
      <c r="C3919" t="str">
        <f>IF(B3919&gt;=Walmart_Sales_raw_data!$C$6437,"High","low")</f>
        <v>High</v>
      </c>
    </row>
    <row r="3920" spans="1:3">
      <c r="A3920" s="1">
        <v>28</v>
      </c>
      <c r="B3920" s="2">
        <f>Walmart_Sales_raw_data!C3920</f>
        <v>1380836.35</v>
      </c>
      <c r="C3920" t="str">
        <f>IF(B3920&gt;=Walmart_Sales_raw_data!$C$6437,"High","low")</f>
        <v>High</v>
      </c>
    </row>
    <row r="3921" spans="1:3">
      <c r="A3921" s="3">
        <v>28</v>
      </c>
      <c r="B3921" s="2">
        <f>Walmart_Sales_raw_data!C3921</f>
        <v>1286413.71</v>
      </c>
      <c r="C3921" t="str">
        <f>IF(B3921&gt;=Walmart_Sales_raw_data!$C$6437,"High","low")</f>
        <v>High</v>
      </c>
    </row>
    <row r="3922" spans="1:3">
      <c r="A3922" s="1">
        <v>28</v>
      </c>
      <c r="B3922" s="2">
        <f>Walmart_Sales_raw_data!C3922</f>
        <v>1201059.72</v>
      </c>
      <c r="C3922" t="str">
        <f>IF(B3922&gt;=Walmart_Sales_raw_data!$C$6437,"High","low")</f>
        <v>High</v>
      </c>
    </row>
    <row r="3923" spans="1:3">
      <c r="A3923" s="3">
        <v>28</v>
      </c>
      <c r="B3923" s="2">
        <f>Walmart_Sales_raw_data!C3923</f>
        <v>1336838.41</v>
      </c>
      <c r="C3923" t="str">
        <f>IF(B3923&gt;=Walmart_Sales_raw_data!$C$6437,"High","low")</f>
        <v>High</v>
      </c>
    </row>
    <row r="3924" spans="1:3">
      <c r="A3924" s="1">
        <v>28</v>
      </c>
      <c r="B3924" s="2">
        <f>Walmart_Sales_raw_data!C3924</f>
        <v>1414713.5</v>
      </c>
      <c r="C3924" t="str">
        <f>IF(B3924&gt;=Walmart_Sales_raw_data!$C$6437,"High","low")</f>
        <v>High</v>
      </c>
    </row>
    <row r="3925" spans="1:3">
      <c r="A3925" s="3">
        <v>28</v>
      </c>
      <c r="B3925" s="2">
        <f>Walmart_Sales_raw_data!C3925</f>
        <v>1240126.07</v>
      </c>
      <c r="C3925" t="str">
        <f>IF(B3925&gt;=Walmart_Sales_raw_data!$C$6437,"High","low")</f>
        <v>High</v>
      </c>
    </row>
    <row r="3926" spans="1:3">
      <c r="A3926" s="1">
        <v>28</v>
      </c>
      <c r="B3926" s="2">
        <f>Walmart_Sales_raw_data!C3926</f>
        <v>1297452</v>
      </c>
      <c r="C3926" t="str">
        <f>IF(B3926&gt;=Walmart_Sales_raw_data!$C$6437,"High","low")</f>
        <v>High</v>
      </c>
    </row>
    <row r="3927" spans="1:3">
      <c r="A3927" s="3">
        <v>28</v>
      </c>
      <c r="B3927" s="2">
        <f>Walmart_Sales_raw_data!C3927</f>
        <v>1222367.9</v>
      </c>
      <c r="C3927" t="str">
        <f>IF(B3927&gt;=Walmart_Sales_raw_data!$C$6437,"High","low")</f>
        <v>High</v>
      </c>
    </row>
    <row r="3928" spans="1:3">
      <c r="A3928" s="1">
        <v>28</v>
      </c>
      <c r="B3928" s="2">
        <f>Walmart_Sales_raw_data!C3928</f>
        <v>1515890.38</v>
      </c>
      <c r="C3928" t="str">
        <f>IF(B3928&gt;=Walmart_Sales_raw_data!$C$6437,"High","low")</f>
        <v>High</v>
      </c>
    </row>
    <row r="3929" spans="1:3">
      <c r="A3929" s="3">
        <v>28</v>
      </c>
      <c r="B3929" s="2">
        <f>Walmart_Sales_raw_data!C3929</f>
        <v>1253316.3</v>
      </c>
      <c r="C3929" t="str">
        <f>IF(B3929&gt;=Walmart_Sales_raw_data!$C$6437,"High","low")</f>
        <v>High</v>
      </c>
    </row>
    <row r="3930" spans="1:3">
      <c r="A3930" s="1">
        <v>28</v>
      </c>
      <c r="B3930" s="2">
        <f>Walmart_Sales_raw_data!C3930</f>
        <v>1151282.31</v>
      </c>
      <c r="C3930" t="str">
        <f>IF(B3930&gt;=Walmart_Sales_raw_data!$C$6437,"High","low")</f>
        <v>High</v>
      </c>
    </row>
    <row r="3931" spans="1:3">
      <c r="A3931" s="3">
        <v>28</v>
      </c>
      <c r="B3931" s="2">
        <f>Walmart_Sales_raw_data!C3931</f>
        <v>1160043.98</v>
      </c>
      <c r="C3931" t="str">
        <f>IF(B3931&gt;=Walmart_Sales_raw_data!$C$6437,"High","low")</f>
        <v>High</v>
      </c>
    </row>
    <row r="3932" spans="1:3">
      <c r="A3932" s="1">
        <v>28</v>
      </c>
      <c r="B3932" s="2">
        <f>Walmart_Sales_raw_data!C3932</f>
        <v>1403779.25</v>
      </c>
      <c r="C3932" t="str">
        <f>IF(B3932&gt;=Walmart_Sales_raw_data!$C$6437,"High","low")</f>
        <v>High</v>
      </c>
    </row>
    <row r="3933" spans="1:3">
      <c r="A3933" s="3">
        <v>28</v>
      </c>
      <c r="B3933" s="2">
        <f>Walmart_Sales_raw_data!C3933</f>
        <v>1339972.83</v>
      </c>
      <c r="C3933" t="str">
        <f>IF(B3933&gt;=Walmart_Sales_raw_data!$C$6437,"High","low")</f>
        <v>High</v>
      </c>
    </row>
    <row r="3934" spans="1:3">
      <c r="A3934" s="1">
        <v>28</v>
      </c>
      <c r="B3934" s="2">
        <f>Walmart_Sales_raw_data!C3934</f>
        <v>1268503.49</v>
      </c>
      <c r="C3934" t="str">
        <f>IF(B3934&gt;=Walmart_Sales_raw_data!$C$6437,"High","low")</f>
        <v>High</v>
      </c>
    </row>
    <row r="3935" spans="1:3">
      <c r="A3935" s="3">
        <v>28</v>
      </c>
      <c r="B3935" s="2">
        <f>Walmart_Sales_raw_data!C3935</f>
        <v>1208809.34</v>
      </c>
      <c r="C3935" t="str">
        <f>IF(B3935&gt;=Walmart_Sales_raw_data!$C$6437,"High","low")</f>
        <v>High</v>
      </c>
    </row>
    <row r="3936" spans="1:3">
      <c r="A3936" s="1">
        <v>28</v>
      </c>
      <c r="B3936" s="2">
        <f>Walmart_Sales_raw_data!C3936</f>
        <v>1319054.57</v>
      </c>
      <c r="C3936" t="str">
        <f>IF(B3936&gt;=Walmart_Sales_raw_data!$C$6437,"High","low")</f>
        <v>High</v>
      </c>
    </row>
    <row r="3937" spans="1:3">
      <c r="A3937" s="3">
        <v>28</v>
      </c>
      <c r="B3937" s="2">
        <f>Walmart_Sales_raw_data!C3937</f>
        <v>1459655.85</v>
      </c>
      <c r="C3937" t="str">
        <f>IF(B3937&gt;=Walmart_Sales_raw_data!$C$6437,"High","low")</f>
        <v>High</v>
      </c>
    </row>
    <row r="3938" spans="1:3">
      <c r="A3938" s="1">
        <v>28</v>
      </c>
      <c r="B3938" s="2">
        <f>Walmart_Sales_raw_data!C3938</f>
        <v>1197373.13</v>
      </c>
      <c r="C3938" t="str">
        <f>IF(B3938&gt;=Walmart_Sales_raw_data!$C$6437,"High","low")</f>
        <v>High</v>
      </c>
    </row>
    <row r="3939" spans="1:3">
      <c r="A3939" s="3">
        <v>28</v>
      </c>
      <c r="B3939" s="2">
        <f>Walmart_Sales_raw_data!C3939</f>
        <v>1165870.54</v>
      </c>
      <c r="C3939" t="str">
        <f>IF(B3939&gt;=Walmart_Sales_raw_data!$C$6437,"High","low")</f>
        <v>High</v>
      </c>
    </row>
    <row r="3940" spans="1:3">
      <c r="A3940" s="1">
        <v>28</v>
      </c>
      <c r="B3940" s="2">
        <f>Walmart_Sales_raw_data!C3940</f>
        <v>1114530.29</v>
      </c>
      <c r="C3940" t="str">
        <f>IF(B3940&gt;=Walmart_Sales_raw_data!$C$6437,"High","low")</f>
        <v>High</v>
      </c>
    </row>
    <row r="3941" spans="1:3">
      <c r="A3941" s="3">
        <v>28</v>
      </c>
      <c r="B3941" s="2">
        <f>Walmart_Sales_raw_data!C3941</f>
        <v>1523870.89</v>
      </c>
      <c r="C3941" t="str">
        <f>IF(B3941&gt;=Walmart_Sales_raw_data!$C$6437,"High","low")</f>
        <v>High</v>
      </c>
    </row>
    <row r="3942" spans="1:3">
      <c r="A3942" s="1">
        <v>28</v>
      </c>
      <c r="B3942" s="2">
        <f>Walmart_Sales_raw_data!C3942</f>
        <v>1218764.94</v>
      </c>
      <c r="C3942" t="str">
        <f>IF(B3942&gt;=Walmart_Sales_raw_data!$C$6437,"High","low")</f>
        <v>High</v>
      </c>
    </row>
    <row r="3943" spans="1:3">
      <c r="A3943" s="3">
        <v>28</v>
      </c>
      <c r="B3943" s="2">
        <f>Walmart_Sales_raw_data!C3943</f>
        <v>1200019.74</v>
      </c>
      <c r="C3943" t="str">
        <f>IF(B3943&gt;=Walmart_Sales_raw_data!$C$6437,"High","low")</f>
        <v>High</v>
      </c>
    </row>
    <row r="3944" spans="1:3">
      <c r="A3944" s="1">
        <v>28</v>
      </c>
      <c r="B3944" s="2">
        <f>Walmart_Sales_raw_data!C3944</f>
        <v>1166479.51</v>
      </c>
      <c r="C3944" t="str">
        <f>IF(B3944&gt;=Walmart_Sales_raw_data!$C$6437,"High","low")</f>
        <v>High</v>
      </c>
    </row>
    <row r="3945" spans="1:3">
      <c r="A3945" s="3">
        <v>28</v>
      </c>
      <c r="B3945" s="2">
        <f>Walmart_Sales_raw_data!C3945</f>
        <v>1468871.49</v>
      </c>
      <c r="C3945" t="str">
        <f>IF(B3945&gt;=Walmart_Sales_raw_data!$C$6437,"High","low")</f>
        <v>High</v>
      </c>
    </row>
    <row r="3946" spans="1:3">
      <c r="A3946" s="1">
        <v>28</v>
      </c>
      <c r="B3946" s="2">
        <f>Walmart_Sales_raw_data!C3946</f>
        <v>1310087</v>
      </c>
      <c r="C3946" t="str">
        <f>IF(B3946&gt;=Walmart_Sales_raw_data!$C$6437,"High","low")</f>
        <v>High</v>
      </c>
    </row>
    <row r="3947" spans="1:3">
      <c r="A3947" s="3">
        <v>28</v>
      </c>
      <c r="B3947" s="2">
        <f>Walmart_Sales_raw_data!C3947</f>
        <v>1159212.1</v>
      </c>
      <c r="C3947" t="str">
        <f>IF(B3947&gt;=Walmart_Sales_raw_data!$C$6437,"High","low")</f>
        <v>High</v>
      </c>
    </row>
    <row r="3948" spans="1:3">
      <c r="A3948" s="1">
        <v>28</v>
      </c>
      <c r="B3948" s="2">
        <f>Walmart_Sales_raw_data!C3948</f>
        <v>1109105.92</v>
      </c>
      <c r="C3948" t="str">
        <f>IF(B3948&gt;=Walmart_Sales_raw_data!$C$6437,"High","low")</f>
        <v>High</v>
      </c>
    </row>
    <row r="3949" spans="1:3">
      <c r="A3949" s="3">
        <v>28</v>
      </c>
      <c r="B3949" s="2">
        <f>Walmart_Sales_raw_data!C3949</f>
        <v>1120731.76</v>
      </c>
      <c r="C3949" t="str">
        <f>IF(B3949&gt;=Walmart_Sales_raw_data!$C$6437,"High","low")</f>
        <v>High</v>
      </c>
    </row>
    <row r="3950" spans="1:3">
      <c r="A3950" s="1">
        <v>28</v>
      </c>
      <c r="B3950" s="2">
        <f>Walmart_Sales_raw_data!C3950</f>
        <v>1557314.58</v>
      </c>
      <c r="C3950" t="str">
        <f>IF(B3950&gt;=Walmart_Sales_raw_data!$C$6437,"High","low")</f>
        <v>High</v>
      </c>
    </row>
    <row r="3951" spans="1:3">
      <c r="A3951" s="3">
        <v>28</v>
      </c>
      <c r="B3951" s="2">
        <f>Walmart_Sales_raw_data!C3951</f>
        <v>1220984.94</v>
      </c>
      <c r="C3951" t="str">
        <f>IF(B3951&gt;=Walmart_Sales_raw_data!$C$6437,"High","low")</f>
        <v>High</v>
      </c>
    </row>
    <row r="3952" spans="1:3">
      <c r="A3952" s="1">
        <v>28</v>
      </c>
      <c r="B3952" s="2">
        <f>Walmart_Sales_raw_data!C3952</f>
        <v>1203172.05</v>
      </c>
      <c r="C3952" t="str">
        <f>IF(B3952&gt;=Walmart_Sales_raw_data!$C$6437,"High","low")</f>
        <v>High</v>
      </c>
    </row>
    <row r="3953" spans="1:3">
      <c r="A3953" s="3">
        <v>28</v>
      </c>
      <c r="B3953" s="2">
        <f>Walmart_Sales_raw_data!C3953</f>
        <v>1242746.06</v>
      </c>
      <c r="C3953" t="str">
        <f>IF(B3953&gt;=Walmart_Sales_raw_data!$C$6437,"High","low")</f>
        <v>High</v>
      </c>
    </row>
    <row r="3954" spans="1:3">
      <c r="A3954" s="1">
        <v>28</v>
      </c>
      <c r="B3954" s="2">
        <f>Walmart_Sales_raw_data!C3954</f>
        <v>1576654.67</v>
      </c>
      <c r="C3954" t="str">
        <f>IF(B3954&gt;=Walmart_Sales_raw_data!$C$6437,"High","low")</f>
        <v>High</v>
      </c>
    </row>
    <row r="3955" spans="1:3">
      <c r="A3955" s="3">
        <v>28</v>
      </c>
      <c r="B3955" s="2">
        <f>Walmart_Sales_raw_data!C3955</f>
        <v>1402654.95</v>
      </c>
      <c r="C3955" t="str">
        <f>IF(B3955&gt;=Walmart_Sales_raw_data!$C$6437,"High","low")</f>
        <v>High</v>
      </c>
    </row>
    <row r="3956" spans="1:3">
      <c r="A3956" s="1">
        <v>28</v>
      </c>
      <c r="B3956" s="2">
        <f>Walmart_Sales_raw_data!C3956</f>
        <v>1255081.22</v>
      </c>
      <c r="C3956" t="str">
        <f>IF(B3956&gt;=Walmart_Sales_raw_data!$C$6437,"High","low")</f>
        <v>High</v>
      </c>
    </row>
    <row r="3957" spans="1:3">
      <c r="A3957" s="3">
        <v>28</v>
      </c>
      <c r="B3957" s="2">
        <f>Walmart_Sales_raw_data!C3957</f>
        <v>1929738.27</v>
      </c>
      <c r="C3957" t="str">
        <f>IF(B3957&gt;=Walmart_Sales_raw_data!$C$6437,"High","low")</f>
        <v>High</v>
      </c>
    </row>
    <row r="3958" spans="1:3">
      <c r="A3958" s="1">
        <v>28</v>
      </c>
      <c r="B3958" s="2">
        <f>Walmart_Sales_raw_data!C3958</f>
        <v>1368130.35</v>
      </c>
      <c r="C3958" t="str">
        <f>IF(B3958&gt;=Walmart_Sales_raw_data!$C$6437,"High","low")</f>
        <v>High</v>
      </c>
    </row>
    <row r="3959" spans="1:3">
      <c r="A3959" s="3">
        <v>28</v>
      </c>
      <c r="B3959" s="2">
        <f>Walmart_Sales_raw_data!C3959</f>
        <v>1467024.3</v>
      </c>
      <c r="C3959" t="str">
        <f>IF(B3959&gt;=Walmart_Sales_raw_data!$C$6437,"High","low")</f>
        <v>High</v>
      </c>
    </row>
    <row r="3960" spans="1:3">
      <c r="A3960" s="1">
        <v>28</v>
      </c>
      <c r="B3960" s="2">
        <f>Walmart_Sales_raw_data!C3960</f>
        <v>1429954.66</v>
      </c>
      <c r="C3960" t="str">
        <f>IF(B3960&gt;=Walmart_Sales_raw_data!$C$6437,"High","low")</f>
        <v>High</v>
      </c>
    </row>
    <row r="3961" spans="1:3">
      <c r="A3961" s="3">
        <v>28</v>
      </c>
      <c r="B3961" s="2">
        <f>Walmart_Sales_raw_data!C3961</f>
        <v>1796203.51</v>
      </c>
      <c r="C3961" t="str">
        <f>IF(B3961&gt;=Walmart_Sales_raw_data!$C$6437,"High","low")</f>
        <v>High</v>
      </c>
    </row>
    <row r="3962" spans="1:3">
      <c r="A3962" s="1">
        <v>28</v>
      </c>
      <c r="B3962" s="2">
        <f>Walmart_Sales_raw_data!C3962</f>
        <v>1270036.53</v>
      </c>
      <c r="C3962" t="str">
        <f>IF(B3962&gt;=Walmart_Sales_raw_data!$C$6437,"High","low")</f>
        <v>High</v>
      </c>
    </row>
    <row r="3963" spans="1:3">
      <c r="A3963" s="3">
        <v>28</v>
      </c>
      <c r="B3963" s="2">
        <f>Walmart_Sales_raw_data!C3963</f>
        <v>1466046.07</v>
      </c>
      <c r="C3963" t="str">
        <f>IF(B3963&gt;=Walmart_Sales_raw_data!$C$6437,"High","low")</f>
        <v>High</v>
      </c>
    </row>
    <row r="3964" spans="1:3">
      <c r="A3964" s="1">
        <v>28</v>
      </c>
      <c r="B3964" s="2">
        <f>Walmart_Sales_raw_data!C3964</f>
        <v>1161190.29</v>
      </c>
      <c r="C3964" t="str">
        <f>IF(B3964&gt;=Walmart_Sales_raw_data!$C$6437,"High","low")</f>
        <v>High</v>
      </c>
    </row>
    <row r="3965" spans="1:3">
      <c r="A3965" s="3">
        <v>28</v>
      </c>
      <c r="B3965" s="2">
        <f>Walmart_Sales_raw_data!C3965</f>
        <v>1129540.48</v>
      </c>
      <c r="C3965" t="str">
        <f>IF(B3965&gt;=Walmart_Sales_raw_data!$C$6437,"High","low")</f>
        <v>High</v>
      </c>
    </row>
    <row r="3966" spans="1:3">
      <c r="A3966" s="1">
        <v>28</v>
      </c>
      <c r="B3966" s="2">
        <f>Walmart_Sales_raw_data!C3966</f>
        <v>1132948.48</v>
      </c>
      <c r="C3966" t="str">
        <f>IF(B3966&gt;=Walmart_Sales_raw_data!$C$6437,"High","low")</f>
        <v>High</v>
      </c>
    </row>
    <row r="3967" spans="1:3">
      <c r="A3967" s="3">
        <v>28</v>
      </c>
      <c r="B3967" s="2">
        <f>Walmart_Sales_raw_data!C3967</f>
        <v>1531599.44</v>
      </c>
      <c r="C3967" t="str">
        <f>IF(B3967&gt;=Walmart_Sales_raw_data!$C$6437,"High","low")</f>
        <v>High</v>
      </c>
    </row>
    <row r="3968" spans="1:3">
      <c r="A3968" s="1">
        <v>28</v>
      </c>
      <c r="B3968" s="2">
        <f>Walmart_Sales_raw_data!C3968</f>
        <v>1572966.15</v>
      </c>
      <c r="C3968" t="str">
        <f>IF(B3968&gt;=Walmart_Sales_raw_data!$C$6437,"High","low")</f>
        <v>High</v>
      </c>
    </row>
    <row r="3969" spans="1:3">
      <c r="A3969" s="3">
        <v>28</v>
      </c>
      <c r="B3969" s="2">
        <f>Walmart_Sales_raw_data!C3969</f>
        <v>1501503.68</v>
      </c>
      <c r="C3969" t="str">
        <f>IF(B3969&gt;=Walmart_Sales_raw_data!$C$6437,"High","low")</f>
        <v>High</v>
      </c>
    </row>
    <row r="3970" spans="1:3">
      <c r="A3970" s="1">
        <v>28</v>
      </c>
      <c r="B3970" s="2">
        <f>Walmart_Sales_raw_data!C3970</f>
        <v>1323487.91</v>
      </c>
      <c r="C3970" t="str">
        <f>IF(B3970&gt;=Walmart_Sales_raw_data!$C$6437,"High","low")</f>
        <v>High</v>
      </c>
    </row>
    <row r="3971" spans="1:3">
      <c r="A3971" s="3">
        <v>28</v>
      </c>
      <c r="B3971" s="2">
        <f>Walmart_Sales_raw_data!C3971</f>
        <v>1451740.57</v>
      </c>
      <c r="C3971" t="str">
        <f>IF(B3971&gt;=Walmart_Sales_raw_data!$C$6437,"High","low")</f>
        <v>High</v>
      </c>
    </row>
    <row r="3972" spans="1:3">
      <c r="A3972" s="1">
        <v>28</v>
      </c>
      <c r="B3972" s="2">
        <f>Walmart_Sales_raw_data!C3972</f>
        <v>1680764.06</v>
      </c>
      <c r="C3972" t="str">
        <f>IF(B3972&gt;=Walmart_Sales_raw_data!$C$6437,"High","low")</f>
        <v>High</v>
      </c>
    </row>
    <row r="3973" spans="1:3">
      <c r="A3973" s="3">
        <v>28</v>
      </c>
      <c r="B3973" s="2">
        <f>Walmart_Sales_raw_data!C3973</f>
        <v>1337875.49</v>
      </c>
      <c r="C3973" t="str">
        <f>IF(B3973&gt;=Walmart_Sales_raw_data!$C$6437,"High","low")</f>
        <v>High</v>
      </c>
    </row>
    <row r="3974" spans="1:3">
      <c r="A3974" s="1">
        <v>28</v>
      </c>
      <c r="B3974" s="2">
        <f>Walmart_Sales_raw_data!C3974</f>
        <v>1216059.41</v>
      </c>
      <c r="C3974" t="str">
        <f>IF(B3974&gt;=Walmart_Sales_raw_data!$C$6437,"High","low")</f>
        <v>High</v>
      </c>
    </row>
    <row r="3975" spans="1:3">
      <c r="A3975" s="3">
        <v>28</v>
      </c>
      <c r="B3975" s="2">
        <f>Walmart_Sales_raw_data!C3975</f>
        <v>1209524.11</v>
      </c>
      <c r="C3975" t="str">
        <f>IF(B3975&gt;=Walmart_Sales_raw_data!$C$6437,"High","low")</f>
        <v>High</v>
      </c>
    </row>
    <row r="3976" spans="1:3">
      <c r="A3976" s="1">
        <v>28</v>
      </c>
      <c r="B3976" s="2">
        <f>Walmart_Sales_raw_data!C3976</f>
        <v>1559592.79</v>
      </c>
      <c r="C3976" t="str">
        <f>IF(B3976&gt;=Walmart_Sales_raw_data!$C$6437,"High","low")</f>
        <v>High</v>
      </c>
    </row>
    <row r="3977" spans="1:3">
      <c r="A3977" s="3">
        <v>28</v>
      </c>
      <c r="B3977" s="2">
        <f>Walmart_Sales_raw_data!C3977</f>
        <v>1290684.95</v>
      </c>
      <c r="C3977" t="str">
        <f>IF(B3977&gt;=Walmart_Sales_raw_data!$C$6437,"High","low")</f>
        <v>High</v>
      </c>
    </row>
    <row r="3978" spans="1:3">
      <c r="A3978" s="1">
        <v>28</v>
      </c>
      <c r="B3978" s="2">
        <f>Walmart_Sales_raw_data!C3978</f>
        <v>1180797.2</v>
      </c>
      <c r="C3978" t="str">
        <f>IF(B3978&gt;=Walmart_Sales_raw_data!$C$6437,"High","low")</f>
        <v>High</v>
      </c>
    </row>
    <row r="3979" spans="1:3">
      <c r="A3979" s="3">
        <v>28</v>
      </c>
      <c r="B3979" s="2">
        <f>Walmart_Sales_raw_data!C3979</f>
        <v>1170456.16</v>
      </c>
      <c r="C3979" t="str">
        <f>IF(B3979&gt;=Walmart_Sales_raw_data!$C$6437,"High","low")</f>
        <v>High</v>
      </c>
    </row>
    <row r="3980" spans="1:3">
      <c r="A3980" s="1">
        <v>28</v>
      </c>
      <c r="B3980" s="2">
        <f>Walmart_Sales_raw_data!C3980</f>
        <v>1450628.85</v>
      </c>
      <c r="C3980" t="str">
        <f>IF(B3980&gt;=Walmart_Sales_raw_data!$C$6437,"High","low")</f>
        <v>High</v>
      </c>
    </row>
    <row r="3981" spans="1:3">
      <c r="A3981" s="3">
        <v>28</v>
      </c>
      <c r="B3981" s="2">
        <f>Walmart_Sales_raw_data!C3981</f>
        <v>1264575.18</v>
      </c>
      <c r="C3981" t="str">
        <f>IF(B3981&gt;=Walmart_Sales_raw_data!$C$6437,"High","low")</f>
        <v>High</v>
      </c>
    </row>
    <row r="3982" spans="1:3">
      <c r="A3982" s="1">
        <v>28</v>
      </c>
      <c r="B3982" s="2">
        <f>Walmart_Sales_raw_data!C3982</f>
        <v>1213310.45</v>
      </c>
      <c r="C3982" t="str">
        <f>IF(B3982&gt;=Walmart_Sales_raw_data!$C$6437,"High","low")</f>
        <v>High</v>
      </c>
    </row>
    <row r="3983" spans="1:3">
      <c r="A3983" s="3">
        <v>28</v>
      </c>
      <c r="B3983" s="2">
        <f>Walmart_Sales_raw_data!C3983</f>
        <v>1151214.41</v>
      </c>
      <c r="C3983" t="str">
        <f>IF(B3983&gt;=Walmart_Sales_raw_data!$C$6437,"High","low")</f>
        <v>High</v>
      </c>
    </row>
    <row r="3984" spans="1:3">
      <c r="A3984" s="1">
        <v>28</v>
      </c>
      <c r="B3984" s="2">
        <f>Walmart_Sales_raw_data!C3984</f>
        <v>1245480.95</v>
      </c>
      <c r="C3984" t="str">
        <f>IF(B3984&gt;=Walmart_Sales_raw_data!$C$6437,"High","low")</f>
        <v>High</v>
      </c>
    </row>
    <row r="3985" spans="1:3">
      <c r="A3985" s="3">
        <v>28</v>
      </c>
      <c r="B3985" s="2">
        <f>Walmart_Sales_raw_data!C3985</f>
        <v>1440687.69</v>
      </c>
      <c r="C3985" t="str">
        <f>IF(B3985&gt;=Walmart_Sales_raw_data!$C$6437,"High","low")</f>
        <v>High</v>
      </c>
    </row>
    <row r="3986" spans="1:3">
      <c r="A3986" s="1">
        <v>28</v>
      </c>
      <c r="B3986" s="2">
        <f>Walmart_Sales_raw_data!C3986</f>
        <v>1229760.97</v>
      </c>
      <c r="C3986" t="str">
        <f>IF(B3986&gt;=Walmart_Sales_raw_data!$C$6437,"High","low")</f>
        <v>High</v>
      </c>
    </row>
    <row r="3987" spans="1:3">
      <c r="A3987" s="3">
        <v>28</v>
      </c>
      <c r="B3987" s="2">
        <f>Walmart_Sales_raw_data!C3987</f>
        <v>1180671.55</v>
      </c>
      <c r="C3987" t="str">
        <f>IF(B3987&gt;=Walmart_Sales_raw_data!$C$6437,"High","low")</f>
        <v>High</v>
      </c>
    </row>
    <row r="3988" spans="1:3">
      <c r="A3988" s="1">
        <v>28</v>
      </c>
      <c r="B3988" s="2">
        <f>Walmart_Sales_raw_data!C3988</f>
        <v>1129031.98</v>
      </c>
      <c r="C3988" t="str">
        <f>IF(B3988&gt;=Walmart_Sales_raw_data!$C$6437,"High","low")</f>
        <v>High</v>
      </c>
    </row>
    <row r="3989" spans="1:3">
      <c r="A3989" s="3">
        <v>28</v>
      </c>
      <c r="B3989" s="2">
        <f>Walmart_Sales_raw_data!C3989</f>
        <v>1500863.54</v>
      </c>
      <c r="C3989" t="str">
        <f>IF(B3989&gt;=Walmart_Sales_raw_data!$C$6437,"High","low")</f>
        <v>High</v>
      </c>
    </row>
    <row r="3990" spans="1:3">
      <c r="A3990" s="1">
        <v>28</v>
      </c>
      <c r="B3990" s="2">
        <f>Walmart_Sales_raw_data!C3990</f>
        <v>1179915.04</v>
      </c>
      <c r="C3990" t="str">
        <f>IF(B3990&gt;=Walmart_Sales_raw_data!$C$6437,"High","low")</f>
        <v>High</v>
      </c>
    </row>
    <row r="3991" spans="1:3">
      <c r="A3991" s="3">
        <v>28</v>
      </c>
      <c r="B3991" s="2">
        <f>Walmart_Sales_raw_data!C3991</f>
        <v>1149427.48</v>
      </c>
      <c r="C3991" t="str">
        <f>IF(B3991&gt;=Walmart_Sales_raw_data!$C$6437,"High","low")</f>
        <v>High</v>
      </c>
    </row>
    <row r="3992" spans="1:3">
      <c r="A3992" s="1">
        <v>28</v>
      </c>
      <c r="B3992" s="2">
        <f>Walmart_Sales_raw_data!C3992</f>
        <v>1135035.09</v>
      </c>
      <c r="C3992" t="str">
        <f>IF(B3992&gt;=Walmart_Sales_raw_data!$C$6437,"High","low")</f>
        <v>High</v>
      </c>
    </row>
    <row r="3993" spans="1:3">
      <c r="A3993" s="3">
        <v>28</v>
      </c>
      <c r="B3993" s="2">
        <f>Walmart_Sales_raw_data!C3993</f>
        <v>1376520.1</v>
      </c>
      <c r="C3993" t="str">
        <f>IF(B3993&gt;=Walmart_Sales_raw_data!$C$6437,"High","low")</f>
        <v>High</v>
      </c>
    </row>
    <row r="3994" spans="1:3">
      <c r="A3994" s="1">
        <v>28</v>
      </c>
      <c r="B3994" s="2">
        <f>Walmart_Sales_raw_data!C3994</f>
        <v>1269113.41</v>
      </c>
      <c r="C3994" t="str">
        <f>IF(B3994&gt;=Walmart_Sales_raw_data!$C$6437,"High","low")</f>
        <v>High</v>
      </c>
    </row>
    <row r="3995" spans="1:3">
      <c r="A3995" s="3">
        <v>28</v>
      </c>
      <c r="B3995" s="2">
        <f>Walmart_Sales_raw_data!C3995</f>
        <v>1184198.41</v>
      </c>
      <c r="C3995" t="str">
        <f>IF(B3995&gt;=Walmart_Sales_raw_data!$C$6437,"High","low")</f>
        <v>High</v>
      </c>
    </row>
    <row r="3996" spans="1:3">
      <c r="A3996" s="1">
        <v>28</v>
      </c>
      <c r="B3996" s="2">
        <f>Walmart_Sales_raw_data!C3996</f>
        <v>1199309.59</v>
      </c>
      <c r="C3996" t="str">
        <f>IF(B3996&gt;=Walmart_Sales_raw_data!$C$6437,"High","low")</f>
        <v>High</v>
      </c>
    </row>
    <row r="3997" spans="1:3">
      <c r="A3997" s="3">
        <v>28</v>
      </c>
      <c r="B3997" s="2">
        <f>Walmart_Sales_raw_data!C3997</f>
        <v>1227118.75</v>
      </c>
      <c r="C3997" t="str">
        <f>IF(B3997&gt;=Walmart_Sales_raw_data!$C$6437,"High","low")</f>
        <v>High</v>
      </c>
    </row>
    <row r="3998" spans="1:3">
      <c r="A3998" s="1">
        <v>28</v>
      </c>
      <c r="B3998" s="2">
        <f>Walmart_Sales_raw_data!C3998</f>
        <v>1469693.99</v>
      </c>
      <c r="C3998" t="str">
        <f>IF(B3998&gt;=Walmart_Sales_raw_data!$C$6437,"High","low")</f>
        <v>High</v>
      </c>
    </row>
    <row r="3999" spans="1:3">
      <c r="A3999" s="3">
        <v>28</v>
      </c>
      <c r="B3999" s="2">
        <f>Walmart_Sales_raw_data!C3999</f>
        <v>1124660.77</v>
      </c>
      <c r="C3999" t="str">
        <f>IF(B3999&gt;=Walmart_Sales_raw_data!$C$6437,"High","low")</f>
        <v>High</v>
      </c>
    </row>
    <row r="4000" spans="1:3">
      <c r="A4000" s="1">
        <v>28</v>
      </c>
      <c r="B4000" s="2">
        <f>Walmart_Sales_raw_data!C4000</f>
        <v>1135340.19</v>
      </c>
      <c r="C4000" t="str">
        <f>IF(B4000&gt;=Walmart_Sales_raw_data!$C$6437,"High","low")</f>
        <v>High</v>
      </c>
    </row>
    <row r="4001" spans="1:3">
      <c r="A4001" s="3">
        <v>28</v>
      </c>
      <c r="B4001" s="2">
        <f>Walmart_Sales_raw_data!C4001</f>
        <v>1129508.61</v>
      </c>
      <c r="C4001" t="str">
        <f>IF(B4001&gt;=Walmart_Sales_raw_data!$C$6437,"High","low")</f>
        <v>High</v>
      </c>
    </row>
    <row r="4002" spans="1:3">
      <c r="A4002" s="1">
        <v>28</v>
      </c>
      <c r="B4002" s="2">
        <f>Walmart_Sales_raw_data!C4002</f>
        <v>1462941.03</v>
      </c>
      <c r="C4002" t="str">
        <f>IF(B4002&gt;=Walmart_Sales_raw_data!$C$6437,"High","low")</f>
        <v>High</v>
      </c>
    </row>
    <row r="4003" spans="1:3">
      <c r="A4003" s="3">
        <v>28</v>
      </c>
      <c r="B4003" s="2">
        <f>Walmart_Sales_raw_data!C4003</f>
        <v>1205536.71</v>
      </c>
      <c r="C4003" t="str">
        <f>IF(B4003&gt;=Walmart_Sales_raw_data!$C$6437,"High","low")</f>
        <v>High</v>
      </c>
    </row>
    <row r="4004" spans="1:3">
      <c r="A4004" s="1">
        <v>28</v>
      </c>
      <c r="B4004" s="2">
        <f>Walmart_Sales_raw_data!C4004</f>
        <v>1143724.48</v>
      </c>
      <c r="C4004" t="str">
        <f>IF(B4004&gt;=Walmart_Sales_raw_data!$C$6437,"High","low")</f>
        <v>High</v>
      </c>
    </row>
    <row r="4005" spans="1:3">
      <c r="A4005" s="3">
        <v>28</v>
      </c>
      <c r="B4005" s="2">
        <f>Walmart_Sales_raw_data!C4005</f>
        <v>1213860.61</v>
      </c>
      <c r="C4005" t="str">
        <f>IF(B4005&gt;=Walmart_Sales_raw_data!$C$6437,"High","low")</f>
        <v>High</v>
      </c>
    </row>
    <row r="4006" spans="1:3">
      <c r="A4006" s="1">
        <v>29</v>
      </c>
      <c r="B4006" s="2">
        <f>Walmart_Sales_raw_data!C4006</f>
        <v>538634.46</v>
      </c>
      <c r="C4006" t="str">
        <f>IF(B4006&gt;=Walmart_Sales_raw_data!$C$6437,"High","low")</f>
        <v>low</v>
      </c>
    </row>
    <row r="4007" spans="1:3">
      <c r="A4007" s="3">
        <v>29</v>
      </c>
      <c r="B4007" s="2">
        <f>Walmart_Sales_raw_data!C4007</f>
        <v>529672.95</v>
      </c>
      <c r="C4007" t="str">
        <f>IF(B4007&gt;=Walmart_Sales_raw_data!$C$6437,"High","low")</f>
        <v>low</v>
      </c>
    </row>
    <row r="4008" spans="1:3">
      <c r="A4008" s="1">
        <v>29</v>
      </c>
      <c r="B4008" s="2">
        <f>Walmart_Sales_raw_data!C4008</f>
        <v>542399.07</v>
      </c>
      <c r="C4008" t="str">
        <f>IF(B4008&gt;=Walmart_Sales_raw_data!$C$6437,"High","low")</f>
        <v>low</v>
      </c>
    </row>
    <row r="4009" spans="1:3">
      <c r="A4009" s="3">
        <v>29</v>
      </c>
      <c r="B4009" s="2">
        <f>Walmart_Sales_raw_data!C4009</f>
        <v>488417.61</v>
      </c>
      <c r="C4009" t="str">
        <f>IF(B4009&gt;=Walmart_Sales_raw_data!$C$6437,"High","low")</f>
        <v>low</v>
      </c>
    </row>
    <row r="4010" spans="1:3">
      <c r="A4010" s="1">
        <v>29</v>
      </c>
      <c r="B4010" s="2">
        <f>Walmart_Sales_raw_data!C4010</f>
        <v>535087.91</v>
      </c>
      <c r="C4010" t="str">
        <f>IF(B4010&gt;=Walmart_Sales_raw_data!$C$6437,"High","low")</f>
        <v>low</v>
      </c>
    </row>
    <row r="4011" spans="1:3">
      <c r="A4011" s="3">
        <v>29</v>
      </c>
      <c r="B4011" s="2">
        <f>Walmart_Sales_raw_data!C4011</f>
        <v>519042.49</v>
      </c>
      <c r="C4011" t="str">
        <f>IF(B4011&gt;=Walmart_Sales_raw_data!$C$6437,"High","low")</f>
        <v>low</v>
      </c>
    </row>
    <row r="4012" spans="1:3">
      <c r="A4012" s="1">
        <v>29</v>
      </c>
      <c r="B4012" s="2">
        <f>Walmart_Sales_raw_data!C4012</f>
        <v>496851.6</v>
      </c>
      <c r="C4012" t="str">
        <f>IF(B4012&gt;=Walmart_Sales_raw_data!$C$6437,"High","low")</f>
        <v>low</v>
      </c>
    </row>
    <row r="4013" spans="1:3">
      <c r="A4013" s="3">
        <v>29</v>
      </c>
      <c r="B4013" s="2">
        <f>Walmart_Sales_raw_data!C4013</f>
        <v>552985.34</v>
      </c>
      <c r="C4013" t="str">
        <f>IF(B4013&gt;=Walmart_Sales_raw_data!$C$6437,"High","low")</f>
        <v>low</v>
      </c>
    </row>
    <row r="4014" spans="1:3">
      <c r="A4014" s="1">
        <v>29</v>
      </c>
      <c r="B4014" s="2">
        <f>Walmart_Sales_raw_data!C4014</f>
        <v>599629.25</v>
      </c>
      <c r="C4014" t="str">
        <f>IF(B4014&gt;=Walmart_Sales_raw_data!$C$6437,"High","low")</f>
        <v>low</v>
      </c>
    </row>
    <row r="4015" spans="1:3">
      <c r="A4015" s="3">
        <v>29</v>
      </c>
      <c r="B4015" s="2">
        <f>Walmart_Sales_raw_data!C4015</f>
        <v>569937.23</v>
      </c>
      <c r="C4015" t="str">
        <f>IF(B4015&gt;=Walmart_Sales_raw_data!$C$6437,"High","low")</f>
        <v>low</v>
      </c>
    </row>
    <row r="4016" spans="1:3">
      <c r="A4016" s="1">
        <v>29</v>
      </c>
      <c r="B4016" s="2">
        <f>Walmart_Sales_raw_data!C4016</f>
        <v>509100.84</v>
      </c>
      <c r="C4016" t="str">
        <f>IF(B4016&gt;=Walmart_Sales_raw_data!$C$6437,"High","low")</f>
        <v>low</v>
      </c>
    </row>
    <row r="4017" spans="1:3">
      <c r="A4017" s="3">
        <v>29</v>
      </c>
      <c r="B4017" s="2">
        <f>Walmart_Sales_raw_data!C4017</f>
        <v>505329.66</v>
      </c>
      <c r="C4017" t="str">
        <f>IF(B4017&gt;=Walmart_Sales_raw_data!$C$6437,"High","low")</f>
        <v>low</v>
      </c>
    </row>
    <row r="4018" spans="1:3">
      <c r="A4018" s="1">
        <v>29</v>
      </c>
      <c r="B4018" s="2">
        <f>Walmart_Sales_raw_data!C4018</f>
        <v>501013.47</v>
      </c>
      <c r="C4018" t="str">
        <f>IF(B4018&gt;=Walmart_Sales_raw_data!$C$6437,"High","low")</f>
        <v>low</v>
      </c>
    </row>
    <row r="4019" spans="1:3">
      <c r="A4019" s="3">
        <v>29</v>
      </c>
      <c r="B4019" s="2">
        <f>Walmart_Sales_raw_data!C4019</f>
        <v>568497.35</v>
      </c>
      <c r="C4019" t="str">
        <f>IF(B4019&gt;=Walmart_Sales_raw_data!$C$6437,"High","low")</f>
        <v>low</v>
      </c>
    </row>
    <row r="4020" spans="1:3">
      <c r="A4020" s="1">
        <v>29</v>
      </c>
      <c r="B4020" s="2">
        <f>Walmart_Sales_raw_data!C4020</f>
        <v>518940.88</v>
      </c>
      <c r="C4020" t="str">
        <f>IF(B4020&gt;=Walmart_Sales_raw_data!$C$6437,"High","low")</f>
        <v>low</v>
      </c>
    </row>
    <row r="4021" spans="1:3">
      <c r="A4021" s="3">
        <v>29</v>
      </c>
      <c r="B4021" s="2">
        <f>Walmart_Sales_raw_data!C4021</f>
        <v>502021.82</v>
      </c>
      <c r="C4021" t="str">
        <f>IF(B4021&gt;=Walmart_Sales_raw_data!$C$6437,"High","low")</f>
        <v>low</v>
      </c>
    </row>
    <row r="4022" spans="1:3">
      <c r="A4022" s="1">
        <v>29</v>
      </c>
      <c r="B4022" s="2">
        <f>Walmart_Sales_raw_data!C4022</f>
        <v>577627.66</v>
      </c>
      <c r="C4022" t="str">
        <f>IF(B4022&gt;=Walmart_Sales_raw_data!$C$6437,"High","low")</f>
        <v>low</v>
      </c>
    </row>
    <row r="4023" spans="1:3">
      <c r="A4023" s="3">
        <v>29</v>
      </c>
      <c r="B4023" s="2">
        <f>Walmart_Sales_raw_data!C4023</f>
        <v>588017.66</v>
      </c>
      <c r="C4023" t="str">
        <f>IF(B4023&gt;=Walmart_Sales_raw_data!$C$6437,"High","low")</f>
        <v>low</v>
      </c>
    </row>
    <row r="4024" spans="1:3">
      <c r="A4024" s="1">
        <v>29</v>
      </c>
      <c r="B4024" s="2">
        <f>Walmart_Sales_raw_data!C4024</f>
        <v>540716.58</v>
      </c>
      <c r="C4024" t="str">
        <f>IF(B4024&gt;=Walmart_Sales_raw_data!$C$6437,"High","low")</f>
        <v>low</v>
      </c>
    </row>
    <row r="4025" spans="1:3">
      <c r="A4025" s="3">
        <v>29</v>
      </c>
      <c r="B4025" s="2">
        <f>Walmart_Sales_raw_data!C4025</f>
        <v>558731.74</v>
      </c>
      <c r="C4025" t="str">
        <f>IF(B4025&gt;=Walmart_Sales_raw_data!$C$6437,"High","low")</f>
        <v>low</v>
      </c>
    </row>
    <row r="4026" spans="1:3">
      <c r="A4026" s="1">
        <v>29</v>
      </c>
      <c r="B4026" s="2">
        <f>Walmart_Sales_raw_data!C4026</f>
        <v>585548.79</v>
      </c>
      <c r="C4026" t="str">
        <f>IF(B4026&gt;=Walmart_Sales_raw_data!$C$6437,"High","low")</f>
        <v>low</v>
      </c>
    </row>
    <row r="4027" spans="1:3">
      <c r="A4027" s="3">
        <v>29</v>
      </c>
      <c r="B4027" s="2">
        <f>Walmart_Sales_raw_data!C4027</f>
        <v>581473.55</v>
      </c>
      <c r="C4027" t="str">
        <f>IF(B4027&gt;=Walmart_Sales_raw_data!$C$6437,"High","low")</f>
        <v>low</v>
      </c>
    </row>
    <row r="4028" spans="1:3">
      <c r="A4028" s="1">
        <v>29</v>
      </c>
      <c r="B4028" s="2">
        <f>Walmart_Sales_raw_data!C4028</f>
        <v>563449.43</v>
      </c>
      <c r="C4028" t="str">
        <f>IF(B4028&gt;=Walmart_Sales_raw_data!$C$6437,"High","low")</f>
        <v>low</v>
      </c>
    </row>
    <row r="4029" spans="1:3">
      <c r="A4029" s="3">
        <v>29</v>
      </c>
      <c r="B4029" s="2">
        <f>Walmart_Sales_raw_data!C4029</f>
        <v>512292.01</v>
      </c>
      <c r="C4029" t="str">
        <f>IF(B4029&gt;=Walmart_Sales_raw_data!$C$6437,"High","low")</f>
        <v>low</v>
      </c>
    </row>
    <row r="4030" spans="1:3">
      <c r="A4030" s="1">
        <v>29</v>
      </c>
      <c r="B4030" s="2">
        <f>Walmart_Sales_raw_data!C4030</f>
        <v>506502.09</v>
      </c>
      <c r="C4030" t="str">
        <f>IF(B4030&gt;=Walmart_Sales_raw_data!$C$6437,"High","low")</f>
        <v>low</v>
      </c>
    </row>
    <row r="4031" spans="1:3">
      <c r="A4031" s="3">
        <v>29</v>
      </c>
      <c r="B4031" s="2">
        <f>Walmart_Sales_raw_data!C4031</f>
        <v>509872.77</v>
      </c>
      <c r="C4031" t="str">
        <f>IF(B4031&gt;=Walmart_Sales_raw_data!$C$6437,"High","low")</f>
        <v>low</v>
      </c>
    </row>
    <row r="4032" spans="1:3">
      <c r="A4032" s="1">
        <v>29</v>
      </c>
      <c r="B4032" s="2">
        <f>Walmart_Sales_raw_data!C4032</f>
        <v>519787.93</v>
      </c>
      <c r="C4032" t="str">
        <f>IF(B4032&gt;=Walmart_Sales_raw_data!$C$6437,"High","low")</f>
        <v>low</v>
      </c>
    </row>
    <row r="4033" spans="1:3">
      <c r="A4033" s="3">
        <v>29</v>
      </c>
      <c r="B4033" s="2">
        <f>Walmart_Sales_raw_data!C4033</f>
        <v>495269</v>
      </c>
      <c r="C4033" t="str">
        <f>IF(B4033&gt;=Walmart_Sales_raw_data!$C$6437,"High","low")</f>
        <v>low</v>
      </c>
    </row>
    <row r="4034" spans="1:3">
      <c r="A4034" s="1">
        <v>29</v>
      </c>
      <c r="B4034" s="2">
        <f>Walmart_Sales_raw_data!C4034</f>
        <v>531640.19</v>
      </c>
      <c r="C4034" t="str">
        <f>IF(B4034&gt;=Walmart_Sales_raw_data!$C$6437,"High","low")</f>
        <v>low</v>
      </c>
    </row>
    <row r="4035" spans="1:3">
      <c r="A4035" s="3">
        <v>29</v>
      </c>
      <c r="B4035" s="2">
        <f>Walmart_Sales_raw_data!C4035</f>
        <v>545766.13</v>
      </c>
      <c r="C4035" t="str">
        <f>IF(B4035&gt;=Walmart_Sales_raw_data!$C$6437,"High","low")</f>
        <v>low</v>
      </c>
    </row>
    <row r="4036" spans="1:3">
      <c r="A4036" s="1">
        <v>29</v>
      </c>
      <c r="B4036" s="2">
        <f>Walmart_Sales_raw_data!C4036</f>
        <v>579272.38</v>
      </c>
      <c r="C4036" t="str">
        <f>IF(B4036&gt;=Walmart_Sales_raw_data!$C$6437,"High","low")</f>
        <v>low</v>
      </c>
    </row>
    <row r="4037" spans="1:3">
      <c r="A4037" s="3">
        <v>29</v>
      </c>
      <c r="B4037" s="2">
        <f>Walmart_Sales_raw_data!C4037</f>
        <v>491290.37</v>
      </c>
      <c r="C4037" t="str">
        <f>IF(B4037&gt;=Walmart_Sales_raw_data!$C$6437,"High","low")</f>
        <v>low</v>
      </c>
    </row>
    <row r="4038" spans="1:3">
      <c r="A4038" s="1">
        <v>29</v>
      </c>
      <c r="B4038" s="2">
        <f>Walmart_Sales_raw_data!C4038</f>
        <v>463752.89</v>
      </c>
      <c r="C4038" t="str">
        <f>IF(B4038&gt;=Walmart_Sales_raw_data!$C$6437,"High","low")</f>
        <v>low</v>
      </c>
    </row>
    <row r="4039" spans="1:3">
      <c r="A4039" s="3">
        <v>29</v>
      </c>
      <c r="B4039" s="2">
        <f>Walmart_Sales_raw_data!C4039</f>
        <v>465338.41</v>
      </c>
      <c r="C4039" t="str">
        <f>IF(B4039&gt;=Walmart_Sales_raw_data!$C$6437,"High","low")</f>
        <v>low</v>
      </c>
    </row>
    <row r="4040" spans="1:3">
      <c r="A4040" s="1">
        <v>29</v>
      </c>
      <c r="B4040" s="2">
        <f>Walmart_Sales_raw_data!C4040</f>
        <v>474698.01</v>
      </c>
      <c r="C4040" t="str">
        <f>IF(B4040&gt;=Walmart_Sales_raw_data!$C$6437,"High","low")</f>
        <v>low</v>
      </c>
    </row>
    <row r="4041" spans="1:3">
      <c r="A4041" s="3">
        <v>29</v>
      </c>
      <c r="B4041" s="2">
        <f>Walmart_Sales_raw_data!C4041</f>
        <v>530059.06</v>
      </c>
      <c r="C4041" t="str">
        <f>IF(B4041&gt;=Walmart_Sales_raw_data!$C$6437,"High","low")</f>
        <v>low</v>
      </c>
    </row>
    <row r="4042" spans="1:3">
      <c r="A4042" s="1">
        <v>29</v>
      </c>
      <c r="B4042" s="2">
        <f>Walmart_Sales_raw_data!C4042</f>
        <v>483011.69</v>
      </c>
      <c r="C4042" t="str">
        <f>IF(B4042&gt;=Walmart_Sales_raw_data!$C$6437,"High","low")</f>
        <v>low</v>
      </c>
    </row>
    <row r="4043" spans="1:3">
      <c r="A4043" s="3">
        <v>29</v>
      </c>
      <c r="B4043" s="2">
        <f>Walmart_Sales_raw_data!C4043</f>
        <v>505221.17</v>
      </c>
      <c r="C4043" t="str">
        <f>IF(B4043&gt;=Walmart_Sales_raw_data!$C$6437,"High","low")</f>
        <v>low</v>
      </c>
    </row>
    <row r="4044" spans="1:3">
      <c r="A4044" s="1">
        <v>29</v>
      </c>
      <c r="B4044" s="2">
        <f>Walmart_Sales_raw_data!C4044</f>
        <v>527058.59</v>
      </c>
      <c r="C4044" t="str">
        <f>IF(B4044&gt;=Walmart_Sales_raw_data!$C$6437,"High","low")</f>
        <v>low</v>
      </c>
    </row>
    <row r="4045" spans="1:3">
      <c r="A4045" s="3">
        <v>29</v>
      </c>
      <c r="B4045" s="2">
        <f>Walmart_Sales_raw_data!C4045</f>
        <v>521002.97</v>
      </c>
      <c r="C4045" t="str">
        <f>IF(B4045&gt;=Walmart_Sales_raw_data!$C$6437,"High","low")</f>
        <v>low</v>
      </c>
    </row>
    <row r="4046" spans="1:3">
      <c r="A4046" s="1">
        <v>29</v>
      </c>
      <c r="B4046" s="2">
        <f>Walmart_Sales_raw_data!C4046</f>
        <v>524450.7</v>
      </c>
      <c r="C4046" t="str">
        <f>IF(B4046&gt;=Walmart_Sales_raw_data!$C$6437,"High","low")</f>
        <v>low</v>
      </c>
    </row>
    <row r="4047" spans="1:3">
      <c r="A4047" s="3">
        <v>29</v>
      </c>
      <c r="B4047" s="2">
        <f>Walmart_Sales_raw_data!C4047</f>
        <v>508174.55</v>
      </c>
      <c r="C4047" t="str">
        <f>IF(B4047&gt;=Walmart_Sales_raw_data!$C$6437,"High","low")</f>
        <v>low</v>
      </c>
    </row>
    <row r="4048" spans="1:3">
      <c r="A4048" s="1">
        <v>29</v>
      </c>
      <c r="B4048" s="2">
        <f>Walmart_Sales_raw_data!C4048</f>
        <v>975268.91</v>
      </c>
      <c r="C4048" t="str">
        <f>IF(B4048&gt;=Walmart_Sales_raw_data!$C$6437,"High","low")</f>
        <v>low</v>
      </c>
    </row>
    <row r="4049" spans="1:3">
      <c r="A4049" s="3">
        <v>29</v>
      </c>
      <c r="B4049" s="2">
        <f>Walmart_Sales_raw_data!C4049</f>
        <v>642678.53</v>
      </c>
      <c r="C4049" t="str">
        <f>IF(B4049&gt;=Walmart_Sales_raw_data!$C$6437,"High","low")</f>
        <v>low</v>
      </c>
    </row>
    <row r="4050" spans="1:3">
      <c r="A4050" s="1">
        <v>29</v>
      </c>
      <c r="B4050" s="2">
        <f>Walmart_Sales_raw_data!C4050</f>
        <v>713834.74</v>
      </c>
      <c r="C4050" t="str">
        <f>IF(B4050&gt;=Walmart_Sales_raw_data!$C$6437,"High","low")</f>
        <v>low</v>
      </c>
    </row>
    <row r="4051" spans="1:3">
      <c r="A4051" s="3">
        <v>29</v>
      </c>
      <c r="B4051" s="2">
        <f>Walmart_Sales_raw_data!C4051</f>
        <v>850538.25</v>
      </c>
      <c r="C4051" t="str">
        <f>IF(B4051&gt;=Walmart_Sales_raw_data!$C$6437,"High","low")</f>
        <v>low</v>
      </c>
    </row>
    <row r="4052" spans="1:3">
      <c r="A4052" s="1">
        <v>29</v>
      </c>
      <c r="B4052" s="2">
        <f>Walmart_Sales_raw_data!C4052</f>
        <v>1130926.79</v>
      </c>
      <c r="C4052" t="str">
        <f>IF(B4052&gt;=Walmart_Sales_raw_data!$C$6437,"High","low")</f>
        <v>High</v>
      </c>
    </row>
    <row r="4053" spans="1:3">
      <c r="A4053" s="3">
        <v>29</v>
      </c>
      <c r="B4053" s="2">
        <f>Walmart_Sales_raw_data!C4053</f>
        <v>465992.02</v>
      </c>
      <c r="C4053" t="str">
        <f>IF(B4053&gt;=Walmart_Sales_raw_data!$C$6437,"High","low")</f>
        <v>low</v>
      </c>
    </row>
    <row r="4054" spans="1:3">
      <c r="A4054" s="1">
        <v>29</v>
      </c>
      <c r="B4054" s="2">
        <f>Walmart_Sales_raw_data!C4054</f>
        <v>455952.18</v>
      </c>
      <c r="C4054" t="str">
        <f>IF(B4054&gt;=Walmart_Sales_raw_data!$C$6437,"High","low")</f>
        <v>low</v>
      </c>
    </row>
    <row r="4055" spans="1:3">
      <c r="A4055" s="3">
        <v>29</v>
      </c>
      <c r="B4055" s="2">
        <f>Walmart_Sales_raw_data!C4055</f>
        <v>426905.26</v>
      </c>
      <c r="C4055" t="str">
        <f>IF(B4055&gt;=Walmart_Sales_raw_data!$C$6437,"High","low")</f>
        <v>low</v>
      </c>
    </row>
    <row r="4056" spans="1:3">
      <c r="A4056" s="1">
        <v>29</v>
      </c>
      <c r="B4056" s="2">
        <f>Walmart_Sales_raw_data!C4056</f>
        <v>445134.15</v>
      </c>
      <c r="C4056" t="str">
        <f>IF(B4056&gt;=Walmart_Sales_raw_data!$C$6437,"High","low")</f>
        <v>low</v>
      </c>
    </row>
    <row r="4057" spans="1:3">
      <c r="A4057" s="3">
        <v>29</v>
      </c>
      <c r="B4057" s="2">
        <f>Walmart_Sales_raw_data!C4057</f>
        <v>410426.97</v>
      </c>
      <c r="C4057" t="str">
        <f>IF(B4057&gt;=Walmart_Sales_raw_data!$C$6437,"High","low")</f>
        <v>low</v>
      </c>
    </row>
    <row r="4058" spans="1:3">
      <c r="A4058" s="1">
        <v>29</v>
      </c>
      <c r="B4058" s="2">
        <f>Walmart_Sales_raw_data!C4058</f>
        <v>504126.89</v>
      </c>
      <c r="C4058" t="str">
        <f>IF(B4058&gt;=Walmart_Sales_raw_data!$C$6437,"High","low")</f>
        <v>low</v>
      </c>
    </row>
    <row r="4059" spans="1:3">
      <c r="A4059" s="3">
        <v>29</v>
      </c>
      <c r="B4059" s="2">
        <f>Walmart_Sales_raw_data!C4059</f>
        <v>550387.78</v>
      </c>
      <c r="C4059" t="str">
        <f>IF(B4059&gt;=Walmart_Sales_raw_data!$C$6437,"High","low")</f>
        <v>low</v>
      </c>
    </row>
    <row r="4060" spans="1:3">
      <c r="A4060" s="1">
        <v>29</v>
      </c>
      <c r="B4060" s="2">
        <f>Walmart_Sales_raw_data!C4060</f>
        <v>542529.21</v>
      </c>
      <c r="C4060" t="str">
        <f>IF(B4060&gt;=Walmart_Sales_raw_data!$C$6437,"High","low")</f>
        <v>low</v>
      </c>
    </row>
    <row r="4061" spans="1:3">
      <c r="A4061" s="3">
        <v>29</v>
      </c>
      <c r="B4061" s="2">
        <f>Walmart_Sales_raw_data!C4061</f>
        <v>483660.15</v>
      </c>
      <c r="C4061" t="str">
        <f>IF(B4061&gt;=Walmart_Sales_raw_data!$C$6437,"High","low")</f>
        <v>low</v>
      </c>
    </row>
    <row r="4062" spans="1:3">
      <c r="A4062" s="1">
        <v>29</v>
      </c>
      <c r="B4062" s="2">
        <f>Walmart_Sales_raw_data!C4062</f>
        <v>536031.67</v>
      </c>
      <c r="C4062" t="str">
        <f>IF(B4062&gt;=Walmart_Sales_raw_data!$C$6437,"High","low")</f>
        <v>low</v>
      </c>
    </row>
    <row r="4063" spans="1:3">
      <c r="A4063" s="3">
        <v>29</v>
      </c>
      <c r="B4063" s="2">
        <f>Walmart_Sales_raw_data!C4063</f>
        <v>493430.45</v>
      </c>
      <c r="C4063" t="str">
        <f>IF(B4063&gt;=Walmart_Sales_raw_data!$C$6437,"High","low")</f>
        <v>low</v>
      </c>
    </row>
    <row r="4064" spans="1:3">
      <c r="A4064" s="1">
        <v>29</v>
      </c>
      <c r="B4064" s="2">
        <f>Walmart_Sales_raw_data!C4064</f>
        <v>493653.43</v>
      </c>
      <c r="C4064" t="str">
        <f>IF(B4064&gt;=Walmart_Sales_raw_data!$C$6437,"High","low")</f>
        <v>low</v>
      </c>
    </row>
    <row r="4065" spans="1:3">
      <c r="A4065" s="3">
        <v>29</v>
      </c>
      <c r="B4065" s="2">
        <f>Walmart_Sales_raw_data!C4065</f>
        <v>478773.05</v>
      </c>
      <c r="C4065" t="str">
        <f>IF(B4065&gt;=Walmart_Sales_raw_data!$C$6437,"High","low")</f>
        <v>low</v>
      </c>
    </row>
    <row r="4066" spans="1:3">
      <c r="A4066" s="1">
        <v>29</v>
      </c>
      <c r="B4066" s="2">
        <f>Walmart_Sales_raw_data!C4066</f>
        <v>475615.26</v>
      </c>
      <c r="C4066" t="str">
        <f>IF(B4066&gt;=Walmart_Sales_raw_data!$C$6437,"High","low")</f>
        <v>low</v>
      </c>
    </row>
    <row r="4067" spans="1:3">
      <c r="A4067" s="3">
        <v>29</v>
      </c>
      <c r="B4067" s="2">
        <f>Walmart_Sales_raw_data!C4067</f>
        <v>505304.33</v>
      </c>
      <c r="C4067" t="str">
        <f>IF(B4067&gt;=Walmart_Sales_raw_data!$C$6437,"High","low")</f>
        <v>low</v>
      </c>
    </row>
    <row r="4068" spans="1:3">
      <c r="A4068" s="1">
        <v>29</v>
      </c>
      <c r="B4068" s="2">
        <f>Walmart_Sales_raw_data!C4068</f>
        <v>518245.97</v>
      </c>
      <c r="C4068" t="str">
        <f>IF(B4068&gt;=Walmart_Sales_raw_data!$C$6437,"High","low")</f>
        <v>low</v>
      </c>
    </row>
    <row r="4069" spans="1:3">
      <c r="A4069" s="3">
        <v>29</v>
      </c>
      <c r="B4069" s="2">
        <f>Walmart_Sales_raw_data!C4069</f>
        <v>589252.69</v>
      </c>
      <c r="C4069" t="str">
        <f>IF(B4069&gt;=Walmart_Sales_raw_data!$C$6437,"High","low")</f>
        <v>low</v>
      </c>
    </row>
    <row r="4070" spans="1:3">
      <c r="A4070" s="1">
        <v>29</v>
      </c>
      <c r="B4070" s="2">
        <f>Walmart_Sales_raw_data!C4070</f>
        <v>493078.64</v>
      </c>
      <c r="C4070" t="str">
        <f>IF(B4070&gt;=Walmart_Sales_raw_data!$C$6437,"High","low")</f>
        <v>low</v>
      </c>
    </row>
    <row r="4071" spans="1:3">
      <c r="A4071" s="3">
        <v>29</v>
      </c>
      <c r="B4071" s="2">
        <f>Walmart_Sales_raw_data!C4071</f>
        <v>534372.53</v>
      </c>
      <c r="C4071" t="str">
        <f>IF(B4071&gt;=Walmart_Sales_raw_data!$C$6437,"High","low")</f>
        <v>low</v>
      </c>
    </row>
    <row r="4072" spans="1:3">
      <c r="A4072" s="1">
        <v>29</v>
      </c>
      <c r="B4072" s="2">
        <f>Walmart_Sales_raw_data!C4072</f>
        <v>549551.02</v>
      </c>
      <c r="C4072" t="str">
        <f>IF(B4072&gt;=Walmart_Sales_raw_data!$C$6437,"High","low")</f>
        <v>low</v>
      </c>
    </row>
    <row r="4073" spans="1:3">
      <c r="A4073" s="3">
        <v>29</v>
      </c>
      <c r="B4073" s="2">
        <f>Walmart_Sales_raw_data!C4073</f>
        <v>492932.51</v>
      </c>
      <c r="C4073" t="str">
        <f>IF(B4073&gt;=Walmart_Sales_raw_data!$C$6437,"High","low")</f>
        <v>low</v>
      </c>
    </row>
    <row r="4074" spans="1:3">
      <c r="A4074" s="1">
        <v>29</v>
      </c>
      <c r="B4074" s="2">
        <f>Walmart_Sales_raw_data!C4074</f>
        <v>550735.64</v>
      </c>
      <c r="C4074" t="str">
        <f>IF(B4074&gt;=Walmart_Sales_raw_data!$C$6437,"High","low")</f>
        <v>low</v>
      </c>
    </row>
    <row r="4075" spans="1:3">
      <c r="A4075" s="3">
        <v>29</v>
      </c>
      <c r="B4075" s="2">
        <f>Walmart_Sales_raw_data!C4075</f>
        <v>598251.57</v>
      </c>
      <c r="C4075" t="str">
        <f>IF(B4075&gt;=Walmart_Sales_raw_data!$C$6437,"High","low")</f>
        <v>low</v>
      </c>
    </row>
    <row r="4076" spans="1:3">
      <c r="A4076" s="1">
        <v>29</v>
      </c>
      <c r="B4076" s="2">
        <f>Walmart_Sales_raw_data!C4076</f>
        <v>558431.44</v>
      </c>
      <c r="C4076" t="str">
        <f>IF(B4076&gt;=Walmart_Sales_raw_data!$C$6437,"High","low")</f>
        <v>low</v>
      </c>
    </row>
    <row r="4077" spans="1:3">
      <c r="A4077" s="3">
        <v>29</v>
      </c>
      <c r="B4077" s="2">
        <f>Walmart_Sales_raw_data!C4077</f>
        <v>536914.17</v>
      </c>
      <c r="C4077" t="str">
        <f>IF(B4077&gt;=Walmart_Sales_raw_data!$C$6437,"High","low")</f>
        <v>low</v>
      </c>
    </row>
    <row r="4078" spans="1:3">
      <c r="A4078" s="1">
        <v>29</v>
      </c>
      <c r="B4078" s="2">
        <f>Walmart_Sales_raw_data!C4078</f>
        <v>545368.17</v>
      </c>
      <c r="C4078" t="str">
        <f>IF(B4078&gt;=Walmart_Sales_raw_data!$C$6437,"High","low")</f>
        <v>low</v>
      </c>
    </row>
    <row r="4079" spans="1:3">
      <c r="A4079" s="3">
        <v>29</v>
      </c>
      <c r="B4079" s="2">
        <f>Walmart_Sales_raw_data!C4079</f>
        <v>567114.6</v>
      </c>
      <c r="C4079" t="str">
        <f>IF(B4079&gt;=Walmart_Sales_raw_data!$C$6437,"High","low")</f>
        <v>low</v>
      </c>
    </row>
    <row r="4080" spans="1:3">
      <c r="A4080" s="1">
        <v>29</v>
      </c>
      <c r="B4080" s="2">
        <f>Walmart_Sales_raw_data!C4080</f>
        <v>547586.07</v>
      </c>
      <c r="C4080" t="str">
        <f>IF(B4080&gt;=Walmart_Sales_raw_data!$C$6437,"High","low")</f>
        <v>low</v>
      </c>
    </row>
    <row r="4081" spans="1:3">
      <c r="A4081" s="3">
        <v>29</v>
      </c>
      <c r="B4081" s="2">
        <f>Walmart_Sales_raw_data!C4081</f>
        <v>505246.15</v>
      </c>
      <c r="C4081" t="str">
        <f>IF(B4081&gt;=Walmart_Sales_raw_data!$C$6437,"High","low")</f>
        <v>low</v>
      </c>
    </row>
    <row r="4082" spans="1:3">
      <c r="A4082" s="1">
        <v>29</v>
      </c>
      <c r="B4082" s="2">
        <f>Walmart_Sales_raw_data!C4082</f>
        <v>507335.75</v>
      </c>
      <c r="C4082" t="str">
        <f>IF(B4082&gt;=Walmart_Sales_raw_data!$C$6437,"High","low")</f>
        <v>low</v>
      </c>
    </row>
    <row r="4083" spans="1:3">
      <c r="A4083" s="3">
        <v>29</v>
      </c>
      <c r="B4083" s="2">
        <f>Walmart_Sales_raw_data!C4083</f>
        <v>474653.06</v>
      </c>
      <c r="C4083" t="str">
        <f>IF(B4083&gt;=Walmart_Sales_raw_data!$C$6437,"High","low")</f>
        <v>low</v>
      </c>
    </row>
    <row r="4084" spans="1:3">
      <c r="A4084" s="1">
        <v>29</v>
      </c>
      <c r="B4084" s="2">
        <f>Walmart_Sales_raw_data!C4084</f>
        <v>503486.37</v>
      </c>
      <c r="C4084" t="str">
        <f>IF(B4084&gt;=Walmart_Sales_raw_data!$C$6437,"High","low")</f>
        <v>low</v>
      </c>
    </row>
    <row r="4085" spans="1:3">
      <c r="A4085" s="3">
        <v>29</v>
      </c>
      <c r="B4085" s="2">
        <f>Walmart_Sales_raw_data!C4085</f>
        <v>471311.5</v>
      </c>
      <c r="C4085" t="str">
        <f>IF(B4085&gt;=Walmart_Sales_raw_data!$C$6437,"High","low")</f>
        <v>low</v>
      </c>
    </row>
    <row r="4086" spans="1:3">
      <c r="A4086" s="1">
        <v>29</v>
      </c>
      <c r="B4086" s="2">
        <f>Walmart_Sales_raw_data!C4086</f>
        <v>498056</v>
      </c>
      <c r="C4086" t="str">
        <f>IF(B4086&gt;=Walmart_Sales_raw_data!$C$6437,"High","low")</f>
        <v>low</v>
      </c>
    </row>
    <row r="4087" spans="1:3">
      <c r="A4087" s="3">
        <v>29</v>
      </c>
      <c r="B4087" s="2">
        <f>Walmart_Sales_raw_data!C4087</f>
        <v>608294.98</v>
      </c>
      <c r="C4087" t="str">
        <f>IF(B4087&gt;=Walmart_Sales_raw_data!$C$6437,"High","low")</f>
        <v>low</v>
      </c>
    </row>
    <row r="4088" spans="1:3">
      <c r="A4088" s="1">
        <v>29</v>
      </c>
      <c r="B4088" s="2">
        <f>Walmart_Sales_raw_data!C4088</f>
        <v>497085.91</v>
      </c>
      <c r="C4088" t="str">
        <f>IF(B4088&gt;=Walmart_Sales_raw_data!$C$6437,"High","low")</f>
        <v>low</v>
      </c>
    </row>
    <row r="4089" spans="1:3">
      <c r="A4089" s="3">
        <v>29</v>
      </c>
      <c r="B4089" s="2">
        <f>Walmart_Sales_raw_data!C4089</f>
        <v>505406.72</v>
      </c>
      <c r="C4089" t="str">
        <f>IF(B4089&gt;=Walmart_Sales_raw_data!$C$6437,"High","low")</f>
        <v>low</v>
      </c>
    </row>
    <row r="4090" spans="1:3">
      <c r="A4090" s="1">
        <v>29</v>
      </c>
      <c r="B4090" s="2">
        <f>Walmart_Sales_raw_data!C4090</f>
        <v>474129.35</v>
      </c>
      <c r="C4090" t="str">
        <f>IF(B4090&gt;=Walmart_Sales_raw_data!$C$6437,"High","low")</f>
        <v>low</v>
      </c>
    </row>
    <row r="4091" spans="1:3">
      <c r="A4091" s="3">
        <v>29</v>
      </c>
      <c r="B4091" s="2">
        <f>Walmart_Sales_raw_data!C4091</f>
        <v>475696.37</v>
      </c>
      <c r="C4091" t="str">
        <f>IF(B4091&gt;=Walmart_Sales_raw_data!$C$6437,"High","low")</f>
        <v>low</v>
      </c>
    </row>
    <row r="4092" spans="1:3">
      <c r="A4092" s="1">
        <v>29</v>
      </c>
      <c r="B4092" s="2">
        <f>Walmart_Sales_raw_data!C4092</f>
        <v>446516.26</v>
      </c>
      <c r="C4092" t="str">
        <f>IF(B4092&gt;=Walmart_Sales_raw_data!$C$6437,"High","low")</f>
        <v>low</v>
      </c>
    </row>
    <row r="4093" spans="1:3">
      <c r="A4093" s="3">
        <v>29</v>
      </c>
      <c r="B4093" s="2">
        <f>Walmart_Sales_raw_data!C4093</f>
        <v>514993</v>
      </c>
      <c r="C4093" t="str">
        <f>IF(B4093&gt;=Walmart_Sales_raw_data!$C$6437,"High","low")</f>
        <v>low</v>
      </c>
    </row>
    <row r="4094" spans="1:3">
      <c r="A4094" s="1">
        <v>29</v>
      </c>
      <c r="B4094" s="2">
        <f>Walmart_Sales_raw_data!C4094</f>
        <v>475776.45</v>
      </c>
      <c r="C4094" t="str">
        <f>IF(B4094&gt;=Walmart_Sales_raw_data!$C$6437,"High","low")</f>
        <v>low</v>
      </c>
    </row>
    <row r="4095" spans="1:3">
      <c r="A4095" s="3">
        <v>29</v>
      </c>
      <c r="B4095" s="2">
        <f>Walmart_Sales_raw_data!C4095</f>
        <v>505068.22</v>
      </c>
      <c r="C4095" t="str">
        <f>IF(B4095&gt;=Walmart_Sales_raw_data!$C$6437,"High","low")</f>
        <v>low</v>
      </c>
    </row>
    <row r="4096" spans="1:3">
      <c r="A4096" s="1">
        <v>29</v>
      </c>
      <c r="B4096" s="2">
        <f>Walmart_Sales_raw_data!C4096</f>
        <v>515119.64</v>
      </c>
      <c r="C4096" t="str">
        <f>IF(B4096&gt;=Walmart_Sales_raw_data!$C$6437,"High","low")</f>
        <v>low</v>
      </c>
    </row>
    <row r="4097" spans="1:3">
      <c r="A4097" s="3">
        <v>29</v>
      </c>
      <c r="B4097" s="2">
        <f>Walmart_Sales_raw_data!C4097</f>
        <v>620735.72</v>
      </c>
      <c r="C4097" t="str">
        <f>IF(B4097&gt;=Walmart_Sales_raw_data!$C$6437,"High","low")</f>
        <v>low</v>
      </c>
    </row>
    <row r="4098" spans="1:3">
      <c r="A4098" s="1">
        <v>29</v>
      </c>
      <c r="B4098" s="2">
        <f>Walmart_Sales_raw_data!C4098</f>
        <v>531600.62</v>
      </c>
      <c r="C4098" t="str">
        <f>IF(B4098&gt;=Walmart_Sales_raw_data!$C$6437,"High","low")</f>
        <v>low</v>
      </c>
    </row>
    <row r="4099" spans="1:3">
      <c r="A4099" s="3">
        <v>29</v>
      </c>
      <c r="B4099" s="2">
        <f>Walmart_Sales_raw_data!C4099</f>
        <v>504601.29</v>
      </c>
      <c r="C4099" t="str">
        <f>IF(B4099&gt;=Walmart_Sales_raw_data!$C$6437,"High","low")</f>
        <v>low</v>
      </c>
    </row>
    <row r="4100" spans="1:3">
      <c r="A4100" s="1">
        <v>29</v>
      </c>
      <c r="B4100" s="2">
        <f>Walmart_Sales_raw_data!C4100</f>
        <v>913165.19</v>
      </c>
      <c r="C4100" t="str">
        <f>IF(B4100&gt;=Walmart_Sales_raw_data!$C$6437,"High","low")</f>
        <v>low</v>
      </c>
    </row>
    <row r="4101" spans="1:3">
      <c r="A4101" s="3">
        <v>29</v>
      </c>
      <c r="B4101" s="2">
        <f>Walmart_Sales_raw_data!C4101</f>
        <v>579874.22</v>
      </c>
      <c r="C4101" t="str">
        <f>IF(B4101&gt;=Walmart_Sales_raw_data!$C$6437,"High","low")</f>
        <v>low</v>
      </c>
    </row>
    <row r="4102" spans="1:3">
      <c r="A4102" s="1">
        <v>29</v>
      </c>
      <c r="B4102" s="2">
        <f>Walmart_Sales_raw_data!C4102</f>
        <v>633240.53</v>
      </c>
      <c r="C4102" t="str">
        <f>IF(B4102&gt;=Walmart_Sales_raw_data!$C$6437,"High","low")</f>
        <v>low</v>
      </c>
    </row>
    <row r="4103" spans="1:3">
      <c r="A4103" s="3">
        <v>29</v>
      </c>
      <c r="B4103" s="2">
        <f>Walmart_Sales_raw_data!C4103</f>
        <v>736805.66</v>
      </c>
      <c r="C4103" t="str">
        <f>IF(B4103&gt;=Walmart_Sales_raw_data!$C$6437,"High","low")</f>
        <v>low</v>
      </c>
    </row>
    <row r="4104" spans="1:3">
      <c r="A4104" s="1">
        <v>29</v>
      </c>
      <c r="B4104" s="2">
        <f>Walmart_Sales_raw_data!C4104</f>
        <v>1016637.39</v>
      </c>
      <c r="C4104" t="str">
        <f>IF(B4104&gt;=Walmart_Sales_raw_data!$C$6437,"High","low")</f>
        <v>low</v>
      </c>
    </row>
    <row r="4105" spans="1:3">
      <c r="A4105" s="3">
        <v>29</v>
      </c>
      <c r="B4105" s="2">
        <f>Walmart_Sales_raw_data!C4105</f>
        <v>551743.05</v>
      </c>
      <c r="C4105" t="str">
        <f>IF(B4105&gt;=Walmart_Sales_raw_data!$C$6437,"High","low")</f>
        <v>low</v>
      </c>
    </row>
    <row r="4106" spans="1:3">
      <c r="A4106" s="1">
        <v>29</v>
      </c>
      <c r="B4106" s="2">
        <f>Walmart_Sales_raw_data!C4106</f>
        <v>469773.85</v>
      </c>
      <c r="C4106" t="str">
        <f>IF(B4106&gt;=Walmart_Sales_raw_data!$C$6437,"High","low")</f>
        <v>low</v>
      </c>
    </row>
    <row r="4107" spans="1:3">
      <c r="A4107" s="3">
        <v>29</v>
      </c>
      <c r="B4107" s="2">
        <f>Walmart_Sales_raw_data!C4107</f>
        <v>444756.37</v>
      </c>
      <c r="C4107" t="str">
        <f>IF(B4107&gt;=Walmart_Sales_raw_data!$C$6437,"High","low")</f>
        <v>low</v>
      </c>
    </row>
    <row r="4108" spans="1:3">
      <c r="A4108" s="1">
        <v>29</v>
      </c>
      <c r="B4108" s="2">
        <f>Walmart_Sales_raw_data!C4108</f>
        <v>446863.31</v>
      </c>
      <c r="C4108" t="str">
        <f>IF(B4108&gt;=Walmart_Sales_raw_data!$C$6437,"High","low")</f>
        <v>low</v>
      </c>
    </row>
    <row r="4109" spans="1:3">
      <c r="A4109" s="3">
        <v>29</v>
      </c>
      <c r="B4109" s="2">
        <f>Walmart_Sales_raw_data!C4109</f>
        <v>395987.24</v>
      </c>
      <c r="C4109" t="str">
        <f>IF(B4109&gt;=Walmart_Sales_raw_data!$C$6437,"High","low")</f>
        <v>low</v>
      </c>
    </row>
    <row r="4110" spans="1:3">
      <c r="A4110" s="1">
        <v>29</v>
      </c>
      <c r="B4110" s="2">
        <f>Walmart_Sales_raw_data!C4110</f>
        <v>493159.35</v>
      </c>
      <c r="C4110" t="str">
        <f>IF(B4110&gt;=Walmart_Sales_raw_data!$C$6437,"High","low")</f>
        <v>low</v>
      </c>
    </row>
    <row r="4111" spans="1:3">
      <c r="A4111" s="3">
        <v>29</v>
      </c>
      <c r="B4111" s="2">
        <f>Walmart_Sales_raw_data!C4111</f>
        <v>545840.05</v>
      </c>
      <c r="C4111" t="str">
        <f>IF(B4111&gt;=Walmart_Sales_raw_data!$C$6437,"High","low")</f>
        <v>low</v>
      </c>
    </row>
    <row r="4112" spans="1:3">
      <c r="A4112" s="1">
        <v>29</v>
      </c>
      <c r="B4112" s="2">
        <f>Walmart_Sales_raw_data!C4112</f>
        <v>559606.91</v>
      </c>
      <c r="C4112" t="str">
        <f>IF(B4112&gt;=Walmart_Sales_raw_data!$C$6437,"High","low")</f>
        <v>low</v>
      </c>
    </row>
    <row r="4113" spans="1:3">
      <c r="A4113" s="3">
        <v>29</v>
      </c>
      <c r="B4113" s="2">
        <f>Walmart_Sales_raw_data!C4113</f>
        <v>488782.63</v>
      </c>
      <c r="C4113" t="str">
        <f>IF(B4113&gt;=Walmart_Sales_raw_data!$C$6437,"High","low")</f>
        <v>low</v>
      </c>
    </row>
    <row r="4114" spans="1:3">
      <c r="A4114" s="1">
        <v>29</v>
      </c>
      <c r="B4114" s="2">
        <f>Walmart_Sales_raw_data!C4114</f>
        <v>500801.72</v>
      </c>
      <c r="C4114" t="str">
        <f>IF(B4114&gt;=Walmart_Sales_raw_data!$C$6437,"High","low")</f>
        <v>low</v>
      </c>
    </row>
    <row r="4115" spans="1:3">
      <c r="A4115" s="3">
        <v>29</v>
      </c>
      <c r="B4115" s="2">
        <f>Walmart_Sales_raw_data!C4115</f>
        <v>504750.35</v>
      </c>
      <c r="C4115" t="str">
        <f>IF(B4115&gt;=Walmart_Sales_raw_data!$C$6437,"High","low")</f>
        <v>low</v>
      </c>
    </row>
    <row r="4116" spans="1:3">
      <c r="A4116" s="1">
        <v>29</v>
      </c>
      <c r="B4116" s="2">
        <f>Walmart_Sales_raw_data!C4116</f>
        <v>489293.72</v>
      </c>
      <c r="C4116" t="str">
        <f>IF(B4116&gt;=Walmart_Sales_raw_data!$C$6437,"High","low")</f>
        <v>low</v>
      </c>
    </row>
    <row r="4117" spans="1:3">
      <c r="A4117" s="3">
        <v>29</v>
      </c>
      <c r="B4117" s="2">
        <f>Walmart_Sales_raw_data!C4117</f>
        <v>517408.48</v>
      </c>
      <c r="C4117" t="str">
        <f>IF(B4117&gt;=Walmart_Sales_raw_data!$C$6437,"High","low")</f>
        <v>low</v>
      </c>
    </row>
    <row r="4118" spans="1:3">
      <c r="A4118" s="1">
        <v>29</v>
      </c>
      <c r="B4118" s="2">
        <f>Walmart_Sales_raw_data!C4118</f>
        <v>504566.28</v>
      </c>
      <c r="C4118" t="str">
        <f>IF(B4118&gt;=Walmart_Sales_raw_data!$C$6437,"High","low")</f>
        <v>low</v>
      </c>
    </row>
    <row r="4119" spans="1:3">
      <c r="A4119" s="3">
        <v>29</v>
      </c>
      <c r="B4119" s="2">
        <f>Walmart_Sales_raw_data!C4119</f>
        <v>633826.55</v>
      </c>
      <c r="C4119" t="str">
        <f>IF(B4119&gt;=Walmart_Sales_raw_data!$C$6437,"High","low")</f>
        <v>low</v>
      </c>
    </row>
    <row r="4120" spans="1:3">
      <c r="A4120" s="1">
        <v>29</v>
      </c>
      <c r="B4120" s="2">
        <f>Walmart_Sales_raw_data!C4120</f>
        <v>520493.83</v>
      </c>
      <c r="C4120" t="str">
        <f>IF(B4120&gt;=Walmart_Sales_raw_data!$C$6437,"High","low")</f>
        <v>low</v>
      </c>
    </row>
    <row r="4121" spans="1:3">
      <c r="A4121" s="3">
        <v>29</v>
      </c>
      <c r="B4121" s="2">
        <f>Walmart_Sales_raw_data!C4121</f>
        <v>525200.59</v>
      </c>
      <c r="C4121" t="str">
        <f>IF(B4121&gt;=Walmart_Sales_raw_data!$C$6437,"High","low")</f>
        <v>low</v>
      </c>
    </row>
    <row r="4122" spans="1:3">
      <c r="A4122" s="1">
        <v>29</v>
      </c>
      <c r="B4122" s="2">
        <f>Walmart_Sales_raw_data!C4122</f>
        <v>497250.22</v>
      </c>
      <c r="C4122" t="str">
        <f>IF(B4122&gt;=Walmart_Sales_raw_data!$C$6437,"High","low")</f>
        <v>low</v>
      </c>
    </row>
    <row r="4123" spans="1:3">
      <c r="A4123" s="3">
        <v>29</v>
      </c>
      <c r="B4123" s="2">
        <f>Walmart_Sales_raw_data!C4123</f>
        <v>504963.84</v>
      </c>
      <c r="C4123" t="str">
        <f>IF(B4123&gt;=Walmart_Sales_raw_data!$C$6437,"High","low")</f>
        <v>low</v>
      </c>
    </row>
    <row r="4124" spans="1:3">
      <c r="A4124" s="1">
        <v>29</v>
      </c>
      <c r="B4124" s="2">
        <f>Walmart_Sales_raw_data!C4124</f>
        <v>529707.87</v>
      </c>
      <c r="C4124" t="str">
        <f>IF(B4124&gt;=Walmart_Sales_raw_data!$C$6437,"High","low")</f>
        <v>low</v>
      </c>
    </row>
    <row r="4125" spans="1:3">
      <c r="A4125" s="3">
        <v>29</v>
      </c>
      <c r="B4125" s="2">
        <f>Walmart_Sales_raw_data!C4125</f>
        <v>543706.04</v>
      </c>
      <c r="C4125" t="str">
        <f>IF(B4125&gt;=Walmart_Sales_raw_data!$C$6437,"High","low")</f>
        <v>low</v>
      </c>
    </row>
    <row r="4126" spans="1:3">
      <c r="A4126" s="1">
        <v>29</v>
      </c>
      <c r="B4126" s="2">
        <f>Walmart_Sales_raw_data!C4126</f>
        <v>549665.67</v>
      </c>
      <c r="C4126" t="str">
        <f>IF(B4126&gt;=Walmart_Sales_raw_data!$C$6437,"High","low")</f>
        <v>low</v>
      </c>
    </row>
    <row r="4127" spans="1:3">
      <c r="A4127" s="3">
        <v>29</v>
      </c>
      <c r="B4127" s="2">
        <f>Walmart_Sales_raw_data!C4127</f>
        <v>576252.35</v>
      </c>
      <c r="C4127" t="str">
        <f>IF(B4127&gt;=Walmart_Sales_raw_data!$C$6437,"High","low")</f>
        <v>low</v>
      </c>
    </row>
    <row r="4128" spans="1:3">
      <c r="A4128" s="1">
        <v>29</v>
      </c>
      <c r="B4128" s="2">
        <f>Walmart_Sales_raw_data!C4128</f>
        <v>554093.15</v>
      </c>
      <c r="C4128" t="str">
        <f>IF(B4128&gt;=Walmart_Sales_raw_data!$C$6437,"High","low")</f>
        <v>low</v>
      </c>
    </row>
    <row r="4129" spans="1:3">
      <c r="A4129" s="3">
        <v>29</v>
      </c>
      <c r="B4129" s="2">
        <f>Walmart_Sales_raw_data!C4129</f>
        <v>552338.76</v>
      </c>
      <c r="C4129" t="str">
        <f>IF(B4129&gt;=Walmart_Sales_raw_data!$C$6437,"High","low")</f>
        <v>low</v>
      </c>
    </row>
    <row r="4130" spans="1:3">
      <c r="A4130" s="1">
        <v>29</v>
      </c>
      <c r="B4130" s="2">
        <f>Walmart_Sales_raw_data!C4130</f>
        <v>581854.5</v>
      </c>
      <c r="C4130" t="str">
        <f>IF(B4130&gt;=Walmart_Sales_raw_data!$C$6437,"High","low")</f>
        <v>low</v>
      </c>
    </row>
    <row r="4131" spans="1:3">
      <c r="A4131" s="3">
        <v>29</v>
      </c>
      <c r="B4131" s="2">
        <f>Walmart_Sales_raw_data!C4131</f>
        <v>555954.13</v>
      </c>
      <c r="C4131" t="str">
        <f>IF(B4131&gt;=Walmart_Sales_raw_data!$C$6437,"High","low")</f>
        <v>low</v>
      </c>
    </row>
    <row r="4132" spans="1:3">
      <c r="A4132" s="1">
        <v>29</v>
      </c>
      <c r="B4132" s="2">
        <f>Walmart_Sales_raw_data!C4132</f>
        <v>578832.41</v>
      </c>
      <c r="C4132" t="str">
        <f>IF(B4132&gt;=Walmart_Sales_raw_data!$C$6437,"High","low")</f>
        <v>low</v>
      </c>
    </row>
    <row r="4133" spans="1:3">
      <c r="A4133" s="3">
        <v>29</v>
      </c>
      <c r="B4133" s="2">
        <f>Walmart_Sales_raw_data!C4133</f>
        <v>514709.76</v>
      </c>
      <c r="C4133" t="str">
        <f>IF(B4133&gt;=Walmart_Sales_raw_data!$C$6437,"High","low")</f>
        <v>low</v>
      </c>
    </row>
    <row r="4134" spans="1:3">
      <c r="A4134" s="1">
        <v>29</v>
      </c>
      <c r="B4134" s="2">
        <f>Walmart_Sales_raw_data!C4134</f>
        <v>506705.36</v>
      </c>
      <c r="C4134" t="str">
        <f>IF(B4134&gt;=Walmart_Sales_raw_data!$C$6437,"High","low")</f>
        <v>low</v>
      </c>
    </row>
    <row r="4135" spans="1:3">
      <c r="A4135" s="3">
        <v>29</v>
      </c>
      <c r="B4135" s="2">
        <f>Walmart_Sales_raw_data!C4135</f>
        <v>475158.24</v>
      </c>
      <c r="C4135" t="str">
        <f>IF(B4135&gt;=Walmart_Sales_raw_data!$C$6437,"High","low")</f>
        <v>low</v>
      </c>
    </row>
    <row r="4136" spans="1:3">
      <c r="A4136" s="1">
        <v>29</v>
      </c>
      <c r="B4136" s="2">
        <f>Walmart_Sales_raw_data!C4136</f>
        <v>504754.74</v>
      </c>
      <c r="C4136" t="str">
        <f>IF(B4136&gt;=Walmart_Sales_raw_data!$C$6437,"High","low")</f>
        <v>low</v>
      </c>
    </row>
    <row r="4137" spans="1:3">
      <c r="A4137" s="3">
        <v>29</v>
      </c>
      <c r="B4137" s="2">
        <f>Walmart_Sales_raw_data!C4137</f>
        <v>518628.42</v>
      </c>
      <c r="C4137" t="str">
        <f>IF(B4137&gt;=Walmart_Sales_raw_data!$C$6437,"High","low")</f>
        <v>low</v>
      </c>
    </row>
    <row r="4138" spans="1:3">
      <c r="A4138" s="1">
        <v>29</v>
      </c>
      <c r="B4138" s="2">
        <f>Walmart_Sales_raw_data!C4138</f>
        <v>416881.66</v>
      </c>
      <c r="C4138" t="str">
        <f>IF(B4138&gt;=Walmart_Sales_raw_data!$C$6437,"High","low")</f>
        <v>low</v>
      </c>
    </row>
    <row r="4139" spans="1:3">
      <c r="A4139" s="3">
        <v>29</v>
      </c>
      <c r="B4139" s="2">
        <f>Walmart_Sales_raw_data!C4139</f>
        <v>615026.15</v>
      </c>
      <c r="C4139" t="str">
        <f>IF(B4139&gt;=Walmart_Sales_raw_data!$C$6437,"High","low")</f>
        <v>low</v>
      </c>
    </row>
    <row r="4140" spans="1:3">
      <c r="A4140" s="1">
        <v>29</v>
      </c>
      <c r="B4140" s="2">
        <f>Walmart_Sales_raw_data!C4140</f>
        <v>545844.91</v>
      </c>
      <c r="C4140" t="str">
        <f>IF(B4140&gt;=Walmart_Sales_raw_data!$C$6437,"High","low")</f>
        <v>low</v>
      </c>
    </row>
    <row r="4141" spans="1:3">
      <c r="A4141" s="3">
        <v>29</v>
      </c>
      <c r="B4141" s="2">
        <f>Walmart_Sales_raw_data!C4141</f>
        <v>540811.85</v>
      </c>
      <c r="C4141" t="str">
        <f>IF(B4141&gt;=Walmart_Sales_raw_data!$C$6437,"High","low")</f>
        <v>low</v>
      </c>
    </row>
    <row r="4142" spans="1:3">
      <c r="A4142" s="1">
        <v>29</v>
      </c>
      <c r="B4142" s="2">
        <f>Walmart_Sales_raw_data!C4142</f>
        <v>475127.18</v>
      </c>
      <c r="C4142" t="str">
        <f>IF(B4142&gt;=Walmart_Sales_raw_data!$C$6437,"High","low")</f>
        <v>low</v>
      </c>
    </row>
    <row r="4143" spans="1:3">
      <c r="A4143" s="3">
        <v>29</v>
      </c>
      <c r="B4143" s="2">
        <f>Walmart_Sales_raw_data!C4143</f>
        <v>489079.23</v>
      </c>
      <c r="C4143" t="str">
        <f>IF(B4143&gt;=Walmart_Sales_raw_data!$C$6437,"High","low")</f>
        <v>low</v>
      </c>
    </row>
    <row r="4144" spans="1:3">
      <c r="A4144" s="1">
        <v>29</v>
      </c>
      <c r="B4144" s="2">
        <f>Walmart_Sales_raw_data!C4144</f>
        <v>489674.23</v>
      </c>
      <c r="C4144" t="str">
        <f>IF(B4144&gt;=Walmart_Sales_raw_data!$C$6437,"High","low")</f>
        <v>low</v>
      </c>
    </row>
    <row r="4145" spans="1:3">
      <c r="A4145" s="3">
        <v>29</v>
      </c>
      <c r="B4145" s="2">
        <f>Walmart_Sales_raw_data!C4145</f>
        <v>520632.8</v>
      </c>
      <c r="C4145" t="str">
        <f>IF(B4145&gt;=Walmart_Sales_raw_data!$C$6437,"High","low")</f>
        <v>low</v>
      </c>
    </row>
    <row r="4146" spans="1:3">
      <c r="A4146" s="1">
        <v>29</v>
      </c>
      <c r="B4146" s="2">
        <f>Walmart_Sales_raw_data!C4146</f>
        <v>513737</v>
      </c>
      <c r="C4146" t="str">
        <f>IF(B4146&gt;=Walmart_Sales_raw_data!$C$6437,"High","low")</f>
        <v>low</v>
      </c>
    </row>
    <row r="4147" spans="1:3">
      <c r="A4147" s="3">
        <v>29</v>
      </c>
      <c r="B4147" s="2">
        <f>Walmart_Sales_raw_data!C4147</f>
        <v>516909.24</v>
      </c>
      <c r="C4147" t="str">
        <f>IF(B4147&gt;=Walmart_Sales_raw_data!$C$6437,"High","low")</f>
        <v>low</v>
      </c>
    </row>
    <row r="4148" spans="1:3">
      <c r="A4148" s="1">
        <v>29</v>
      </c>
      <c r="B4148" s="2">
        <f>Walmart_Sales_raw_data!C4148</f>
        <v>534970.68</v>
      </c>
      <c r="C4148" t="str">
        <f>IF(B4148&gt;=Walmart_Sales_raw_data!$C$6437,"High","low")</f>
        <v>low</v>
      </c>
    </row>
    <row r="4149" spans="1:3">
      <c r="A4149" s="3">
        <v>30</v>
      </c>
      <c r="B4149" s="2">
        <f>Walmart_Sales_raw_data!C4149</f>
        <v>465108.52</v>
      </c>
      <c r="C4149" t="str">
        <f>IF(B4149&gt;=Walmart_Sales_raw_data!$C$6437,"High","low")</f>
        <v>low</v>
      </c>
    </row>
    <row r="4150" spans="1:3">
      <c r="A4150" s="1">
        <v>30</v>
      </c>
      <c r="B4150" s="2">
        <f>Walmart_Sales_raw_data!C4150</f>
        <v>497374.57</v>
      </c>
      <c r="C4150" t="str">
        <f>IF(B4150&gt;=Walmart_Sales_raw_data!$C$6437,"High","low")</f>
        <v>low</v>
      </c>
    </row>
    <row r="4151" spans="1:3">
      <c r="A4151" s="3">
        <v>30</v>
      </c>
      <c r="B4151" s="2">
        <f>Walmart_Sales_raw_data!C4151</f>
        <v>463513.26</v>
      </c>
      <c r="C4151" t="str">
        <f>IF(B4151&gt;=Walmart_Sales_raw_data!$C$6437,"High","low")</f>
        <v>low</v>
      </c>
    </row>
    <row r="4152" spans="1:3">
      <c r="A4152" s="1">
        <v>30</v>
      </c>
      <c r="B4152" s="2">
        <f>Walmart_Sales_raw_data!C4152</f>
        <v>472330.71</v>
      </c>
      <c r="C4152" t="str">
        <f>IF(B4152&gt;=Walmart_Sales_raw_data!$C$6437,"High","low")</f>
        <v>low</v>
      </c>
    </row>
    <row r="4153" spans="1:3">
      <c r="A4153" s="3">
        <v>30</v>
      </c>
      <c r="B4153" s="2">
        <f>Walmart_Sales_raw_data!C4153</f>
        <v>472591.07</v>
      </c>
      <c r="C4153" t="str">
        <f>IF(B4153&gt;=Walmart_Sales_raw_data!$C$6437,"High","low")</f>
        <v>low</v>
      </c>
    </row>
    <row r="4154" spans="1:3">
      <c r="A4154" s="1">
        <v>30</v>
      </c>
      <c r="B4154" s="2">
        <f>Walmart_Sales_raw_data!C4154</f>
        <v>468189.93</v>
      </c>
      <c r="C4154" t="str">
        <f>IF(B4154&gt;=Walmart_Sales_raw_data!$C$6437,"High","low")</f>
        <v>low</v>
      </c>
    </row>
    <row r="4155" spans="1:3">
      <c r="A4155" s="3">
        <v>30</v>
      </c>
      <c r="B4155" s="2">
        <f>Walmart_Sales_raw_data!C4155</f>
        <v>445736.36</v>
      </c>
      <c r="C4155" t="str">
        <f>IF(B4155&gt;=Walmart_Sales_raw_data!$C$6437,"High","low")</f>
        <v>low</v>
      </c>
    </row>
    <row r="4156" spans="1:3">
      <c r="A4156" s="1">
        <v>30</v>
      </c>
      <c r="B4156" s="2">
        <f>Walmart_Sales_raw_data!C4156</f>
        <v>442457.35</v>
      </c>
      <c r="C4156" t="str">
        <f>IF(B4156&gt;=Walmart_Sales_raw_data!$C$6437,"High","low")</f>
        <v>low</v>
      </c>
    </row>
    <row r="4157" spans="1:3">
      <c r="A4157" s="3">
        <v>30</v>
      </c>
      <c r="B4157" s="2">
        <f>Walmart_Sales_raw_data!C4157</f>
        <v>457884.06</v>
      </c>
      <c r="C4157" t="str">
        <f>IF(B4157&gt;=Walmart_Sales_raw_data!$C$6437,"High","low")</f>
        <v>low</v>
      </c>
    </row>
    <row r="4158" spans="1:3">
      <c r="A4158" s="1">
        <v>30</v>
      </c>
      <c r="B4158" s="2">
        <f>Walmart_Sales_raw_data!C4158</f>
        <v>454800.96</v>
      </c>
      <c r="C4158" t="str">
        <f>IF(B4158&gt;=Walmart_Sales_raw_data!$C$6437,"High","low")</f>
        <v>low</v>
      </c>
    </row>
    <row r="4159" spans="1:3">
      <c r="A4159" s="3">
        <v>30</v>
      </c>
      <c r="B4159" s="2">
        <f>Walmart_Sales_raw_data!C4159</f>
        <v>471054.16</v>
      </c>
      <c r="C4159" t="str">
        <f>IF(B4159&gt;=Walmart_Sales_raw_data!$C$6437,"High","low")</f>
        <v>low</v>
      </c>
    </row>
    <row r="4160" spans="1:3">
      <c r="A4160" s="1">
        <v>30</v>
      </c>
      <c r="B4160" s="2">
        <f>Walmart_Sales_raw_data!C4160</f>
        <v>462454.39</v>
      </c>
      <c r="C4160" t="str">
        <f>IF(B4160&gt;=Walmart_Sales_raw_data!$C$6437,"High","low")</f>
        <v>low</v>
      </c>
    </row>
    <row r="4161" spans="1:3">
      <c r="A4161" s="3">
        <v>30</v>
      </c>
      <c r="B4161" s="2">
        <f>Walmart_Sales_raw_data!C4161</f>
        <v>456140.34</v>
      </c>
      <c r="C4161" t="str">
        <f>IF(B4161&gt;=Walmart_Sales_raw_data!$C$6437,"High","low")</f>
        <v>low</v>
      </c>
    </row>
    <row r="4162" spans="1:3">
      <c r="A4162" s="1">
        <v>30</v>
      </c>
      <c r="B4162" s="2">
        <f>Walmart_Sales_raw_data!C4162</f>
        <v>457883.94</v>
      </c>
      <c r="C4162" t="str">
        <f>IF(B4162&gt;=Walmart_Sales_raw_data!$C$6437,"High","low")</f>
        <v>low</v>
      </c>
    </row>
    <row r="4163" spans="1:3">
      <c r="A4163" s="3">
        <v>30</v>
      </c>
      <c r="B4163" s="2">
        <f>Walmart_Sales_raw_data!C4163</f>
        <v>461868.09</v>
      </c>
      <c r="C4163" t="str">
        <f>IF(B4163&gt;=Walmart_Sales_raw_data!$C$6437,"High","low")</f>
        <v>low</v>
      </c>
    </row>
    <row r="4164" spans="1:3">
      <c r="A4164" s="1">
        <v>30</v>
      </c>
      <c r="B4164" s="2">
        <f>Walmart_Sales_raw_data!C4164</f>
        <v>455751.84</v>
      </c>
      <c r="C4164" t="str">
        <f>IF(B4164&gt;=Walmart_Sales_raw_data!$C$6437,"High","low")</f>
        <v>low</v>
      </c>
    </row>
    <row r="4165" spans="1:3">
      <c r="A4165" s="3">
        <v>30</v>
      </c>
      <c r="B4165" s="2">
        <f>Walmart_Sales_raw_data!C4165</f>
        <v>462474.16</v>
      </c>
      <c r="C4165" t="str">
        <f>IF(B4165&gt;=Walmart_Sales_raw_data!$C$6437,"High","low")</f>
        <v>low</v>
      </c>
    </row>
    <row r="4166" spans="1:3">
      <c r="A4166" s="1">
        <v>30</v>
      </c>
      <c r="B4166" s="2">
        <f>Walmart_Sales_raw_data!C4166</f>
        <v>458343.7</v>
      </c>
      <c r="C4166" t="str">
        <f>IF(B4166&gt;=Walmart_Sales_raw_data!$C$6437,"High","low")</f>
        <v>low</v>
      </c>
    </row>
    <row r="4167" spans="1:3">
      <c r="A4167" s="3">
        <v>30</v>
      </c>
      <c r="B4167" s="2">
        <f>Walmart_Sales_raw_data!C4167</f>
        <v>445530.16</v>
      </c>
      <c r="C4167" t="str">
        <f>IF(B4167&gt;=Walmart_Sales_raw_data!$C$6437,"High","low")</f>
        <v>low</v>
      </c>
    </row>
    <row r="4168" spans="1:3">
      <c r="A4168" s="1">
        <v>30</v>
      </c>
      <c r="B4168" s="2">
        <f>Walmart_Sales_raw_data!C4168</f>
        <v>447727.52</v>
      </c>
      <c r="C4168" t="str">
        <f>IF(B4168&gt;=Walmart_Sales_raw_data!$C$6437,"High","low")</f>
        <v>low</v>
      </c>
    </row>
    <row r="4169" spans="1:3">
      <c r="A4169" s="3">
        <v>30</v>
      </c>
      <c r="B4169" s="2">
        <f>Walmart_Sales_raw_data!C4169</f>
        <v>453210.24</v>
      </c>
      <c r="C4169" t="str">
        <f>IF(B4169&gt;=Walmart_Sales_raw_data!$C$6437,"High","low")</f>
        <v>low</v>
      </c>
    </row>
    <row r="4170" spans="1:3">
      <c r="A4170" s="1">
        <v>30</v>
      </c>
      <c r="B4170" s="2">
        <f>Walmart_Sales_raw_data!C4170</f>
        <v>450337.47</v>
      </c>
      <c r="C4170" t="str">
        <f>IF(B4170&gt;=Walmart_Sales_raw_data!$C$6437,"High","low")</f>
        <v>low</v>
      </c>
    </row>
    <row r="4171" spans="1:3">
      <c r="A4171" s="3">
        <v>30</v>
      </c>
      <c r="B4171" s="2">
        <f>Walmart_Sales_raw_data!C4171</f>
        <v>436293.4</v>
      </c>
      <c r="C4171" t="str">
        <f>IF(B4171&gt;=Walmart_Sales_raw_data!$C$6437,"High","low")</f>
        <v>low</v>
      </c>
    </row>
    <row r="4172" spans="1:3">
      <c r="A4172" s="1">
        <v>30</v>
      </c>
      <c r="B4172" s="2">
        <f>Walmart_Sales_raw_data!C4172</f>
        <v>438068.71</v>
      </c>
      <c r="C4172" t="str">
        <f>IF(B4172&gt;=Walmart_Sales_raw_data!$C$6437,"High","low")</f>
        <v>low</v>
      </c>
    </row>
    <row r="4173" spans="1:3">
      <c r="A4173" s="3">
        <v>30</v>
      </c>
      <c r="B4173" s="2">
        <f>Walmart_Sales_raw_data!C4173</f>
        <v>440491.33</v>
      </c>
      <c r="C4173" t="str">
        <f>IF(B4173&gt;=Walmart_Sales_raw_data!$C$6437,"High","low")</f>
        <v>low</v>
      </c>
    </row>
    <row r="4174" spans="1:3">
      <c r="A4174" s="1">
        <v>30</v>
      </c>
      <c r="B4174" s="2">
        <f>Walmart_Sales_raw_data!C4174</f>
        <v>437893.76</v>
      </c>
      <c r="C4174" t="str">
        <f>IF(B4174&gt;=Walmart_Sales_raw_data!$C$6437,"High","low")</f>
        <v>low</v>
      </c>
    </row>
    <row r="4175" spans="1:3">
      <c r="A4175" s="3">
        <v>30</v>
      </c>
      <c r="B4175" s="2">
        <f>Walmart_Sales_raw_data!C4175</f>
        <v>441407.06</v>
      </c>
      <c r="C4175" t="str">
        <f>IF(B4175&gt;=Walmart_Sales_raw_data!$C$6437,"High","low")</f>
        <v>low</v>
      </c>
    </row>
    <row r="4176" spans="1:3">
      <c r="A4176" s="1">
        <v>30</v>
      </c>
      <c r="B4176" s="2">
        <f>Walmart_Sales_raw_data!C4176</f>
        <v>444160.07</v>
      </c>
      <c r="C4176" t="str">
        <f>IF(B4176&gt;=Walmart_Sales_raw_data!$C$6437,"High","low")</f>
        <v>low</v>
      </c>
    </row>
    <row r="4177" spans="1:3">
      <c r="A4177" s="3">
        <v>30</v>
      </c>
      <c r="B4177" s="2">
        <f>Walmart_Sales_raw_data!C4177</f>
        <v>447139.8</v>
      </c>
      <c r="C4177" t="str">
        <f>IF(B4177&gt;=Walmart_Sales_raw_data!$C$6437,"High","low")</f>
        <v>low</v>
      </c>
    </row>
    <row r="4178" spans="1:3">
      <c r="A4178" s="1">
        <v>30</v>
      </c>
      <c r="B4178" s="2">
        <f>Walmart_Sales_raw_data!C4178</f>
        <v>443810.78</v>
      </c>
      <c r="C4178" t="str">
        <f>IF(B4178&gt;=Walmart_Sales_raw_data!$C$6437,"High","low")</f>
        <v>low</v>
      </c>
    </row>
    <row r="4179" spans="1:3">
      <c r="A4179" s="3">
        <v>30</v>
      </c>
      <c r="B4179" s="2">
        <f>Walmart_Sales_raw_data!C4179</f>
        <v>461548.98</v>
      </c>
      <c r="C4179" t="str">
        <f>IF(B4179&gt;=Walmart_Sales_raw_data!$C$6437,"High","low")</f>
        <v>low</v>
      </c>
    </row>
    <row r="4180" spans="1:3">
      <c r="A4180" s="1">
        <v>30</v>
      </c>
      <c r="B4180" s="2">
        <f>Walmart_Sales_raw_data!C4180</f>
        <v>455162.92</v>
      </c>
      <c r="C4180" t="str">
        <f>IF(B4180&gt;=Walmart_Sales_raw_data!$C$6437,"High","low")</f>
        <v>low</v>
      </c>
    </row>
    <row r="4181" spans="1:3">
      <c r="A4181" s="3">
        <v>30</v>
      </c>
      <c r="B4181" s="2">
        <f>Walmart_Sales_raw_data!C4181</f>
        <v>462058.19</v>
      </c>
      <c r="C4181" t="str">
        <f>IF(B4181&gt;=Walmart_Sales_raw_data!$C$6437,"High","low")</f>
        <v>low</v>
      </c>
    </row>
    <row r="4182" spans="1:3">
      <c r="A4182" s="1">
        <v>30</v>
      </c>
      <c r="B4182" s="2">
        <f>Walmart_Sales_raw_data!C4182</f>
        <v>448392.17</v>
      </c>
      <c r="C4182" t="str">
        <f>IF(B4182&gt;=Walmart_Sales_raw_data!$C$6437,"High","low")</f>
        <v>low</v>
      </c>
    </row>
    <row r="4183" spans="1:3">
      <c r="A4183" s="3">
        <v>30</v>
      </c>
      <c r="B4183" s="2">
        <f>Walmart_Sales_raw_data!C4183</f>
        <v>445475.3</v>
      </c>
      <c r="C4183" t="str">
        <f>IF(B4183&gt;=Walmart_Sales_raw_data!$C$6437,"High","low")</f>
        <v>low</v>
      </c>
    </row>
    <row r="4184" spans="1:3">
      <c r="A4184" s="1">
        <v>30</v>
      </c>
      <c r="B4184" s="2">
        <f>Walmart_Sales_raw_data!C4184</f>
        <v>462080.47</v>
      </c>
      <c r="C4184" t="str">
        <f>IF(B4184&gt;=Walmart_Sales_raw_data!$C$6437,"High","low")</f>
        <v>low</v>
      </c>
    </row>
    <row r="4185" spans="1:3">
      <c r="A4185" s="3">
        <v>30</v>
      </c>
      <c r="B4185" s="2">
        <f>Walmart_Sales_raw_data!C4185</f>
        <v>453943.89</v>
      </c>
      <c r="C4185" t="str">
        <f>IF(B4185&gt;=Walmart_Sales_raw_data!$C$6437,"High","low")</f>
        <v>low</v>
      </c>
    </row>
    <row r="4186" spans="1:3">
      <c r="A4186" s="1">
        <v>30</v>
      </c>
      <c r="B4186" s="2">
        <f>Walmart_Sales_raw_data!C4186</f>
        <v>459631.74</v>
      </c>
      <c r="C4186" t="str">
        <f>IF(B4186&gt;=Walmart_Sales_raw_data!$C$6437,"High","low")</f>
        <v>low</v>
      </c>
    </row>
    <row r="4187" spans="1:3">
      <c r="A4187" s="3">
        <v>30</v>
      </c>
      <c r="B4187" s="2">
        <f>Walmart_Sales_raw_data!C4187</f>
        <v>438334.39</v>
      </c>
      <c r="C4187" t="str">
        <f>IF(B4187&gt;=Walmart_Sales_raw_data!$C$6437,"High","low")</f>
        <v>low</v>
      </c>
    </row>
    <row r="4188" spans="1:3">
      <c r="A4188" s="1">
        <v>30</v>
      </c>
      <c r="B4188" s="2">
        <f>Walmart_Sales_raw_data!C4188</f>
        <v>484661.87</v>
      </c>
      <c r="C4188" t="str">
        <f>IF(B4188&gt;=Walmart_Sales_raw_data!$C$6437,"High","low")</f>
        <v>low</v>
      </c>
    </row>
    <row r="4189" spans="1:3">
      <c r="A4189" s="3">
        <v>30</v>
      </c>
      <c r="B4189" s="2">
        <f>Walmart_Sales_raw_data!C4189</f>
        <v>431266.64</v>
      </c>
      <c r="C4189" t="str">
        <f>IF(B4189&gt;=Walmart_Sales_raw_data!$C$6437,"High","low")</f>
        <v>low</v>
      </c>
    </row>
    <row r="4190" spans="1:3">
      <c r="A4190" s="1">
        <v>30</v>
      </c>
      <c r="B4190" s="2">
        <f>Walmart_Sales_raw_data!C4190</f>
        <v>423707.69</v>
      </c>
      <c r="C4190" t="str">
        <f>IF(B4190&gt;=Walmart_Sales_raw_data!$C$6437,"High","low")</f>
        <v>low</v>
      </c>
    </row>
    <row r="4191" spans="1:3">
      <c r="A4191" s="3">
        <v>30</v>
      </c>
      <c r="B4191" s="2">
        <f>Walmart_Sales_raw_data!C4191</f>
        <v>462732.36</v>
      </c>
      <c r="C4191" t="str">
        <f>IF(B4191&gt;=Walmart_Sales_raw_data!$C$6437,"High","low")</f>
        <v>low</v>
      </c>
    </row>
    <row r="4192" spans="1:3">
      <c r="A4192" s="1">
        <v>30</v>
      </c>
      <c r="B4192" s="2">
        <f>Walmart_Sales_raw_data!C4192</f>
        <v>407112.22</v>
      </c>
      <c r="C4192" t="str">
        <f>IF(B4192&gt;=Walmart_Sales_raw_data!$C$6437,"High","low")</f>
        <v>low</v>
      </c>
    </row>
    <row r="4193" spans="1:3">
      <c r="A4193" s="3">
        <v>30</v>
      </c>
      <c r="B4193" s="2">
        <f>Walmart_Sales_raw_data!C4193</f>
        <v>428631.91</v>
      </c>
      <c r="C4193" t="str">
        <f>IF(B4193&gt;=Walmart_Sales_raw_data!$C$6437,"High","low")</f>
        <v>low</v>
      </c>
    </row>
    <row r="4194" spans="1:3">
      <c r="A4194" s="1">
        <v>30</v>
      </c>
      <c r="B4194" s="2">
        <f>Walmart_Sales_raw_data!C4194</f>
        <v>445332.28</v>
      </c>
      <c r="C4194" t="str">
        <f>IF(B4194&gt;=Walmart_Sales_raw_data!$C$6437,"High","low")</f>
        <v>low</v>
      </c>
    </row>
    <row r="4195" spans="1:3">
      <c r="A4195" s="3">
        <v>30</v>
      </c>
      <c r="B4195" s="2">
        <f>Walmart_Sales_raw_data!C4195</f>
        <v>519354.88</v>
      </c>
      <c r="C4195" t="str">
        <f>IF(B4195&gt;=Walmart_Sales_raw_data!$C$6437,"High","low")</f>
        <v>low</v>
      </c>
    </row>
    <row r="4196" spans="1:3">
      <c r="A4196" s="1">
        <v>30</v>
      </c>
      <c r="B4196" s="2">
        <f>Walmart_Sales_raw_data!C4196</f>
        <v>397631.02</v>
      </c>
      <c r="C4196" t="str">
        <f>IF(B4196&gt;=Walmart_Sales_raw_data!$C$6437,"High","low")</f>
        <v>low</v>
      </c>
    </row>
    <row r="4197" spans="1:3">
      <c r="A4197" s="3">
        <v>30</v>
      </c>
      <c r="B4197" s="2">
        <f>Walmart_Sales_raw_data!C4197</f>
        <v>451077.21</v>
      </c>
      <c r="C4197" t="str">
        <f>IF(B4197&gt;=Walmart_Sales_raw_data!$C$6437,"High","low")</f>
        <v>low</v>
      </c>
    </row>
    <row r="4198" spans="1:3">
      <c r="A4198" s="1">
        <v>30</v>
      </c>
      <c r="B4198" s="2">
        <f>Walmart_Sales_raw_data!C4198</f>
        <v>465408.72</v>
      </c>
      <c r="C4198" t="str">
        <f>IF(B4198&gt;=Walmart_Sales_raw_data!$C$6437,"High","low")</f>
        <v>low</v>
      </c>
    </row>
    <row r="4199" spans="1:3">
      <c r="A4199" s="3">
        <v>30</v>
      </c>
      <c r="B4199" s="2">
        <f>Walmart_Sales_raw_data!C4199</f>
        <v>439132.62</v>
      </c>
      <c r="C4199" t="str">
        <f>IF(B4199&gt;=Walmart_Sales_raw_data!$C$6437,"High","low")</f>
        <v>low</v>
      </c>
    </row>
    <row r="4200" spans="1:3">
      <c r="A4200" s="1">
        <v>30</v>
      </c>
      <c r="B4200" s="2">
        <f>Walmart_Sales_raw_data!C4200</f>
        <v>425989.04</v>
      </c>
      <c r="C4200" t="str">
        <f>IF(B4200&gt;=Walmart_Sales_raw_data!$C$6437,"High","low")</f>
        <v>low</v>
      </c>
    </row>
    <row r="4201" spans="1:3">
      <c r="A4201" s="3">
        <v>30</v>
      </c>
      <c r="B4201" s="2">
        <f>Walmart_Sales_raw_data!C4201</f>
        <v>490970.95</v>
      </c>
      <c r="C4201" t="str">
        <f>IF(B4201&gt;=Walmart_Sales_raw_data!$C$6437,"High","low")</f>
        <v>low</v>
      </c>
    </row>
    <row r="4202" spans="1:3">
      <c r="A4202" s="1">
        <v>30</v>
      </c>
      <c r="B4202" s="2">
        <f>Walmart_Sales_raw_data!C4202</f>
        <v>470921.24</v>
      </c>
      <c r="C4202" t="str">
        <f>IF(B4202&gt;=Walmart_Sales_raw_data!$C$6437,"High","low")</f>
        <v>low</v>
      </c>
    </row>
    <row r="4203" spans="1:3">
      <c r="A4203" s="3">
        <v>30</v>
      </c>
      <c r="B4203" s="2">
        <f>Walmart_Sales_raw_data!C4203</f>
        <v>417070.51</v>
      </c>
      <c r="C4203" t="str">
        <f>IF(B4203&gt;=Walmart_Sales_raw_data!$C$6437,"High","low")</f>
        <v>low</v>
      </c>
    </row>
    <row r="4204" spans="1:3">
      <c r="A4204" s="1">
        <v>30</v>
      </c>
      <c r="B4204" s="2">
        <f>Walmart_Sales_raw_data!C4204</f>
        <v>432687.97</v>
      </c>
      <c r="C4204" t="str">
        <f>IF(B4204&gt;=Walmart_Sales_raw_data!$C$6437,"High","low")</f>
        <v>low</v>
      </c>
    </row>
    <row r="4205" spans="1:3">
      <c r="A4205" s="3">
        <v>30</v>
      </c>
      <c r="B4205" s="2">
        <f>Walmart_Sales_raw_data!C4205</f>
        <v>443334.71</v>
      </c>
      <c r="C4205" t="str">
        <f>IF(B4205&gt;=Walmart_Sales_raw_data!$C$6437,"High","low")</f>
        <v>low</v>
      </c>
    </row>
    <row r="4206" spans="1:3">
      <c r="A4206" s="1">
        <v>30</v>
      </c>
      <c r="B4206" s="2">
        <f>Walmart_Sales_raw_data!C4206</f>
        <v>438529.81</v>
      </c>
      <c r="C4206" t="str">
        <f>IF(B4206&gt;=Walmart_Sales_raw_data!$C$6437,"High","low")</f>
        <v>low</v>
      </c>
    </row>
    <row r="4207" spans="1:3">
      <c r="A4207" s="3">
        <v>30</v>
      </c>
      <c r="B4207" s="2">
        <f>Walmart_Sales_raw_data!C4207</f>
        <v>425470.84</v>
      </c>
      <c r="C4207" t="str">
        <f>IF(B4207&gt;=Walmart_Sales_raw_data!$C$6437,"High","low")</f>
        <v>low</v>
      </c>
    </row>
    <row r="4208" spans="1:3">
      <c r="A4208" s="1">
        <v>30</v>
      </c>
      <c r="B4208" s="2">
        <f>Walmart_Sales_raw_data!C4208</f>
        <v>431754.01</v>
      </c>
      <c r="C4208" t="str">
        <f>IF(B4208&gt;=Walmart_Sales_raw_data!$C$6437,"High","low")</f>
        <v>low</v>
      </c>
    </row>
    <row r="4209" spans="1:3">
      <c r="A4209" s="3">
        <v>30</v>
      </c>
      <c r="B4209" s="2">
        <f>Walmart_Sales_raw_data!C4209</f>
        <v>437926.79</v>
      </c>
      <c r="C4209" t="str">
        <f>IF(B4209&gt;=Walmart_Sales_raw_data!$C$6437,"High","low")</f>
        <v>low</v>
      </c>
    </row>
    <row r="4210" spans="1:3">
      <c r="A4210" s="1">
        <v>30</v>
      </c>
      <c r="B4210" s="2">
        <f>Walmart_Sales_raw_data!C4210</f>
        <v>443889.5</v>
      </c>
      <c r="C4210" t="str">
        <f>IF(B4210&gt;=Walmart_Sales_raw_data!$C$6437,"High","low")</f>
        <v>low</v>
      </c>
    </row>
    <row r="4211" spans="1:3">
      <c r="A4211" s="3">
        <v>30</v>
      </c>
      <c r="B4211" s="2">
        <f>Walmart_Sales_raw_data!C4211</f>
        <v>426666.92</v>
      </c>
      <c r="C4211" t="str">
        <f>IF(B4211&gt;=Walmart_Sales_raw_data!$C$6437,"High","low")</f>
        <v>low</v>
      </c>
    </row>
    <row r="4212" spans="1:3">
      <c r="A4212" s="1">
        <v>30</v>
      </c>
      <c r="B4212" s="2">
        <f>Walmart_Sales_raw_data!C4212</f>
        <v>445358.73</v>
      </c>
      <c r="C4212" t="str">
        <f>IF(B4212&gt;=Walmart_Sales_raw_data!$C$6437,"High","low")</f>
        <v>low</v>
      </c>
    </row>
    <row r="4213" spans="1:3">
      <c r="A4213" s="3">
        <v>30</v>
      </c>
      <c r="B4213" s="2">
        <f>Walmart_Sales_raw_data!C4213</f>
        <v>423687.2</v>
      </c>
      <c r="C4213" t="str">
        <f>IF(B4213&gt;=Walmart_Sales_raw_data!$C$6437,"High","low")</f>
        <v>low</v>
      </c>
    </row>
    <row r="4214" spans="1:3">
      <c r="A4214" s="1">
        <v>30</v>
      </c>
      <c r="B4214" s="2">
        <f>Walmart_Sales_raw_data!C4214</f>
        <v>438789.52</v>
      </c>
      <c r="C4214" t="str">
        <f>IF(B4214&gt;=Walmart_Sales_raw_data!$C$6437,"High","low")</f>
        <v>low</v>
      </c>
    </row>
    <row r="4215" spans="1:3">
      <c r="A4215" s="3">
        <v>30</v>
      </c>
      <c r="B4215" s="2">
        <f>Walmart_Sales_raw_data!C4215</f>
        <v>424614.59</v>
      </c>
      <c r="C4215" t="str">
        <f>IF(B4215&gt;=Walmart_Sales_raw_data!$C$6437,"High","low")</f>
        <v>low</v>
      </c>
    </row>
    <row r="4216" spans="1:3">
      <c r="A4216" s="1">
        <v>30</v>
      </c>
      <c r="B4216" s="2">
        <f>Walmart_Sales_raw_data!C4216</f>
        <v>435102.2</v>
      </c>
      <c r="C4216" t="str">
        <f>IF(B4216&gt;=Walmart_Sales_raw_data!$C$6437,"High","low")</f>
        <v>low</v>
      </c>
    </row>
    <row r="4217" spans="1:3">
      <c r="A4217" s="3">
        <v>30</v>
      </c>
      <c r="B4217" s="2">
        <f>Walmart_Sales_raw_data!C4217</f>
        <v>429305.82</v>
      </c>
      <c r="C4217" t="str">
        <f>IF(B4217&gt;=Walmart_Sales_raw_data!$C$6437,"High","low")</f>
        <v>low</v>
      </c>
    </row>
    <row r="4218" spans="1:3">
      <c r="A4218" s="1">
        <v>30</v>
      </c>
      <c r="B4218" s="2">
        <f>Walmart_Sales_raw_data!C4218</f>
        <v>432808.48</v>
      </c>
      <c r="C4218" t="str">
        <f>IF(B4218&gt;=Walmart_Sales_raw_data!$C$6437,"High","low")</f>
        <v>low</v>
      </c>
    </row>
    <row r="4219" spans="1:3">
      <c r="A4219" s="3">
        <v>30</v>
      </c>
      <c r="B4219" s="2">
        <f>Walmart_Sales_raw_data!C4219</f>
        <v>424697.05</v>
      </c>
      <c r="C4219" t="str">
        <f>IF(B4219&gt;=Walmart_Sales_raw_data!$C$6437,"High","low")</f>
        <v>low</v>
      </c>
    </row>
    <row r="4220" spans="1:3">
      <c r="A4220" s="1">
        <v>30</v>
      </c>
      <c r="B4220" s="2">
        <f>Walmart_Sales_raw_data!C4220</f>
        <v>435481.03</v>
      </c>
      <c r="C4220" t="str">
        <f>IF(B4220&gt;=Walmart_Sales_raw_data!$C$6437,"High","low")</f>
        <v>low</v>
      </c>
    </row>
    <row r="4221" spans="1:3">
      <c r="A4221" s="3">
        <v>30</v>
      </c>
      <c r="B4221" s="2">
        <f>Walmart_Sales_raw_data!C4221</f>
        <v>422715.74</v>
      </c>
      <c r="C4221" t="str">
        <f>IF(B4221&gt;=Walmart_Sales_raw_data!$C$6437,"High","low")</f>
        <v>low</v>
      </c>
    </row>
    <row r="4222" spans="1:3">
      <c r="A4222" s="1">
        <v>30</v>
      </c>
      <c r="B4222" s="2">
        <f>Walmart_Sales_raw_data!C4222</f>
        <v>428782.38</v>
      </c>
      <c r="C4222" t="str">
        <f>IF(B4222&gt;=Walmart_Sales_raw_data!$C$6437,"High","low")</f>
        <v>low</v>
      </c>
    </row>
    <row r="4223" spans="1:3">
      <c r="A4223" s="3">
        <v>30</v>
      </c>
      <c r="B4223" s="2">
        <f>Walmart_Sales_raw_data!C4223</f>
        <v>419764.37</v>
      </c>
      <c r="C4223" t="str">
        <f>IF(B4223&gt;=Walmart_Sales_raw_data!$C$6437,"High","low")</f>
        <v>low</v>
      </c>
    </row>
    <row r="4224" spans="1:3">
      <c r="A4224" s="1">
        <v>30</v>
      </c>
      <c r="B4224" s="2">
        <f>Walmart_Sales_raw_data!C4224</f>
        <v>420515.63</v>
      </c>
      <c r="C4224" t="str">
        <f>IF(B4224&gt;=Walmart_Sales_raw_data!$C$6437,"High","low")</f>
        <v>low</v>
      </c>
    </row>
    <row r="4225" spans="1:3">
      <c r="A4225" s="3">
        <v>30</v>
      </c>
      <c r="B4225" s="2">
        <f>Walmart_Sales_raw_data!C4225</f>
        <v>423441.76</v>
      </c>
      <c r="C4225" t="str">
        <f>IF(B4225&gt;=Walmart_Sales_raw_data!$C$6437,"High","low")</f>
        <v>low</v>
      </c>
    </row>
    <row r="4226" spans="1:3">
      <c r="A4226" s="1">
        <v>30</v>
      </c>
      <c r="B4226" s="2">
        <f>Walmart_Sales_raw_data!C4226</f>
        <v>414245.96</v>
      </c>
      <c r="C4226" t="str">
        <f>IF(B4226&gt;=Walmart_Sales_raw_data!$C$6437,"High","low")</f>
        <v>low</v>
      </c>
    </row>
    <row r="4227" spans="1:3">
      <c r="A4227" s="3">
        <v>30</v>
      </c>
      <c r="B4227" s="2">
        <f>Walmart_Sales_raw_data!C4227</f>
        <v>431798.64</v>
      </c>
      <c r="C4227" t="str">
        <f>IF(B4227&gt;=Walmart_Sales_raw_data!$C$6437,"High","low")</f>
        <v>low</v>
      </c>
    </row>
    <row r="4228" spans="1:3">
      <c r="A4228" s="1">
        <v>30</v>
      </c>
      <c r="B4228" s="2">
        <f>Walmart_Sales_raw_data!C4228</f>
        <v>412224.67</v>
      </c>
      <c r="C4228" t="str">
        <f>IF(B4228&gt;=Walmart_Sales_raw_data!$C$6437,"High","low")</f>
        <v>low</v>
      </c>
    </row>
    <row r="4229" spans="1:3">
      <c r="A4229" s="3">
        <v>30</v>
      </c>
      <c r="B4229" s="2">
        <f>Walmart_Sales_raw_data!C4229</f>
        <v>414450.61</v>
      </c>
      <c r="C4229" t="str">
        <f>IF(B4229&gt;=Walmart_Sales_raw_data!$C$6437,"High","low")</f>
        <v>low</v>
      </c>
    </row>
    <row r="4230" spans="1:3">
      <c r="A4230" s="1">
        <v>30</v>
      </c>
      <c r="B4230" s="2">
        <f>Walmart_Sales_raw_data!C4230</f>
        <v>387944.83</v>
      </c>
      <c r="C4230" t="str">
        <f>IF(B4230&gt;=Walmart_Sales_raw_data!$C$6437,"High","low")</f>
        <v>low</v>
      </c>
    </row>
    <row r="4231" spans="1:3">
      <c r="A4231" s="3">
        <v>30</v>
      </c>
      <c r="B4231" s="2">
        <f>Walmart_Sales_raw_data!C4231</f>
        <v>369722.32</v>
      </c>
      <c r="C4231" t="str">
        <f>IF(B4231&gt;=Walmart_Sales_raw_data!$C$6437,"High","low")</f>
        <v>low</v>
      </c>
    </row>
    <row r="4232" spans="1:3">
      <c r="A4232" s="1">
        <v>30</v>
      </c>
      <c r="B4232" s="2">
        <f>Walmart_Sales_raw_data!C4232</f>
        <v>370897.82</v>
      </c>
      <c r="C4232" t="str">
        <f>IF(B4232&gt;=Walmart_Sales_raw_data!$C$6437,"High","low")</f>
        <v>low</v>
      </c>
    </row>
    <row r="4233" spans="1:3">
      <c r="A4233" s="3">
        <v>30</v>
      </c>
      <c r="B4233" s="2">
        <f>Walmart_Sales_raw_data!C4233</f>
        <v>382914.66</v>
      </c>
      <c r="C4233" t="str">
        <f>IF(B4233&gt;=Walmart_Sales_raw_data!$C$6437,"High","low")</f>
        <v>low</v>
      </c>
    </row>
    <row r="4234" spans="1:3">
      <c r="A4234" s="1">
        <v>30</v>
      </c>
      <c r="B4234" s="2">
        <f>Walmart_Sales_raw_data!C4234</f>
        <v>391837.56</v>
      </c>
      <c r="C4234" t="str">
        <f>IF(B4234&gt;=Walmart_Sales_raw_data!$C$6437,"High","low")</f>
        <v>low</v>
      </c>
    </row>
    <row r="4235" spans="1:3">
      <c r="A4235" s="3">
        <v>30</v>
      </c>
      <c r="B4235" s="2">
        <f>Walmart_Sales_raw_data!C4235</f>
        <v>387001.13</v>
      </c>
      <c r="C4235" t="str">
        <f>IF(B4235&gt;=Walmart_Sales_raw_data!$C$6437,"High","low")</f>
        <v>low</v>
      </c>
    </row>
    <row r="4236" spans="1:3">
      <c r="A4236" s="1">
        <v>30</v>
      </c>
      <c r="B4236" s="2">
        <f>Walmart_Sales_raw_data!C4236</f>
        <v>417528.26</v>
      </c>
      <c r="C4236" t="str">
        <f>IF(B4236&gt;=Walmart_Sales_raw_data!$C$6437,"High","low")</f>
        <v>low</v>
      </c>
    </row>
    <row r="4237" spans="1:3">
      <c r="A4237" s="3">
        <v>30</v>
      </c>
      <c r="B4237" s="2">
        <f>Walmart_Sales_raw_data!C4237</f>
        <v>410711.99</v>
      </c>
      <c r="C4237" t="str">
        <f>IF(B4237&gt;=Walmart_Sales_raw_data!$C$6437,"High","low")</f>
        <v>low</v>
      </c>
    </row>
    <row r="4238" spans="1:3">
      <c r="A4238" s="1">
        <v>30</v>
      </c>
      <c r="B4238" s="2">
        <f>Walmart_Sales_raw_data!C4238</f>
        <v>428958.53</v>
      </c>
      <c r="C4238" t="str">
        <f>IF(B4238&gt;=Walmart_Sales_raw_data!$C$6437,"High","low")</f>
        <v>low</v>
      </c>
    </row>
    <row r="4239" spans="1:3">
      <c r="A4239" s="3">
        <v>30</v>
      </c>
      <c r="B4239" s="2">
        <f>Walmart_Sales_raw_data!C4239</f>
        <v>426151.88</v>
      </c>
      <c r="C4239" t="str">
        <f>IF(B4239&gt;=Walmart_Sales_raw_data!$C$6437,"High","low")</f>
        <v>low</v>
      </c>
    </row>
    <row r="4240" spans="1:3">
      <c r="A4240" s="1">
        <v>30</v>
      </c>
      <c r="B4240" s="2">
        <f>Walmart_Sales_raw_data!C4240</f>
        <v>432359.04</v>
      </c>
      <c r="C4240" t="str">
        <f>IF(B4240&gt;=Walmart_Sales_raw_data!$C$6437,"High","low")</f>
        <v>low</v>
      </c>
    </row>
    <row r="4241" spans="1:3">
      <c r="A4241" s="3">
        <v>30</v>
      </c>
      <c r="B4241" s="2">
        <f>Walmart_Sales_raw_data!C4241</f>
        <v>409686.63</v>
      </c>
      <c r="C4241" t="str">
        <f>IF(B4241&gt;=Walmart_Sales_raw_data!$C$6437,"High","low")</f>
        <v>low</v>
      </c>
    </row>
    <row r="4242" spans="1:3">
      <c r="A4242" s="1">
        <v>30</v>
      </c>
      <c r="B4242" s="2">
        <f>Walmart_Sales_raw_data!C4242</f>
        <v>436462.63</v>
      </c>
      <c r="C4242" t="str">
        <f>IF(B4242&gt;=Walmart_Sales_raw_data!$C$6437,"High","low")</f>
        <v>low</v>
      </c>
    </row>
    <row r="4243" spans="1:3">
      <c r="A4243" s="3">
        <v>30</v>
      </c>
      <c r="B4243" s="2">
        <f>Walmart_Sales_raw_data!C4243</f>
        <v>452163.93</v>
      </c>
      <c r="C4243" t="str">
        <f>IF(B4243&gt;=Walmart_Sales_raw_data!$C$6437,"High","low")</f>
        <v>low</v>
      </c>
    </row>
    <row r="4244" spans="1:3">
      <c r="A4244" s="1">
        <v>30</v>
      </c>
      <c r="B4244" s="2">
        <f>Walmart_Sales_raw_data!C4244</f>
        <v>412385.75</v>
      </c>
      <c r="C4244" t="str">
        <f>IF(B4244&gt;=Walmart_Sales_raw_data!$C$6437,"High","low")</f>
        <v>low</v>
      </c>
    </row>
    <row r="4245" spans="1:3">
      <c r="A4245" s="3">
        <v>30</v>
      </c>
      <c r="B4245" s="2">
        <f>Walmart_Sales_raw_data!C4245</f>
        <v>436741.02</v>
      </c>
      <c r="C4245" t="str">
        <f>IF(B4245&gt;=Walmart_Sales_raw_data!$C$6437,"High","low")</f>
        <v>low</v>
      </c>
    </row>
    <row r="4246" spans="1:3">
      <c r="A4246" s="1">
        <v>30</v>
      </c>
      <c r="B4246" s="2">
        <f>Walmart_Sales_raw_data!C4246</f>
        <v>441265.08</v>
      </c>
      <c r="C4246" t="str">
        <f>IF(B4246&gt;=Walmart_Sales_raw_data!$C$6437,"High","low")</f>
        <v>low</v>
      </c>
    </row>
    <row r="4247" spans="1:3">
      <c r="A4247" s="3">
        <v>30</v>
      </c>
      <c r="B4247" s="2">
        <f>Walmart_Sales_raw_data!C4247</f>
        <v>492022.68</v>
      </c>
      <c r="C4247" t="str">
        <f>IF(B4247&gt;=Walmart_Sales_raw_data!$C$6437,"High","low")</f>
        <v>low</v>
      </c>
    </row>
    <row r="4248" spans="1:3">
      <c r="A4248" s="1">
        <v>30</v>
      </c>
      <c r="B4248" s="2">
        <f>Walmart_Sales_raw_data!C4248</f>
        <v>376777.45</v>
      </c>
      <c r="C4248" t="str">
        <f>IF(B4248&gt;=Walmart_Sales_raw_data!$C$6437,"High","low")</f>
        <v>low</v>
      </c>
    </row>
    <row r="4249" spans="1:3">
      <c r="A4249" s="3">
        <v>30</v>
      </c>
      <c r="B4249" s="2">
        <f>Walmart_Sales_raw_data!C4249</f>
        <v>457030.86</v>
      </c>
      <c r="C4249" t="str">
        <f>IF(B4249&gt;=Walmart_Sales_raw_data!$C$6437,"High","low")</f>
        <v>low</v>
      </c>
    </row>
    <row r="4250" spans="1:3">
      <c r="A4250" s="1">
        <v>30</v>
      </c>
      <c r="B4250" s="2">
        <f>Walmart_Sales_raw_data!C4250</f>
        <v>447023.91</v>
      </c>
      <c r="C4250" t="str">
        <f>IF(B4250&gt;=Walmart_Sales_raw_data!$C$6437,"High","low")</f>
        <v>low</v>
      </c>
    </row>
    <row r="4251" spans="1:3">
      <c r="A4251" s="3">
        <v>30</v>
      </c>
      <c r="B4251" s="2">
        <f>Walmart_Sales_raw_data!C4251</f>
        <v>438760.62</v>
      </c>
      <c r="C4251" t="str">
        <f>IF(B4251&gt;=Walmart_Sales_raw_data!$C$6437,"High","low")</f>
        <v>low</v>
      </c>
    </row>
    <row r="4252" spans="1:3">
      <c r="A4252" s="1">
        <v>30</v>
      </c>
      <c r="B4252" s="2">
        <f>Walmart_Sales_raw_data!C4252</f>
        <v>433037.66</v>
      </c>
      <c r="C4252" t="str">
        <f>IF(B4252&gt;=Walmart_Sales_raw_data!$C$6437,"High","low")</f>
        <v>low</v>
      </c>
    </row>
    <row r="4253" spans="1:3">
      <c r="A4253" s="3">
        <v>30</v>
      </c>
      <c r="B4253" s="2">
        <f>Walmart_Sales_raw_data!C4253</f>
        <v>434080.74</v>
      </c>
      <c r="C4253" t="str">
        <f>IF(B4253&gt;=Walmart_Sales_raw_data!$C$6437,"High","low")</f>
        <v>low</v>
      </c>
    </row>
    <row r="4254" spans="1:3">
      <c r="A4254" s="1">
        <v>30</v>
      </c>
      <c r="B4254" s="2">
        <f>Walmart_Sales_raw_data!C4254</f>
        <v>451365.99</v>
      </c>
      <c r="C4254" t="str">
        <f>IF(B4254&gt;=Walmart_Sales_raw_data!$C$6437,"High","low")</f>
        <v>low</v>
      </c>
    </row>
    <row r="4255" spans="1:3">
      <c r="A4255" s="3">
        <v>30</v>
      </c>
      <c r="B4255" s="2">
        <f>Walmart_Sales_raw_data!C4255</f>
        <v>435109.11</v>
      </c>
      <c r="C4255" t="str">
        <f>IF(B4255&gt;=Walmart_Sales_raw_data!$C$6437,"High","low")</f>
        <v>low</v>
      </c>
    </row>
    <row r="4256" spans="1:3">
      <c r="A4256" s="1">
        <v>30</v>
      </c>
      <c r="B4256" s="2">
        <f>Walmart_Sales_raw_data!C4256</f>
        <v>425215.71</v>
      </c>
      <c r="C4256" t="str">
        <f>IF(B4256&gt;=Walmart_Sales_raw_data!$C$6437,"High","low")</f>
        <v>low</v>
      </c>
    </row>
    <row r="4257" spans="1:3">
      <c r="A4257" s="3">
        <v>30</v>
      </c>
      <c r="B4257" s="2">
        <f>Walmart_Sales_raw_data!C4257</f>
        <v>438640.61</v>
      </c>
      <c r="C4257" t="str">
        <f>IF(B4257&gt;=Walmart_Sales_raw_data!$C$6437,"High","low")</f>
        <v>low</v>
      </c>
    </row>
    <row r="4258" spans="1:3">
      <c r="A4258" s="1">
        <v>30</v>
      </c>
      <c r="B4258" s="2">
        <f>Walmart_Sales_raw_data!C4258</f>
        <v>446617.89</v>
      </c>
      <c r="C4258" t="str">
        <f>IF(B4258&gt;=Walmart_Sales_raw_data!$C$6437,"High","low")</f>
        <v>low</v>
      </c>
    </row>
    <row r="4259" spans="1:3">
      <c r="A4259" s="3">
        <v>30</v>
      </c>
      <c r="B4259" s="2">
        <f>Walmart_Sales_raw_data!C4259</f>
        <v>413617.45</v>
      </c>
      <c r="C4259" t="str">
        <f>IF(B4259&gt;=Walmart_Sales_raw_data!$C$6437,"High","low")</f>
        <v>low</v>
      </c>
    </row>
    <row r="4260" spans="1:3">
      <c r="A4260" s="1">
        <v>30</v>
      </c>
      <c r="B4260" s="2">
        <f>Walmart_Sales_raw_data!C4260</f>
        <v>430222.97</v>
      </c>
      <c r="C4260" t="str">
        <f>IF(B4260&gt;=Walmart_Sales_raw_data!$C$6437,"High","low")</f>
        <v>low</v>
      </c>
    </row>
    <row r="4261" spans="1:3">
      <c r="A4261" s="3">
        <v>30</v>
      </c>
      <c r="B4261" s="2">
        <f>Walmart_Sales_raw_data!C4261</f>
        <v>449603.91</v>
      </c>
      <c r="C4261" t="str">
        <f>IF(B4261&gt;=Walmart_Sales_raw_data!$C$6437,"High","low")</f>
        <v>low</v>
      </c>
    </row>
    <row r="4262" spans="1:3">
      <c r="A4262" s="1">
        <v>30</v>
      </c>
      <c r="B4262" s="2">
        <f>Walmart_Sales_raw_data!C4262</f>
        <v>461511.92</v>
      </c>
      <c r="C4262" t="str">
        <f>IF(B4262&gt;=Walmart_Sales_raw_data!$C$6437,"High","low")</f>
        <v>low</v>
      </c>
    </row>
    <row r="4263" spans="1:3">
      <c r="A4263" s="3">
        <v>30</v>
      </c>
      <c r="B4263" s="2">
        <f>Walmart_Sales_raw_data!C4263</f>
        <v>428784.7</v>
      </c>
      <c r="C4263" t="str">
        <f>IF(B4263&gt;=Walmart_Sales_raw_data!$C$6437,"High","low")</f>
        <v>low</v>
      </c>
    </row>
    <row r="4264" spans="1:3">
      <c r="A4264" s="1">
        <v>30</v>
      </c>
      <c r="B4264" s="2">
        <f>Walmart_Sales_raw_data!C4264</f>
        <v>462909.41</v>
      </c>
      <c r="C4264" t="str">
        <f>IF(B4264&gt;=Walmart_Sales_raw_data!$C$6437,"High","low")</f>
        <v>low</v>
      </c>
    </row>
    <row r="4265" spans="1:3">
      <c r="A4265" s="3">
        <v>30</v>
      </c>
      <c r="B4265" s="2">
        <f>Walmart_Sales_raw_data!C4265</f>
        <v>433744.83</v>
      </c>
      <c r="C4265" t="str">
        <f>IF(B4265&gt;=Walmart_Sales_raw_data!$C$6437,"High","low")</f>
        <v>low</v>
      </c>
    </row>
    <row r="4266" spans="1:3">
      <c r="A4266" s="1">
        <v>30</v>
      </c>
      <c r="B4266" s="2">
        <f>Walmart_Sales_raw_data!C4266</f>
        <v>454477.54</v>
      </c>
      <c r="C4266" t="str">
        <f>IF(B4266&gt;=Walmart_Sales_raw_data!$C$6437,"High","low")</f>
        <v>low</v>
      </c>
    </row>
    <row r="4267" spans="1:3">
      <c r="A4267" s="3">
        <v>30</v>
      </c>
      <c r="B4267" s="2">
        <f>Walmart_Sales_raw_data!C4267</f>
        <v>436070.45</v>
      </c>
      <c r="C4267" t="str">
        <f>IF(B4267&gt;=Walmart_Sales_raw_data!$C$6437,"High","low")</f>
        <v>low</v>
      </c>
    </row>
    <row r="4268" spans="1:3">
      <c r="A4268" s="1">
        <v>30</v>
      </c>
      <c r="B4268" s="2">
        <f>Walmart_Sales_raw_data!C4268</f>
        <v>460945.14</v>
      </c>
      <c r="C4268" t="str">
        <f>IF(B4268&gt;=Walmart_Sales_raw_data!$C$6437,"High","low")</f>
        <v>low</v>
      </c>
    </row>
    <row r="4269" spans="1:3">
      <c r="A4269" s="3">
        <v>30</v>
      </c>
      <c r="B4269" s="2">
        <f>Walmart_Sales_raw_data!C4269</f>
        <v>449355.91</v>
      </c>
      <c r="C4269" t="str">
        <f>IF(B4269&gt;=Walmart_Sales_raw_data!$C$6437,"High","low")</f>
        <v>low</v>
      </c>
    </row>
    <row r="4270" spans="1:3">
      <c r="A4270" s="1">
        <v>30</v>
      </c>
      <c r="B4270" s="2">
        <f>Walmart_Sales_raw_data!C4270</f>
        <v>427021.18</v>
      </c>
      <c r="C4270" t="str">
        <f>IF(B4270&gt;=Walmart_Sales_raw_data!$C$6437,"High","low")</f>
        <v>low</v>
      </c>
    </row>
    <row r="4271" spans="1:3">
      <c r="A4271" s="3">
        <v>30</v>
      </c>
      <c r="B4271" s="2">
        <f>Walmart_Sales_raw_data!C4271</f>
        <v>437222.94</v>
      </c>
      <c r="C4271" t="str">
        <f>IF(B4271&gt;=Walmart_Sales_raw_data!$C$6437,"High","low")</f>
        <v>low</v>
      </c>
    </row>
    <row r="4272" spans="1:3">
      <c r="A4272" s="1">
        <v>30</v>
      </c>
      <c r="B4272" s="2">
        <f>Walmart_Sales_raw_data!C4272</f>
        <v>438523.24</v>
      </c>
      <c r="C4272" t="str">
        <f>IF(B4272&gt;=Walmart_Sales_raw_data!$C$6437,"High","low")</f>
        <v>low</v>
      </c>
    </row>
    <row r="4273" spans="1:3">
      <c r="A4273" s="3">
        <v>30</v>
      </c>
      <c r="B4273" s="2">
        <f>Walmart_Sales_raw_data!C4273</f>
        <v>428554.63</v>
      </c>
      <c r="C4273" t="str">
        <f>IF(B4273&gt;=Walmart_Sales_raw_data!$C$6437,"High","low")</f>
        <v>low</v>
      </c>
    </row>
    <row r="4274" spans="1:3">
      <c r="A4274" s="1">
        <v>30</v>
      </c>
      <c r="B4274" s="2">
        <f>Walmart_Sales_raw_data!C4274</f>
        <v>423192.4</v>
      </c>
      <c r="C4274" t="str">
        <f>IF(B4274&gt;=Walmart_Sales_raw_data!$C$6437,"High","low")</f>
        <v>low</v>
      </c>
    </row>
    <row r="4275" spans="1:3">
      <c r="A4275" s="3">
        <v>30</v>
      </c>
      <c r="B4275" s="2">
        <f>Walmart_Sales_raw_data!C4275</f>
        <v>440553.42</v>
      </c>
      <c r="C4275" t="str">
        <f>IF(B4275&gt;=Walmart_Sales_raw_data!$C$6437,"High","low")</f>
        <v>low</v>
      </c>
    </row>
    <row r="4276" spans="1:3">
      <c r="A4276" s="1">
        <v>30</v>
      </c>
      <c r="B4276" s="2">
        <f>Walmart_Sales_raw_data!C4276</f>
        <v>417640.34</v>
      </c>
      <c r="C4276" t="str">
        <f>IF(B4276&gt;=Walmart_Sales_raw_data!$C$6437,"High","low")</f>
        <v>low</v>
      </c>
    </row>
    <row r="4277" spans="1:3">
      <c r="A4277" s="3">
        <v>30</v>
      </c>
      <c r="B4277" s="2">
        <f>Walmart_Sales_raw_data!C4277</f>
        <v>427491.04</v>
      </c>
      <c r="C4277" t="str">
        <f>IF(B4277&gt;=Walmart_Sales_raw_data!$C$6437,"High","low")</f>
        <v>low</v>
      </c>
    </row>
    <row r="4278" spans="1:3">
      <c r="A4278" s="1">
        <v>30</v>
      </c>
      <c r="B4278" s="2">
        <f>Walmart_Sales_raw_data!C4278</f>
        <v>424581.17</v>
      </c>
      <c r="C4278" t="str">
        <f>IF(B4278&gt;=Walmart_Sales_raw_data!$C$6437,"High","low")</f>
        <v>low</v>
      </c>
    </row>
    <row r="4279" spans="1:3">
      <c r="A4279" s="3">
        <v>30</v>
      </c>
      <c r="B4279" s="2">
        <f>Walmart_Sales_raw_data!C4279</f>
        <v>425136.55</v>
      </c>
      <c r="C4279" t="str">
        <f>IF(B4279&gt;=Walmart_Sales_raw_data!$C$6437,"High","low")</f>
        <v>low</v>
      </c>
    </row>
    <row r="4280" spans="1:3">
      <c r="A4280" s="1">
        <v>30</v>
      </c>
      <c r="B4280" s="2">
        <f>Walmart_Sales_raw_data!C4280</f>
        <v>430878.28</v>
      </c>
      <c r="C4280" t="str">
        <f>IF(B4280&gt;=Walmart_Sales_raw_data!$C$6437,"High","low")</f>
        <v>low</v>
      </c>
    </row>
    <row r="4281" spans="1:3">
      <c r="A4281" s="3">
        <v>30</v>
      </c>
      <c r="B4281" s="2">
        <f>Walmart_Sales_raw_data!C4281</f>
        <v>423351.15</v>
      </c>
      <c r="C4281" t="str">
        <f>IF(B4281&gt;=Walmart_Sales_raw_data!$C$6437,"High","low")</f>
        <v>low</v>
      </c>
    </row>
    <row r="4282" spans="1:3">
      <c r="A4282" s="1">
        <v>30</v>
      </c>
      <c r="B4282" s="2">
        <f>Walmart_Sales_raw_data!C4282</f>
        <v>425296.65</v>
      </c>
      <c r="C4282" t="str">
        <f>IF(B4282&gt;=Walmart_Sales_raw_data!$C$6437,"High","low")</f>
        <v>low</v>
      </c>
    </row>
    <row r="4283" spans="1:3">
      <c r="A4283" s="3">
        <v>30</v>
      </c>
      <c r="B4283" s="2">
        <f>Walmart_Sales_raw_data!C4283</f>
        <v>439132.5</v>
      </c>
      <c r="C4283" t="str">
        <f>IF(B4283&gt;=Walmart_Sales_raw_data!$C$6437,"High","low")</f>
        <v>low</v>
      </c>
    </row>
    <row r="4284" spans="1:3">
      <c r="A4284" s="1">
        <v>30</v>
      </c>
      <c r="B4284" s="2">
        <f>Walmart_Sales_raw_data!C4284</f>
        <v>433565.77</v>
      </c>
      <c r="C4284" t="str">
        <f>IF(B4284&gt;=Walmart_Sales_raw_data!$C$6437,"High","low")</f>
        <v>low</v>
      </c>
    </row>
    <row r="4285" spans="1:3">
      <c r="A4285" s="3">
        <v>30</v>
      </c>
      <c r="B4285" s="2">
        <f>Walmart_Sales_raw_data!C4285</f>
        <v>437773.31</v>
      </c>
      <c r="C4285" t="str">
        <f>IF(B4285&gt;=Walmart_Sales_raw_data!$C$6437,"High","low")</f>
        <v>low</v>
      </c>
    </row>
    <row r="4286" spans="1:3">
      <c r="A4286" s="1">
        <v>30</v>
      </c>
      <c r="B4286" s="2">
        <f>Walmart_Sales_raw_data!C4286</f>
        <v>443891.64</v>
      </c>
      <c r="C4286" t="str">
        <f>IF(B4286&gt;=Walmart_Sales_raw_data!$C$6437,"High","low")</f>
        <v>low</v>
      </c>
    </row>
    <row r="4287" spans="1:3">
      <c r="A4287" s="3">
        <v>30</v>
      </c>
      <c r="B4287" s="2">
        <f>Walmart_Sales_raw_data!C4287</f>
        <v>425410.04</v>
      </c>
      <c r="C4287" t="str">
        <f>IF(B4287&gt;=Walmart_Sales_raw_data!$C$6437,"High","low")</f>
        <v>low</v>
      </c>
    </row>
    <row r="4288" spans="1:3">
      <c r="A4288" s="1">
        <v>30</v>
      </c>
      <c r="B4288" s="2">
        <f>Walmart_Sales_raw_data!C4288</f>
        <v>446751.45</v>
      </c>
      <c r="C4288" t="str">
        <f>IF(B4288&gt;=Walmart_Sales_raw_data!$C$6437,"High","low")</f>
        <v>low</v>
      </c>
    </row>
    <row r="4289" spans="1:3">
      <c r="A4289" s="3">
        <v>30</v>
      </c>
      <c r="B4289" s="2">
        <f>Walmart_Sales_raw_data!C4289</f>
        <v>434593.26</v>
      </c>
      <c r="C4289" t="str">
        <f>IF(B4289&gt;=Walmart_Sales_raw_data!$C$6437,"High","low")</f>
        <v>low</v>
      </c>
    </row>
    <row r="4290" spans="1:3">
      <c r="A4290" s="1">
        <v>30</v>
      </c>
      <c r="B4290" s="2">
        <f>Walmart_Sales_raw_data!C4290</f>
        <v>437537.29</v>
      </c>
      <c r="C4290" t="str">
        <f>IF(B4290&gt;=Walmart_Sales_raw_data!$C$6437,"High","low")</f>
        <v>low</v>
      </c>
    </row>
    <row r="4291" spans="1:3">
      <c r="A4291" s="3">
        <v>30</v>
      </c>
      <c r="B4291" s="2">
        <f>Walmart_Sales_raw_data!C4291</f>
        <v>439424.5</v>
      </c>
      <c r="C4291" t="str">
        <f>IF(B4291&gt;=Walmart_Sales_raw_data!$C$6437,"High","low")</f>
        <v>low</v>
      </c>
    </row>
    <row r="4292" spans="1:3">
      <c r="A4292" s="1">
        <v>31</v>
      </c>
      <c r="B4292" s="2">
        <f>Walmart_Sales_raw_data!C4292</f>
        <v>1469252.05</v>
      </c>
      <c r="C4292" t="str">
        <f>IF(B4292&gt;=Walmart_Sales_raw_data!$C$6437,"High","low")</f>
        <v>High</v>
      </c>
    </row>
    <row r="4293" spans="1:3">
      <c r="A4293" s="3">
        <v>31</v>
      </c>
      <c r="B4293" s="2">
        <f>Walmart_Sales_raw_data!C4293</f>
        <v>1543947.23</v>
      </c>
      <c r="C4293" t="str">
        <f>IF(B4293&gt;=Walmart_Sales_raw_data!$C$6437,"High","low")</f>
        <v>High</v>
      </c>
    </row>
    <row r="4294" spans="1:3">
      <c r="A4294" s="1">
        <v>31</v>
      </c>
      <c r="B4294" s="2">
        <f>Walmart_Sales_raw_data!C4294</f>
        <v>1473386.75</v>
      </c>
      <c r="C4294" t="str">
        <f>IF(B4294&gt;=Walmart_Sales_raw_data!$C$6437,"High","low")</f>
        <v>High</v>
      </c>
    </row>
    <row r="4295" spans="1:3">
      <c r="A4295" s="3">
        <v>31</v>
      </c>
      <c r="B4295" s="2">
        <f>Walmart_Sales_raw_data!C4295</f>
        <v>1344354.41</v>
      </c>
      <c r="C4295" t="str">
        <f>IF(B4295&gt;=Walmart_Sales_raw_data!$C$6437,"High","low")</f>
        <v>High</v>
      </c>
    </row>
    <row r="4296" spans="1:3">
      <c r="A4296" s="1">
        <v>31</v>
      </c>
      <c r="B4296" s="2">
        <f>Walmart_Sales_raw_data!C4296</f>
        <v>1384870.51</v>
      </c>
      <c r="C4296" t="str">
        <f>IF(B4296&gt;=Walmart_Sales_raw_data!$C$6437,"High","low")</f>
        <v>High</v>
      </c>
    </row>
    <row r="4297" spans="1:3">
      <c r="A4297" s="3">
        <v>31</v>
      </c>
      <c r="B4297" s="2">
        <f>Walmart_Sales_raw_data!C4297</f>
        <v>1366193.35</v>
      </c>
      <c r="C4297" t="str">
        <f>IF(B4297&gt;=Walmart_Sales_raw_data!$C$6437,"High","low")</f>
        <v>High</v>
      </c>
    </row>
    <row r="4298" spans="1:3">
      <c r="A4298" s="1">
        <v>31</v>
      </c>
      <c r="B4298" s="2">
        <f>Walmart_Sales_raw_data!C4298</f>
        <v>1332261.01</v>
      </c>
      <c r="C4298" t="str">
        <f>IF(B4298&gt;=Walmart_Sales_raw_data!$C$6437,"High","low")</f>
        <v>High</v>
      </c>
    </row>
    <row r="4299" spans="1:3">
      <c r="A4299" s="3">
        <v>31</v>
      </c>
      <c r="B4299" s="2">
        <f>Walmart_Sales_raw_data!C4299</f>
        <v>1229635.7</v>
      </c>
      <c r="C4299" t="str">
        <f>IF(B4299&gt;=Walmart_Sales_raw_data!$C$6437,"High","low")</f>
        <v>High</v>
      </c>
    </row>
    <row r="4300" spans="1:3">
      <c r="A4300" s="1">
        <v>31</v>
      </c>
      <c r="B4300" s="2">
        <f>Walmart_Sales_raw_data!C4300</f>
        <v>1357600.68</v>
      </c>
      <c r="C4300" t="str">
        <f>IF(B4300&gt;=Walmart_Sales_raw_data!$C$6437,"High","low")</f>
        <v>High</v>
      </c>
    </row>
    <row r="4301" spans="1:3">
      <c r="A4301" s="3">
        <v>31</v>
      </c>
      <c r="B4301" s="2">
        <f>Walmart_Sales_raw_data!C4301</f>
        <v>1395710.09</v>
      </c>
      <c r="C4301" t="str">
        <f>IF(B4301&gt;=Walmart_Sales_raw_data!$C$6437,"High","low")</f>
        <v>High</v>
      </c>
    </row>
    <row r="4302" spans="1:3">
      <c r="A4302" s="1">
        <v>31</v>
      </c>
      <c r="B4302" s="2">
        <f>Walmart_Sales_raw_data!C4302</f>
        <v>1367448.28</v>
      </c>
      <c r="C4302" t="str">
        <f>IF(B4302&gt;=Walmart_Sales_raw_data!$C$6437,"High","low")</f>
        <v>High</v>
      </c>
    </row>
    <row r="4303" spans="1:3">
      <c r="A4303" s="3">
        <v>31</v>
      </c>
      <c r="B4303" s="2">
        <f>Walmart_Sales_raw_data!C4303</f>
        <v>1280465.8</v>
      </c>
      <c r="C4303" t="str">
        <f>IF(B4303&gt;=Walmart_Sales_raw_data!$C$6437,"High","low")</f>
        <v>High</v>
      </c>
    </row>
    <row r="4304" spans="1:3">
      <c r="A4304" s="1">
        <v>31</v>
      </c>
      <c r="B4304" s="2">
        <f>Walmart_Sales_raw_data!C4304</f>
        <v>1243200.24</v>
      </c>
      <c r="C4304" t="str">
        <f>IF(B4304&gt;=Walmart_Sales_raw_data!$C$6437,"High","low")</f>
        <v>High</v>
      </c>
    </row>
    <row r="4305" spans="1:3">
      <c r="A4305" s="3">
        <v>31</v>
      </c>
      <c r="B4305" s="2">
        <f>Walmart_Sales_raw_data!C4305</f>
        <v>1381796.8</v>
      </c>
      <c r="C4305" t="str">
        <f>IF(B4305&gt;=Walmart_Sales_raw_data!$C$6437,"High","low")</f>
        <v>High</v>
      </c>
    </row>
    <row r="4306" spans="1:3">
      <c r="A4306" s="1">
        <v>31</v>
      </c>
      <c r="B4306" s="2">
        <f>Walmart_Sales_raw_data!C4306</f>
        <v>1287288.59</v>
      </c>
      <c r="C4306" t="str">
        <f>IF(B4306&gt;=Walmart_Sales_raw_data!$C$6437,"High","low")</f>
        <v>High</v>
      </c>
    </row>
    <row r="4307" spans="1:3">
      <c r="A4307" s="3">
        <v>31</v>
      </c>
      <c r="B4307" s="2">
        <f>Walmart_Sales_raw_data!C4307</f>
        <v>1337405.6</v>
      </c>
      <c r="C4307" t="str">
        <f>IF(B4307&gt;=Walmart_Sales_raw_data!$C$6437,"High","low")</f>
        <v>High</v>
      </c>
    </row>
    <row r="4308" spans="1:3">
      <c r="A4308" s="1">
        <v>31</v>
      </c>
      <c r="B4308" s="2">
        <f>Walmart_Sales_raw_data!C4308</f>
        <v>1309437.17</v>
      </c>
      <c r="C4308" t="str">
        <f>IF(B4308&gt;=Walmart_Sales_raw_data!$C$6437,"High","low")</f>
        <v>High</v>
      </c>
    </row>
    <row r="4309" spans="1:3">
      <c r="A4309" s="3">
        <v>31</v>
      </c>
      <c r="B4309" s="2">
        <f>Walmart_Sales_raw_data!C4309</f>
        <v>1427624.5</v>
      </c>
      <c r="C4309" t="str">
        <f>IF(B4309&gt;=Walmart_Sales_raw_data!$C$6437,"High","low")</f>
        <v>High</v>
      </c>
    </row>
    <row r="4310" spans="1:3">
      <c r="A4310" s="1">
        <v>31</v>
      </c>
      <c r="B4310" s="2">
        <f>Walmart_Sales_raw_data!C4310</f>
        <v>1377092.33</v>
      </c>
      <c r="C4310" t="str">
        <f>IF(B4310&gt;=Walmart_Sales_raw_data!$C$6437,"High","low")</f>
        <v>High</v>
      </c>
    </row>
    <row r="4311" spans="1:3">
      <c r="A4311" s="3">
        <v>31</v>
      </c>
      <c r="B4311" s="2">
        <f>Walmart_Sales_raw_data!C4311</f>
        <v>1368090.08</v>
      </c>
      <c r="C4311" t="str">
        <f>IF(B4311&gt;=Walmart_Sales_raw_data!$C$6437,"High","low")</f>
        <v>High</v>
      </c>
    </row>
    <row r="4312" spans="1:3">
      <c r="A4312" s="1">
        <v>31</v>
      </c>
      <c r="B4312" s="2">
        <f>Walmart_Sales_raw_data!C4312</f>
        <v>1303523.73</v>
      </c>
      <c r="C4312" t="str">
        <f>IF(B4312&gt;=Walmart_Sales_raw_data!$C$6437,"High","low")</f>
        <v>High</v>
      </c>
    </row>
    <row r="4313" spans="1:3">
      <c r="A4313" s="3">
        <v>31</v>
      </c>
      <c r="B4313" s="2">
        <f>Walmart_Sales_raw_data!C4313</f>
        <v>1311704.92</v>
      </c>
      <c r="C4313" t="str">
        <f>IF(B4313&gt;=Walmart_Sales_raw_data!$C$6437,"High","low")</f>
        <v>High</v>
      </c>
    </row>
    <row r="4314" spans="1:3">
      <c r="A4314" s="1">
        <v>31</v>
      </c>
      <c r="B4314" s="2">
        <f>Walmart_Sales_raw_data!C4314</f>
        <v>1315118.4</v>
      </c>
      <c r="C4314" t="str">
        <f>IF(B4314&gt;=Walmart_Sales_raw_data!$C$6437,"High","low")</f>
        <v>High</v>
      </c>
    </row>
    <row r="4315" spans="1:3">
      <c r="A4315" s="3">
        <v>31</v>
      </c>
      <c r="B4315" s="2">
        <f>Walmart_Sales_raw_data!C4315</f>
        <v>1335433.72</v>
      </c>
      <c r="C4315" t="str">
        <f>IF(B4315&gt;=Walmart_Sales_raw_data!$C$6437,"High","low")</f>
        <v>High</v>
      </c>
    </row>
    <row r="4316" spans="1:3">
      <c r="A4316" s="1">
        <v>31</v>
      </c>
      <c r="B4316" s="2">
        <f>Walmart_Sales_raw_data!C4316</f>
        <v>1276031.84</v>
      </c>
      <c r="C4316" t="str">
        <f>IF(B4316&gt;=Walmart_Sales_raw_data!$C$6437,"High","low")</f>
        <v>High</v>
      </c>
    </row>
    <row r="4317" spans="1:3">
      <c r="A4317" s="3">
        <v>31</v>
      </c>
      <c r="B4317" s="2">
        <f>Walmart_Sales_raw_data!C4317</f>
        <v>1231993.14</v>
      </c>
      <c r="C4317" t="str">
        <f>IF(B4317&gt;=Walmart_Sales_raw_data!$C$6437,"High","low")</f>
        <v>High</v>
      </c>
    </row>
    <row r="4318" spans="1:3">
      <c r="A4318" s="1">
        <v>31</v>
      </c>
      <c r="B4318" s="2">
        <f>Walmart_Sales_raw_data!C4318</f>
        <v>1352401.08</v>
      </c>
      <c r="C4318" t="str">
        <f>IF(B4318&gt;=Walmart_Sales_raw_data!$C$6437,"High","low")</f>
        <v>High</v>
      </c>
    </row>
    <row r="4319" spans="1:3">
      <c r="A4319" s="3">
        <v>31</v>
      </c>
      <c r="B4319" s="2">
        <f>Walmart_Sales_raw_data!C4319</f>
        <v>1327719.34</v>
      </c>
      <c r="C4319" t="str">
        <f>IF(B4319&gt;=Walmart_Sales_raw_data!$C$6437,"High","low")</f>
        <v>High</v>
      </c>
    </row>
    <row r="4320" spans="1:3">
      <c r="A4320" s="1">
        <v>31</v>
      </c>
      <c r="B4320" s="2">
        <f>Walmart_Sales_raw_data!C4320</f>
        <v>1376571.21</v>
      </c>
      <c r="C4320" t="str">
        <f>IF(B4320&gt;=Walmart_Sales_raw_data!$C$6437,"High","low")</f>
        <v>High</v>
      </c>
    </row>
    <row r="4321" spans="1:3">
      <c r="A4321" s="3">
        <v>31</v>
      </c>
      <c r="B4321" s="2">
        <f>Walmart_Sales_raw_data!C4321</f>
        <v>1326621.98</v>
      </c>
      <c r="C4321" t="str">
        <f>IF(B4321&gt;=Walmart_Sales_raw_data!$C$6437,"High","low")</f>
        <v>High</v>
      </c>
    </row>
    <row r="4322" spans="1:3">
      <c r="A4322" s="1">
        <v>31</v>
      </c>
      <c r="B4322" s="2">
        <f>Walmart_Sales_raw_data!C4322</f>
        <v>1302047.48</v>
      </c>
      <c r="C4322" t="str">
        <f>IF(B4322&gt;=Walmart_Sales_raw_data!$C$6437,"High","low")</f>
        <v>High</v>
      </c>
    </row>
    <row r="4323" spans="1:3">
      <c r="A4323" s="3">
        <v>31</v>
      </c>
      <c r="B4323" s="2">
        <f>Walmart_Sales_raw_data!C4323</f>
        <v>1308179.02</v>
      </c>
      <c r="C4323" t="str">
        <f>IF(B4323&gt;=Walmart_Sales_raw_data!$C$6437,"High","low")</f>
        <v>High</v>
      </c>
    </row>
    <row r="4324" spans="1:3">
      <c r="A4324" s="1">
        <v>31</v>
      </c>
      <c r="B4324" s="2">
        <f>Walmart_Sales_raw_data!C4324</f>
        <v>1294105.01</v>
      </c>
      <c r="C4324" t="str">
        <f>IF(B4324&gt;=Walmart_Sales_raw_data!$C$6437,"High","low")</f>
        <v>High</v>
      </c>
    </row>
    <row r="4325" spans="1:3">
      <c r="A4325" s="3">
        <v>31</v>
      </c>
      <c r="B4325" s="2">
        <f>Walmart_Sales_raw_data!C4325</f>
        <v>1230250.25</v>
      </c>
      <c r="C4325" t="str">
        <f>IF(B4325&gt;=Walmart_Sales_raw_data!$C$6437,"High","low")</f>
        <v>High</v>
      </c>
    </row>
    <row r="4326" spans="1:3">
      <c r="A4326" s="1">
        <v>31</v>
      </c>
      <c r="B4326" s="2">
        <f>Walmart_Sales_raw_data!C4326</f>
        <v>1213981.64</v>
      </c>
      <c r="C4326" t="str">
        <f>IF(B4326&gt;=Walmart_Sales_raw_data!$C$6437,"High","low")</f>
        <v>High</v>
      </c>
    </row>
    <row r="4327" spans="1:3">
      <c r="A4327" s="3">
        <v>31</v>
      </c>
      <c r="B4327" s="2">
        <f>Walmart_Sales_raw_data!C4327</f>
        <v>1300131.68</v>
      </c>
      <c r="C4327" t="str">
        <f>IF(B4327&gt;=Walmart_Sales_raw_data!$C$6437,"High","low")</f>
        <v>High</v>
      </c>
    </row>
    <row r="4328" spans="1:3">
      <c r="A4328" s="1">
        <v>31</v>
      </c>
      <c r="B4328" s="2">
        <f>Walmart_Sales_raw_data!C4328</f>
        <v>1265852.43</v>
      </c>
      <c r="C4328" t="str">
        <f>IF(B4328&gt;=Walmart_Sales_raw_data!$C$6437,"High","low")</f>
        <v>High</v>
      </c>
    </row>
    <row r="4329" spans="1:3">
      <c r="A4329" s="3">
        <v>31</v>
      </c>
      <c r="B4329" s="2">
        <f>Walmart_Sales_raw_data!C4329</f>
        <v>1262289.29</v>
      </c>
      <c r="C4329" t="str">
        <f>IF(B4329&gt;=Walmart_Sales_raw_data!$C$6437,"High","low")</f>
        <v>High</v>
      </c>
    </row>
    <row r="4330" spans="1:3">
      <c r="A4330" s="1">
        <v>31</v>
      </c>
      <c r="B4330" s="2">
        <f>Walmart_Sales_raw_data!C4330</f>
        <v>1257921.28</v>
      </c>
      <c r="C4330" t="str">
        <f>IF(B4330&gt;=Walmart_Sales_raw_data!$C$6437,"High","low")</f>
        <v>High</v>
      </c>
    </row>
    <row r="4331" spans="1:3">
      <c r="A4331" s="3">
        <v>31</v>
      </c>
      <c r="B4331" s="2">
        <f>Walmart_Sales_raw_data!C4331</f>
        <v>1324455.72</v>
      </c>
      <c r="C4331" t="str">
        <f>IF(B4331&gt;=Walmart_Sales_raw_data!$C$6437,"High","low")</f>
        <v>High</v>
      </c>
    </row>
    <row r="4332" spans="1:3">
      <c r="A4332" s="1">
        <v>31</v>
      </c>
      <c r="B4332" s="2">
        <f>Walmart_Sales_raw_data!C4332</f>
        <v>1352780.76</v>
      </c>
      <c r="C4332" t="str">
        <f>IF(B4332&gt;=Walmart_Sales_raw_data!$C$6437,"High","low")</f>
        <v>High</v>
      </c>
    </row>
    <row r="4333" spans="1:3">
      <c r="A4333" s="3">
        <v>31</v>
      </c>
      <c r="B4333" s="2">
        <f>Walmart_Sales_raw_data!C4333</f>
        <v>1359158.57</v>
      </c>
      <c r="C4333" t="str">
        <f>IF(B4333&gt;=Walmart_Sales_raw_data!$C$6437,"High","low")</f>
        <v>High</v>
      </c>
    </row>
    <row r="4334" spans="1:3">
      <c r="A4334" s="1">
        <v>31</v>
      </c>
      <c r="B4334" s="2">
        <f>Walmart_Sales_raw_data!C4334</f>
        <v>1858856.06</v>
      </c>
      <c r="C4334" t="str">
        <f>IF(B4334&gt;=Walmart_Sales_raw_data!$C$6437,"High","low")</f>
        <v>High</v>
      </c>
    </row>
    <row r="4335" spans="1:3">
      <c r="A4335" s="3">
        <v>31</v>
      </c>
      <c r="B4335" s="2">
        <f>Walmart_Sales_raw_data!C4335</f>
        <v>1338716.37</v>
      </c>
      <c r="C4335" t="str">
        <f>IF(B4335&gt;=Walmart_Sales_raw_data!$C$6437,"High","low")</f>
        <v>High</v>
      </c>
    </row>
    <row r="4336" spans="1:3">
      <c r="A4336" s="1">
        <v>31</v>
      </c>
      <c r="B4336" s="2">
        <f>Walmart_Sales_raw_data!C4336</f>
        <v>1475685.1</v>
      </c>
      <c r="C4336" t="str">
        <f>IF(B4336&gt;=Walmart_Sales_raw_data!$C$6437,"High","low")</f>
        <v>High</v>
      </c>
    </row>
    <row r="4337" spans="1:3">
      <c r="A4337" s="3">
        <v>31</v>
      </c>
      <c r="B4337" s="2">
        <f>Walmart_Sales_raw_data!C4337</f>
        <v>1714667</v>
      </c>
      <c r="C4337" t="str">
        <f>IF(B4337&gt;=Walmart_Sales_raw_data!$C$6437,"High","low")</f>
        <v>High</v>
      </c>
    </row>
    <row r="4338" spans="1:3">
      <c r="A4338" s="1">
        <v>31</v>
      </c>
      <c r="B4338" s="2">
        <f>Walmart_Sales_raw_data!C4338</f>
        <v>2068942.97</v>
      </c>
      <c r="C4338" t="str">
        <f>IF(B4338&gt;=Walmart_Sales_raw_data!$C$6437,"High","low")</f>
        <v>High</v>
      </c>
    </row>
    <row r="4339" spans="1:3">
      <c r="A4339" s="3">
        <v>31</v>
      </c>
      <c r="B4339" s="2">
        <f>Walmart_Sales_raw_data!C4339</f>
        <v>1198071.6</v>
      </c>
      <c r="C4339" t="str">
        <f>IF(B4339&gt;=Walmart_Sales_raw_data!$C$6437,"High","low")</f>
        <v>High</v>
      </c>
    </row>
    <row r="4340" spans="1:3">
      <c r="A4340" s="1">
        <v>31</v>
      </c>
      <c r="B4340" s="2">
        <f>Walmart_Sales_raw_data!C4340</f>
        <v>1311986.87</v>
      </c>
      <c r="C4340" t="str">
        <f>IF(B4340&gt;=Walmart_Sales_raw_data!$C$6437,"High","low")</f>
        <v>High</v>
      </c>
    </row>
    <row r="4341" spans="1:3">
      <c r="A4341" s="3">
        <v>31</v>
      </c>
      <c r="B4341" s="2">
        <f>Walmart_Sales_raw_data!C4341</f>
        <v>1350730.31</v>
      </c>
      <c r="C4341" t="str">
        <f>IF(B4341&gt;=Walmart_Sales_raw_data!$C$6437,"High","low")</f>
        <v>High</v>
      </c>
    </row>
    <row r="4342" spans="1:3">
      <c r="A4342" s="1">
        <v>31</v>
      </c>
      <c r="B4342" s="2">
        <f>Walmart_Sales_raw_data!C4342</f>
        <v>1344167.13</v>
      </c>
      <c r="C4342" t="str">
        <f>IF(B4342&gt;=Walmart_Sales_raw_data!$C$6437,"High","low")</f>
        <v>High</v>
      </c>
    </row>
    <row r="4343" spans="1:3">
      <c r="A4343" s="3">
        <v>31</v>
      </c>
      <c r="B4343" s="2">
        <f>Walmart_Sales_raw_data!C4343</f>
        <v>1254955.68</v>
      </c>
      <c r="C4343" t="str">
        <f>IF(B4343&gt;=Walmart_Sales_raw_data!$C$6437,"High","low")</f>
        <v>High</v>
      </c>
    </row>
    <row r="4344" spans="1:3">
      <c r="A4344" s="1">
        <v>31</v>
      </c>
      <c r="B4344" s="2">
        <f>Walmart_Sales_raw_data!C4344</f>
        <v>1443206.46</v>
      </c>
      <c r="C4344" t="str">
        <f>IF(B4344&gt;=Walmart_Sales_raw_data!$C$6437,"High","low")</f>
        <v>High</v>
      </c>
    </row>
    <row r="4345" spans="1:3">
      <c r="A4345" s="3">
        <v>31</v>
      </c>
      <c r="B4345" s="2">
        <f>Walmart_Sales_raw_data!C4345</f>
        <v>1539230.32</v>
      </c>
      <c r="C4345" t="str">
        <f>IF(B4345&gt;=Walmart_Sales_raw_data!$C$6437,"High","low")</f>
        <v>High</v>
      </c>
    </row>
    <row r="4346" spans="1:3">
      <c r="A4346" s="1">
        <v>31</v>
      </c>
      <c r="B4346" s="2">
        <f>Walmart_Sales_raw_data!C4346</f>
        <v>1539063.91</v>
      </c>
      <c r="C4346" t="str">
        <f>IF(B4346&gt;=Walmart_Sales_raw_data!$C$6437,"High","low")</f>
        <v>High</v>
      </c>
    </row>
    <row r="4347" spans="1:3">
      <c r="A4347" s="3">
        <v>31</v>
      </c>
      <c r="B4347" s="2">
        <f>Walmart_Sales_raw_data!C4347</f>
        <v>1365678.22</v>
      </c>
      <c r="C4347" t="str">
        <f>IF(B4347&gt;=Walmart_Sales_raw_data!$C$6437,"High","low")</f>
        <v>High</v>
      </c>
    </row>
    <row r="4348" spans="1:3">
      <c r="A4348" s="1">
        <v>31</v>
      </c>
      <c r="B4348" s="2">
        <f>Walmart_Sales_raw_data!C4348</f>
        <v>1412721.18</v>
      </c>
      <c r="C4348" t="str">
        <f>IF(B4348&gt;=Walmart_Sales_raw_data!$C$6437,"High","low")</f>
        <v>High</v>
      </c>
    </row>
    <row r="4349" spans="1:3">
      <c r="A4349" s="3">
        <v>31</v>
      </c>
      <c r="B4349" s="2">
        <f>Walmart_Sales_raw_data!C4349</f>
        <v>1405572.93</v>
      </c>
      <c r="C4349" t="str">
        <f>IF(B4349&gt;=Walmart_Sales_raw_data!$C$6437,"High","low")</f>
        <v>High</v>
      </c>
    </row>
    <row r="4350" spans="1:3">
      <c r="A4350" s="1">
        <v>31</v>
      </c>
      <c r="B4350" s="2">
        <f>Walmart_Sales_raw_data!C4350</f>
        <v>1425559.02</v>
      </c>
      <c r="C4350" t="str">
        <f>IF(B4350&gt;=Walmart_Sales_raw_data!$C$6437,"High","low")</f>
        <v>High</v>
      </c>
    </row>
    <row r="4351" spans="1:3">
      <c r="A4351" s="3">
        <v>31</v>
      </c>
      <c r="B4351" s="2">
        <f>Walmart_Sales_raw_data!C4351</f>
        <v>1357036.1</v>
      </c>
      <c r="C4351" t="str">
        <f>IF(B4351&gt;=Walmart_Sales_raw_data!$C$6437,"High","low")</f>
        <v>High</v>
      </c>
    </row>
    <row r="4352" spans="1:3">
      <c r="A4352" s="1">
        <v>31</v>
      </c>
      <c r="B4352" s="2">
        <f>Walmart_Sales_raw_data!C4352</f>
        <v>1344890.73</v>
      </c>
      <c r="C4352" t="str">
        <f>IF(B4352&gt;=Walmart_Sales_raw_data!$C$6437,"High","low")</f>
        <v>High</v>
      </c>
    </row>
    <row r="4353" spans="1:3">
      <c r="A4353" s="3">
        <v>31</v>
      </c>
      <c r="B4353" s="2">
        <f>Walmart_Sales_raw_data!C4353</f>
        <v>1416790.17</v>
      </c>
      <c r="C4353" t="str">
        <f>IF(B4353&gt;=Walmart_Sales_raw_data!$C$6437,"High","low")</f>
        <v>High</v>
      </c>
    </row>
    <row r="4354" spans="1:3">
      <c r="A4354" s="1">
        <v>31</v>
      </c>
      <c r="B4354" s="2">
        <f>Walmart_Sales_raw_data!C4354</f>
        <v>1408464.08</v>
      </c>
      <c r="C4354" t="str">
        <f>IF(B4354&gt;=Walmart_Sales_raw_data!$C$6437,"High","low")</f>
        <v>High</v>
      </c>
    </row>
    <row r="4355" spans="1:3">
      <c r="A4355" s="3">
        <v>31</v>
      </c>
      <c r="B4355" s="2">
        <f>Walmart_Sales_raw_data!C4355</f>
        <v>1461393.91</v>
      </c>
      <c r="C4355" t="str">
        <f>IF(B4355&gt;=Walmart_Sales_raw_data!$C$6437,"High","low")</f>
        <v>High</v>
      </c>
    </row>
    <row r="4356" spans="1:3">
      <c r="A4356" s="1">
        <v>31</v>
      </c>
      <c r="B4356" s="2">
        <f>Walmart_Sales_raw_data!C4356</f>
        <v>1331137.96</v>
      </c>
      <c r="C4356" t="str">
        <f>IF(B4356&gt;=Walmart_Sales_raw_data!$C$6437,"High","low")</f>
        <v>High</v>
      </c>
    </row>
    <row r="4357" spans="1:3">
      <c r="A4357" s="3">
        <v>31</v>
      </c>
      <c r="B4357" s="2">
        <f>Walmart_Sales_raw_data!C4357</f>
        <v>1388755.61</v>
      </c>
      <c r="C4357" t="str">
        <f>IF(B4357&gt;=Walmart_Sales_raw_data!$C$6437,"High","low")</f>
        <v>High</v>
      </c>
    </row>
    <row r="4358" spans="1:3">
      <c r="A4358" s="1">
        <v>31</v>
      </c>
      <c r="B4358" s="2">
        <f>Walmart_Sales_raw_data!C4358</f>
        <v>1408118.22</v>
      </c>
      <c r="C4358" t="str">
        <f>IF(B4358&gt;=Walmart_Sales_raw_data!$C$6437,"High","low")</f>
        <v>High</v>
      </c>
    </row>
    <row r="4359" spans="1:3">
      <c r="A4359" s="3">
        <v>31</v>
      </c>
      <c r="B4359" s="2">
        <f>Walmart_Sales_raw_data!C4359</f>
        <v>1387365.19</v>
      </c>
      <c r="C4359" t="str">
        <f>IF(B4359&gt;=Walmart_Sales_raw_data!$C$6437,"High","low")</f>
        <v>High</v>
      </c>
    </row>
    <row r="4360" spans="1:3">
      <c r="A4360" s="1">
        <v>31</v>
      </c>
      <c r="B4360" s="2">
        <f>Walmart_Sales_raw_data!C4360</f>
        <v>1342273.64</v>
      </c>
      <c r="C4360" t="str">
        <f>IF(B4360&gt;=Walmart_Sales_raw_data!$C$6437,"High","low")</f>
        <v>High</v>
      </c>
    </row>
    <row r="4361" spans="1:3">
      <c r="A4361" s="3">
        <v>31</v>
      </c>
      <c r="B4361" s="2">
        <f>Walmart_Sales_raw_data!C4361</f>
        <v>1430348.1</v>
      </c>
      <c r="C4361" t="str">
        <f>IF(B4361&gt;=Walmart_Sales_raw_data!$C$6437,"High","low")</f>
        <v>High</v>
      </c>
    </row>
    <row r="4362" spans="1:3">
      <c r="A4362" s="1">
        <v>31</v>
      </c>
      <c r="B4362" s="2">
        <f>Walmart_Sales_raw_data!C4362</f>
        <v>1425299.37</v>
      </c>
      <c r="C4362" t="str">
        <f>IF(B4362&gt;=Walmart_Sales_raw_data!$C$6437,"High","low")</f>
        <v>High</v>
      </c>
    </row>
    <row r="4363" spans="1:3">
      <c r="A4363" s="3">
        <v>31</v>
      </c>
      <c r="B4363" s="2">
        <f>Walmart_Sales_raw_data!C4363</f>
        <v>1491039.14</v>
      </c>
      <c r="C4363" t="str">
        <f>IF(B4363&gt;=Walmart_Sales_raw_data!$C$6437,"High","low")</f>
        <v>High</v>
      </c>
    </row>
    <row r="4364" spans="1:3">
      <c r="A4364" s="1">
        <v>31</v>
      </c>
      <c r="B4364" s="2">
        <f>Walmart_Sales_raw_data!C4364</f>
        <v>1375962.46</v>
      </c>
      <c r="C4364" t="str">
        <f>IF(B4364&gt;=Walmart_Sales_raw_data!$C$6437,"High","low")</f>
        <v>High</v>
      </c>
    </row>
    <row r="4365" spans="1:3">
      <c r="A4365" s="3">
        <v>31</v>
      </c>
      <c r="B4365" s="2">
        <f>Walmart_Sales_raw_data!C4365</f>
        <v>1371889.27</v>
      </c>
      <c r="C4365" t="str">
        <f>IF(B4365&gt;=Walmart_Sales_raw_data!$C$6437,"High","low")</f>
        <v>High</v>
      </c>
    </row>
    <row r="4366" spans="1:3">
      <c r="A4366" s="1">
        <v>31</v>
      </c>
      <c r="B4366" s="2">
        <f>Walmart_Sales_raw_data!C4366</f>
        <v>1423144.47</v>
      </c>
      <c r="C4366" t="str">
        <f>IF(B4366&gt;=Walmart_Sales_raw_data!$C$6437,"High","low")</f>
        <v>High</v>
      </c>
    </row>
    <row r="4367" spans="1:3">
      <c r="A4367" s="3">
        <v>31</v>
      </c>
      <c r="B4367" s="2">
        <f>Walmart_Sales_raw_data!C4367</f>
        <v>1415473.91</v>
      </c>
      <c r="C4367" t="str">
        <f>IF(B4367&gt;=Walmart_Sales_raw_data!$C$6437,"High","low")</f>
        <v>High</v>
      </c>
    </row>
    <row r="4368" spans="1:3">
      <c r="A4368" s="1">
        <v>31</v>
      </c>
      <c r="B4368" s="2">
        <f>Walmart_Sales_raw_data!C4368</f>
        <v>1401944.8</v>
      </c>
      <c r="C4368" t="str">
        <f>IF(B4368&gt;=Walmart_Sales_raw_data!$C$6437,"High","low")</f>
        <v>High</v>
      </c>
    </row>
    <row r="4369" spans="1:3">
      <c r="A4369" s="3">
        <v>31</v>
      </c>
      <c r="B4369" s="2">
        <f>Walmart_Sales_raw_data!C4369</f>
        <v>1308122.15</v>
      </c>
      <c r="C4369" t="str">
        <f>IF(B4369&gt;=Walmart_Sales_raw_data!$C$6437,"High","low")</f>
        <v>High</v>
      </c>
    </row>
    <row r="4370" spans="1:3">
      <c r="A4370" s="1">
        <v>31</v>
      </c>
      <c r="B4370" s="2">
        <f>Walmart_Sales_raw_data!C4370</f>
        <v>1428993.33</v>
      </c>
      <c r="C4370" t="str">
        <f>IF(B4370&gt;=Walmart_Sales_raw_data!$C$6437,"High","low")</f>
        <v>High</v>
      </c>
    </row>
    <row r="4371" spans="1:3">
      <c r="A4371" s="3">
        <v>31</v>
      </c>
      <c r="B4371" s="2">
        <f>Walmart_Sales_raw_data!C4371</f>
        <v>1443311.49</v>
      </c>
      <c r="C4371" t="str">
        <f>IF(B4371&gt;=Walmart_Sales_raw_data!$C$6437,"High","low")</f>
        <v>High</v>
      </c>
    </row>
    <row r="4372" spans="1:3">
      <c r="A4372" s="1">
        <v>31</v>
      </c>
      <c r="B4372" s="2">
        <f>Walmart_Sales_raw_data!C4372</f>
        <v>1487542.53</v>
      </c>
      <c r="C4372" t="str">
        <f>IF(B4372&gt;=Walmart_Sales_raw_data!$C$6437,"High","low")</f>
        <v>High</v>
      </c>
    </row>
    <row r="4373" spans="1:3">
      <c r="A4373" s="3">
        <v>31</v>
      </c>
      <c r="B4373" s="2">
        <f>Walmart_Sales_raw_data!C4373</f>
        <v>1417267.07</v>
      </c>
      <c r="C4373" t="str">
        <f>IF(B4373&gt;=Walmart_Sales_raw_data!$C$6437,"High","low")</f>
        <v>High</v>
      </c>
    </row>
    <row r="4374" spans="1:3">
      <c r="A4374" s="1">
        <v>31</v>
      </c>
      <c r="B4374" s="2">
        <f>Walmart_Sales_raw_data!C4374</f>
        <v>1385769.03</v>
      </c>
      <c r="C4374" t="str">
        <f>IF(B4374&gt;=Walmart_Sales_raw_data!$C$6437,"High","low")</f>
        <v>High</v>
      </c>
    </row>
    <row r="4375" spans="1:3">
      <c r="A4375" s="3">
        <v>31</v>
      </c>
      <c r="B4375" s="2">
        <f>Walmart_Sales_raw_data!C4375</f>
        <v>1376670.27</v>
      </c>
      <c r="C4375" t="str">
        <f>IF(B4375&gt;=Walmart_Sales_raw_data!$C$6437,"High","low")</f>
        <v>High</v>
      </c>
    </row>
    <row r="4376" spans="1:3">
      <c r="A4376" s="1">
        <v>31</v>
      </c>
      <c r="B4376" s="2">
        <f>Walmart_Sales_raw_data!C4376</f>
        <v>1363460.86</v>
      </c>
      <c r="C4376" t="str">
        <f>IF(B4376&gt;=Walmart_Sales_raw_data!$C$6437,"High","low")</f>
        <v>High</v>
      </c>
    </row>
    <row r="4377" spans="1:3">
      <c r="A4377" s="3">
        <v>31</v>
      </c>
      <c r="B4377" s="2">
        <f>Walmart_Sales_raw_data!C4377</f>
        <v>1347607.74</v>
      </c>
      <c r="C4377" t="str">
        <f>IF(B4377&gt;=Walmart_Sales_raw_data!$C$6437,"High","low")</f>
        <v>High</v>
      </c>
    </row>
    <row r="4378" spans="1:3">
      <c r="A4378" s="1">
        <v>31</v>
      </c>
      <c r="B4378" s="2">
        <f>Walmart_Sales_raw_data!C4378</f>
        <v>1285534.74</v>
      </c>
      <c r="C4378" t="str">
        <f>IF(B4378&gt;=Walmart_Sales_raw_data!$C$6437,"High","low")</f>
        <v>High</v>
      </c>
    </row>
    <row r="4379" spans="1:3">
      <c r="A4379" s="3">
        <v>31</v>
      </c>
      <c r="B4379" s="2">
        <f>Walmart_Sales_raw_data!C4379</f>
        <v>1427383.24</v>
      </c>
      <c r="C4379" t="str">
        <f>IF(B4379&gt;=Walmart_Sales_raw_data!$C$6437,"High","low")</f>
        <v>High</v>
      </c>
    </row>
    <row r="4380" spans="1:3">
      <c r="A4380" s="1">
        <v>31</v>
      </c>
      <c r="B4380" s="2">
        <f>Walmart_Sales_raw_data!C4380</f>
        <v>1378340.18</v>
      </c>
      <c r="C4380" t="str">
        <f>IF(B4380&gt;=Walmart_Sales_raw_data!$C$6437,"High","low")</f>
        <v>High</v>
      </c>
    </row>
    <row r="4381" spans="1:3">
      <c r="A4381" s="3">
        <v>31</v>
      </c>
      <c r="B4381" s="2">
        <f>Walmart_Sales_raw_data!C4381</f>
        <v>1409310.4</v>
      </c>
      <c r="C4381" t="str">
        <f>IF(B4381&gt;=Walmart_Sales_raw_data!$C$6437,"High","low")</f>
        <v>High</v>
      </c>
    </row>
    <row r="4382" spans="1:3">
      <c r="A4382" s="1">
        <v>31</v>
      </c>
      <c r="B4382" s="2">
        <f>Walmart_Sales_raw_data!C4382</f>
        <v>1346862.72</v>
      </c>
      <c r="C4382" t="str">
        <f>IF(B4382&gt;=Walmart_Sales_raw_data!$C$6437,"High","low")</f>
        <v>High</v>
      </c>
    </row>
    <row r="4383" spans="1:3">
      <c r="A4383" s="3">
        <v>31</v>
      </c>
      <c r="B4383" s="2">
        <f>Walmart_Sales_raw_data!C4383</f>
        <v>1426405.46</v>
      </c>
      <c r="C4383" t="str">
        <f>IF(B4383&gt;=Walmart_Sales_raw_data!$C$6437,"High","low")</f>
        <v>High</v>
      </c>
    </row>
    <row r="4384" spans="1:3">
      <c r="A4384" s="1">
        <v>31</v>
      </c>
      <c r="B4384" s="2">
        <f>Walmart_Sales_raw_data!C4384</f>
        <v>1444783.64</v>
      </c>
      <c r="C4384" t="str">
        <f>IF(B4384&gt;=Walmart_Sales_raw_data!$C$6437,"High","low")</f>
        <v>High</v>
      </c>
    </row>
    <row r="4385" spans="1:3">
      <c r="A4385" s="3">
        <v>31</v>
      </c>
      <c r="B4385" s="2">
        <f>Walmart_Sales_raw_data!C4385</f>
        <v>1445174.79</v>
      </c>
      <c r="C4385" t="str">
        <f>IF(B4385&gt;=Walmart_Sales_raw_data!$C$6437,"High","low")</f>
        <v>High</v>
      </c>
    </row>
    <row r="4386" spans="1:3">
      <c r="A4386" s="1">
        <v>31</v>
      </c>
      <c r="B4386" s="2">
        <f>Walmart_Sales_raw_data!C4386</f>
        <v>1934099.65</v>
      </c>
      <c r="C4386" t="str">
        <f>IF(B4386&gt;=Walmart_Sales_raw_data!$C$6437,"High","low")</f>
        <v>High</v>
      </c>
    </row>
    <row r="4387" spans="1:3">
      <c r="A4387" s="3">
        <v>31</v>
      </c>
      <c r="B4387" s="2">
        <f>Walmart_Sales_raw_data!C4387</f>
        <v>1388809.43</v>
      </c>
      <c r="C4387" t="str">
        <f>IF(B4387&gt;=Walmart_Sales_raw_data!$C$6437,"High","low")</f>
        <v>High</v>
      </c>
    </row>
    <row r="4388" spans="1:3">
      <c r="A4388" s="1">
        <v>31</v>
      </c>
      <c r="B4388" s="2">
        <f>Walmart_Sales_raw_data!C4388</f>
        <v>1556798.94</v>
      </c>
      <c r="C4388" t="str">
        <f>IF(B4388&gt;=Walmart_Sales_raw_data!$C$6437,"High","low")</f>
        <v>High</v>
      </c>
    </row>
    <row r="4389" spans="1:3">
      <c r="A4389" s="3">
        <v>31</v>
      </c>
      <c r="B4389" s="2">
        <f>Walmart_Sales_raw_data!C4389</f>
        <v>1611196.61</v>
      </c>
      <c r="C4389" t="str">
        <f>IF(B4389&gt;=Walmart_Sales_raw_data!$C$6437,"High","low")</f>
        <v>High</v>
      </c>
    </row>
    <row r="4390" spans="1:3">
      <c r="A4390" s="1">
        <v>31</v>
      </c>
      <c r="B4390" s="2">
        <f>Walmart_Sales_raw_data!C4390</f>
        <v>2026176.14</v>
      </c>
      <c r="C4390" t="str">
        <f>IF(B4390&gt;=Walmart_Sales_raw_data!$C$6437,"High","low")</f>
        <v>High</v>
      </c>
    </row>
    <row r="4391" spans="1:3">
      <c r="A4391" s="3">
        <v>31</v>
      </c>
      <c r="B4391" s="2">
        <f>Walmart_Sales_raw_data!C4391</f>
        <v>1355405.95</v>
      </c>
      <c r="C4391" t="str">
        <f>IF(B4391&gt;=Walmart_Sales_raw_data!$C$6437,"High","low")</f>
        <v>High</v>
      </c>
    </row>
    <row r="4392" spans="1:3">
      <c r="A4392" s="1">
        <v>31</v>
      </c>
      <c r="B4392" s="2">
        <f>Walmart_Sales_raw_data!C4392</f>
        <v>1401232.52</v>
      </c>
      <c r="C4392" t="str">
        <f>IF(B4392&gt;=Walmart_Sales_raw_data!$C$6437,"High","low")</f>
        <v>High</v>
      </c>
    </row>
    <row r="4393" spans="1:3">
      <c r="A4393" s="3">
        <v>31</v>
      </c>
      <c r="B4393" s="2">
        <f>Walmart_Sales_raw_data!C4393</f>
        <v>1377485.12</v>
      </c>
      <c r="C4393" t="str">
        <f>IF(B4393&gt;=Walmart_Sales_raw_data!$C$6437,"High","low")</f>
        <v>High</v>
      </c>
    </row>
    <row r="4394" spans="1:3">
      <c r="A4394" s="1">
        <v>31</v>
      </c>
      <c r="B4394" s="2">
        <f>Walmart_Sales_raw_data!C4394</f>
        <v>1372504.9</v>
      </c>
      <c r="C4394" t="str">
        <f>IF(B4394&gt;=Walmart_Sales_raw_data!$C$6437,"High","low")</f>
        <v>High</v>
      </c>
    </row>
    <row r="4395" spans="1:3">
      <c r="A4395" s="3">
        <v>31</v>
      </c>
      <c r="B4395" s="2">
        <f>Walmart_Sales_raw_data!C4395</f>
        <v>1259941.48</v>
      </c>
      <c r="C4395" t="str">
        <f>IF(B4395&gt;=Walmart_Sales_raw_data!$C$6437,"High","low")</f>
        <v>High</v>
      </c>
    </row>
    <row r="4396" spans="1:3">
      <c r="A4396" s="1">
        <v>31</v>
      </c>
      <c r="B4396" s="2">
        <f>Walmart_Sales_raw_data!C4396</f>
        <v>1391479.91</v>
      </c>
      <c r="C4396" t="str">
        <f>IF(B4396&gt;=Walmart_Sales_raw_data!$C$6437,"High","low")</f>
        <v>High</v>
      </c>
    </row>
    <row r="4397" spans="1:3">
      <c r="A4397" s="3">
        <v>31</v>
      </c>
      <c r="B4397" s="2">
        <f>Walmart_Sales_raw_data!C4397</f>
        <v>1527688.58</v>
      </c>
      <c r="C4397" t="str">
        <f>IF(B4397&gt;=Walmart_Sales_raw_data!$C$6437,"High","low")</f>
        <v>High</v>
      </c>
    </row>
    <row r="4398" spans="1:3">
      <c r="A4398" s="1">
        <v>31</v>
      </c>
      <c r="B4398" s="2">
        <f>Walmart_Sales_raw_data!C4398</f>
        <v>1570813.52</v>
      </c>
      <c r="C4398" t="str">
        <f>IF(B4398&gt;=Walmart_Sales_raw_data!$C$6437,"High","low")</f>
        <v>High</v>
      </c>
    </row>
    <row r="4399" spans="1:3">
      <c r="A4399" s="3">
        <v>31</v>
      </c>
      <c r="B4399" s="2">
        <f>Walmart_Sales_raw_data!C4399</f>
        <v>1392543.37</v>
      </c>
      <c r="C4399" t="str">
        <f>IF(B4399&gt;=Walmart_Sales_raw_data!$C$6437,"High","low")</f>
        <v>High</v>
      </c>
    </row>
    <row r="4400" spans="1:3">
      <c r="A4400" s="1">
        <v>31</v>
      </c>
      <c r="B4400" s="2">
        <f>Walmart_Sales_raw_data!C4400</f>
        <v>1427881.22</v>
      </c>
      <c r="C4400" t="str">
        <f>IF(B4400&gt;=Walmart_Sales_raw_data!$C$6437,"High","low")</f>
        <v>High</v>
      </c>
    </row>
    <row r="4401" spans="1:3">
      <c r="A4401" s="3">
        <v>31</v>
      </c>
      <c r="B4401" s="2">
        <f>Walmart_Sales_raw_data!C4401</f>
        <v>1439034.86</v>
      </c>
      <c r="C4401" t="str">
        <f>IF(B4401&gt;=Walmart_Sales_raw_data!$C$6437,"High","low")</f>
        <v>High</v>
      </c>
    </row>
    <row r="4402" spans="1:3">
      <c r="A4402" s="1">
        <v>31</v>
      </c>
      <c r="B4402" s="2">
        <f>Walmart_Sales_raw_data!C4402</f>
        <v>1481728.13</v>
      </c>
      <c r="C4402" t="str">
        <f>IF(B4402&gt;=Walmart_Sales_raw_data!$C$6437,"High","low")</f>
        <v>High</v>
      </c>
    </row>
    <row r="4403" spans="1:3">
      <c r="A4403" s="3">
        <v>31</v>
      </c>
      <c r="B4403" s="2">
        <f>Walmart_Sales_raw_data!C4403</f>
        <v>1365824.97</v>
      </c>
      <c r="C4403" t="str">
        <f>IF(B4403&gt;=Walmart_Sales_raw_data!$C$6437,"High","low")</f>
        <v>High</v>
      </c>
    </row>
    <row r="4404" spans="1:3">
      <c r="A4404" s="1">
        <v>31</v>
      </c>
      <c r="B4404" s="2">
        <f>Walmart_Sales_raw_data!C4404</f>
        <v>1318854.22</v>
      </c>
      <c r="C4404" t="str">
        <f>IF(B4404&gt;=Walmart_Sales_raw_data!$C$6437,"High","low")</f>
        <v>High</v>
      </c>
    </row>
    <row r="4405" spans="1:3">
      <c r="A4405" s="3">
        <v>31</v>
      </c>
      <c r="B4405" s="2">
        <f>Walmart_Sales_raw_data!C4405</f>
        <v>1496169.81</v>
      </c>
      <c r="C4405" t="str">
        <f>IF(B4405&gt;=Walmart_Sales_raw_data!$C$6437,"High","low")</f>
        <v>High</v>
      </c>
    </row>
    <row r="4406" spans="1:3">
      <c r="A4406" s="1">
        <v>31</v>
      </c>
      <c r="B4406" s="2">
        <f>Walmart_Sales_raw_data!C4406</f>
        <v>1407842.91</v>
      </c>
      <c r="C4406" t="str">
        <f>IF(B4406&gt;=Walmart_Sales_raw_data!$C$6437,"High","low")</f>
        <v>High</v>
      </c>
    </row>
    <row r="4407" spans="1:3">
      <c r="A4407" s="3">
        <v>31</v>
      </c>
      <c r="B4407" s="2">
        <f>Walmart_Sales_raw_data!C4407</f>
        <v>1407036.59</v>
      </c>
      <c r="C4407" t="str">
        <f>IF(B4407&gt;=Walmart_Sales_raw_data!$C$6437,"High","low")</f>
        <v>High</v>
      </c>
    </row>
    <row r="4408" spans="1:3">
      <c r="A4408" s="1">
        <v>31</v>
      </c>
      <c r="B4408" s="2">
        <f>Walmart_Sales_raw_data!C4408</f>
        <v>1311352.25</v>
      </c>
      <c r="C4408" t="str">
        <f>IF(B4408&gt;=Walmart_Sales_raw_data!$C$6437,"High","low")</f>
        <v>High</v>
      </c>
    </row>
    <row r="4409" spans="1:3">
      <c r="A4409" s="3">
        <v>31</v>
      </c>
      <c r="B4409" s="2">
        <f>Walmart_Sales_raw_data!C4409</f>
        <v>1391257.28</v>
      </c>
      <c r="C4409" t="str">
        <f>IF(B4409&gt;=Walmart_Sales_raw_data!$C$6437,"High","low")</f>
        <v>High</v>
      </c>
    </row>
    <row r="4410" spans="1:3">
      <c r="A4410" s="1">
        <v>31</v>
      </c>
      <c r="B4410" s="2">
        <f>Walmart_Sales_raw_data!C4410</f>
        <v>1392938.06</v>
      </c>
      <c r="C4410" t="str">
        <f>IF(B4410&gt;=Walmart_Sales_raw_data!$C$6437,"High","low")</f>
        <v>High</v>
      </c>
    </row>
    <row r="4411" spans="1:3">
      <c r="A4411" s="3">
        <v>31</v>
      </c>
      <c r="B4411" s="2">
        <f>Walmart_Sales_raw_data!C4411</f>
        <v>1441473.82</v>
      </c>
      <c r="C4411" t="str">
        <f>IF(B4411&gt;=Walmart_Sales_raw_data!$C$6437,"High","low")</f>
        <v>High</v>
      </c>
    </row>
    <row r="4412" spans="1:3">
      <c r="A4412" s="1">
        <v>31</v>
      </c>
      <c r="B4412" s="2">
        <f>Walmart_Sales_raw_data!C4412</f>
        <v>1397094.26</v>
      </c>
      <c r="C4412" t="str">
        <f>IF(B4412&gt;=Walmart_Sales_raw_data!$C$6437,"High","low")</f>
        <v>High</v>
      </c>
    </row>
    <row r="4413" spans="1:3">
      <c r="A4413" s="3">
        <v>31</v>
      </c>
      <c r="B4413" s="2">
        <f>Walmart_Sales_raw_data!C4413</f>
        <v>1404516.29</v>
      </c>
      <c r="C4413" t="str">
        <f>IF(B4413&gt;=Walmart_Sales_raw_data!$C$6437,"High","low")</f>
        <v>High</v>
      </c>
    </row>
    <row r="4414" spans="1:3">
      <c r="A4414" s="1">
        <v>31</v>
      </c>
      <c r="B4414" s="2">
        <f>Walmart_Sales_raw_data!C4414</f>
        <v>1443285.79</v>
      </c>
      <c r="C4414" t="str">
        <f>IF(B4414&gt;=Walmart_Sales_raw_data!$C$6437,"High","low")</f>
        <v>High</v>
      </c>
    </row>
    <row r="4415" spans="1:3">
      <c r="A4415" s="3">
        <v>31</v>
      </c>
      <c r="B4415" s="2">
        <f>Walmart_Sales_raw_data!C4415</f>
        <v>1431003.43</v>
      </c>
      <c r="C4415" t="str">
        <f>IF(B4415&gt;=Walmart_Sales_raw_data!$C$6437,"High","low")</f>
        <v>High</v>
      </c>
    </row>
    <row r="4416" spans="1:3">
      <c r="A4416" s="1">
        <v>31</v>
      </c>
      <c r="B4416" s="2">
        <f>Walmart_Sales_raw_data!C4416</f>
        <v>1394065.76</v>
      </c>
      <c r="C4416" t="str">
        <f>IF(B4416&gt;=Walmart_Sales_raw_data!$C$6437,"High","low")</f>
        <v>High</v>
      </c>
    </row>
    <row r="4417" spans="1:3">
      <c r="A4417" s="3">
        <v>31</v>
      </c>
      <c r="B4417" s="2">
        <f>Walmart_Sales_raw_data!C4417</f>
        <v>1349202.25</v>
      </c>
      <c r="C4417" t="str">
        <f>IF(B4417&gt;=Walmart_Sales_raw_data!$C$6437,"High","low")</f>
        <v>High</v>
      </c>
    </row>
    <row r="4418" spans="1:3">
      <c r="A4418" s="1">
        <v>31</v>
      </c>
      <c r="B4418" s="2">
        <f>Walmart_Sales_raw_data!C4418</f>
        <v>1458059.42</v>
      </c>
      <c r="C4418" t="str">
        <f>IF(B4418&gt;=Walmart_Sales_raw_data!$C$6437,"High","low")</f>
        <v>High</v>
      </c>
    </row>
    <row r="4419" spans="1:3">
      <c r="A4419" s="3">
        <v>31</v>
      </c>
      <c r="B4419" s="2">
        <f>Walmart_Sales_raw_data!C4419</f>
        <v>1374301.34</v>
      </c>
      <c r="C4419" t="str">
        <f>IF(B4419&gt;=Walmart_Sales_raw_data!$C$6437,"High","low")</f>
        <v>High</v>
      </c>
    </row>
    <row r="4420" spans="1:3">
      <c r="A4420" s="1">
        <v>31</v>
      </c>
      <c r="B4420" s="2">
        <f>Walmart_Sales_raw_data!C4420</f>
        <v>1392395.2</v>
      </c>
      <c r="C4420" t="str">
        <f>IF(B4420&gt;=Walmart_Sales_raw_data!$C$6437,"High","low")</f>
        <v>High</v>
      </c>
    </row>
    <row r="4421" spans="1:3">
      <c r="A4421" s="3">
        <v>31</v>
      </c>
      <c r="B4421" s="2">
        <f>Walmart_Sales_raw_data!C4421</f>
        <v>1303732.36</v>
      </c>
      <c r="C4421" t="str">
        <f>IF(B4421&gt;=Walmart_Sales_raw_data!$C$6437,"High","low")</f>
        <v>High</v>
      </c>
    </row>
    <row r="4422" spans="1:3">
      <c r="A4422" s="1">
        <v>31</v>
      </c>
      <c r="B4422" s="2">
        <f>Walmart_Sales_raw_data!C4422</f>
        <v>1390174.63</v>
      </c>
      <c r="C4422" t="str">
        <f>IF(B4422&gt;=Walmart_Sales_raw_data!$C$6437,"High","low")</f>
        <v>High</v>
      </c>
    </row>
    <row r="4423" spans="1:3">
      <c r="A4423" s="3">
        <v>31</v>
      </c>
      <c r="B4423" s="2">
        <f>Walmart_Sales_raw_data!C4423</f>
        <v>1386472.59</v>
      </c>
      <c r="C4423" t="str">
        <f>IF(B4423&gt;=Walmart_Sales_raw_data!$C$6437,"High","low")</f>
        <v>High</v>
      </c>
    </row>
    <row r="4424" spans="1:3">
      <c r="A4424" s="1">
        <v>31</v>
      </c>
      <c r="B4424" s="2">
        <f>Walmart_Sales_raw_data!C4424</f>
        <v>1410181.7</v>
      </c>
      <c r="C4424" t="str">
        <f>IF(B4424&gt;=Walmart_Sales_raw_data!$C$6437,"High","low")</f>
        <v>High</v>
      </c>
    </row>
    <row r="4425" spans="1:3">
      <c r="A4425" s="3">
        <v>31</v>
      </c>
      <c r="B4425" s="2">
        <f>Walmart_Sales_raw_data!C4425</f>
        <v>1379783.21</v>
      </c>
      <c r="C4425" t="str">
        <f>IF(B4425&gt;=Walmart_Sales_raw_data!$C$6437,"High","low")</f>
        <v>High</v>
      </c>
    </row>
    <row r="4426" spans="1:3">
      <c r="A4426" s="1">
        <v>31</v>
      </c>
      <c r="B4426" s="2">
        <f>Walmart_Sales_raw_data!C4426</f>
        <v>1373651.49</v>
      </c>
      <c r="C4426" t="str">
        <f>IF(B4426&gt;=Walmart_Sales_raw_data!$C$6437,"High","low")</f>
        <v>High</v>
      </c>
    </row>
    <row r="4427" spans="1:3">
      <c r="A4427" s="3">
        <v>31</v>
      </c>
      <c r="B4427" s="2">
        <f>Walmart_Sales_raw_data!C4427</f>
        <v>1358111.62</v>
      </c>
      <c r="C4427" t="str">
        <f>IF(B4427&gt;=Walmart_Sales_raw_data!$C$6437,"High","low")</f>
        <v>High</v>
      </c>
    </row>
    <row r="4428" spans="1:3">
      <c r="A4428" s="1">
        <v>31</v>
      </c>
      <c r="B4428" s="2">
        <f>Walmart_Sales_raw_data!C4428</f>
        <v>1327705.44</v>
      </c>
      <c r="C4428" t="str">
        <f>IF(B4428&gt;=Walmart_Sales_raw_data!$C$6437,"High","low")</f>
        <v>High</v>
      </c>
    </row>
    <row r="4429" spans="1:3">
      <c r="A4429" s="3">
        <v>31</v>
      </c>
      <c r="B4429" s="2">
        <f>Walmart_Sales_raw_data!C4429</f>
        <v>1373064.87</v>
      </c>
      <c r="C4429" t="str">
        <f>IF(B4429&gt;=Walmart_Sales_raw_data!$C$6437,"High","low")</f>
        <v>High</v>
      </c>
    </row>
    <row r="4430" spans="1:3">
      <c r="A4430" s="1">
        <v>31</v>
      </c>
      <c r="B4430" s="2">
        <f>Walmart_Sales_raw_data!C4430</f>
        <v>1279080.58</v>
      </c>
      <c r="C4430" t="str">
        <f>IF(B4430&gt;=Walmart_Sales_raw_data!$C$6437,"High","low")</f>
        <v>High</v>
      </c>
    </row>
    <row r="4431" spans="1:3">
      <c r="A4431" s="3">
        <v>31</v>
      </c>
      <c r="B4431" s="2">
        <f>Walmart_Sales_raw_data!C4431</f>
        <v>1363365.05</v>
      </c>
      <c r="C4431" t="str">
        <f>IF(B4431&gt;=Walmart_Sales_raw_data!$C$6437,"High","low")</f>
        <v>High</v>
      </c>
    </row>
    <row r="4432" spans="1:3">
      <c r="A4432" s="1">
        <v>31</v>
      </c>
      <c r="B4432" s="2">
        <f>Walmart_Sales_raw_data!C4432</f>
        <v>1401113.42</v>
      </c>
      <c r="C4432" t="str">
        <f>IF(B4432&gt;=Walmart_Sales_raw_data!$C$6437,"High","low")</f>
        <v>High</v>
      </c>
    </row>
    <row r="4433" spans="1:3">
      <c r="A4433" s="3">
        <v>31</v>
      </c>
      <c r="B4433" s="2">
        <f>Walmart_Sales_raw_data!C4433</f>
        <v>1378730.45</v>
      </c>
      <c r="C4433" t="str">
        <f>IF(B4433&gt;=Walmart_Sales_raw_data!$C$6437,"High","low")</f>
        <v>High</v>
      </c>
    </row>
    <row r="4434" spans="1:3">
      <c r="A4434" s="1">
        <v>31</v>
      </c>
      <c r="B4434" s="2">
        <f>Walmart_Sales_raw_data!C4434</f>
        <v>1340232.55</v>
      </c>
      <c r="C4434" t="str">
        <f>IF(B4434&gt;=Walmart_Sales_raw_data!$C$6437,"High","low")</f>
        <v>High</v>
      </c>
    </row>
    <row r="4435" spans="1:3">
      <c r="A4435" s="3">
        <v>32</v>
      </c>
      <c r="B4435" s="2">
        <f>Walmart_Sales_raw_data!C4435</f>
        <v>1087616.19</v>
      </c>
      <c r="C4435" t="str">
        <f>IF(B4435&gt;=Walmart_Sales_raw_data!$C$6437,"High","low")</f>
        <v>High</v>
      </c>
    </row>
    <row r="4436" spans="1:3">
      <c r="A4436" s="1">
        <v>32</v>
      </c>
      <c r="B4436" s="2">
        <f>Walmart_Sales_raw_data!C4436</f>
        <v>1123566.12</v>
      </c>
      <c r="C4436" t="str">
        <f>IF(B4436&gt;=Walmart_Sales_raw_data!$C$6437,"High","low")</f>
        <v>High</v>
      </c>
    </row>
    <row r="4437" spans="1:3">
      <c r="A4437" s="3">
        <v>32</v>
      </c>
      <c r="B4437" s="2">
        <f>Walmart_Sales_raw_data!C4437</f>
        <v>1082559.06</v>
      </c>
      <c r="C4437" t="str">
        <f>IF(B4437&gt;=Walmart_Sales_raw_data!$C$6437,"High","low")</f>
        <v>High</v>
      </c>
    </row>
    <row r="4438" spans="1:3">
      <c r="A4438" s="1">
        <v>32</v>
      </c>
      <c r="B4438" s="2">
        <f>Walmart_Sales_raw_data!C4438</f>
        <v>1053247.1</v>
      </c>
      <c r="C4438" t="str">
        <f>IF(B4438&gt;=Walmart_Sales_raw_data!$C$6437,"High","low")</f>
        <v>High</v>
      </c>
    </row>
    <row r="4439" spans="1:3">
      <c r="A4439" s="3">
        <v>32</v>
      </c>
      <c r="B4439" s="2">
        <f>Walmart_Sales_raw_data!C4439</f>
        <v>1066566.74</v>
      </c>
      <c r="C4439" t="str">
        <f>IF(B4439&gt;=Walmart_Sales_raw_data!$C$6437,"High","low")</f>
        <v>High</v>
      </c>
    </row>
    <row r="4440" spans="1:3">
      <c r="A4440" s="1">
        <v>32</v>
      </c>
      <c r="B4440" s="2">
        <f>Walmart_Sales_raw_data!C4440</f>
        <v>1093319.37</v>
      </c>
      <c r="C4440" t="str">
        <f>IF(B4440&gt;=Walmart_Sales_raw_data!$C$6437,"High","low")</f>
        <v>High</v>
      </c>
    </row>
    <row r="4441" spans="1:3">
      <c r="A4441" s="3">
        <v>32</v>
      </c>
      <c r="B4441" s="2">
        <f>Walmart_Sales_raw_data!C4441</f>
        <v>1059781.78</v>
      </c>
      <c r="C4441" t="str">
        <f>IF(B4441&gt;=Walmart_Sales_raw_data!$C$6437,"High","low")</f>
        <v>High</v>
      </c>
    </row>
    <row r="4442" spans="1:3">
      <c r="A4442" s="1">
        <v>32</v>
      </c>
      <c r="B4442" s="2">
        <f>Walmart_Sales_raw_data!C4442</f>
        <v>1076021.58</v>
      </c>
      <c r="C4442" t="str">
        <f>IF(B4442&gt;=Walmart_Sales_raw_data!$C$6437,"High","low")</f>
        <v>High</v>
      </c>
    </row>
    <row r="4443" spans="1:3">
      <c r="A4443" s="3">
        <v>32</v>
      </c>
      <c r="B4443" s="2">
        <f>Walmart_Sales_raw_data!C4443</f>
        <v>1131732.94</v>
      </c>
      <c r="C4443" t="str">
        <f>IF(B4443&gt;=Walmart_Sales_raw_data!$C$6437,"High","low")</f>
        <v>High</v>
      </c>
    </row>
    <row r="4444" spans="1:3">
      <c r="A4444" s="1">
        <v>32</v>
      </c>
      <c r="B4444" s="2">
        <f>Walmart_Sales_raw_data!C4444</f>
        <v>1095889.22</v>
      </c>
      <c r="C4444" t="str">
        <f>IF(B4444&gt;=Walmart_Sales_raw_data!$C$6437,"High","low")</f>
        <v>High</v>
      </c>
    </row>
    <row r="4445" spans="1:3">
      <c r="A4445" s="3">
        <v>32</v>
      </c>
      <c r="B4445" s="2">
        <f>Walmart_Sales_raw_data!C4445</f>
        <v>1082763.27</v>
      </c>
      <c r="C4445" t="str">
        <f>IF(B4445&gt;=Walmart_Sales_raw_data!$C$6437,"High","low")</f>
        <v>High</v>
      </c>
    </row>
    <row r="4446" spans="1:3">
      <c r="A4446" s="1">
        <v>32</v>
      </c>
      <c r="B4446" s="2">
        <f>Walmart_Sales_raw_data!C4446</f>
        <v>1072474.8</v>
      </c>
      <c r="C4446" t="str">
        <f>IF(B4446&gt;=Walmart_Sales_raw_data!$C$6437,"High","low")</f>
        <v>High</v>
      </c>
    </row>
    <row r="4447" spans="1:3">
      <c r="A4447" s="3">
        <v>32</v>
      </c>
      <c r="B4447" s="2">
        <f>Walmart_Sales_raw_data!C4447</f>
        <v>1066792.63</v>
      </c>
      <c r="C4447" t="str">
        <f>IF(B4447&gt;=Walmart_Sales_raw_data!$C$6437,"High","low")</f>
        <v>High</v>
      </c>
    </row>
    <row r="4448" spans="1:3">
      <c r="A4448" s="1">
        <v>32</v>
      </c>
      <c r="B4448" s="2">
        <f>Walmart_Sales_raw_data!C4448</f>
        <v>1133657.58</v>
      </c>
      <c r="C4448" t="str">
        <f>IF(B4448&gt;=Walmart_Sales_raw_data!$C$6437,"High","low")</f>
        <v>High</v>
      </c>
    </row>
    <row r="4449" spans="1:3">
      <c r="A4449" s="3">
        <v>32</v>
      </c>
      <c r="B4449" s="2">
        <f>Walmart_Sales_raw_data!C4449</f>
        <v>1079314.52</v>
      </c>
      <c r="C4449" t="str">
        <f>IF(B4449&gt;=Walmart_Sales_raw_data!$C$6437,"High","low")</f>
        <v>High</v>
      </c>
    </row>
    <row r="4450" spans="1:3">
      <c r="A4450" s="1">
        <v>32</v>
      </c>
      <c r="B4450" s="2">
        <f>Walmart_Sales_raw_data!C4450</f>
        <v>1143819.35</v>
      </c>
      <c r="C4450" t="str">
        <f>IF(B4450&gt;=Walmart_Sales_raw_data!$C$6437,"High","low")</f>
        <v>High</v>
      </c>
    </row>
    <row r="4451" spans="1:3">
      <c r="A4451" s="3">
        <v>32</v>
      </c>
      <c r="B4451" s="2">
        <f>Walmart_Sales_raw_data!C4451</f>
        <v>1205662.85</v>
      </c>
      <c r="C4451" t="str">
        <f>IF(B4451&gt;=Walmart_Sales_raw_data!$C$6437,"High","low")</f>
        <v>High</v>
      </c>
    </row>
    <row r="4452" spans="1:3">
      <c r="A4452" s="1">
        <v>32</v>
      </c>
      <c r="B4452" s="2">
        <f>Walmart_Sales_raw_data!C4452</f>
        <v>1149234.96</v>
      </c>
      <c r="C4452" t="str">
        <f>IF(B4452&gt;=Walmart_Sales_raw_data!$C$6437,"High","low")</f>
        <v>High</v>
      </c>
    </row>
    <row r="4453" spans="1:3">
      <c r="A4453" s="3">
        <v>32</v>
      </c>
      <c r="B4453" s="2">
        <f>Walmart_Sales_raw_data!C4453</f>
        <v>1192074.09</v>
      </c>
      <c r="C4453" t="str">
        <f>IF(B4453&gt;=Walmart_Sales_raw_data!$C$6437,"High","low")</f>
        <v>High</v>
      </c>
    </row>
    <row r="4454" spans="1:3">
      <c r="A4454" s="1">
        <v>32</v>
      </c>
      <c r="B4454" s="2">
        <f>Walmart_Sales_raw_data!C4454</f>
        <v>1150191.72</v>
      </c>
      <c r="C4454" t="str">
        <f>IF(B4454&gt;=Walmart_Sales_raw_data!$C$6437,"High","low")</f>
        <v>High</v>
      </c>
    </row>
    <row r="4455" spans="1:3">
      <c r="A4455" s="3">
        <v>32</v>
      </c>
      <c r="B4455" s="2">
        <f>Walmart_Sales_raw_data!C4455</f>
        <v>1124763.74</v>
      </c>
      <c r="C4455" t="str">
        <f>IF(B4455&gt;=Walmart_Sales_raw_data!$C$6437,"High","low")</f>
        <v>High</v>
      </c>
    </row>
    <row r="4456" spans="1:3">
      <c r="A4456" s="1">
        <v>32</v>
      </c>
      <c r="B4456" s="2">
        <f>Walmart_Sales_raw_data!C4456</f>
        <v>1187988.64</v>
      </c>
      <c r="C4456" t="str">
        <f>IF(B4456&gt;=Walmart_Sales_raw_data!$C$6437,"High","low")</f>
        <v>High</v>
      </c>
    </row>
    <row r="4457" spans="1:3">
      <c r="A4457" s="3">
        <v>32</v>
      </c>
      <c r="B4457" s="2">
        <f>Walmart_Sales_raw_data!C4457</f>
        <v>1077253.67</v>
      </c>
      <c r="C4457" t="str">
        <f>IF(B4457&gt;=Walmart_Sales_raw_data!$C$6437,"High","low")</f>
        <v>High</v>
      </c>
    </row>
    <row r="4458" spans="1:3">
      <c r="A4458" s="1">
        <v>32</v>
      </c>
      <c r="B4458" s="2">
        <f>Walmart_Sales_raw_data!C4458</f>
        <v>1120172.24</v>
      </c>
      <c r="C4458" t="str">
        <f>IF(B4458&gt;=Walmart_Sales_raw_data!$C$6437,"High","low")</f>
        <v>High</v>
      </c>
    </row>
    <row r="4459" spans="1:3">
      <c r="A4459" s="3">
        <v>32</v>
      </c>
      <c r="B4459" s="2">
        <f>Walmart_Sales_raw_data!C4459</f>
        <v>1109574.11</v>
      </c>
      <c r="C4459" t="str">
        <f>IF(B4459&gt;=Walmart_Sales_raw_data!$C$6437,"High","low")</f>
        <v>High</v>
      </c>
    </row>
    <row r="4460" spans="1:3">
      <c r="A4460" s="1">
        <v>32</v>
      </c>
      <c r="B4460" s="2">
        <f>Walmart_Sales_raw_data!C4460</f>
        <v>1065350.56</v>
      </c>
      <c r="C4460" t="str">
        <f>IF(B4460&gt;=Walmart_Sales_raw_data!$C$6437,"High","low")</f>
        <v>High</v>
      </c>
    </row>
    <row r="4461" spans="1:3">
      <c r="A4461" s="3">
        <v>32</v>
      </c>
      <c r="B4461" s="2">
        <f>Walmart_Sales_raw_data!C4461</f>
        <v>1144552.09</v>
      </c>
      <c r="C4461" t="str">
        <f>IF(B4461&gt;=Walmart_Sales_raw_data!$C$6437,"High","low")</f>
        <v>High</v>
      </c>
    </row>
    <row r="4462" spans="1:3">
      <c r="A4462" s="1">
        <v>32</v>
      </c>
      <c r="B4462" s="2">
        <f>Walmart_Sales_raw_data!C4462</f>
        <v>1157975.68</v>
      </c>
      <c r="C4462" t="str">
        <f>IF(B4462&gt;=Walmart_Sales_raw_data!$C$6437,"High","low")</f>
        <v>High</v>
      </c>
    </row>
    <row r="4463" spans="1:3">
      <c r="A4463" s="3">
        <v>32</v>
      </c>
      <c r="B4463" s="2">
        <f>Walmart_Sales_raw_data!C4463</f>
        <v>1189887.86</v>
      </c>
      <c r="C4463" t="str">
        <f>IF(B4463&gt;=Walmart_Sales_raw_data!$C$6437,"High","low")</f>
        <v>High</v>
      </c>
    </row>
    <row r="4464" spans="1:3">
      <c r="A4464" s="1">
        <v>32</v>
      </c>
      <c r="B4464" s="2">
        <f>Walmart_Sales_raw_data!C4464</f>
        <v>1140501.03</v>
      </c>
      <c r="C4464" t="str">
        <f>IF(B4464&gt;=Walmart_Sales_raw_data!$C$6437,"High","low")</f>
        <v>High</v>
      </c>
    </row>
    <row r="4465" spans="1:3">
      <c r="A4465" s="3">
        <v>32</v>
      </c>
      <c r="B4465" s="2">
        <f>Walmart_Sales_raw_data!C4465</f>
        <v>1095932.51</v>
      </c>
      <c r="C4465" t="str">
        <f>IF(B4465&gt;=Walmart_Sales_raw_data!$C$6437,"High","low")</f>
        <v>High</v>
      </c>
    </row>
    <row r="4466" spans="1:3">
      <c r="A4466" s="1">
        <v>32</v>
      </c>
      <c r="B4466" s="2">
        <f>Walmart_Sales_raw_data!C4466</f>
        <v>1028635.39</v>
      </c>
      <c r="C4466" t="str">
        <f>IF(B4466&gt;=Walmart_Sales_raw_data!$C$6437,"High","low")</f>
        <v>low</v>
      </c>
    </row>
    <row r="4467" spans="1:3">
      <c r="A4467" s="3">
        <v>32</v>
      </c>
      <c r="B4467" s="2">
        <f>Walmart_Sales_raw_data!C4467</f>
        <v>1043962.36</v>
      </c>
      <c r="C4467" t="str">
        <f>IF(B4467&gt;=Walmart_Sales_raw_data!$C$6437,"High","low")</f>
        <v>low</v>
      </c>
    </row>
    <row r="4468" spans="1:3">
      <c r="A4468" s="1">
        <v>32</v>
      </c>
      <c r="B4468" s="2">
        <f>Walmart_Sales_raw_data!C4468</f>
        <v>1067432.1</v>
      </c>
      <c r="C4468" t="str">
        <f>IF(B4468&gt;=Walmart_Sales_raw_data!$C$6437,"High","low")</f>
        <v>High</v>
      </c>
    </row>
    <row r="4469" spans="1:3">
      <c r="A4469" s="3">
        <v>32</v>
      </c>
      <c r="B4469" s="2">
        <f>Walmart_Sales_raw_data!C4469</f>
        <v>1061089.56</v>
      </c>
      <c r="C4469" t="str">
        <f>IF(B4469&gt;=Walmart_Sales_raw_data!$C$6437,"High","low")</f>
        <v>High</v>
      </c>
    </row>
    <row r="4470" spans="1:3">
      <c r="A4470" s="1">
        <v>32</v>
      </c>
      <c r="B4470" s="2">
        <f>Walmart_Sales_raw_data!C4470</f>
        <v>1085483.44</v>
      </c>
      <c r="C4470" t="str">
        <f>IF(B4470&gt;=Walmart_Sales_raw_data!$C$6437,"High","low")</f>
        <v>High</v>
      </c>
    </row>
    <row r="4471" spans="1:3">
      <c r="A4471" s="3">
        <v>32</v>
      </c>
      <c r="B4471" s="2">
        <f>Walmart_Sales_raw_data!C4471</f>
        <v>1096692.88</v>
      </c>
      <c r="C4471" t="str">
        <f>IF(B4471&gt;=Walmart_Sales_raw_data!$C$6437,"High","low")</f>
        <v>High</v>
      </c>
    </row>
    <row r="4472" spans="1:3">
      <c r="A4472" s="1">
        <v>32</v>
      </c>
      <c r="B4472" s="2">
        <f>Walmart_Sales_raw_data!C4472</f>
        <v>1102185</v>
      </c>
      <c r="C4472" t="str">
        <f>IF(B4472&gt;=Walmart_Sales_raw_data!$C$6437,"High","low")</f>
        <v>High</v>
      </c>
    </row>
    <row r="4473" spans="1:3">
      <c r="A4473" s="3">
        <v>32</v>
      </c>
      <c r="B4473" s="2">
        <f>Walmart_Sales_raw_data!C4473</f>
        <v>1115138.51</v>
      </c>
      <c r="C4473" t="str">
        <f>IF(B4473&gt;=Walmart_Sales_raw_data!$C$6437,"High","low")</f>
        <v>High</v>
      </c>
    </row>
    <row r="4474" spans="1:3">
      <c r="A4474" s="1">
        <v>32</v>
      </c>
      <c r="B4474" s="2">
        <f>Walmart_Sales_raw_data!C4474</f>
        <v>1063056.21</v>
      </c>
      <c r="C4474" t="str">
        <f>IF(B4474&gt;=Walmart_Sales_raw_data!$C$6437,"High","low")</f>
        <v>High</v>
      </c>
    </row>
    <row r="4475" spans="1:3">
      <c r="A4475" s="3">
        <v>32</v>
      </c>
      <c r="B4475" s="2">
        <f>Walmart_Sales_raw_data!C4475</f>
        <v>1141019.11</v>
      </c>
      <c r="C4475" t="str">
        <f>IF(B4475&gt;=Walmart_Sales_raw_data!$C$6437,"High","low")</f>
        <v>High</v>
      </c>
    </row>
    <row r="4476" spans="1:3">
      <c r="A4476" s="1">
        <v>32</v>
      </c>
      <c r="B4476" s="2">
        <f>Walmart_Sales_raw_data!C4476</f>
        <v>1150729.89</v>
      </c>
      <c r="C4476" t="str">
        <f>IF(B4476&gt;=Walmart_Sales_raw_data!$C$6437,"High","low")</f>
        <v>High</v>
      </c>
    </row>
    <row r="4477" spans="1:3">
      <c r="A4477" s="3">
        <v>32</v>
      </c>
      <c r="B4477" s="2">
        <f>Walmart_Sales_raw_data!C4477</f>
        <v>1634635.86</v>
      </c>
      <c r="C4477" t="str">
        <f>IF(B4477&gt;=Walmart_Sales_raw_data!$C$6437,"High","low")</f>
        <v>High</v>
      </c>
    </row>
    <row r="4478" spans="1:3">
      <c r="A4478" s="1">
        <v>32</v>
      </c>
      <c r="B4478" s="2">
        <f>Walmart_Sales_raw_data!C4478</f>
        <v>1200892.56</v>
      </c>
      <c r="C4478" t="str">
        <f>IF(B4478&gt;=Walmart_Sales_raw_data!$C$6437,"High","low")</f>
        <v>High</v>
      </c>
    </row>
    <row r="4479" spans="1:3">
      <c r="A4479" s="3">
        <v>32</v>
      </c>
      <c r="B4479" s="2">
        <f>Walmart_Sales_raw_data!C4479</f>
        <v>1377322.73</v>
      </c>
      <c r="C4479" t="str">
        <f>IF(B4479&gt;=Walmart_Sales_raw_data!$C$6437,"High","low")</f>
        <v>High</v>
      </c>
    </row>
    <row r="4480" spans="1:3">
      <c r="A4480" s="1">
        <v>32</v>
      </c>
      <c r="B4480" s="2">
        <f>Walmart_Sales_raw_data!C4480</f>
        <v>1557776.1</v>
      </c>
      <c r="C4480" t="str">
        <f>IF(B4480&gt;=Walmart_Sales_raw_data!$C$6437,"High","low")</f>
        <v>High</v>
      </c>
    </row>
    <row r="4481" spans="1:3">
      <c r="A4481" s="3">
        <v>32</v>
      </c>
      <c r="B4481" s="2">
        <f>Walmart_Sales_raw_data!C4481</f>
        <v>1949183.14</v>
      </c>
      <c r="C4481" t="str">
        <f>IF(B4481&gt;=Walmart_Sales_raw_data!$C$6437,"High","low")</f>
        <v>High</v>
      </c>
    </row>
    <row r="4482" spans="1:3">
      <c r="A4482" s="1">
        <v>32</v>
      </c>
      <c r="B4482" s="2">
        <f>Walmart_Sales_raw_data!C4482</f>
        <v>955463.84</v>
      </c>
      <c r="C4482" t="str">
        <f>IF(B4482&gt;=Walmart_Sales_raw_data!$C$6437,"High","low")</f>
        <v>low</v>
      </c>
    </row>
    <row r="4483" spans="1:3">
      <c r="A4483" s="3">
        <v>32</v>
      </c>
      <c r="B4483" s="2">
        <f>Walmart_Sales_raw_data!C4483</f>
        <v>1046416.17</v>
      </c>
      <c r="C4483" t="str">
        <f>IF(B4483&gt;=Walmart_Sales_raw_data!$C$6437,"High","low")</f>
        <v>low</v>
      </c>
    </row>
    <row r="4484" spans="1:3">
      <c r="A4484" s="1">
        <v>32</v>
      </c>
      <c r="B4484" s="2">
        <f>Walmart_Sales_raw_data!C4484</f>
        <v>1028206.51</v>
      </c>
      <c r="C4484" t="str">
        <f>IF(B4484&gt;=Walmart_Sales_raw_data!$C$6437,"High","low")</f>
        <v>low</v>
      </c>
    </row>
    <row r="4485" spans="1:3">
      <c r="A4485" s="3">
        <v>32</v>
      </c>
      <c r="B4485" s="2">
        <f>Walmart_Sales_raw_data!C4485</f>
        <v>1078348.91</v>
      </c>
      <c r="C4485" t="str">
        <f>IF(B4485&gt;=Walmart_Sales_raw_data!$C$6437,"High","low")</f>
        <v>High</v>
      </c>
    </row>
    <row r="4486" spans="1:3">
      <c r="A4486" s="1">
        <v>32</v>
      </c>
      <c r="B4486" s="2">
        <f>Walmart_Sales_raw_data!C4486</f>
        <v>1006814.85</v>
      </c>
      <c r="C4486" t="str">
        <f>IF(B4486&gt;=Walmart_Sales_raw_data!$C$6437,"High","low")</f>
        <v>low</v>
      </c>
    </row>
    <row r="4487" spans="1:3">
      <c r="A4487" s="3">
        <v>32</v>
      </c>
      <c r="B4487" s="2">
        <f>Walmart_Sales_raw_data!C4487</f>
        <v>1070457.8</v>
      </c>
      <c r="C4487" t="str">
        <f>IF(B4487&gt;=Walmart_Sales_raw_data!$C$6437,"High","low")</f>
        <v>High</v>
      </c>
    </row>
    <row r="4488" spans="1:3">
      <c r="A4488" s="1">
        <v>32</v>
      </c>
      <c r="B4488" s="2">
        <f>Walmart_Sales_raw_data!C4488</f>
        <v>1124357.2</v>
      </c>
      <c r="C4488" t="str">
        <f>IF(B4488&gt;=Walmart_Sales_raw_data!$C$6437,"High","low")</f>
        <v>High</v>
      </c>
    </row>
    <row r="4489" spans="1:3">
      <c r="A4489" s="3">
        <v>32</v>
      </c>
      <c r="B4489" s="2">
        <f>Walmart_Sales_raw_data!C4489</f>
        <v>1183528.58</v>
      </c>
      <c r="C4489" t="str">
        <f>IF(B4489&gt;=Walmart_Sales_raw_data!$C$6437,"High","low")</f>
        <v>High</v>
      </c>
    </row>
    <row r="4490" spans="1:3">
      <c r="A4490" s="1">
        <v>32</v>
      </c>
      <c r="B4490" s="2">
        <f>Walmart_Sales_raw_data!C4490</f>
        <v>1054754.67</v>
      </c>
      <c r="C4490" t="str">
        <f>IF(B4490&gt;=Walmart_Sales_raw_data!$C$6437,"High","low")</f>
        <v>High</v>
      </c>
    </row>
    <row r="4491" spans="1:3">
      <c r="A4491" s="3">
        <v>32</v>
      </c>
      <c r="B4491" s="2">
        <f>Walmart_Sales_raw_data!C4491</f>
        <v>1106847.62</v>
      </c>
      <c r="C4491" t="str">
        <f>IF(B4491&gt;=Walmart_Sales_raw_data!$C$6437,"High","low")</f>
        <v>High</v>
      </c>
    </row>
    <row r="4492" spans="1:3">
      <c r="A4492" s="1">
        <v>32</v>
      </c>
      <c r="B4492" s="2">
        <f>Walmart_Sales_raw_data!C4492</f>
        <v>1101458.21</v>
      </c>
      <c r="C4492" t="str">
        <f>IF(B4492&gt;=Walmart_Sales_raw_data!$C$6437,"High","low")</f>
        <v>High</v>
      </c>
    </row>
    <row r="4493" spans="1:3">
      <c r="A4493" s="3">
        <v>32</v>
      </c>
      <c r="B4493" s="2">
        <f>Walmart_Sales_raw_data!C4493</f>
        <v>1100765.5</v>
      </c>
      <c r="C4493" t="str">
        <f>IF(B4493&gt;=Walmart_Sales_raw_data!$C$6437,"High","low")</f>
        <v>High</v>
      </c>
    </row>
    <row r="4494" spans="1:3">
      <c r="A4494" s="1">
        <v>32</v>
      </c>
      <c r="B4494" s="2">
        <f>Walmart_Sales_raw_data!C4494</f>
        <v>1068719.22</v>
      </c>
      <c r="C4494" t="str">
        <f>IF(B4494&gt;=Walmart_Sales_raw_data!$C$6437,"High","low")</f>
        <v>High</v>
      </c>
    </row>
    <row r="4495" spans="1:3">
      <c r="A4495" s="3">
        <v>32</v>
      </c>
      <c r="B4495" s="2">
        <f>Walmart_Sales_raw_data!C4495</f>
        <v>1051121.02</v>
      </c>
      <c r="C4495" t="str">
        <f>IF(B4495&gt;=Walmart_Sales_raw_data!$C$6437,"High","low")</f>
        <v>High</v>
      </c>
    </row>
    <row r="4496" spans="1:3">
      <c r="A4496" s="1">
        <v>32</v>
      </c>
      <c r="B4496" s="2">
        <f>Walmart_Sales_raw_data!C4496</f>
        <v>1102975.59</v>
      </c>
      <c r="C4496" t="str">
        <f>IF(B4496&gt;=Walmart_Sales_raw_data!$C$6437,"High","low")</f>
        <v>High</v>
      </c>
    </row>
    <row r="4497" spans="1:3">
      <c r="A4497" s="3">
        <v>32</v>
      </c>
      <c r="B4497" s="2">
        <f>Walmart_Sales_raw_data!C4497</f>
        <v>1120508.14</v>
      </c>
      <c r="C4497" t="str">
        <f>IF(B4497&gt;=Walmart_Sales_raw_data!$C$6437,"High","low")</f>
        <v>High</v>
      </c>
    </row>
    <row r="4498" spans="1:3">
      <c r="A4498" s="1">
        <v>32</v>
      </c>
      <c r="B4498" s="2">
        <f>Walmart_Sales_raw_data!C4498</f>
        <v>1210602.91</v>
      </c>
      <c r="C4498" t="str">
        <f>IF(B4498&gt;=Walmart_Sales_raw_data!$C$6437,"High","low")</f>
        <v>High</v>
      </c>
    </row>
    <row r="4499" spans="1:3">
      <c r="A4499" s="3">
        <v>32</v>
      </c>
      <c r="B4499" s="2">
        <f>Walmart_Sales_raw_data!C4499</f>
        <v>1107494.55</v>
      </c>
      <c r="C4499" t="str">
        <f>IF(B4499&gt;=Walmart_Sales_raw_data!$C$6437,"High","low")</f>
        <v>High</v>
      </c>
    </row>
    <row r="4500" spans="1:3">
      <c r="A4500" s="1">
        <v>32</v>
      </c>
      <c r="B4500" s="2">
        <f>Walmart_Sales_raw_data!C4500</f>
        <v>1181793.55</v>
      </c>
      <c r="C4500" t="str">
        <f>IF(B4500&gt;=Walmart_Sales_raw_data!$C$6437,"High","low")</f>
        <v>High</v>
      </c>
    </row>
    <row r="4501" spans="1:3">
      <c r="A4501" s="3">
        <v>32</v>
      </c>
      <c r="B4501" s="2">
        <f>Walmart_Sales_raw_data!C4501</f>
        <v>1138162.76</v>
      </c>
      <c r="C4501" t="str">
        <f>IF(B4501&gt;=Walmart_Sales_raw_data!$C$6437,"High","low")</f>
        <v>High</v>
      </c>
    </row>
    <row r="4502" spans="1:3">
      <c r="A4502" s="1">
        <v>32</v>
      </c>
      <c r="B4502" s="2">
        <f>Walmart_Sales_raw_data!C4502</f>
        <v>1145084.76</v>
      </c>
      <c r="C4502" t="str">
        <f>IF(B4502&gt;=Walmart_Sales_raw_data!$C$6437,"High","low")</f>
        <v>High</v>
      </c>
    </row>
    <row r="4503" spans="1:3">
      <c r="A4503" s="3">
        <v>32</v>
      </c>
      <c r="B4503" s="2">
        <f>Walmart_Sales_raw_data!C4503</f>
        <v>1175447.49</v>
      </c>
      <c r="C4503" t="str">
        <f>IF(B4503&gt;=Walmart_Sales_raw_data!$C$6437,"High","low")</f>
        <v>High</v>
      </c>
    </row>
    <row r="4504" spans="1:3">
      <c r="A4504" s="1">
        <v>32</v>
      </c>
      <c r="B4504" s="2">
        <f>Walmart_Sales_raw_data!C4504</f>
        <v>1167757</v>
      </c>
      <c r="C4504" t="str">
        <f>IF(B4504&gt;=Walmart_Sales_raw_data!$C$6437,"High","low")</f>
        <v>High</v>
      </c>
    </row>
    <row r="4505" spans="1:3">
      <c r="A4505" s="3">
        <v>32</v>
      </c>
      <c r="B4505" s="2">
        <f>Walmart_Sales_raw_data!C4505</f>
        <v>1239741.34</v>
      </c>
      <c r="C4505" t="str">
        <f>IF(B4505&gt;=Walmart_Sales_raw_data!$C$6437,"High","low")</f>
        <v>High</v>
      </c>
    </row>
    <row r="4506" spans="1:3">
      <c r="A4506" s="1">
        <v>32</v>
      </c>
      <c r="B4506" s="2">
        <f>Walmart_Sales_raw_data!C4506</f>
        <v>1192031.38</v>
      </c>
      <c r="C4506" t="str">
        <f>IF(B4506&gt;=Walmart_Sales_raw_data!$C$6437,"High","low")</f>
        <v>High</v>
      </c>
    </row>
    <row r="4507" spans="1:3">
      <c r="A4507" s="3">
        <v>32</v>
      </c>
      <c r="B4507" s="2">
        <f>Walmart_Sales_raw_data!C4507</f>
        <v>1163869.52</v>
      </c>
      <c r="C4507" t="str">
        <f>IF(B4507&gt;=Walmart_Sales_raw_data!$C$6437,"High","low")</f>
        <v>High</v>
      </c>
    </row>
    <row r="4508" spans="1:3">
      <c r="A4508" s="1">
        <v>32</v>
      </c>
      <c r="B4508" s="2">
        <f>Walmart_Sales_raw_data!C4508</f>
        <v>1199845.29</v>
      </c>
      <c r="C4508" t="str">
        <f>IF(B4508&gt;=Walmart_Sales_raw_data!$C$6437,"High","low")</f>
        <v>High</v>
      </c>
    </row>
    <row r="4509" spans="1:3">
      <c r="A4509" s="3">
        <v>32</v>
      </c>
      <c r="B4509" s="2">
        <f>Walmart_Sales_raw_data!C4509</f>
        <v>1110244.52</v>
      </c>
      <c r="C4509" t="str">
        <f>IF(B4509&gt;=Walmart_Sales_raw_data!$C$6437,"High","low")</f>
        <v>High</v>
      </c>
    </row>
    <row r="4510" spans="1:3">
      <c r="A4510" s="1">
        <v>32</v>
      </c>
      <c r="B4510" s="2">
        <f>Walmart_Sales_raw_data!C4510</f>
        <v>1144254.26</v>
      </c>
      <c r="C4510" t="str">
        <f>IF(B4510&gt;=Walmart_Sales_raw_data!$C$6437,"High","low")</f>
        <v>High</v>
      </c>
    </row>
    <row r="4511" spans="1:3">
      <c r="A4511" s="3">
        <v>32</v>
      </c>
      <c r="B4511" s="2">
        <f>Walmart_Sales_raw_data!C4511</f>
        <v>1185674.48</v>
      </c>
      <c r="C4511" t="str">
        <f>IF(B4511&gt;=Walmart_Sales_raw_data!$C$6437,"High","low")</f>
        <v>High</v>
      </c>
    </row>
    <row r="4512" spans="1:3">
      <c r="A4512" s="1">
        <v>32</v>
      </c>
      <c r="B4512" s="2">
        <f>Walmart_Sales_raw_data!C4512</f>
        <v>1169988.62</v>
      </c>
      <c r="C4512" t="str">
        <f>IF(B4512&gt;=Walmart_Sales_raw_data!$C$6437,"High","low")</f>
        <v>High</v>
      </c>
    </row>
    <row r="4513" spans="1:3">
      <c r="A4513" s="3">
        <v>32</v>
      </c>
      <c r="B4513" s="2">
        <f>Walmart_Sales_raw_data!C4513</f>
        <v>1201694.14</v>
      </c>
      <c r="C4513" t="str">
        <f>IF(B4513&gt;=Walmart_Sales_raw_data!$C$6437,"High","low")</f>
        <v>High</v>
      </c>
    </row>
    <row r="4514" spans="1:3">
      <c r="A4514" s="1">
        <v>32</v>
      </c>
      <c r="B4514" s="2">
        <f>Walmart_Sales_raw_data!C4514</f>
        <v>1206795.74</v>
      </c>
      <c r="C4514" t="str">
        <f>IF(B4514&gt;=Walmart_Sales_raw_data!$C$6437,"High","low")</f>
        <v>High</v>
      </c>
    </row>
    <row r="4515" spans="1:3">
      <c r="A4515" s="3">
        <v>32</v>
      </c>
      <c r="B4515" s="2">
        <f>Walmart_Sales_raw_data!C4515</f>
        <v>1221318.17</v>
      </c>
      <c r="C4515" t="str">
        <f>IF(B4515&gt;=Walmart_Sales_raw_data!$C$6437,"High","low")</f>
        <v>High</v>
      </c>
    </row>
    <row r="4516" spans="1:3">
      <c r="A4516" s="1">
        <v>32</v>
      </c>
      <c r="B4516" s="2">
        <f>Walmart_Sales_raw_data!C4516</f>
        <v>1183740.91</v>
      </c>
      <c r="C4516" t="str">
        <f>IF(B4516&gt;=Walmart_Sales_raw_data!$C$6437,"High","low")</f>
        <v>High</v>
      </c>
    </row>
    <row r="4517" spans="1:3">
      <c r="A4517" s="3">
        <v>32</v>
      </c>
      <c r="B4517" s="2">
        <f>Walmart_Sales_raw_data!C4517</f>
        <v>1152117.5</v>
      </c>
      <c r="C4517" t="str">
        <f>IF(B4517&gt;=Walmart_Sales_raw_data!$C$6437,"High","low")</f>
        <v>High</v>
      </c>
    </row>
    <row r="4518" spans="1:3">
      <c r="A4518" s="1">
        <v>32</v>
      </c>
      <c r="B4518" s="2">
        <f>Walmart_Sales_raw_data!C4518</f>
        <v>1128237.3</v>
      </c>
      <c r="C4518" t="str">
        <f>IF(B4518&gt;=Walmart_Sales_raw_data!$C$6437,"High","low")</f>
        <v>High</v>
      </c>
    </row>
    <row r="4519" spans="1:3">
      <c r="A4519" s="3">
        <v>32</v>
      </c>
      <c r="B4519" s="2">
        <f>Walmart_Sales_raw_data!C4519</f>
        <v>1142499.25</v>
      </c>
      <c r="C4519" t="str">
        <f>IF(B4519&gt;=Walmart_Sales_raw_data!$C$6437,"High","low")</f>
        <v>High</v>
      </c>
    </row>
    <row r="4520" spans="1:3">
      <c r="A4520" s="1">
        <v>32</v>
      </c>
      <c r="B4520" s="2">
        <f>Walmart_Sales_raw_data!C4520</f>
        <v>1116140.29</v>
      </c>
      <c r="C4520" t="str">
        <f>IF(B4520&gt;=Walmart_Sales_raw_data!$C$6437,"High","low")</f>
        <v>High</v>
      </c>
    </row>
    <row r="4521" spans="1:3">
      <c r="A4521" s="3">
        <v>32</v>
      </c>
      <c r="B4521" s="2">
        <f>Walmart_Sales_raw_data!C4521</f>
        <v>1088943.98</v>
      </c>
      <c r="C4521" t="str">
        <f>IF(B4521&gt;=Walmart_Sales_raw_data!$C$6437,"High","low")</f>
        <v>High</v>
      </c>
    </row>
    <row r="4522" spans="1:3">
      <c r="A4522" s="1">
        <v>32</v>
      </c>
      <c r="B4522" s="2">
        <f>Walmart_Sales_raw_data!C4522</f>
        <v>1149448.02</v>
      </c>
      <c r="C4522" t="str">
        <f>IF(B4522&gt;=Walmart_Sales_raw_data!$C$6437,"High","low")</f>
        <v>High</v>
      </c>
    </row>
    <row r="4523" spans="1:3">
      <c r="A4523" s="3">
        <v>32</v>
      </c>
      <c r="B4523" s="2">
        <f>Walmart_Sales_raw_data!C4523</f>
        <v>1175420.26</v>
      </c>
      <c r="C4523" t="str">
        <f>IF(B4523&gt;=Walmart_Sales_raw_data!$C$6437,"High","low")</f>
        <v>High</v>
      </c>
    </row>
    <row r="4524" spans="1:3">
      <c r="A4524" s="1">
        <v>32</v>
      </c>
      <c r="B4524" s="2">
        <f>Walmart_Sales_raw_data!C4524</f>
        <v>1151258.74</v>
      </c>
      <c r="C4524" t="str">
        <f>IF(B4524&gt;=Walmart_Sales_raw_data!$C$6437,"High","low")</f>
        <v>High</v>
      </c>
    </row>
    <row r="4525" spans="1:3">
      <c r="A4525" s="3">
        <v>32</v>
      </c>
      <c r="B4525" s="2">
        <f>Walmart_Sales_raw_data!C4525</f>
        <v>1185391.96</v>
      </c>
      <c r="C4525" t="str">
        <f>IF(B4525&gt;=Walmart_Sales_raw_data!$C$6437,"High","low")</f>
        <v>High</v>
      </c>
    </row>
    <row r="4526" spans="1:3">
      <c r="A4526" s="1">
        <v>32</v>
      </c>
      <c r="B4526" s="2">
        <f>Walmart_Sales_raw_data!C4526</f>
        <v>1204628.28</v>
      </c>
      <c r="C4526" t="str">
        <f>IF(B4526&gt;=Walmart_Sales_raw_data!$C$6437,"High","low")</f>
        <v>High</v>
      </c>
    </row>
    <row r="4527" spans="1:3">
      <c r="A4527" s="3">
        <v>32</v>
      </c>
      <c r="B4527" s="2">
        <f>Walmart_Sales_raw_data!C4527</f>
        <v>1182733</v>
      </c>
      <c r="C4527" t="str">
        <f>IF(B4527&gt;=Walmart_Sales_raw_data!$C$6437,"High","low")</f>
        <v>High</v>
      </c>
    </row>
    <row r="4528" spans="1:3">
      <c r="A4528" s="1">
        <v>32</v>
      </c>
      <c r="B4528" s="2">
        <f>Walmart_Sales_raw_data!C4528</f>
        <v>1181651.55</v>
      </c>
      <c r="C4528" t="str">
        <f>IF(B4528&gt;=Walmart_Sales_raw_data!$C$6437,"High","low")</f>
        <v>High</v>
      </c>
    </row>
    <row r="4529" spans="1:3">
      <c r="A4529" s="3">
        <v>32</v>
      </c>
      <c r="B4529" s="2">
        <f>Walmart_Sales_raw_data!C4529</f>
        <v>1684468.66</v>
      </c>
      <c r="C4529" t="str">
        <f>IF(B4529&gt;=Walmart_Sales_raw_data!$C$6437,"High","low")</f>
        <v>High</v>
      </c>
    </row>
    <row r="4530" spans="1:3">
      <c r="A4530" s="1">
        <v>32</v>
      </c>
      <c r="B4530" s="2">
        <f>Walmart_Sales_raw_data!C4530</f>
        <v>1179773.88</v>
      </c>
      <c r="C4530" t="str">
        <f>IF(B4530&gt;=Walmart_Sales_raw_data!$C$6437,"High","low")</f>
        <v>High</v>
      </c>
    </row>
    <row r="4531" spans="1:3">
      <c r="A4531" s="3">
        <v>32</v>
      </c>
      <c r="B4531" s="2">
        <f>Walmart_Sales_raw_data!C4531</f>
        <v>1415746.91</v>
      </c>
      <c r="C4531" t="str">
        <f>IF(B4531&gt;=Walmart_Sales_raw_data!$C$6437,"High","low")</f>
        <v>High</v>
      </c>
    </row>
    <row r="4532" spans="1:3">
      <c r="A4532" s="1">
        <v>32</v>
      </c>
      <c r="B4532" s="2">
        <f>Walmart_Sales_raw_data!C4532</f>
        <v>1556017.91</v>
      </c>
      <c r="C4532" t="str">
        <f>IF(B4532&gt;=Walmart_Sales_raw_data!$C$6437,"High","low")</f>
        <v>High</v>
      </c>
    </row>
    <row r="4533" spans="1:3">
      <c r="A4533" s="3">
        <v>32</v>
      </c>
      <c r="B4533" s="2">
        <f>Walmart_Sales_raw_data!C4533</f>
        <v>1959526.96</v>
      </c>
      <c r="C4533" t="str">
        <f>IF(B4533&gt;=Walmart_Sales_raw_data!$C$6437,"High","low")</f>
        <v>High</v>
      </c>
    </row>
    <row r="4534" spans="1:3">
      <c r="A4534" s="1">
        <v>32</v>
      </c>
      <c r="B4534" s="2">
        <f>Walmart_Sales_raw_data!C4534</f>
        <v>1102367.65</v>
      </c>
      <c r="C4534" t="str">
        <f>IF(B4534&gt;=Walmart_Sales_raw_data!$C$6437,"High","low")</f>
        <v>High</v>
      </c>
    </row>
    <row r="4535" spans="1:3">
      <c r="A4535" s="3">
        <v>32</v>
      </c>
      <c r="B4535" s="2">
        <f>Walmart_Sales_raw_data!C4535</f>
        <v>1099937.25</v>
      </c>
      <c r="C4535" t="str">
        <f>IF(B4535&gt;=Walmart_Sales_raw_data!$C$6437,"High","low")</f>
        <v>High</v>
      </c>
    </row>
    <row r="4536" spans="1:3">
      <c r="A4536" s="1">
        <v>32</v>
      </c>
      <c r="B4536" s="2">
        <f>Walmart_Sales_raw_data!C4536</f>
        <v>1071598.36</v>
      </c>
      <c r="C4536" t="str">
        <f>IF(B4536&gt;=Walmart_Sales_raw_data!$C$6437,"High","low")</f>
        <v>High</v>
      </c>
    </row>
    <row r="4537" spans="1:3">
      <c r="A4537" s="3">
        <v>32</v>
      </c>
      <c r="B4537" s="2">
        <f>Walmart_Sales_raw_data!C4537</f>
        <v>1080012.04</v>
      </c>
      <c r="C4537" t="str">
        <f>IF(B4537&gt;=Walmart_Sales_raw_data!$C$6437,"High","low")</f>
        <v>High</v>
      </c>
    </row>
    <row r="4538" spans="1:3">
      <c r="A4538" s="1">
        <v>32</v>
      </c>
      <c r="B4538" s="2">
        <f>Walmart_Sales_raw_data!C4538</f>
        <v>1051864.6</v>
      </c>
      <c r="C4538" t="str">
        <f>IF(B4538&gt;=Walmart_Sales_raw_data!$C$6437,"High","low")</f>
        <v>High</v>
      </c>
    </row>
    <row r="4539" spans="1:3">
      <c r="A4539" s="3">
        <v>32</v>
      </c>
      <c r="B4539" s="2">
        <f>Walmart_Sales_raw_data!C4539</f>
        <v>1156826.31</v>
      </c>
      <c r="C4539" t="str">
        <f>IF(B4539&gt;=Walmart_Sales_raw_data!$C$6437,"High","low")</f>
        <v>High</v>
      </c>
    </row>
    <row r="4540" spans="1:3">
      <c r="A4540" s="1">
        <v>32</v>
      </c>
      <c r="B4540" s="2">
        <f>Walmart_Sales_raw_data!C4540</f>
        <v>1129422.86</v>
      </c>
      <c r="C4540" t="str">
        <f>IF(B4540&gt;=Walmart_Sales_raw_data!$C$6437,"High","low")</f>
        <v>High</v>
      </c>
    </row>
    <row r="4541" spans="1:3">
      <c r="A4541" s="3">
        <v>32</v>
      </c>
      <c r="B4541" s="2">
        <f>Walmart_Sales_raw_data!C4541</f>
        <v>1243812.59</v>
      </c>
      <c r="C4541" t="str">
        <f>IF(B4541&gt;=Walmart_Sales_raw_data!$C$6437,"High","low")</f>
        <v>High</v>
      </c>
    </row>
    <row r="4542" spans="1:3">
      <c r="A4542" s="1">
        <v>32</v>
      </c>
      <c r="B4542" s="2">
        <f>Walmart_Sales_raw_data!C4542</f>
        <v>1091822.72</v>
      </c>
      <c r="C4542" t="str">
        <f>IF(B4542&gt;=Walmart_Sales_raw_data!$C$6437,"High","low")</f>
        <v>High</v>
      </c>
    </row>
    <row r="4543" spans="1:3">
      <c r="A4543" s="3">
        <v>32</v>
      </c>
      <c r="B4543" s="2">
        <f>Walmart_Sales_raw_data!C4543</f>
        <v>1153332.89</v>
      </c>
      <c r="C4543" t="str">
        <f>IF(B4543&gt;=Walmart_Sales_raw_data!$C$6437,"High","low")</f>
        <v>High</v>
      </c>
    </row>
    <row r="4544" spans="1:3">
      <c r="A4544" s="1">
        <v>32</v>
      </c>
      <c r="B4544" s="2">
        <f>Walmart_Sales_raw_data!C4544</f>
        <v>1124537.97</v>
      </c>
      <c r="C4544" t="str">
        <f>IF(B4544&gt;=Walmart_Sales_raw_data!$C$6437,"High","low")</f>
        <v>High</v>
      </c>
    </row>
    <row r="4545" spans="1:3">
      <c r="A4545" s="3">
        <v>32</v>
      </c>
      <c r="B4545" s="2">
        <f>Walmart_Sales_raw_data!C4545</f>
        <v>1138101.18</v>
      </c>
      <c r="C4545" t="str">
        <f>IF(B4545&gt;=Walmart_Sales_raw_data!$C$6437,"High","low")</f>
        <v>High</v>
      </c>
    </row>
    <row r="4546" spans="1:3">
      <c r="A4546" s="1">
        <v>32</v>
      </c>
      <c r="B4546" s="2">
        <f>Walmart_Sales_raw_data!C4546</f>
        <v>1146632.46</v>
      </c>
      <c r="C4546" t="str">
        <f>IF(B4546&gt;=Walmart_Sales_raw_data!$C$6437,"High","low")</f>
        <v>High</v>
      </c>
    </row>
    <row r="4547" spans="1:3">
      <c r="A4547" s="3">
        <v>32</v>
      </c>
      <c r="B4547" s="2">
        <f>Walmart_Sales_raw_data!C4547</f>
        <v>1108686.87</v>
      </c>
      <c r="C4547" t="str">
        <f>IF(B4547&gt;=Walmart_Sales_raw_data!$C$6437,"High","low")</f>
        <v>High</v>
      </c>
    </row>
    <row r="4548" spans="1:3">
      <c r="A4548" s="1">
        <v>32</v>
      </c>
      <c r="B4548" s="2">
        <f>Walmart_Sales_raw_data!C4548</f>
        <v>1270577.01</v>
      </c>
      <c r="C4548" t="str">
        <f>IF(B4548&gt;=Walmart_Sales_raw_data!$C$6437,"High","low")</f>
        <v>High</v>
      </c>
    </row>
    <row r="4549" spans="1:3">
      <c r="A4549" s="3">
        <v>32</v>
      </c>
      <c r="B4549" s="2">
        <f>Walmart_Sales_raw_data!C4549</f>
        <v>1171834.47</v>
      </c>
      <c r="C4549" t="str">
        <f>IF(B4549&gt;=Walmart_Sales_raw_data!$C$6437,"High","low")</f>
        <v>High</v>
      </c>
    </row>
    <row r="4550" spans="1:3">
      <c r="A4550" s="1">
        <v>32</v>
      </c>
      <c r="B4550" s="2">
        <f>Walmart_Sales_raw_data!C4550</f>
        <v>1121405.91</v>
      </c>
      <c r="C4550" t="str">
        <f>IF(B4550&gt;=Walmart_Sales_raw_data!$C$6437,"High","low")</f>
        <v>High</v>
      </c>
    </row>
    <row r="4551" spans="1:3">
      <c r="A4551" s="3">
        <v>32</v>
      </c>
      <c r="B4551" s="2">
        <f>Walmart_Sales_raw_data!C4551</f>
        <v>1126962.44</v>
      </c>
      <c r="C4551" t="str">
        <f>IF(B4551&gt;=Walmart_Sales_raw_data!$C$6437,"High","low")</f>
        <v>High</v>
      </c>
    </row>
    <row r="4552" spans="1:3">
      <c r="A4552" s="1">
        <v>32</v>
      </c>
      <c r="B4552" s="2">
        <f>Walmart_Sales_raw_data!C4552</f>
        <v>1187384.53</v>
      </c>
      <c r="C4552" t="str">
        <f>IF(B4552&gt;=Walmart_Sales_raw_data!$C$6437,"High","low")</f>
        <v>High</v>
      </c>
    </row>
    <row r="4553" spans="1:3">
      <c r="A4553" s="3">
        <v>32</v>
      </c>
      <c r="B4553" s="2">
        <f>Walmart_Sales_raw_data!C4553</f>
        <v>1187051.07</v>
      </c>
      <c r="C4553" t="str">
        <f>IF(B4553&gt;=Walmart_Sales_raw_data!$C$6437,"High","low")</f>
        <v>High</v>
      </c>
    </row>
    <row r="4554" spans="1:3">
      <c r="A4554" s="1">
        <v>32</v>
      </c>
      <c r="B4554" s="2">
        <f>Walmart_Sales_raw_data!C4554</f>
        <v>1177539.71</v>
      </c>
      <c r="C4554" t="str">
        <f>IF(B4554&gt;=Walmart_Sales_raw_data!$C$6437,"High","low")</f>
        <v>High</v>
      </c>
    </row>
    <row r="4555" spans="1:3">
      <c r="A4555" s="3">
        <v>32</v>
      </c>
      <c r="B4555" s="2">
        <f>Walmart_Sales_raw_data!C4555</f>
        <v>1232784.22</v>
      </c>
      <c r="C4555" t="str">
        <f>IF(B4555&gt;=Walmart_Sales_raw_data!$C$6437,"High","low")</f>
        <v>High</v>
      </c>
    </row>
    <row r="4556" spans="1:3">
      <c r="A4556" s="1">
        <v>32</v>
      </c>
      <c r="B4556" s="2">
        <f>Walmart_Sales_raw_data!C4556</f>
        <v>1157557.79</v>
      </c>
      <c r="C4556" t="str">
        <f>IF(B4556&gt;=Walmart_Sales_raw_data!$C$6437,"High","low")</f>
        <v>High</v>
      </c>
    </row>
    <row r="4557" spans="1:3">
      <c r="A4557" s="3">
        <v>32</v>
      </c>
      <c r="B4557" s="2">
        <f>Walmart_Sales_raw_data!C4557</f>
        <v>1246322.44</v>
      </c>
      <c r="C4557" t="str">
        <f>IF(B4557&gt;=Walmart_Sales_raw_data!$C$6437,"High","low")</f>
        <v>High</v>
      </c>
    </row>
    <row r="4558" spans="1:3">
      <c r="A4558" s="1">
        <v>32</v>
      </c>
      <c r="B4558" s="2">
        <f>Walmart_Sales_raw_data!C4558</f>
        <v>1234759.54</v>
      </c>
      <c r="C4558" t="str">
        <f>IF(B4558&gt;=Walmart_Sales_raw_data!$C$6437,"High","low")</f>
        <v>High</v>
      </c>
    </row>
    <row r="4559" spans="1:3">
      <c r="A4559" s="3">
        <v>32</v>
      </c>
      <c r="B4559" s="2">
        <f>Walmart_Sales_raw_data!C4559</f>
        <v>1196880.11</v>
      </c>
      <c r="C4559" t="str">
        <f>IF(B4559&gt;=Walmart_Sales_raw_data!$C$6437,"High","low")</f>
        <v>High</v>
      </c>
    </row>
    <row r="4560" spans="1:3">
      <c r="A4560" s="1">
        <v>32</v>
      </c>
      <c r="B4560" s="2">
        <f>Walmart_Sales_raw_data!C4560</f>
        <v>1178211.81</v>
      </c>
      <c r="C4560" t="str">
        <f>IF(B4560&gt;=Walmart_Sales_raw_data!$C$6437,"High","low")</f>
        <v>High</v>
      </c>
    </row>
    <row r="4561" spans="1:3">
      <c r="A4561" s="3">
        <v>32</v>
      </c>
      <c r="B4561" s="2">
        <f>Walmart_Sales_raw_data!C4561</f>
        <v>1214183.97</v>
      </c>
      <c r="C4561" t="str">
        <f>IF(B4561&gt;=Walmart_Sales_raw_data!$C$6437,"High","low")</f>
        <v>High</v>
      </c>
    </row>
    <row r="4562" spans="1:3">
      <c r="A4562" s="1">
        <v>32</v>
      </c>
      <c r="B4562" s="2">
        <f>Walmart_Sales_raw_data!C4562</f>
        <v>1141184.66</v>
      </c>
      <c r="C4562" t="str">
        <f>IF(B4562&gt;=Walmart_Sales_raw_data!$C$6437,"High","low")</f>
        <v>High</v>
      </c>
    </row>
    <row r="4563" spans="1:3">
      <c r="A4563" s="3">
        <v>32</v>
      </c>
      <c r="B4563" s="2">
        <f>Walmart_Sales_raw_data!C4563</f>
        <v>1167829.33</v>
      </c>
      <c r="C4563" t="str">
        <f>IF(B4563&gt;=Walmart_Sales_raw_data!$C$6437,"High","low")</f>
        <v>High</v>
      </c>
    </row>
    <row r="4564" spans="1:3">
      <c r="A4564" s="1">
        <v>32</v>
      </c>
      <c r="B4564" s="2">
        <f>Walmart_Sales_raw_data!C4564</f>
        <v>1144901.52</v>
      </c>
      <c r="C4564" t="str">
        <f>IF(B4564&gt;=Walmart_Sales_raw_data!$C$6437,"High","low")</f>
        <v>High</v>
      </c>
    </row>
    <row r="4565" spans="1:3">
      <c r="A4565" s="3">
        <v>32</v>
      </c>
      <c r="B4565" s="2">
        <f>Walmart_Sales_raw_data!C4565</f>
        <v>1183571.35</v>
      </c>
      <c r="C4565" t="str">
        <f>IF(B4565&gt;=Walmart_Sales_raw_data!$C$6437,"High","low")</f>
        <v>High</v>
      </c>
    </row>
    <row r="4566" spans="1:3">
      <c r="A4566" s="1">
        <v>32</v>
      </c>
      <c r="B4566" s="2">
        <f>Walmart_Sales_raw_data!C4566</f>
        <v>1227469.2</v>
      </c>
      <c r="C4566" t="str">
        <f>IF(B4566&gt;=Walmart_Sales_raw_data!$C$6437,"High","low")</f>
        <v>High</v>
      </c>
    </row>
    <row r="4567" spans="1:3">
      <c r="A4567" s="3">
        <v>32</v>
      </c>
      <c r="B4567" s="2">
        <f>Walmart_Sales_raw_data!C4567</f>
        <v>1261306.37</v>
      </c>
      <c r="C4567" t="str">
        <f>IF(B4567&gt;=Walmart_Sales_raw_data!$C$6437,"High","low")</f>
        <v>High</v>
      </c>
    </row>
    <row r="4568" spans="1:3">
      <c r="A4568" s="1">
        <v>32</v>
      </c>
      <c r="B4568" s="2">
        <f>Walmart_Sales_raw_data!C4568</f>
        <v>1272809.11</v>
      </c>
      <c r="C4568" t="str">
        <f>IF(B4568&gt;=Walmart_Sales_raw_data!$C$6437,"High","low")</f>
        <v>High</v>
      </c>
    </row>
    <row r="4569" spans="1:3">
      <c r="A4569" s="3">
        <v>32</v>
      </c>
      <c r="B4569" s="2">
        <f>Walmart_Sales_raw_data!C4569</f>
        <v>1183979.27</v>
      </c>
      <c r="C4569" t="str">
        <f>IF(B4569&gt;=Walmart_Sales_raw_data!$C$6437,"High","low")</f>
        <v>High</v>
      </c>
    </row>
    <row r="4570" spans="1:3">
      <c r="A4570" s="1">
        <v>32</v>
      </c>
      <c r="B4570" s="2">
        <f>Walmart_Sales_raw_data!C4570</f>
        <v>1126685.95</v>
      </c>
      <c r="C4570" t="str">
        <f>IF(B4570&gt;=Walmart_Sales_raw_data!$C$6437,"High","low")</f>
        <v>High</v>
      </c>
    </row>
    <row r="4571" spans="1:3">
      <c r="A4571" s="3">
        <v>32</v>
      </c>
      <c r="B4571" s="2">
        <f>Walmart_Sales_raw_data!C4571</f>
        <v>1156377.47</v>
      </c>
      <c r="C4571" t="str">
        <f>IF(B4571&gt;=Walmart_Sales_raw_data!$C$6437,"High","low")</f>
        <v>High</v>
      </c>
    </row>
    <row r="4572" spans="1:3">
      <c r="A4572" s="1">
        <v>32</v>
      </c>
      <c r="B4572" s="2">
        <f>Walmart_Sales_raw_data!C4572</f>
        <v>1159119.6</v>
      </c>
      <c r="C4572" t="str">
        <f>IF(B4572&gt;=Walmart_Sales_raw_data!$C$6437,"High","low")</f>
        <v>High</v>
      </c>
    </row>
    <row r="4573" spans="1:3">
      <c r="A4573" s="3">
        <v>32</v>
      </c>
      <c r="B4573" s="2">
        <f>Walmart_Sales_raw_data!C4573</f>
        <v>1157111.15</v>
      </c>
      <c r="C4573" t="str">
        <f>IF(B4573&gt;=Walmart_Sales_raw_data!$C$6437,"High","low")</f>
        <v>High</v>
      </c>
    </row>
    <row r="4574" spans="1:3">
      <c r="A4574" s="1">
        <v>32</v>
      </c>
      <c r="B4574" s="2">
        <f>Walmart_Sales_raw_data!C4574</f>
        <v>1202775.24</v>
      </c>
      <c r="C4574" t="str">
        <f>IF(B4574&gt;=Walmart_Sales_raw_data!$C$6437,"High","low")</f>
        <v>High</v>
      </c>
    </row>
    <row r="4575" spans="1:3">
      <c r="A4575" s="3">
        <v>32</v>
      </c>
      <c r="B4575" s="2">
        <f>Walmart_Sales_raw_data!C4575</f>
        <v>1176681.31</v>
      </c>
      <c r="C4575" t="str">
        <f>IF(B4575&gt;=Walmart_Sales_raw_data!$C$6437,"High","low")</f>
        <v>High</v>
      </c>
    </row>
    <row r="4576" spans="1:3">
      <c r="A4576" s="1">
        <v>32</v>
      </c>
      <c r="B4576" s="2">
        <f>Walmart_Sales_raw_data!C4576</f>
        <v>1199292.06</v>
      </c>
      <c r="C4576" t="str">
        <f>IF(B4576&gt;=Walmart_Sales_raw_data!$C$6437,"High","low")</f>
        <v>High</v>
      </c>
    </row>
    <row r="4577" spans="1:3">
      <c r="A4577" s="3">
        <v>32</v>
      </c>
      <c r="B4577" s="2">
        <f>Walmart_Sales_raw_data!C4577</f>
        <v>1219979.29</v>
      </c>
      <c r="C4577" t="str">
        <f>IF(B4577&gt;=Walmart_Sales_raw_data!$C$6437,"High","low")</f>
        <v>High</v>
      </c>
    </row>
    <row r="4578" spans="1:3">
      <c r="A4578" s="1">
        <v>33</v>
      </c>
      <c r="B4578" s="2">
        <f>Walmart_Sales_raw_data!C4578</f>
        <v>274593.43</v>
      </c>
      <c r="C4578" t="str">
        <f>IF(B4578&gt;=Walmart_Sales_raw_data!$C$6437,"High","low")</f>
        <v>low</v>
      </c>
    </row>
    <row r="4579" spans="1:3">
      <c r="A4579" s="3">
        <v>33</v>
      </c>
      <c r="B4579" s="2">
        <f>Walmart_Sales_raw_data!C4579</f>
        <v>294882.83</v>
      </c>
      <c r="C4579" t="str">
        <f>IF(B4579&gt;=Walmart_Sales_raw_data!$C$6437,"High","low")</f>
        <v>low</v>
      </c>
    </row>
    <row r="4580" spans="1:3">
      <c r="A4580" s="1">
        <v>33</v>
      </c>
      <c r="B4580" s="2">
        <f>Walmart_Sales_raw_data!C4580</f>
        <v>296850.83</v>
      </c>
      <c r="C4580" t="str">
        <f>IF(B4580&gt;=Walmart_Sales_raw_data!$C$6437,"High","low")</f>
        <v>low</v>
      </c>
    </row>
    <row r="4581" spans="1:3">
      <c r="A4581" s="3">
        <v>33</v>
      </c>
      <c r="B4581" s="2">
        <f>Walmart_Sales_raw_data!C4581</f>
        <v>284052.77</v>
      </c>
      <c r="C4581" t="str">
        <f>IF(B4581&gt;=Walmart_Sales_raw_data!$C$6437,"High","low")</f>
        <v>low</v>
      </c>
    </row>
    <row r="4582" spans="1:3">
      <c r="A4582" s="1">
        <v>33</v>
      </c>
      <c r="B4582" s="2">
        <f>Walmart_Sales_raw_data!C4582</f>
        <v>291484.89</v>
      </c>
      <c r="C4582" t="str">
        <f>IF(B4582&gt;=Walmart_Sales_raw_data!$C$6437,"High","low")</f>
        <v>low</v>
      </c>
    </row>
    <row r="4583" spans="1:3">
      <c r="A4583" s="3">
        <v>33</v>
      </c>
      <c r="B4583" s="2">
        <f>Walmart_Sales_raw_data!C4583</f>
        <v>312161</v>
      </c>
      <c r="C4583" t="str">
        <f>IF(B4583&gt;=Walmart_Sales_raw_data!$C$6437,"High","low")</f>
        <v>low</v>
      </c>
    </row>
    <row r="4584" spans="1:3">
      <c r="A4584" s="1">
        <v>33</v>
      </c>
      <c r="B4584" s="2">
        <f>Walmart_Sales_raw_data!C4584</f>
        <v>282235.73</v>
      </c>
      <c r="C4584" t="str">
        <f>IF(B4584&gt;=Walmart_Sales_raw_data!$C$6437,"High","low")</f>
        <v>low</v>
      </c>
    </row>
    <row r="4585" spans="1:3">
      <c r="A4585" s="3">
        <v>33</v>
      </c>
      <c r="B4585" s="2">
        <f>Walmart_Sales_raw_data!C4585</f>
        <v>262893.76</v>
      </c>
      <c r="C4585" t="str">
        <f>IF(B4585&gt;=Walmart_Sales_raw_data!$C$6437,"High","low")</f>
        <v>low</v>
      </c>
    </row>
    <row r="4586" spans="1:3">
      <c r="A4586" s="1">
        <v>33</v>
      </c>
      <c r="B4586" s="2">
        <f>Walmart_Sales_raw_data!C4586</f>
        <v>274634.52</v>
      </c>
      <c r="C4586" t="str">
        <f>IF(B4586&gt;=Walmart_Sales_raw_data!$C$6437,"High","low")</f>
        <v>low</v>
      </c>
    </row>
    <row r="4587" spans="1:3">
      <c r="A4587" s="3">
        <v>33</v>
      </c>
      <c r="B4587" s="2">
        <f>Walmart_Sales_raw_data!C4587</f>
        <v>325201.05</v>
      </c>
      <c r="C4587" t="str">
        <f>IF(B4587&gt;=Walmart_Sales_raw_data!$C$6437,"High","low")</f>
        <v>low</v>
      </c>
    </row>
    <row r="4588" spans="1:3">
      <c r="A4588" s="1">
        <v>33</v>
      </c>
      <c r="B4588" s="2">
        <f>Walmart_Sales_raw_data!C4588</f>
        <v>307779.64</v>
      </c>
      <c r="C4588" t="str">
        <f>IF(B4588&gt;=Walmart_Sales_raw_data!$C$6437,"High","low")</f>
        <v>low</v>
      </c>
    </row>
    <row r="4589" spans="1:3">
      <c r="A4589" s="3">
        <v>33</v>
      </c>
      <c r="B4589" s="2">
        <f>Walmart_Sales_raw_data!C4589</f>
        <v>263263.02</v>
      </c>
      <c r="C4589" t="str">
        <f>IF(B4589&gt;=Walmart_Sales_raw_data!$C$6437,"High","low")</f>
        <v>low</v>
      </c>
    </row>
    <row r="4590" spans="1:3">
      <c r="A4590" s="1">
        <v>33</v>
      </c>
      <c r="B4590" s="2">
        <f>Walmart_Sales_raw_data!C4590</f>
        <v>275883.23</v>
      </c>
      <c r="C4590" t="str">
        <f>IF(B4590&gt;=Walmart_Sales_raw_data!$C$6437,"High","low")</f>
        <v>low</v>
      </c>
    </row>
    <row r="4591" spans="1:3">
      <c r="A4591" s="3">
        <v>33</v>
      </c>
      <c r="B4591" s="2">
        <f>Walmart_Sales_raw_data!C4591</f>
        <v>326870.13</v>
      </c>
      <c r="C4591" t="str">
        <f>IF(B4591&gt;=Walmart_Sales_raw_data!$C$6437,"High","low")</f>
        <v>low</v>
      </c>
    </row>
    <row r="4592" spans="1:3">
      <c r="A4592" s="1">
        <v>33</v>
      </c>
      <c r="B4592" s="2">
        <f>Walmart_Sales_raw_data!C4592</f>
        <v>331173.51</v>
      </c>
      <c r="C4592" t="str">
        <f>IF(B4592&gt;=Walmart_Sales_raw_data!$C$6437,"High","low")</f>
        <v>low</v>
      </c>
    </row>
    <row r="4593" spans="1:3">
      <c r="A4593" s="3">
        <v>33</v>
      </c>
      <c r="B4593" s="2">
        <f>Walmart_Sales_raw_data!C4593</f>
        <v>294264.2</v>
      </c>
      <c r="C4593" t="str">
        <f>IF(B4593&gt;=Walmart_Sales_raw_data!$C$6437,"High","low")</f>
        <v>low</v>
      </c>
    </row>
    <row r="4594" spans="1:3">
      <c r="A4594" s="1">
        <v>33</v>
      </c>
      <c r="B4594" s="2">
        <f>Walmart_Sales_raw_data!C4594</f>
        <v>279246.33</v>
      </c>
      <c r="C4594" t="str">
        <f>IF(B4594&gt;=Walmart_Sales_raw_data!$C$6437,"High","low")</f>
        <v>low</v>
      </c>
    </row>
    <row r="4595" spans="1:3">
      <c r="A4595" s="3">
        <v>33</v>
      </c>
      <c r="B4595" s="2">
        <f>Walmart_Sales_raw_data!C4595</f>
        <v>285100</v>
      </c>
      <c r="C4595" t="str">
        <f>IF(B4595&gt;=Walmart_Sales_raw_data!$C$6437,"High","low")</f>
        <v>low</v>
      </c>
    </row>
    <row r="4596" spans="1:3">
      <c r="A4596" s="1">
        <v>33</v>
      </c>
      <c r="B4596" s="2">
        <f>Walmart_Sales_raw_data!C4596</f>
        <v>310800.79</v>
      </c>
      <c r="C4596" t="str">
        <f>IF(B4596&gt;=Walmart_Sales_raw_data!$C$6437,"High","low")</f>
        <v>low</v>
      </c>
    </row>
    <row r="4597" spans="1:3">
      <c r="A4597" s="3">
        <v>33</v>
      </c>
      <c r="B4597" s="2">
        <f>Walmart_Sales_raw_data!C4597</f>
        <v>272399.08</v>
      </c>
      <c r="C4597" t="str">
        <f>IF(B4597&gt;=Walmart_Sales_raw_data!$C$6437,"High","low")</f>
        <v>low</v>
      </c>
    </row>
    <row r="4598" spans="1:3">
      <c r="A4598" s="1">
        <v>33</v>
      </c>
      <c r="B4598" s="2">
        <f>Walmart_Sales_raw_data!C4598</f>
        <v>259419.91</v>
      </c>
      <c r="C4598" t="str">
        <f>IF(B4598&gt;=Walmart_Sales_raw_data!$C$6437,"High","low")</f>
        <v>low</v>
      </c>
    </row>
    <row r="4599" spans="1:3">
      <c r="A4599" s="3">
        <v>33</v>
      </c>
      <c r="B4599" s="2">
        <f>Walmart_Sales_raw_data!C4599</f>
        <v>267495.76</v>
      </c>
      <c r="C4599" t="str">
        <f>IF(B4599&gt;=Walmart_Sales_raw_data!$C$6437,"High","low")</f>
        <v>low</v>
      </c>
    </row>
    <row r="4600" spans="1:3">
      <c r="A4600" s="1">
        <v>33</v>
      </c>
      <c r="B4600" s="2">
        <f>Walmart_Sales_raw_data!C4600</f>
        <v>302423.93</v>
      </c>
      <c r="C4600" t="str">
        <f>IF(B4600&gt;=Walmart_Sales_raw_data!$C$6437,"High","low")</f>
        <v>low</v>
      </c>
    </row>
    <row r="4601" spans="1:3">
      <c r="A4601" s="3">
        <v>33</v>
      </c>
      <c r="B4601" s="2">
        <f>Walmart_Sales_raw_data!C4601</f>
        <v>280937.84</v>
      </c>
      <c r="C4601" t="str">
        <f>IF(B4601&gt;=Walmart_Sales_raw_data!$C$6437,"High","low")</f>
        <v>low</v>
      </c>
    </row>
    <row r="4602" spans="1:3">
      <c r="A4602" s="1">
        <v>33</v>
      </c>
      <c r="B4602" s="2">
        <f>Walmart_Sales_raw_data!C4602</f>
        <v>252734.31</v>
      </c>
      <c r="C4602" t="str">
        <f>IF(B4602&gt;=Walmart_Sales_raw_data!$C$6437,"High","low")</f>
        <v>low</v>
      </c>
    </row>
    <row r="4603" spans="1:3">
      <c r="A4603" s="3">
        <v>33</v>
      </c>
      <c r="B4603" s="2">
        <f>Walmart_Sales_raw_data!C4603</f>
        <v>242047.03</v>
      </c>
      <c r="C4603" t="str">
        <f>IF(B4603&gt;=Walmart_Sales_raw_data!$C$6437,"High","low")</f>
        <v>low</v>
      </c>
    </row>
    <row r="4604" spans="1:3">
      <c r="A4604" s="1">
        <v>33</v>
      </c>
      <c r="B4604" s="2">
        <f>Walmart_Sales_raw_data!C4604</f>
        <v>262789.95</v>
      </c>
      <c r="C4604" t="str">
        <f>IF(B4604&gt;=Walmart_Sales_raw_data!$C$6437,"High","low")</f>
        <v>low</v>
      </c>
    </row>
    <row r="4605" spans="1:3">
      <c r="A4605" s="3">
        <v>33</v>
      </c>
      <c r="B4605" s="2">
        <f>Walmart_Sales_raw_data!C4605</f>
        <v>265367.51</v>
      </c>
      <c r="C4605" t="str">
        <f>IF(B4605&gt;=Walmart_Sales_raw_data!$C$6437,"High","low")</f>
        <v>low</v>
      </c>
    </row>
    <row r="4606" spans="1:3">
      <c r="A4606" s="1">
        <v>33</v>
      </c>
      <c r="B4606" s="2">
        <f>Walmart_Sales_raw_data!C4606</f>
        <v>230519.49</v>
      </c>
      <c r="C4606" t="str">
        <f>IF(B4606&gt;=Walmart_Sales_raw_data!$C$6437,"High","low")</f>
        <v>low</v>
      </c>
    </row>
    <row r="4607" spans="1:3">
      <c r="A4607" s="3">
        <v>33</v>
      </c>
      <c r="B4607" s="2">
        <f>Walmart_Sales_raw_data!C4607</f>
        <v>224031.19</v>
      </c>
      <c r="C4607" t="str">
        <f>IF(B4607&gt;=Walmart_Sales_raw_data!$C$6437,"High","low")</f>
        <v>low</v>
      </c>
    </row>
    <row r="4608" spans="1:3">
      <c r="A4608" s="1">
        <v>33</v>
      </c>
      <c r="B4608" s="2">
        <f>Walmart_Sales_raw_data!C4608</f>
        <v>237405.82</v>
      </c>
      <c r="C4608" t="str">
        <f>IF(B4608&gt;=Walmart_Sales_raw_data!$C$6437,"High","low")</f>
        <v>low</v>
      </c>
    </row>
    <row r="4609" spans="1:3">
      <c r="A4609" s="3">
        <v>33</v>
      </c>
      <c r="B4609" s="2">
        <f>Walmart_Sales_raw_data!C4609</f>
        <v>272834.88</v>
      </c>
      <c r="C4609" t="str">
        <f>IF(B4609&gt;=Walmart_Sales_raw_data!$C$6437,"High","low")</f>
        <v>low</v>
      </c>
    </row>
    <row r="4610" spans="1:3">
      <c r="A4610" s="1">
        <v>33</v>
      </c>
      <c r="B4610" s="2">
        <f>Walmart_Sales_raw_data!C4610</f>
        <v>246277.18</v>
      </c>
      <c r="C4610" t="str">
        <f>IF(B4610&gt;=Walmart_Sales_raw_data!$C$6437,"High","low")</f>
        <v>low</v>
      </c>
    </row>
    <row r="4611" spans="1:3">
      <c r="A4611" s="3">
        <v>33</v>
      </c>
      <c r="B4611" s="2">
        <f>Walmart_Sales_raw_data!C4611</f>
        <v>231976.84</v>
      </c>
      <c r="C4611" t="str">
        <f>IF(B4611&gt;=Walmart_Sales_raw_data!$C$6437,"High","low")</f>
        <v>low</v>
      </c>
    </row>
    <row r="4612" spans="1:3">
      <c r="A4612" s="1">
        <v>33</v>
      </c>
      <c r="B4612" s="2">
        <f>Walmart_Sales_raw_data!C4612</f>
        <v>224294.39</v>
      </c>
      <c r="C4612" t="str">
        <f>IF(B4612&gt;=Walmart_Sales_raw_data!$C$6437,"High","low")</f>
        <v>low</v>
      </c>
    </row>
    <row r="4613" spans="1:3">
      <c r="A4613" s="3">
        <v>33</v>
      </c>
      <c r="B4613" s="2">
        <f>Walmart_Sales_raw_data!C4613</f>
        <v>266484.19</v>
      </c>
      <c r="C4613" t="str">
        <f>IF(B4613&gt;=Walmart_Sales_raw_data!$C$6437,"High","low")</f>
        <v>low</v>
      </c>
    </row>
    <row r="4614" spans="1:3">
      <c r="A4614" s="1">
        <v>33</v>
      </c>
      <c r="B4614" s="2">
        <f>Walmart_Sales_raw_data!C4614</f>
        <v>251732.92</v>
      </c>
      <c r="C4614" t="str">
        <f>IF(B4614&gt;=Walmart_Sales_raw_data!$C$6437,"High","low")</f>
        <v>low</v>
      </c>
    </row>
    <row r="4615" spans="1:3">
      <c r="A4615" s="3">
        <v>33</v>
      </c>
      <c r="B4615" s="2">
        <f>Walmart_Sales_raw_data!C4615</f>
        <v>234175.92</v>
      </c>
      <c r="C4615" t="str">
        <f>IF(B4615&gt;=Walmart_Sales_raw_data!$C$6437,"High","low")</f>
        <v>low</v>
      </c>
    </row>
    <row r="4616" spans="1:3">
      <c r="A4616" s="1">
        <v>33</v>
      </c>
      <c r="B4616" s="2">
        <f>Walmart_Sales_raw_data!C4616</f>
        <v>213538.32</v>
      </c>
      <c r="C4616" t="str">
        <f>IF(B4616&gt;=Walmart_Sales_raw_data!$C$6437,"High","low")</f>
        <v>low</v>
      </c>
    </row>
    <row r="4617" spans="1:3">
      <c r="A4617" s="3">
        <v>33</v>
      </c>
      <c r="B4617" s="2">
        <f>Walmart_Sales_raw_data!C4617</f>
        <v>246124.61</v>
      </c>
      <c r="C4617" t="str">
        <f>IF(B4617&gt;=Walmart_Sales_raw_data!$C$6437,"High","low")</f>
        <v>low</v>
      </c>
    </row>
    <row r="4618" spans="1:3">
      <c r="A4618" s="1">
        <v>33</v>
      </c>
      <c r="B4618" s="2">
        <f>Walmart_Sales_raw_data!C4618</f>
        <v>272803.94</v>
      </c>
      <c r="C4618" t="str">
        <f>IF(B4618&gt;=Walmart_Sales_raw_data!$C$6437,"High","low")</f>
        <v>low</v>
      </c>
    </row>
    <row r="4619" spans="1:3">
      <c r="A4619" s="3">
        <v>33</v>
      </c>
      <c r="B4619" s="2">
        <f>Walmart_Sales_raw_data!C4619</f>
        <v>224639.76</v>
      </c>
      <c r="C4619" t="str">
        <f>IF(B4619&gt;=Walmart_Sales_raw_data!$C$6437,"High","low")</f>
        <v>low</v>
      </c>
    </row>
    <row r="4620" spans="1:3">
      <c r="A4620" s="1">
        <v>33</v>
      </c>
      <c r="B4620" s="2">
        <f>Walmart_Sales_raw_data!C4620</f>
        <v>240044.57</v>
      </c>
      <c r="C4620" t="str">
        <f>IF(B4620&gt;=Walmart_Sales_raw_data!$C$6437,"High","low")</f>
        <v>low</v>
      </c>
    </row>
    <row r="4621" spans="1:3">
      <c r="A4621" s="3">
        <v>33</v>
      </c>
      <c r="B4621" s="2">
        <f>Walmart_Sales_raw_data!C4621</f>
        <v>209986.25</v>
      </c>
      <c r="C4621" t="str">
        <f>IF(B4621&gt;=Walmart_Sales_raw_data!$C$6437,"High","low")</f>
        <v>low</v>
      </c>
    </row>
    <row r="4622" spans="1:3">
      <c r="A4622" s="1">
        <v>33</v>
      </c>
      <c r="B4622" s="2">
        <f>Walmart_Sales_raw_data!C4622</f>
        <v>253050.1</v>
      </c>
      <c r="C4622" t="str">
        <f>IF(B4622&gt;=Walmart_Sales_raw_data!$C$6437,"High","low")</f>
        <v>low</v>
      </c>
    </row>
    <row r="4623" spans="1:3">
      <c r="A4623" s="3">
        <v>33</v>
      </c>
      <c r="B4623" s="2">
        <f>Walmart_Sales_raw_data!C4623</f>
        <v>238875.26</v>
      </c>
      <c r="C4623" t="str">
        <f>IF(B4623&gt;=Walmart_Sales_raw_data!$C$6437,"High","low")</f>
        <v>low</v>
      </c>
    </row>
    <row r="4624" spans="1:3">
      <c r="A4624" s="1">
        <v>33</v>
      </c>
      <c r="B4624" s="2">
        <f>Walmart_Sales_raw_data!C4624</f>
        <v>249246.8</v>
      </c>
      <c r="C4624" t="str">
        <f>IF(B4624&gt;=Walmart_Sales_raw_data!$C$6437,"High","low")</f>
        <v>low</v>
      </c>
    </row>
    <row r="4625" spans="1:3">
      <c r="A4625" s="3">
        <v>33</v>
      </c>
      <c r="B4625" s="2">
        <f>Walmart_Sales_raw_data!C4625</f>
        <v>219804.85</v>
      </c>
      <c r="C4625" t="str">
        <f>IF(B4625&gt;=Walmart_Sales_raw_data!$C$6437,"High","low")</f>
        <v>low</v>
      </c>
    </row>
    <row r="4626" spans="1:3">
      <c r="A4626" s="1">
        <v>33</v>
      </c>
      <c r="B4626" s="2">
        <f>Walmart_Sales_raw_data!C4626</f>
        <v>243948.82</v>
      </c>
      <c r="C4626" t="str">
        <f>IF(B4626&gt;=Walmart_Sales_raw_data!$C$6437,"High","low")</f>
        <v>low</v>
      </c>
    </row>
    <row r="4627" spans="1:3">
      <c r="A4627" s="3">
        <v>33</v>
      </c>
      <c r="B4627" s="2">
        <f>Walmart_Sales_raw_data!C4627</f>
        <v>259527.75</v>
      </c>
      <c r="C4627" t="str">
        <f>IF(B4627&gt;=Walmart_Sales_raw_data!$C$6437,"High","low")</f>
        <v>low</v>
      </c>
    </row>
    <row r="4628" spans="1:3">
      <c r="A4628" s="1">
        <v>33</v>
      </c>
      <c r="B4628" s="2">
        <f>Walmart_Sales_raw_data!C4628</f>
        <v>244856.44</v>
      </c>
      <c r="C4628" t="str">
        <f>IF(B4628&gt;=Walmart_Sales_raw_data!$C$6437,"High","low")</f>
        <v>low</v>
      </c>
    </row>
    <row r="4629" spans="1:3">
      <c r="A4629" s="3">
        <v>33</v>
      </c>
      <c r="B4629" s="2">
        <f>Walmart_Sales_raw_data!C4629</f>
        <v>231155.9</v>
      </c>
      <c r="C4629" t="str">
        <f>IF(B4629&gt;=Walmart_Sales_raw_data!$C$6437,"High","low")</f>
        <v>low</v>
      </c>
    </row>
    <row r="4630" spans="1:3">
      <c r="A4630" s="1">
        <v>33</v>
      </c>
      <c r="B4630" s="2">
        <f>Walmart_Sales_raw_data!C4630</f>
        <v>234218.03</v>
      </c>
      <c r="C4630" t="str">
        <f>IF(B4630&gt;=Walmart_Sales_raw_data!$C$6437,"High","low")</f>
        <v>low</v>
      </c>
    </row>
    <row r="4631" spans="1:3">
      <c r="A4631" s="3">
        <v>33</v>
      </c>
      <c r="B4631" s="2">
        <f>Walmart_Sales_raw_data!C4631</f>
        <v>276198.74</v>
      </c>
      <c r="C4631" t="str">
        <f>IF(B4631&gt;=Walmart_Sales_raw_data!$C$6437,"High","low")</f>
        <v>low</v>
      </c>
    </row>
    <row r="4632" spans="1:3">
      <c r="A4632" s="1">
        <v>33</v>
      </c>
      <c r="B4632" s="2">
        <f>Walmart_Sales_raw_data!C4632</f>
        <v>252349.6</v>
      </c>
      <c r="C4632" t="str">
        <f>IF(B4632&gt;=Walmart_Sales_raw_data!$C$6437,"High","low")</f>
        <v>low</v>
      </c>
    </row>
    <row r="4633" spans="1:3">
      <c r="A4633" s="3">
        <v>33</v>
      </c>
      <c r="B4633" s="2">
        <f>Walmart_Sales_raw_data!C4633</f>
        <v>242901.21</v>
      </c>
      <c r="C4633" t="str">
        <f>IF(B4633&gt;=Walmart_Sales_raw_data!$C$6437,"High","low")</f>
        <v>low</v>
      </c>
    </row>
    <row r="4634" spans="1:3">
      <c r="A4634" s="1">
        <v>33</v>
      </c>
      <c r="B4634" s="2">
        <f>Walmart_Sales_raw_data!C4634</f>
        <v>245435.8</v>
      </c>
      <c r="C4634" t="str">
        <f>IF(B4634&gt;=Walmart_Sales_raw_data!$C$6437,"High","low")</f>
        <v>low</v>
      </c>
    </row>
    <row r="4635" spans="1:3">
      <c r="A4635" s="3">
        <v>33</v>
      </c>
      <c r="B4635" s="2">
        <f>Walmart_Sales_raw_data!C4635</f>
        <v>270921.44</v>
      </c>
      <c r="C4635" t="str">
        <f>IF(B4635&gt;=Walmart_Sales_raw_data!$C$6437,"High","low")</f>
        <v>low</v>
      </c>
    </row>
    <row r="4636" spans="1:3">
      <c r="A4636" s="1">
        <v>33</v>
      </c>
      <c r="B4636" s="2">
        <f>Walmart_Sales_raw_data!C4636</f>
        <v>247234.47</v>
      </c>
      <c r="C4636" t="str">
        <f>IF(B4636&gt;=Walmart_Sales_raw_data!$C$6437,"High","low")</f>
        <v>low</v>
      </c>
    </row>
    <row r="4637" spans="1:3">
      <c r="A4637" s="3">
        <v>33</v>
      </c>
      <c r="B4637" s="2">
        <f>Walmart_Sales_raw_data!C4637</f>
        <v>238084.08</v>
      </c>
      <c r="C4637" t="str">
        <f>IF(B4637&gt;=Walmart_Sales_raw_data!$C$6437,"High","low")</f>
        <v>low</v>
      </c>
    </row>
    <row r="4638" spans="1:3">
      <c r="A4638" s="1">
        <v>33</v>
      </c>
      <c r="B4638" s="2">
        <f>Walmart_Sales_raw_data!C4638</f>
        <v>232769.09</v>
      </c>
      <c r="C4638" t="str">
        <f>IF(B4638&gt;=Walmart_Sales_raw_data!$C$6437,"High","low")</f>
        <v>low</v>
      </c>
    </row>
    <row r="4639" spans="1:3">
      <c r="A4639" s="3">
        <v>33</v>
      </c>
      <c r="B4639" s="2">
        <f>Walmart_Sales_raw_data!C4639</f>
        <v>271924.73</v>
      </c>
      <c r="C4639" t="str">
        <f>IF(B4639&gt;=Walmart_Sales_raw_data!$C$6437,"High","low")</f>
        <v>low</v>
      </c>
    </row>
    <row r="4640" spans="1:3">
      <c r="A4640" s="1">
        <v>33</v>
      </c>
      <c r="B4640" s="2">
        <f>Walmart_Sales_raw_data!C4640</f>
        <v>275749.56</v>
      </c>
      <c r="C4640" t="str">
        <f>IF(B4640&gt;=Walmart_Sales_raw_data!$C$6437,"High","low")</f>
        <v>low</v>
      </c>
    </row>
    <row r="4641" spans="1:3">
      <c r="A4641" s="3">
        <v>33</v>
      </c>
      <c r="B4641" s="2">
        <f>Walmart_Sales_raw_data!C4641</f>
        <v>248603.3</v>
      </c>
      <c r="C4641" t="str">
        <f>IF(B4641&gt;=Walmart_Sales_raw_data!$C$6437,"High","low")</f>
        <v>low</v>
      </c>
    </row>
    <row r="4642" spans="1:3">
      <c r="A4642" s="1">
        <v>33</v>
      </c>
      <c r="B4642" s="2">
        <f>Walmart_Sales_raw_data!C4642</f>
        <v>248561.86</v>
      </c>
      <c r="C4642" t="str">
        <f>IF(B4642&gt;=Walmart_Sales_raw_data!$C$6437,"High","low")</f>
        <v>low</v>
      </c>
    </row>
    <row r="4643" spans="1:3">
      <c r="A4643" s="3">
        <v>33</v>
      </c>
      <c r="B4643" s="2">
        <f>Walmart_Sales_raw_data!C4643</f>
        <v>257031.19</v>
      </c>
      <c r="C4643" t="str">
        <f>IF(B4643&gt;=Walmart_Sales_raw_data!$C$6437,"High","low")</f>
        <v>low</v>
      </c>
    </row>
    <row r="4644" spans="1:3">
      <c r="A4644" s="1">
        <v>33</v>
      </c>
      <c r="B4644" s="2">
        <f>Walmart_Sales_raw_data!C4644</f>
        <v>279466.87</v>
      </c>
      <c r="C4644" t="str">
        <f>IF(B4644&gt;=Walmart_Sales_raw_data!$C$6437,"High","low")</f>
        <v>low</v>
      </c>
    </row>
    <row r="4645" spans="1:3">
      <c r="A4645" s="3">
        <v>33</v>
      </c>
      <c r="B4645" s="2">
        <f>Walmart_Sales_raw_data!C4645</f>
        <v>239206.26</v>
      </c>
      <c r="C4645" t="str">
        <f>IF(B4645&gt;=Walmart_Sales_raw_data!$C$6437,"High","low")</f>
        <v>low</v>
      </c>
    </row>
    <row r="4646" spans="1:3">
      <c r="A4646" s="1">
        <v>33</v>
      </c>
      <c r="B4646" s="2">
        <f>Walmart_Sales_raw_data!C4646</f>
        <v>239431.85</v>
      </c>
      <c r="C4646" t="str">
        <f>IF(B4646&gt;=Walmart_Sales_raw_data!$C$6437,"High","low")</f>
        <v>low</v>
      </c>
    </row>
    <row r="4647" spans="1:3">
      <c r="A4647" s="3">
        <v>33</v>
      </c>
      <c r="B4647" s="2">
        <f>Walmart_Sales_raw_data!C4647</f>
        <v>243477.03</v>
      </c>
      <c r="C4647" t="str">
        <f>IF(B4647&gt;=Walmart_Sales_raw_data!$C$6437,"High","low")</f>
        <v>low</v>
      </c>
    </row>
    <row r="4648" spans="1:3">
      <c r="A4648" s="1">
        <v>33</v>
      </c>
      <c r="B4648" s="2">
        <f>Walmart_Sales_raw_data!C4648</f>
        <v>258427.39</v>
      </c>
      <c r="C4648" t="str">
        <f>IF(B4648&gt;=Walmart_Sales_raw_data!$C$6437,"High","low")</f>
        <v>low</v>
      </c>
    </row>
    <row r="4649" spans="1:3">
      <c r="A4649" s="3">
        <v>33</v>
      </c>
      <c r="B4649" s="2">
        <f>Walmart_Sales_raw_data!C4649</f>
        <v>238172.66</v>
      </c>
      <c r="C4649" t="str">
        <f>IF(B4649&gt;=Walmart_Sales_raw_data!$C$6437,"High","low")</f>
        <v>low</v>
      </c>
    </row>
    <row r="4650" spans="1:3">
      <c r="A4650" s="1">
        <v>33</v>
      </c>
      <c r="B4650" s="2">
        <f>Walmart_Sales_raw_data!C4650</f>
        <v>238433.53</v>
      </c>
      <c r="C4650" t="str">
        <f>IF(B4650&gt;=Walmart_Sales_raw_data!$C$6437,"High","low")</f>
        <v>low</v>
      </c>
    </row>
    <row r="4651" spans="1:3">
      <c r="A4651" s="3">
        <v>33</v>
      </c>
      <c r="B4651" s="2">
        <f>Walmart_Sales_raw_data!C4651</f>
        <v>226702.36</v>
      </c>
      <c r="C4651" t="str">
        <f>IF(B4651&gt;=Walmart_Sales_raw_data!$C$6437,"High","low")</f>
        <v>low</v>
      </c>
    </row>
    <row r="4652" spans="1:3">
      <c r="A4652" s="1">
        <v>33</v>
      </c>
      <c r="B4652" s="2">
        <f>Walmart_Sales_raw_data!C4652</f>
        <v>262717.71</v>
      </c>
      <c r="C4652" t="str">
        <f>IF(B4652&gt;=Walmart_Sales_raw_data!$C$6437,"High","low")</f>
        <v>low</v>
      </c>
    </row>
    <row r="4653" spans="1:3">
      <c r="A4653" s="3">
        <v>33</v>
      </c>
      <c r="B4653" s="2">
        <f>Walmart_Sales_raw_data!C4653</f>
        <v>265003.47</v>
      </c>
      <c r="C4653" t="str">
        <f>IF(B4653&gt;=Walmart_Sales_raw_data!$C$6437,"High","low")</f>
        <v>low</v>
      </c>
    </row>
    <row r="4654" spans="1:3">
      <c r="A4654" s="1">
        <v>33</v>
      </c>
      <c r="B4654" s="2">
        <f>Walmart_Sales_raw_data!C4654</f>
        <v>238915.05</v>
      </c>
      <c r="C4654" t="str">
        <f>IF(B4654&gt;=Walmart_Sales_raw_data!$C$6437,"High","low")</f>
        <v>low</v>
      </c>
    </row>
    <row r="4655" spans="1:3">
      <c r="A4655" s="3">
        <v>33</v>
      </c>
      <c r="B4655" s="2">
        <f>Walmart_Sales_raw_data!C4655</f>
        <v>224806.96</v>
      </c>
      <c r="C4655" t="str">
        <f>IF(B4655&gt;=Walmart_Sales_raw_data!$C$6437,"High","low")</f>
        <v>low</v>
      </c>
    </row>
    <row r="4656" spans="1:3">
      <c r="A4656" s="1">
        <v>33</v>
      </c>
      <c r="B4656" s="2">
        <f>Walmart_Sales_raw_data!C4656</f>
        <v>242456.39</v>
      </c>
      <c r="C4656" t="str">
        <f>IF(B4656&gt;=Walmart_Sales_raw_data!$C$6437,"High","low")</f>
        <v>low</v>
      </c>
    </row>
    <row r="4657" spans="1:3">
      <c r="A4657" s="3">
        <v>33</v>
      </c>
      <c r="B4657" s="2">
        <f>Walmart_Sales_raw_data!C4657</f>
        <v>274721.85</v>
      </c>
      <c r="C4657" t="str">
        <f>IF(B4657&gt;=Walmart_Sales_raw_data!$C$6437,"High","low")</f>
        <v>low</v>
      </c>
    </row>
    <row r="4658" spans="1:3">
      <c r="A4658" s="1">
        <v>33</v>
      </c>
      <c r="B4658" s="2">
        <f>Walmart_Sales_raw_data!C4658</f>
        <v>242771.37</v>
      </c>
      <c r="C4658" t="str">
        <f>IF(B4658&gt;=Walmart_Sales_raw_data!$C$6437,"High","low")</f>
        <v>low</v>
      </c>
    </row>
    <row r="4659" spans="1:3">
      <c r="A4659" s="3">
        <v>33</v>
      </c>
      <c r="B4659" s="2">
        <f>Walmart_Sales_raw_data!C4659</f>
        <v>237095.82</v>
      </c>
      <c r="C4659" t="str">
        <f>IF(B4659&gt;=Walmart_Sales_raw_data!$C$6437,"High","low")</f>
        <v>low</v>
      </c>
    </row>
    <row r="4660" spans="1:3">
      <c r="A4660" s="1">
        <v>33</v>
      </c>
      <c r="B4660" s="2">
        <f>Walmart_Sales_raw_data!C4660</f>
        <v>239198.36</v>
      </c>
      <c r="C4660" t="str">
        <f>IF(B4660&gt;=Walmart_Sales_raw_data!$C$6437,"High","low")</f>
        <v>low</v>
      </c>
    </row>
    <row r="4661" spans="1:3">
      <c r="A4661" s="3">
        <v>33</v>
      </c>
      <c r="B4661" s="2">
        <f>Walmart_Sales_raw_data!C4661</f>
        <v>281842.28</v>
      </c>
      <c r="C4661" t="str">
        <f>IF(B4661&gt;=Walmart_Sales_raw_data!$C$6437,"High","low")</f>
        <v>low</v>
      </c>
    </row>
    <row r="4662" spans="1:3">
      <c r="A4662" s="1">
        <v>33</v>
      </c>
      <c r="B4662" s="2">
        <f>Walmart_Sales_raw_data!C4662</f>
        <v>262407.57</v>
      </c>
      <c r="C4662" t="str">
        <f>IF(B4662&gt;=Walmart_Sales_raw_data!$C$6437,"High","low")</f>
        <v>low</v>
      </c>
    </row>
    <row r="4663" spans="1:3">
      <c r="A4663" s="3">
        <v>33</v>
      </c>
      <c r="B4663" s="2">
        <f>Walmart_Sales_raw_data!C4663</f>
        <v>234793.12</v>
      </c>
      <c r="C4663" t="str">
        <f>IF(B4663&gt;=Walmart_Sales_raw_data!$C$6437,"High","low")</f>
        <v>low</v>
      </c>
    </row>
    <row r="4664" spans="1:3">
      <c r="A4664" s="1">
        <v>33</v>
      </c>
      <c r="B4664" s="2">
        <f>Walmart_Sales_raw_data!C4664</f>
        <v>229731.98</v>
      </c>
      <c r="C4664" t="str">
        <f>IF(B4664&gt;=Walmart_Sales_raw_data!$C$6437,"High","low")</f>
        <v>low</v>
      </c>
    </row>
    <row r="4665" spans="1:3">
      <c r="A4665" s="3">
        <v>33</v>
      </c>
      <c r="B4665" s="2">
        <f>Walmart_Sales_raw_data!C4665</f>
        <v>262159.13</v>
      </c>
      <c r="C4665" t="str">
        <f>IF(B4665&gt;=Walmart_Sales_raw_data!$C$6437,"High","low")</f>
        <v>low</v>
      </c>
    </row>
    <row r="4666" spans="1:3">
      <c r="A4666" s="1">
        <v>33</v>
      </c>
      <c r="B4666" s="2">
        <f>Walmart_Sales_raw_data!C4666</f>
        <v>272487.33</v>
      </c>
      <c r="C4666" t="str">
        <f>IF(B4666&gt;=Walmart_Sales_raw_data!$C$6437,"High","low")</f>
        <v>low</v>
      </c>
    </row>
    <row r="4667" spans="1:3">
      <c r="A4667" s="3">
        <v>33</v>
      </c>
      <c r="B4667" s="2">
        <f>Walmart_Sales_raw_data!C4667</f>
        <v>233543.08</v>
      </c>
      <c r="C4667" t="str">
        <f>IF(B4667&gt;=Walmart_Sales_raw_data!$C$6437,"High","low")</f>
        <v>low</v>
      </c>
    </row>
    <row r="4668" spans="1:3">
      <c r="A4668" s="1">
        <v>33</v>
      </c>
      <c r="B4668" s="2">
        <f>Walmart_Sales_raw_data!C4668</f>
        <v>231319.96</v>
      </c>
      <c r="C4668" t="str">
        <f>IF(B4668&gt;=Walmart_Sales_raw_data!$C$6437,"High","low")</f>
        <v>low</v>
      </c>
    </row>
    <row r="4669" spans="1:3">
      <c r="A4669" s="3">
        <v>33</v>
      </c>
      <c r="B4669" s="2">
        <f>Walmart_Sales_raw_data!C4669</f>
        <v>236157.12</v>
      </c>
      <c r="C4669" t="str">
        <f>IF(B4669&gt;=Walmart_Sales_raw_data!$C$6437,"High","low")</f>
        <v>low</v>
      </c>
    </row>
    <row r="4670" spans="1:3">
      <c r="A4670" s="1">
        <v>33</v>
      </c>
      <c r="B4670" s="2">
        <f>Walmart_Sales_raw_data!C4670</f>
        <v>271961.04</v>
      </c>
      <c r="C4670" t="str">
        <f>IF(B4670&gt;=Walmart_Sales_raw_data!$C$6437,"High","low")</f>
        <v>low</v>
      </c>
    </row>
    <row r="4671" spans="1:3">
      <c r="A4671" s="3">
        <v>33</v>
      </c>
      <c r="B4671" s="2">
        <f>Walmart_Sales_raw_data!C4671</f>
        <v>251294.5</v>
      </c>
      <c r="C4671" t="str">
        <f>IF(B4671&gt;=Walmart_Sales_raw_data!$C$6437,"High","low")</f>
        <v>low</v>
      </c>
    </row>
    <row r="4672" spans="1:3">
      <c r="A4672" s="1">
        <v>33</v>
      </c>
      <c r="B4672" s="2">
        <f>Walmart_Sales_raw_data!C4672</f>
        <v>255996.47</v>
      </c>
      <c r="C4672" t="str">
        <f>IF(B4672&gt;=Walmart_Sales_raw_data!$C$6437,"High","low")</f>
        <v>low</v>
      </c>
    </row>
    <row r="4673" spans="1:3">
      <c r="A4673" s="3">
        <v>33</v>
      </c>
      <c r="B4673" s="2">
        <f>Walmart_Sales_raw_data!C4673</f>
        <v>220060.35</v>
      </c>
      <c r="C4673" t="str">
        <f>IF(B4673&gt;=Walmart_Sales_raw_data!$C$6437,"High","low")</f>
        <v>low</v>
      </c>
    </row>
    <row r="4674" spans="1:3">
      <c r="A4674" s="1">
        <v>33</v>
      </c>
      <c r="B4674" s="2">
        <f>Walmart_Sales_raw_data!C4674</f>
        <v>270373.05</v>
      </c>
      <c r="C4674" t="str">
        <f>IF(B4674&gt;=Walmart_Sales_raw_data!$C$6437,"High","low")</f>
        <v>low</v>
      </c>
    </row>
    <row r="4675" spans="1:3">
      <c r="A4675" s="3">
        <v>33</v>
      </c>
      <c r="B4675" s="2">
        <f>Walmart_Sales_raw_data!C4675</f>
        <v>259638.35</v>
      </c>
      <c r="C4675" t="str">
        <f>IF(B4675&gt;=Walmart_Sales_raw_data!$C$6437,"High","low")</f>
        <v>low</v>
      </c>
    </row>
    <row r="4676" spans="1:3">
      <c r="A4676" s="1">
        <v>33</v>
      </c>
      <c r="B4676" s="2">
        <f>Walmart_Sales_raw_data!C4676</f>
        <v>256235.19</v>
      </c>
      <c r="C4676" t="str">
        <f>IF(B4676&gt;=Walmart_Sales_raw_data!$C$6437,"High","low")</f>
        <v>low</v>
      </c>
    </row>
    <row r="4677" spans="1:3">
      <c r="A4677" s="3">
        <v>33</v>
      </c>
      <c r="B4677" s="2">
        <f>Walmart_Sales_raw_data!C4677</f>
        <v>215359.21</v>
      </c>
      <c r="C4677" t="str">
        <f>IF(B4677&gt;=Walmart_Sales_raw_data!$C$6437,"High","low")</f>
        <v>low</v>
      </c>
    </row>
    <row r="4678" spans="1:3">
      <c r="A4678" s="1">
        <v>33</v>
      </c>
      <c r="B4678" s="2">
        <f>Walmart_Sales_raw_data!C4678</f>
        <v>267058.08</v>
      </c>
      <c r="C4678" t="str">
        <f>IF(B4678&gt;=Walmart_Sales_raw_data!$C$6437,"High","low")</f>
        <v>low</v>
      </c>
    </row>
    <row r="4679" spans="1:3">
      <c r="A4679" s="3">
        <v>33</v>
      </c>
      <c r="B4679" s="2">
        <f>Walmart_Sales_raw_data!C4679</f>
        <v>279447.22</v>
      </c>
      <c r="C4679" t="str">
        <f>IF(B4679&gt;=Walmart_Sales_raw_data!$C$6437,"High","low")</f>
        <v>low</v>
      </c>
    </row>
    <row r="4680" spans="1:3">
      <c r="A4680" s="1">
        <v>33</v>
      </c>
      <c r="B4680" s="2">
        <f>Walmart_Sales_raw_data!C4680</f>
        <v>244899.2</v>
      </c>
      <c r="C4680" t="str">
        <f>IF(B4680&gt;=Walmart_Sales_raw_data!$C$6437,"High","low")</f>
        <v>low</v>
      </c>
    </row>
    <row r="4681" spans="1:3">
      <c r="A4681" s="3">
        <v>33</v>
      </c>
      <c r="B4681" s="2">
        <f>Walmart_Sales_raw_data!C4681</f>
        <v>236920.49</v>
      </c>
      <c r="C4681" t="str">
        <f>IF(B4681&gt;=Walmart_Sales_raw_data!$C$6437,"High","low")</f>
        <v>low</v>
      </c>
    </row>
    <row r="4682" spans="1:3">
      <c r="A4682" s="1">
        <v>33</v>
      </c>
      <c r="B4682" s="2">
        <f>Walmart_Sales_raw_data!C4682</f>
        <v>256091.32</v>
      </c>
      <c r="C4682" t="str">
        <f>IF(B4682&gt;=Walmart_Sales_raw_data!$C$6437,"High","low")</f>
        <v>low</v>
      </c>
    </row>
    <row r="4683" spans="1:3">
      <c r="A4683" s="3">
        <v>33</v>
      </c>
      <c r="B4683" s="2">
        <f>Walmart_Sales_raw_data!C4683</f>
        <v>282552.58</v>
      </c>
      <c r="C4683" t="str">
        <f>IF(B4683&gt;=Walmart_Sales_raw_data!$C$6437,"High","low")</f>
        <v>low</v>
      </c>
    </row>
    <row r="4684" spans="1:3">
      <c r="A4684" s="1">
        <v>33</v>
      </c>
      <c r="B4684" s="2">
        <f>Walmart_Sales_raw_data!C4684</f>
        <v>266300.98</v>
      </c>
      <c r="C4684" t="str">
        <f>IF(B4684&gt;=Walmart_Sales_raw_data!$C$6437,"High","low")</f>
        <v>low</v>
      </c>
    </row>
    <row r="4685" spans="1:3">
      <c r="A4685" s="3">
        <v>33</v>
      </c>
      <c r="B4685" s="2">
        <f>Walmart_Sales_raw_data!C4685</f>
        <v>242526.7</v>
      </c>
      <c r="C4685" t="str">
        <f>IF(B4685&gt;=Walmart_Sales_raw_data!$C$6437,"High","low")</f>
        <v>low</v>
      </c>
    </row>
    <row r="4686" spans="1:3">
      <c r="A4686" s="1">
        <v>33</v>
      </c>
      <c r="B4686" s="2">
        <f>Walmart_Sales_raw_data!C4686</f>
        <v>248051.53</v>
      </c>
      <c r="C4686" t="str">
        <f>IF(B4686&gt;=Walmart_Sales_raw_data!$C$6437,"High","low")</f>
        <v>low</v>
      </c>
    </row>
    <row r="4687" spans="1:3">
      <c r="A4687" s="3">
        <v>33</v>
      </c>
      <c r="B4687" s="2">
        <f>Walmart_Sales_raw_data!C4687</f>
        <v>287346.29</v>
      </c>
      <c r="C4687" t="str">
        <f>IF(B4687&gt;=Walmart_Sales_raw_data!$C$6437,"High","low")</f>
        <v>low</v>
      </c>
    </row>
    <row r="4688" spans="1:3">
      <c r="A4688" s="1">
        <v>33</v>
      </c>
      <c r="B4688" s="2">
        <f>Walmart_Sales_raw_data!C4688</f>
        <v>278067.73</v>
      </c>
      <c r="C4688" t="str">
        <f>IF(B4688&gt;=Walmart_Sales_raw_data!$C$6437,"High","low")</f>
        <v>low</v>
      </c>
    </row>
    <row r="4689" spans="1:3">
      <c r="A4689" s="3">
        <v>33</v>
      </c>
      <c r="B4689" s="2">
        <f>Walmart_Sales_raw_data!C4689</f>
        <v>246970.97</v>
      </c>
      <c r="C4689" t="str">
        <f>IF(B4689&gt;=Walmart_Sales_raw_data!$C$6437,"High","low")</f>
        <v>low</v>
      </c>
    </row>
    <row r="4690" spans="1:3">
      <c r="A4690" s="1">
        <v>33</v>
      </c>
      <c r="B4690" s="2">
        <f>Walmart_Sales_raw_data!C4690</f>
        <v>251327.67</v>
      </c>
      <c r="C4690" t="str">
        <f>IF(B4690&gt;=Walmart_Sales_raw_data!$C$6437,"High","low")</f>
        <v>low</v>
      </c>
    </row>
    <row r="4691" spans="1:3">
      <c r="A4691" s="3">
        <v>33</v>
      </c>
      <c r="B4691" s="2">
        <f>Walmart_Sales_raw_data!C4691</f>
        <v>275911.97</v>
      </c>
      <c r="C4691" t="str">
        <f>IF(B4691&gt;=Walmart_Sales_raw_data!$C$6437,"High","low")</f>
        <v>low</v>
      </c>
    </row>
    <row r="4692" spans="1:3">
      <c r="A4692" s="1">
        <v>33</v>
      </c>
      <c r="B4692" s="2">
        <f>Walmart_Sales_raw_data!C4692</f>
        <v>312698.67</v>
      </c>
      <c r="C4692" t="str">
        <f>IF(B4692&gt;=Walmart_Sales_raw_data!$C$6437,"High","low")</f>
        <v>low</v>
      </c>
    </row>
    <row r="4693" spans="1:3">
      <c r="A4693" s="3">
        <v>33</v>
      </c>
      <c r="B4693" s="2">
        <f>Walmart_Sales_raw_data!C4693</f>
        <v>261837.2</v>
      </c>
      <c r="C4693" t="str">
        <f>IF(B4693&gt;=Walmart_Sales_raw_data!$C$6437,"High","low")</f>
        <v>low</v>
      </c>
    </row>
    <row r="4694" spans="1:3">
      <c r="A4694" s="1">
        <v>33</v>
      </c>
      <c r="B4694" s="2">
        <f>Walmart_Sales_raw_data!C4694</f>
        <v>249798.75</v>
      </c>
      <c r="C4694" t="str">
        <f>IF(B4694&gt;=Walmart_Sales_raw_data!$C$6437,"High","low")</f>
        <v>low</v>
      </c>
    </row>
    <row r="4695" spans="1:3">
      <c r="A4695" s="3">
        <v>33</v>
      </c>
      <c r="B4695" s="2">
        <f>Walmart_Sales_raw_data!C4695</f>
        <v>270497.51</v>
      </c>
      <c r="C4695" t="str">
        <f>IF(B4695&gt;=Walmart_Sales_raw_data!$C$6437,"High","low")</f>
        <v>low</v>
      </c>
    </row>
    <row r="4696" spans="1:3">
      <c r="A4696" s="1">
        <v>33</v>
      </c>
      <c r="B4696" s="2">
        <f>Walmart_Sales_raw_data!C4696</f>
        <v>295841.84</v>
      </c>
      <c r="C4696" t="str">
        <f>IF(B4696&gt;=Walmart_Sales_raw_data!$C$6437,"High","low")</f>
        <v>low</v>
      </c>
    </row>
    <row r="4697" spans="1:3">
      <c r="A4697" s="3">
        <v>33</v>
      </c>
      <c r="B4697" s="2">
        <f>Walmart_Sales_raw_data!C4697</f>
        <v>276899.95</v>
      </c>
      <c r="C4697" t="str">
        <f>IF(B4697&gt;=Walmart_Sales_raw_data!$C$6437,"High","low")</f>
        <v>low</v>
      </c>
    </row>
    <row r="4698" spans="1:3">
      <c r="A4698" s="1">
        <v>33</v>
      </c>
      <c r="B4698" s="2">
        <f>Walmart_Sales_raw_data!C4698</f>
        <v>261851.74</v>
      </c>
      <c r="C4698" t="str">
        <f>IF(B4698&gt;=Walmart_Sales_raw_data!$C$6437,"High","low")</f>
        <v>low</v>
      </c>
    </row>
    <row r="4699" spans="1:3">
      <c r="A4699" s="3">
        <v>33</v>
      </c>
      <c r="B4699" s="2">
        <f>Walmart_Sales_raw_data!C4699</f>
        <v>261131.09</v>
      </c>
      <c r="C4699" t="str">
        <f>IF(B4699&gt;=Walmart_Sales_raw_data!$C$6437,"High","low")</f>
        <v>low</v>
      </c>
    </row>
    <row r="4700" spans="1:3">
      <c r="A4700" s="1">
        <v>33</v>
      </c>
      <c r="B4700" s="2">
        <f>Walmart_Sales_raw_data!C4700</f>
        <v>286082.76</v>
      </c>
      <c r="C4700" t="str">
        <f>IF(B4700&gt;=Walmart_Sales_raw_data!$C$6437,"High","low")</f>
        <v>low</v>
      </c>
    </row>
    <row r="4701" spans="1:3">
      <c r="A4701" s="3">
        <v>33</v>
      </c>
      <c r="B4701" s="2">
        <f>Walmart_Sales_raw_data!C4701</f>
        <v>290444.31</v>
      </c>
      <c r="C4701" t="str">
        <f>IF(B4701&gt;=Walmart_Sales_raw_data!$C$6437,"High","low")</f>
        <v>low</v>
      </c>
    </row>
    <row r="4702" spans="1:3">
      <c r="A4702" s="1">
        <v>33</v>
      </c>
      <c r="B4702" s="2">
        <f>Walmart_Sales_raw_data!C4702</f>
        <v>261666.29</v>
      </c>
      <c r="C4702" t="str">
        <f>IF(B4702&gt;=Walmart_Sales_raw_data!$C$6437,"High","low")</f>
        <v>low</v>
      </c>
    </row>
    <row r="4703" spans="1:3">
      <c r="A4703" s="3">
        <v>33</v>
      </c>
      <c r="B4703" s="2">
        <f>Walmart_Sales_raw_data!C4703</f>
        <v>244338.31</v>
      </c>
      <c r="C4703" t="str">
        <f>IF(B4703&gt;=Walmart_Sales_raw_data!$C$6437,"High","low")</f>
        <v>low</v>
      </c>
    </row>
    <row r="4704" spans="1:3">
      <c r="A4704" s="1">
        <v>33</v>
      </c>
      <c r="B4704" s="2">
        <f>Walmart_Sales_raw_data!C4704</f>
        <v>273690.37</v>
      </c>
      <c r="C4704" t="str">
        <f>IF(B4704&gt;=Walmart_Sales_raw_data!$C$6437,"High","low")</f>
        <v>low</v>
      </c>
    </row>
    <row r="4705" spans="1:3">
      <c r="A4705" s="3">
        <v>33</v>
      </c>
      <c r="B4705" s="2">
        <f>Walmart_Sales_raw_data!C4705</f>
        <v>287033.64</v>
      </c>
      <c r="C4705" t="str">
        <f>IF(B4705&gt;=Walmart_Sales_raw_data!$C$6437,"High","low")</f>
        <v>low</v>
      </c>
    </row>
    <row r="4706" spans="1:3">
      <c r="A4706" s="1">
        <v>33</v>
      </c>
      <c r="B4706" s="2">
        <f>Walmart_Sales_raw_data!C4706</f>
        <v>253205.89</v>
      </c>
      <c r="C4706" t="str">
        <f>IF(B4706&gt;=Walmart_Sales_raw_data!$C$6437,"High","low")</f>
        <v>low</v>
      </c>
    </row>
    <row r="4707" spans="1:3">
      <c r="A4707" s="3">
        <v>33</v>
      </c>
      <c r="B4707" s="2">
        <f>Walmart_Sales_raw_data!C4707</f>
        <v>249134.32</v>
      </c>
      <c r="C4707" t="str">
        <f>IF(B4707&gt;=Walmart_Sales_raw_data!$C$6437,"High","low")</f>
        <v>low</v>
      </c>
    </row>
    <row r="4708" spans="1:3">
      <c r="A4708" s="1">
        <v>33</v>
      </c>
      <c r="B4708" s="2">
        <f>Walmart_Sales_raw_data!C4708</f>
        <v>258533.12</v>
      </c>
      <c r="C4708" t="str">
        <f>IF(B4708&gt;=Walmart_Sales_raw_data!$C$6437,"High","low")</f>
        <v>low</v>
      </c>
    </row>
    <row r="4709" spans="1:3">
      <c r="A4709" s="3">
        <v>33</v>
      </c>
      <c r="B4709" s="2">
        <f>Walmart_Sales_raw_data!C4709</f>
        <v>297753.49</v>
      </c>
      <c r="C4709" t="str">
        <f>IF(B4709&gt;=Walmart_Sales_raw_data!$C$6437,"High","low")</f>
        <v>low</v>
      </c>
    </row>
    <row r="4710" spans="1:3">
      <c r="A4710" s="1">
        <v>33</v>
      </c>
      <c r="B4710" s="2">
        <f>Walmart_Sales_raw_data!C4710</f>
        <v>270097.76</v>
      </c>
      <c r="C4710" t="str">
        <f>IF(B4710&gt;=Walmart_Sales_raw_data!$C$6437,"High","low")</f>
        <v>low</v>
      </c>
    </row>
    <row r="4711" spans="1:3">
      <c r="A4711" s="3">
        <v>33</v>
      </c>
      <c r="B4711" s="2">
        <f>Walmart_Sales_raw_data!C4711</f>
        <v>247672.56</v>
      </c>
      <c r="C4711" t="str">
        <f>IF(B4711&gt;=Walmart_Sales_raw_data!$C$6437,"High","low")</f>
        <v>low</v>
      </c>
    </row>
    <row r="4712" spans="1:3">
      <c r="A4712" s="1">
        <v>33</v>
      </c>
      <c r="B4712" s="2">
        <f>Walmart_Sales_raw_data!C4712</f>
        <v>237129.81</v>
      </c>
      <c r="C4712" t="str">
        <f>IF(B4712&gt;=Walmart_Sales_raw_data!$C$6437,"High","low")</f>
        <v>low</v>
      </c>
    </row>
    <row r="4713" spans="1:3">
      <c r="A4713" s="3">
        <v>33</v>
      </c>
      <c r="B4713" s="2">
        <f>Walmart_Sales_raw_data!C4713</f>
        <v>286428.78</v>
      </c>
      <c r="C4713" t="str">
        <f>IF(B4713&gt;=Walmart_Sales_raw_data!$C$6437,"High","low")</f>
        <v>low</v>
      </c>
    </row>
    <row r="4714" spans="1:3">
      <c r="A4714" s="1">
        <v>33</v>
      </c>
      <c r="B4714" s="2">
        <f>Walmart_Sales_raw_data!C4714</f>
        <v>277417.53</v>
      </c>
      <c r="C4714" t="str">
        <f>IF(B4714&gt;=Walmart_Sales_raw_data!$C$6437,"High","low")</f>
        <v>low</v>
      </c>
    </row>
    <row r="4715" spans="1:3">
      <c r="A4715" s="3">
        <v>33</v>
      </c>
      <c r="B4715" s="2">
        <f>Walmart_Sales_raw_data!C4715</f>
        <v>252709.58</v>
      </c>
      <c r="C4715" t="str">
        <f>IF(B4715&gt;=Walmart_Sales_raw_data!$C$6437,"High","low")</f>
        <v>low</v>
      </c>
    </row>
    <row r="4716" spans="1:3">
      <c r="A4716" s="1">
        <v>33</v>
      </c>
      <c r="B4716" s="2">
        <f>Walmart_Sales_raw_data!C4716</f>
        <v>242813.51</v>
      </c>
      <c r="C4716" t="str">
        <f>IF(B4716&gt;=Walmart_Sales_raw_data!$C$6437,"High","low")</f>
        <v>low</v>
      </c>
    </row>
    <row r="4717" spans="1:3">
      <c r="A4717" s="3">
        <v>33</v>
      </c>
      <c r="B4717" s="2">
        <f>Walmart_Sales_raw_data!C4717</f>
        <v>265444.9</v>
      </c>
      <c r="C4717" t="str">
        <f>IF(B4717&gt;=Walmart_Sales_raw_data!$C$6437,"High","low")</f>
        <v>low</v>
      </c>
    </row>
    <row r="4718" spans="1:3">
      <c r="A4718" s="1">
        <v>33</v>
      </c>
      <c r="B4718" s="2">
        <f>Walmart_Sales_raw_data!C4718</f>
        <v>291781.15</v>
      </c>
      <c r="C4718" t="str">
        <f>IF(B4718&gt;=Walmart_Sales_raw_data!$C$6437,"High","low")</f>
        <v>low</v>
      </c>
    </row>
    <row r="4719" spans="1:3">
      <c r="A4719" s="3">
        <v>33</v>
      </c>
      <c r="B4719" s="2">
        <f>Walmart_Sales_raw_data!C4719</f>
        <v>254412.34</v>
      </c>
      <c r="C4719" t="str">
        <f>IF(B4719&gt;=Walmart_Sales_raw_data!$C$6437,"High","low")</f>
        <v>low</v>
      </c>
    </row>
    <row r="4720" spans="1:3">
      <c r="A4720" s="1">
        <v>33</v>
      </c>
      <c r="B4720" s="2">
        <f>Walmart_Sales_raw_data!C4720</f>
        <v>253731.13</v>
      </c>
      <c r="C4720" t="str">
        <f>IF(B4720&gt;=Walmart_Sales_raw_data!$C$6437,"High","low")</f>
        <v>low</v>
      </c>
    </row>
    <row r="4721" spans="1:3">
      <c r="A4721" s="3">
        <v>34</v>
      </c>
      <c r="B4721" s="2">
        <f>Walmart_Sales_raw_data!C4721</f>
        <v>956228.96</v>
      </c>
      <c r="C4721" t="str">
        <f>IF(B4721&gt;=Walmart_Sales_raw_data!$C$6437,"High","low")</f>
        <v>low</v>
      </c>
    </row>
    <row r="4722" spans="1:3">
      <c r="A4722" s="1">
        <v>34</v>
      </c>
      <c r="B4722" s="2">
        <f>Walmart_Sales_raw_data!C4722</f>
        <v>994610.99</v>
      </c>
      <c r="C4722" t="str">
        <f>IF(B4722&gt;=Walmart_Sales_raw_data!$C$6437,"High","low")</f>
        <v>low</v>
      </c>
    </row>
    <row r="4723" spans="1:3">
      <c r="A4723" s="3">
        <v>34</v>
      </c>
      <c r="B4723" s="2">
        <f>Walmart_Sales_raw_data!C4723</f>
        <v>983963.07</v>
      </c>
      <c r="C4723" t="str">
        <f>IF(B4723&gt;=Walmart_Sales_raw_data!$C$6437,"High","low")</f>
        <v>low</v>
      </c>
    </row>
    <row r="4724" spans="1:3">
      <c r="A4724" s="1">
        <v>34</v>
      </c>
      <c r="B4724" s="2">
        <f>Walmart_Sales_raw_data!C4724</f>
        <v>905756.13</v>
      </c>
      <c r="C4724" t="str">
        <f>IF(B4724&gt;=Walmart_Sales_raw_data!$C$6437,"High","low")</f>
        <v>low</v>
      </c>
    </row>
    <row r="4725" spans="1:3">
      <c r="A4725" s="3">
        <v>34</v>
      </c>
      <c r="B4725" s="2">
        <f>Walmart_Sales_raw_data!C4725</f>
        <v>918295.79</v>
      </c>
      <c r="C4725" t="str">
        <f>IF(B4725&gt;=Walmart_Sales_raw_data!$C$6437,"High","low")</f>
        <v>low</v>
      </c>
    </row>
    <row r="4726" spans="1:3">
      <c r="A4726" s="1">
        <v>34</v>
      </c>
      <c r="B4726" s="2">
        <f>Walmart_Sales_raw_data!C4726</f>
        <v>921247.88</v>
      </c>
      <c r="C4726" t="str">
        <f>IF(B4726&gt;=Walmart_Sales_raw_data!$C$6437,"High","low")</f>
        <v>low</v>
      </c>
    </row>
    <row r="4727" spans="1:3">
      <c r="A4727" s="3">
        <v>34</v>
      </c>
      <c r="B4727" s="2">
        <f>Walmart_Sales_raw_data!C4727</f>
        <v>892070.82</v>
      </c>
      <c r="C4727" t="str">
        <f>IF(B4727&gt;=Walmart_Sales_raw_data!$C$6437,"High","low")</f>
        <v>low</v>
      </c>
    </row>
    <row r="4728" spans="1:3">
      <c r="A4728" s="1">
        <v>34</v>
      </c>
      <c r="B4728" s="2">
        <f>Walmart_Sales_raw_data!C4728</f>
        <v>880742.35</v>
      </c>
      <c r="C4728" t="str">
        <f>IF(B4728&gt;=Walmart_Sales_raw_data!$C$6437,"High","low")</f>
        <v>low</v>
      </c>
    </row>
    <row r="4729" spans="1:3">
      <c r="A4729" s="3">
        <v>34</v>
      </c>
      <c r="B4729" s="2">
        <f>Walmart_Sales_raw_data!C4729</f>
        <v>979428.66</v>
      </c>
      <c r="C4729" t="str">
        <f>IF(B4729&gt;=Walmart_Sales_raw_data!$C$6437,"High","low")</f>
        <v>low</v>
      </c>
    </row>
    <row r="4730" spans="1:3">
      <c r="A4730" s="1">
        <v>34</v>
      </c>
      <c r="B4730" s="2">
        <f>Walmart_Sales_raw_data!C4730</f>
        <v>950684.2</v>
      </c>
      <c r="C4730" t="str">
        <f>IF(B4730&gt;=Walmart_Sales_raw_data!$C$6437,"High","low")</f>
        <v>low</v>
      </c>
    </row>
    <row r="4731" spans="1:3">
      <c r="A4731" s="3">
        <v>34</v>
      </c>
      <c r="B4731" s="2">
        <f>Walmart_Sales_raw_data!C4731</f>
        <v>923344.54</v>
      </c>
      <c r="C4731" t="str">
        <f>IF(B4731&gt;=Walmart_Sales_raw_data!$C$6437,"High","low")</f>
        <v>low</v>
      </c>
    </row>
    <row r="4732" spans="1:3">
      <c r="A4732" s="1">
        <v>34</v>
      </c>
      <c r="B4732" s="2">
        <f>Walmart_Sales_raw_data!C4732</f>
        <v>910240.68</v>
      </c>
      <c r="C4732" t="str">
        <f>IF(B4732&gt;=Walmart_Sales_raw_data!$C$6437,"High","low")</f>
        <v>low</v>
      </c>
    </row>
    <row r="4733" spans="1:3">
      <c r="A4733" s="3">
        <v>34</v>
      </c>
      <c r="B4733" s="2">
        <f>Walmart_Sales_raw_data!C4733</f>
        <v>859922.19</v>
      </c>
      <c r="C4733" t="str">
        <f>IF(B4733&gt;=Walmart_Sales_raw_data!$C$6437,"High","low")</f>
        <v>low</v>
      </c>
    </row>
    <row r="4734" spans="1:3">
      <c r="A4734" s="1">
        <v>34</v>
      </c>
      <c r="B4734" s="2">
        <f>Walmart_Sales_raw_data!C4734</f>
        <v>953495.48</v>
      </c>
      <c r="C4734" t="str">
        <f>IF(B4734&gt;=Walmart_Sales_raw_data!$C$6437,"High","low")</f>
        <v>low</v>
      </c>
    </row>
    <row r="4735" spans="1:3">
      <c r="A4735" s="3">
        <v>34</v>
      </c>
      <c r="B4735" s="2">
        <f>Walmart_Sales_raw_data!C4735</f>
        <v>933924.44</v>
      </c>
      <c r="C4735" t="str">
        <f>IF(B4735&gt;=Walmart_Sales_raw_data!$C$6437,"High","low")</f>
        <v>low</v>
      </c>
    </row>
    <row r="4736" spans="1:3">
      <c r="A4736" s="1">
        <v>34</v>
      </c>
      <c r="B4736" s="2">
        <f>Walmart_Sales_raw_data!C4736</f>
        <v>913616.32</v>
      </c>
      <c r="C4736" t="str">
        <f>IF(B4736&gt;=Walmart_Sales_raw_data!$C$6437,"High","low")</f>
        <v>low</v>
      </c>
    </row>
    <row r="4737" spans="1:3">
      <c r="A4737" s="3">
        <v>34</v>
      </c>
      <c r="B4737" s="2">
        <f>Walmart_Sales_raw_data!C4737</f>
        <v>942868.38</v>
      </c>
      <c r="C4737" t="str">
        <f>IF(B4737&gt;=Walmart_Sales_raw_data!$C$6437,"High","low")</f>
        <v>low</v>
      </c>
    </row>
    <row r="4738" spans="1:3">
      <c r="A4738" s="1">
        <v>34</v>
      </c>
      <c r="B4738" s="2">
        <f>Walmart_Sales_raw_data!C4738</f>
        <v>966187.51</v>
      </c>
      <c r="C4738" t="str">
        <f>IF(B4738&gt;=Walmart_Sales_raw_data!$C$6437,"High","low")</f>
        <v>low</v>
      </c>
    </row>
    <row r="4739" spans="1:3">
      <c r="A4739" s="3">
        <v>34</v>
      </c>
      <c r="B4739" s="2">
        <f>Walmart_Sales_raw_data!C4739</f>
        <v>954681.56</v>
      </c>
      <c r="C4739" t="str">
        <f>IF(B4739&gt;=Walmart_Sales_raw_data!$C$6437,"High","low")</f>
        <v>low</v>
      </c>
    </row>
    <row r="4740" spans="1:3">
      <c r="A4740" s="1">
        <v>34</v>
      </c>
      <c r="B4740" s="2">
        <f>Walmart_Sales_raw_data!C4740</f>
        <v>941612.04</v>
      </c>
      <c r="C4740" t="str">
        <f>IF(B4740&gt;=Walmart_Sales_raw_data!$C$6437,"High","low")</f>
        <v>low</v>
      </c>
    </row>
    <row r="4741" spans="1:3">
      <c r="A4741" s="3">
        <v>34</v>
      </c>
      <c r="B4741" s="2">
        <f>Walmart_Sales_raw_data!C4741</f>
        <v>895800.07</v>
      </c>
      <c r="C4741" t="str">
        <f>IF(B4741&gt;=Walmart_Sales_raw_data!$C$6437,"High","low")</f>
        <v>low</v>
      </c>
    </row>
    <row r="4742" spans="1:3">
      <c r="A4742" s="1">
        <v>34</v>
      </c>
      <c r="B4742" s="2">
        <f>Walmart_Sales_raw_data!C4742</f>
        <v>919229.36</v>
      </c>
      <c r="C4742" t="str">
        <f>IF(B4742&gt;=Walmart_Sales_raw_data!$C$6437,"High","low")</f>
        <v>low</v>
      </c>
    </row>
    <row r="4743" spans="1:3">
      <c r="A4743" s="3">
        <v>34</v>
      </c>
      <c r="B4743" s="2">
        <f>Walmart_Sales_raw_data!C4743</f>
        <v>911210.81</v>
      </c>
      <c r="C4743" t="str">
        <f>IF(B4743&gt;=Walmart_Sales_raw_data!$C$6437,"High","low")</f>
        <v>low</v>
      </c>
    </row>
    <row r="4744" spans="1:3">
      <c r="A4744" s="1">
        <v>34</v>
      </c>
      <c r="B4744" s="2">
        <f>Walmart_Sales_raw_data!C4744</f>
        <v>930269.79</v>
      </c>
      <c r="C4744" t="str">
        <f>IF(B4744&gt;=Walmart_Sales_raw_data!$C$6437,"High","low")</f>
        <v>low</v>
      </c>
    </row>
    <row r="4745" spans="1:3">
      <c r="A4745" s="3">
        <v>34</v>
      </c>
      <c r="B4745" s="2">
        <f>Walmart_Sales_raw_data!C4745</f>
        <v>902050.95</v>
      </c>
      <c r="C4745" t="str">
        <f>IF(B4745&gt;=Walmart_Sales_raw_data!$C$6437,"High","low")</f>
        <v>low</v>
      </c>
    </row>
    <row r="4746" spans="1:3">
      <c r="A4746" s="1">
        <v>34</v>
      </c>
      <c r="B4746" s="2">
        <f>Walmart_Sales_raw_data!C4746</f>
        <v>875976.83</v>
      </c>
      <c r="C4746" t="str">
        <f>IF(B4746&gt;=Walmart_Sales_raw_data!$C$6437,"High","low")</f>
        <v>low</v>
      </c>
    </row>
    <row r="4747" spans="1:3">
      <c r="A4747" s="3">
        <v>34</v>
      </c>
      <c r="B4747" s="2">
        <f>Walmart_Sales_raw_data!C4747</f>
        <v>987435.35</v>
      </c>
      <c r="C4747" t="str">
        <f>IF(B4747&gt;=Walmart_Sales_raw_data!$C$6437,"High","low")</f>
        <v>low</v>
      </c>
    </row>
    <row r="4748" spans="1:3">
      <c r="A4748" s="1">
        <v>34</v>
      </c>
      <c r="B4748" s="2">
        <f>Walmart_Sales_raw_data!C4748</f>
        <v>951208.65</v>
      </c>
      <c r="C4748" t="str">
        <f>IF(B4748&gt;=Walmart_Sales_raw_data!$C$6437,"High","low")</f>
        <v>low</v>
      </c>
    </row>
    <row r="4749" spans="1:3">
      <c r="A4749" s="3">
        <v>34</v>
      </c>
      <c r="B4749" s="2">
        <f>Walmart_Sales_raw_data!C4749</f>
        <v>985152.94</v>
      </c>
      <c r="C4749" t="str">
        <f>IF(B4749&gt;=Walmart_Sales_raw_data!$C$6437,"High","low")</f>
        <v>low</v>
      </c>
    </row>
    <row r="4750" spans="1:3">
      <c r="A4750" s="1">
        <v>34</v>
      </c>
      <c r="B4750" s="2">
        <f>Walmart_Sales_raw_data!C4750</f>
        <v>855421.39</v>
      </c>
      <c r="C4750" t="str">
        <f>IF(B4750&gt;=Walmart_Sales_raw_data!$C$6437,"High","low")</f>
        <v>low</v>
      </c>
    </row>
    <row r="4751" spans="1:3">
      <c r="A4751" s="3">
        <v>34</v>
      </c>
      <c r="B4751" s="2">
        <f>Walmart_Sales_raw_data!C4751</f>
        <v>964356.74</v>
      </c>
      <c r="C4751" t="str">
        <f>IF(B4751&gt;=Walmart_Sales_raw_data!$C$6437,"High","low")</f>
        <v>low</v>
      </c>
    </row>
    <row r="4752" spans="1:3">
      <c r="A4752" s="1">
        <v>34</v>
      </c>
      <c r="B4752" s="2">
        <f>Walmart_Sales_raw_data!C4752</f>
        <v>932240.96</v>
      </c>
      <c r="C4752" t="str">
        <f>IF(B4752&gt;=Walmart_Sales_raw_data!$C$6437,"High","low")</f>
        <v>low</v>
      </c>
    </row>
    <row r="4753" spans="1:3">
      <c r="A4753" s="3">
        <v>34</v>
      </c>
      <c r="B4753" s="2">
        <f>Walmart_Sales_raw_data!C4753</f>
        <v>885445.47</v>
      </c>
      <c r="C4753" t="str">
        <f>IF(B4753&gt;=Walmart_Sales_raw_data!$C$6437,"High","low")</f>
        <v>low</v>
      </c>
    </row>
    <row r="4754" spans="1:3">
      <c r="A4754" s="1">
        <v>34</v>
      </c>
      <c r="B4754" s="2">
        <f>Walmart_Sales_raw_data!C4754</f>
        <v>867539.07</v>
      </c>
      <c r="C4754" t="str">
        <f>IF(B4754&gt;=Walmart_Sales_raw_data!$C$6437,"High","low")</f>
        <v>low</v>
      </c>
    </row>
    <row r="4755" spans="1:3">
      <c r="A4755" s="3">
        <v>34</v>
      </c>
      <c r="B4755" s="2">
        <f>Walmart_Sales_raw_data!C4755</f>
        <v>865709.11</v>
      </c>
      <c r="C4755" t="str">
        <f>IF(B4755&gt;=Walmart_Sales_raw_data!$C$6437,"High","low")</f>
        <v>low</v>
      </c>
    </row>
    <row r="4756" spans="1:3">
      <c r="A4756" s="1">
        <v>34</v>
      </c>
      <c r="B4756" s="2">
        <f>Walmart_Sales_raw_data!C4756</f>
        <v>931710.67</v>
      </c>
      <c r="C4756" t="str">
        <f>IF(B4756&gt;=Walmart_Sales_raw_data!$C$6437,"High","low")</f>
        <v>low</v>
      </c>
    </row>
    <row r="4757" spans="1:3">
      <c r="A4757" s="3">
        <v>34</v>
      </c>
      <c r="B4757" s="2">
        <f>Walmart_Sales_raw_data!C4757</f>
        <v>888703.62</v>
      </c>
      <c r="C4757" t="str">
        <f>IF(B4757&gt;=Walmart_Sales_raw_data!$C$6437,"High","low")</f>
        <v>low</v>
      </c>
    </row>
    <row r="4758" spans="1:3">
      <c r="A4758" s="1">
        <v>34</v>
      </c>
      <c r="B4758" s="2">
        <f>Walmart_Sales_raw_data!C4758</f>
        <v>936293.6</v>
      </c>
      <c r="C4758" t="str">
        <f>IF(B4758&gt;=Walmart_Sales_raw_data!$C$6437,"High","low")</f>
        <v>low</v>
      </c>
    </row>
    <row r="4759" spans="1:3">
      <c r="A4759" s="3">
        <v>34</v>
      </c>
      <c r="B4759" s="2">
        <f>Walmart_Sales_raw_data!C4759</f>
        <v>926294.02</v>
      </c>
      <c r="C4759" t="str">
        <f>IF(B4759&gt;=Walmart_Sales_raw_data!$C$6437,"High","low")</f>
        <v>low</v>
      </c>
    </row>
    <row r="4760" spans="1:3">
      <c r="A4760" s="1">
        <v>34</v>
      </c>
      <c r="B4760" s="2">
        <f>Walmart_Sales_raw_data!C4760</f>
        <v>972292.31</v>
      </c>
      <c r="C4760" t="str">
        <f>IF(B4760&gt;=Walmart_Sales_raw_data!$C$6437,"High","low")</f>
        <v>low</v>
      </c>
    </row>
    <row r="4761" spans="1:3">
      <c r="A4761" s="3">
        <v>34</v>
      </c>
      <c r="B4761" s="2">
        <f>Walmart_Sales_raw_data!C4761</f>
        <v>979730.78</v>
      </c>
      <c r="C4761" t="str">
        <f>IF(B4761&gt;=Walmart_Sales_raw_data!$C$6437,"High","low")</f>
        <v>low</v>
      </c>
    </row>
    <row r="4762" spans="1:3">
      <c r="A4762" s="1">
        <v>34</v>
      </c>
      <c r="B4762" s="2">
        <f>Walmart_Sales_raw_data!C4762</f>
        <v>955766.33</v>
      </c>
      <c r="C4762" t="str">
        <f>IF(B4762&gt;=Walmart_Sales_raw_data!$C$6437,"High","low")</f>
        <v>low</v>
      </c>
    </row>
    <row r="4763" spans="1:3">
      <c r="A4763" s="3">
        <v>34</v>
      </c>
      <c r="B4763" s="2">
        <f>Walmart_Sales_raw_data!C4763</f>
        <v>1309476.68</v>
      </c>
      <c r="C4763" t="str">
        <f>IF(B4763&gt;=Walmart_Sales_raw_data!$C$6437,"High","low")</f>
        <v>High</v>
      </c>
    </row>
    <row r="4764" spans="1:3">
      <c r="A4764" s="1">
        <v>34</v>
      </c>
      <c r="B4764" s="2">
        <f>Walmart_Sales_raw_data!C4764</f>
        <v>1001512.21</v>
      </c>
      <c r="C4764" t="str">
        <f>IF(B4764&gt;=Walmart_Sales_raw_data!$C$6437,"High","low")</f>
        <v>low</v>
      </c>
    </row>
    <row r="4765" spans="1:3">
      <c r="A4765" s="3">
        <v>34</v>
      </c>
      <c r="B4765" s="2">
        <f>Walmart_Sales_raw_data!C4765</f>
        <v>1086661.02</v>
      </c>
      <c r="C4765" t="str">
        <f>IF(B4765&gt;=Walmart_Sales_raw_data!$C$6437,"High","low")</f>
        <v>High</v>
      </c>
    </row>
    <row r="4766" spans="1:3">
      <c r="A4766" s="1">
        <v>34</v>
      </c>
      <c r="B4766" s="2">
        <f>Walmart_Sales_raw_data!C4766</f>
        <v>1227148.13</v>
      </c>
      <c r="C4766" t="str">
        <f>IF(B4766&gt;=Walmart_Sales_raw_data!$C$6437,"High","low")</f>
        <v>High</v>
      </c>
    </row>
    <row r="4767" spans="1:3">
      <c r="A4767" s="3">
        <v>34</v>
      </c>
      <c r="B4767" s="2">
        <f>Walmart_Sales_raw_data!C4767</f>
        <v>1620748.25</v>
      </c>
      <c r="C4767" t="str">
        <f>IF(B4767&gt;=Walmart_Sales_raw_data!$C$6437,"High","low")</f>
        <v>High</v>
      </c>
    </row>
    <row r="4768" spans="1:3">
      <c r="A4768" s="1">
        <v>34</v>
      </c>
      <c r="B4768" s="2">
        <f>Walmart_Sales_raw_data!C4768</f>
        <v>902109.69</v>
      </c>
      <c r="C4768" t="str">
        <f>IF(B4768&gt;=Walmart_Sales_raw_data!$C$6437,"High","low")</f>
        <v>low</v>
      </c>
    </row>
    <row r="4769" spans="1:3">
      <c r="A4769" s="3">
        <v>34</v>
      </c>
      <c r="B4769" s="2">
        <f>Walmart_Sales_raw_data!C4769</f>
        <v>900646.94</v>
      </c>
      <c r="C4769" t="str">
        <f>IF(B4769&gt;=Walmart_Sales_raw_data!$C$6437,"High","low")</f>
        <v>low</v>
      </c>
    </row>
    <row r="4770" spans="1:3">
      <c r="A4770" s="1">
        <v>34</v>
      </c>
      <c r="B4770" s="2">
        <f>Walmart_Sales_raw_data!C4770</f>
        <v>898610.33</v>
      </c>
      <c r="C4770" t="str">
        <f>IF(B4770&gt;=Walmart_Sales_raw_data!$C$6437,"High","low")</f>
        <v>low</v>
      </c>
    </row>
    <row r="4771" spans="1:3">
      <c r="A4771" s="3">
        <v>34</v>
      </c>
      <c r="B4771" s="2">
        <f>Walmart_Sales_raw_data!C4771</f>
        <v>891025.39</v>
      </c>
      <c r="C4771" t="str">
        <f>IF(B4771&gt;=Walmart_Sales_raw_data!$C$6437,"High","low")</f>
        <v>low</v>
      </c>
    </row>
    <row r="4772" spans="1:3">
      <c r="A4772" s="1">
        <v>34</v>
      </c>
      <c r="B4772" s="2">
        <f>Walmart_Sales_raw_data!C4772</f>
        <v>836717.75</v>
      </c>
      <c r="C4772" t="str">
        <f>IF(B4772&gt;=Walmart_Sales_raw_data!$C$6437,"High","low")</f>
        <v>low</v>
      </c>
    </row>
    <row r="4773" spans="1:3">
      <c r="A4773" s="3">
        <v>34</v>
      </c>
      <c r="B4773" s="2">
        <f>Walmart_Sales_raw_data!C4773</f>
        <v>971932.87</v>
      </c>
      <c r="C4773" t="str">
        <f>IF(B4773&gt;=Walmart_Sales_raw_data!$C$6437,"High","low")</f>
        <v>low</v>
      </c>
    </row>
    <row r="4774" spans="1:3">
      <c r="A4774" s="1">
        <v>34</v>
      </c>
      <c r="B4774" s="2">
        <f>Walmart_Sales_raw_data!C4774</f>
        <v>1015654.6</v>
      </c>
      <c r="C4774" t="str">
        <f>IF(B4774&gt;=Walmart_Sales_raw_data!$C$6437,"High","low")</f>
        <v>low</v>
      </c>
    </row>
    <row r="4775" spans="1:3">
      <c r="A4775" s="3">
        <v>34</v>
      </c>
      <c r="B4775" s="2">
        <f>Walmart_Sales_raw_data!C4775</f>
        <v>1062629.3</v>
      </c>
      <c r="C4775" t="str">
        <f>IF(B4775&gt;=Walmart_Sales_raw_data!$C$6437,"High","low")</f>
        <v>High</v>
      </c>
    </row>
    <row r="4776" spans="1:3">
      <c r="A4776" s="1">
        <v>34</v>
      </c>
      <c r="B4776" s="2">
        <f>Walmart_Sales_raw_data!C4776</f>
        <v>953331.45</v>
      </c>
      <c r="C4776" t="str">
        <f>IF(B4776&gt;=Walmart_Sales_raw_data!$C$6437,"High","low")</f>
        <v>low</v>
      </c>
    </row>
    <row r="4777" spans="1:3">
      <c r="A4777" s="3">
        <v>34</v>
      </c>
      <c r="B4777" s="2">
        <f>Walmart_Sales_raw_data!C4777</f>
        <v>963910.81</v>
      </c>
      <c r="C4777" t="str">
        <f>IF(B4777&gt;=Walmart_Sales_raw_data!$C$6437,"High","low")</f>
        <v>low</v>
      </c>
    </row>
    <row r="4778" spans="1:3">
      <c r="A4778" s="1">
        <v>34</v>
      </c>
      <c r="B4778" s="2">
        <f>Walmart_Sales_raw_data!C4778</f>
        <v>943951.67</v>
      </c>
      <c r="C4778" t="str">
        <f>IF(B4778&gt;=Walmart_Sales_raw_data!$C$6437,"High","low")</f>
        <v>low</v>
      </c>
    </row>
    <row r="4779" spans="1:3">
      <c r="A4779" s="3">
        <v>34</v>
      </c>
      <c r="B4779" s="2">
        <f>Walmart_Sales_raw_data!C4779</f>
        <v>1014218.8</v>
      </c>
      <c r="C4779" t="str">
        <f>IF(B4779&gt;=Walmart_Sales_raw_data!$C$6437,"High","low")</f>
        <v>low</v>
      </c>
    </row>
    <row r="4780" spans="1:3">
      <c r="A4780" s="1">
        <v>34</v>
      </c>
      <c r="B4780" s="2">
        <f>Walmart_Sales_raw_data!C4780</f>
        <v>922898.38</v>
      </c>
      <c r="C4780" t="str">
        <f>IF(B4780&gt;=Walmart_Sales_raw_data!$C$6437,"High","low")</f>
        <v>low</v>
      </c>
    </row>
    <row r="4781" spans="1:3">
      <c r="A4781" s="3">
        <v>34</v>
      </c>
      <c r="B4781" s="2">
        <f>Walmart_Sales_raw_data!C4781</f>
        <v>884233.67</v>
      </c>
      <c r="C4781" t="str">
        <f>IF(B4781&gt;=Walmart_Sales_raw_data!$C$6437,"High","low")</f>
        <v>low</v>
      </c>
    </row>
    <row r="4782" spans="1:3">
      <c r="A4782" s="1">
        <v>34</v>
      </c>
      <c r="B4782" s="2">
        <f>Walmart_Sales_raw_data!C4782</f>
        <v>975479.83</v>
      </c>
      <c r="C4782" t="str">
        <f>IF(B4782&gt;=Walmart_Sales_raw_data!$C$6437,"High","low")</f>
        <v>low</v>
      </c>
    </row>
    <row r="4783" spans="1:3">
      <c r="A4783" s="3">
        <v>34</v>
      </c>
      <c r="B4783" s="2">
        <f>Walmart_Sales_raw_data!C4783</f>
        <v>941829</v>
      </c>
      <c r="C4783" t="str">
        <f>IF(B4783&gt;=Walmart_Sales_raw_data!$C$6437,"High","low")</f>
        <v>low</v>
      </c>
    </row>
    <row r="4784" spans="1:3">
      <c r="A4784" s="1">
        <v>34</v>
      </c>
      <c r="B4784" s="2">
        <f>Walmart_Sales_raw_data!C4784</f>
        <v>1051518.45</v>
      </c>
      <c r="C4784" t="str">
        <f>IF(B4784&gt;=Walmart_Sales_raw_data!$C$6437,"High","low")</f>
        <v>High</v>
      </c>
    </row>
    <row r="4785" spans="1:3">
      <c r="A4785" s="3">
        <v>34</v>
      </c>
      <c r="B4785" s="2">
        <f>Walmart_Sales_raw_data!C4785</f>
        <v>895973.02</v>
      </c>
      <c r="C4785" t="str">
        <f>IF(B4785&gt;=Walmart_Sales_raw_data!$C$6437,"High","low")</f>
        <v>low</v>
      </c>
    </row>
    <row r="4786" spans="1:3">
      <c r="A4786" s="1">
        <v>34</v>
      </c>
      <c r="B4786" s="2">
        <f>Walmart_Sales_raw_data!C4786</f>
        <v>965853.58</v>
      </c>
      <c r="C4786" t="str">
        <f>IF(B4786&gt;=Walmart_Sales_raw_data!$C$6437,"High","low")</f>
        <v>low</v>
      </c>
    </row>
    <row r="4787" spans="1:3">
      <c r="A4787" s="3">
        <v>34</v>
      </c>
      <c r="B4787" s="2">
        <f>Walmart_Sales_raw_data!C4787</f>
        <v>966232.69</v>
      </c>
      <c r="C4787" t="str">
        <f>IF(B4787&gt;=Walmart_Sales_raw_data!$C$6437,"High","low")</f>
        <v>low</v>
      </c>
    </row>
    <row r="4788" spans="1:3">
      <c r="A4788" s="1">
        <v>34</v>
      </c>
      <c r="B4788" s="2">
        <f>Walmart_Sales_raw_data!C4788</f>
        <v>945018.83</v>
      </c>
      <c r="C4788" t="str">
        <f>IF(B4788&gt;=Walmart_Sales_raw_data!$C$6437,"High","low")</f>
        <v>low</v>
      </c>
    </row>
    <row r="4789" spans="1:3">
      <c r="A4789" s="3">
        <v>34</v>
      </c>
      <c r="B4789" s="2">
        <f>Walmart_Sales_raw_data!C4789</f>
        <v>941311.83</v>
      </c>
      <c r="C4789" t="str">
        <f>IF(B4789&gt;=Walmart_Sales_raw_data!$C$6437,"High","low")</f>
        <v>low</v>
      </c>
    </row>
    <row r="4790" spans="1:3">
      <c r="A4790" s="1">
        <v>34</v>
      </c>
      <c r="B4790" s="2">
        <f>Walmart_Sales_raw_data!C4790</f>
        <v>947229.24</v>
      </c>
      <c r="C4790" t="str">
        <f>IF(B4790&gt;=Walmart_Sales_raw_data!$C$6437,"High","low")</f>
        <v>low</v>
      </c>
    </row>
    <row r="4791" spans="1:3">
      <c r="A4791" s="3">
        <v>34</v>
      </c>
      <c r="B4791" s="2">
        <f>Walmart_Sales_raw_data!C4791</f>
        <v>943912.77</v>
      </c>
      <c r="C4791" t="str">
        <f>IF(B4791&gt;=Walmart_Sales_raw_data!$C$6437,"High","low")</f>
        <v>low</v>
      </c>
    </row>
    <row r="4792" spans="1:3">
      <c r="A4792" s="1">
        <v>34</v>
      </c>
      <c r="B4792" s="2">
        <f>Walmart_Sales_raw_data!C4792</f>
        <v>968258.09</v>
      </c>
      <c r="C4792" t="str">
        <f>IF(B4792&gt;=Walmart_Sales_raw_data!$C$6437,"High","low")</f>
        <v>low</v>
      </c>
    </row>
    <row r="4793" spans="1:3">
      <c r="A4793" s="3">
        <v>34</v>
      </c>
      <c r="B4793" s="2">
        <f>Walmart_Sales_raw_data!C4793</f>
        <v>923795.04</v>
      </c>
      <c r="C4793" t="str">
        <f>IF(B4793&gt;=Walmart_Sales_raw_data!$C$6437,"High","low")</f>
        <v>low</v>
      </c>
    </row>
    <row r="4794" spans="1:3">
      <c r="A4794" s="1">
        <v>34</v>
      </c>
      <c r="B4794" s="2">
        <f>Walmart_Sales_raw_data!C4794</f>
        <v>911106.22</v>
      </c>
      <c r="C4794" t="str">
        <f>IF(B4794&gt;=Walmart_Sales_raw_data!$C$6437,"High","low")</f>
        <v>low</v>
      </c>
    </row>
    <row r="4795" spans="1:3">
      <c r="A4795" s="3">
        <v>34</v>
      </c>
      <c r="B4795" s="2">
        <f>Walmart_Sales_raw_data!C4795</f>
        <v>926934.57</v>
      </c>
      <c r="C4795" t="str">
        <f>IF(B4795&gt;=Walmart_Sales_raw_data!$C$6437,"High","low")</f>
        <v>low</v>
      </c>
    </row>
    <row r="4796" spans="1:3">
      <c r="A4796" s="1">
        <v>34</v>
      </c>
      <c r="B4796" s="2">
        <f>Walmart_Sales_raw_data!C4796</f>
        <v>903882.96</v>
      </c>
      <c r="C4796" t="str">
        <f>IF(B4796&gt;=Walmart_Sales_raw_data!$C$6437,"High","low")</f>
        <v>low</v>
      </c>
    </row>
    <row r="4797" spans="1:3">
      <c r="A4797" s="3">
        <v>34</v>
      </c>
      <c r="B4797" s="2">
        <f>Walmart_Sales_raw_data!C4797</f>
        <v>913236.62</v>
      </c>
      <c r="C4797" t="str">
        <f>IF(B4797&gt;=Walmart_Sales_raw_data!$C$6437,"High","low")</f>
        <v>low</v>
      </c>
    </row>
    <row r="4798" spans="1:3">
      <c r="A4798" s="1">
        <v>34</v>
      </c>
      <c r="B4798" s="2">
        <f>Walmart_Sales_raw_data!C4798</f>
        <v>851461.9</v>
      </c>
      <c r="C4798" t="str">
        <f>IF(B4798&gt;=Walmart_Sales_raw_data!$C$6437,"High","low")</f>
        <v>low</v>
      </c>
    </row>
    <row r="4799" spans="1:3">
      <c r="A4799" s="3">
        <v>34</v>
      </c>
      <c r="B4799" s="2">
        <f>Walmart_Sales_raw_data!C4799</f>
        <v>942236.45</v>
      </c>
      <c r="C4799" t="str">
        <f>IF(B4799&gt;=Walmart_Sales_raw_data!$C$6437,"High","low")</f>
        <v>low</v>
      </c>
    </row>
    <row r="4800" spans="1:3">
      <c r="A4800" s="1">
        <v>34</v>
      </c>
      <c r="B4800" s="2">
        <f>Walmart_Sales_raw_data!C4800</f>
        <v>956251.18</v>
      </c>
      <c r="C4800" t="str">
        <f>IF(B4800&gt;=Walmart_Sales_raw_data!$C$6437,"High","low")</f>
        <v>low</v>
      </c>
    </row>
    <row r="4801" spans="1:3">
      <c r="A4801" s="3">
        <v>34</v>
      </c>
      <c r="B4801" s="2">
        <f>Walmart_Sales_raw_data!C4801</f>
        <v>960418.54</v>
      </c>
      <c r="C4801" t="str">
        <f>IF(B4801&gt;=Walmart_Sales_raw_data!$C$6437,"High","low")</f>
        <v>low</v>
      </c>
    </row>
    <row r="4802" spans="1:3">
      <c r="A4802" s="1">
        <v>34</v>
      </c>
      <c r="B4802" s="2">
        <f>Walmart_Sales_raw_data!C4802</f>
        <v>871404.6</v>
      </c>
      <c r="C4802" t="str">
        <f>IF(B4802&gt;=Walmart_Sales_raw_data!$C$6437,"High","low")</f>
        <v>low</v>
      </c>
    </row>
    <row r="4803" spans="1:3">
      <c r="A4803" s="3">
        <v>34</v>
      </c>
      <c r="B4803" s="2">
        <f>Walmart_Sales_raw_data!C4803</f>
        <v>926455.64</v>
      </c>
      <c r="C4803" t="str">
        <f>IF(B4803&gt;=Walmart_Sales_raw_data!$C$6437,"High","low")</f>
        <v>low</v>
      </c>
    </row>
    <row r="4804" spans="1:3">
      <c r="A4804" s="1">
        <v>34</v>
      </c>
      <c r="B4804" s="2">
        <f>Walmart_Sales_raw_data!C4804</f>
        <v>930506.14</v>
      </c>
      <c r="C4804" t="str">
        <f>IF(B4804&gt;=Walmart_Sales_raw_data!$C$6437,"High","low")</f>
        <v>low</v>
      </c>
    </row>
    <row r="4805" spans="1:3">
      <c r="A4805" s="3">
        <v>34</v>
      </c>
      <c r="B4805" s="2">
        <f>Walmart_Sales_raw_data!C4805</f>
        <v>927249.61</v>
      </c>
      <c r="C4805" t="str">
        <f>IF(B4805&gt;=Walmart_Sales_raw_data!$C$6437,"High","low")</f>
        <v>low</v>
      </c>
    </row>
    <row r="4806" spans="1:3">
      <c r="A4806" s="1">
        <v>34</v>
      </c>
      <c r="B4806" s="2">
        <f>Walmart_Sales_raw_data!C4806</f>
        <v>902852.73</v>
      </c>
      <c r="C4806" t="str">
        <f>IF(B4806&gt;=Walmart_Sales_raw_data!$C$6437,"High","low")</f>
        <v>low</v>
      </c>
    </row>
    <row r="4807" spans="1:3">
      <c r="A4807" s="3">
        <v>34</v>
      </c>
      <c r="B4807" s="2">
        <f>Walmart_Sales_raw_data!C4807</f>
        <v>871847.85</v>
      </c>
      <c r="C4807" t="str">
        <f>IF(B4807&gt;=Walmart_Sales_raw_data!$C$6437,"High","low")</f>
        <v>low</v>
      </c>
    </row>
    <row r="4808" spans="1:3">
      <c r="A4808" s="1">
        <v>34</v>
      </c>
      <c r="B4808" s="2">
        <f>Walmart_Sales_raw_data!C4808</f>
        <v>954069.45</v>
      </c>
      <c r="C4808" t="str">
        <f>IF(B4808&gt;=Walmart_Sales_raw_data!$C$6437,"High","low")</f>
        <v>low</v>
      </c>
    </row>
    <row r="4809" spans="1:3">
      <c r="A4809" s="3">
        <v>34</v>
      </c>
      <c r="B4809" s="2">
        <f>Walmart_Sales_raw_data!C4809</f>
        <v>911788.79</v>
      </c>
      <c r="C4809" t="str">
        <f>IF(B4809&gt;=Walmart_Sales_raw_data!$C$6437,"High","low")</f>
        <v>low</v>
      </c>
    </row>
    <row r="4810" spans="1:3">
      <c r="A4810" s="1">
        <v>34</v>
      </c>
      <c r="B4810" s="2">
        <f>Walmart_Sales_raw_data!C4810</f>
        <v>953693.23</v>
      </c>
      <c r="C4810" t="str">
        <f>IF(B4810&gt;=Walmart_Sales_raw_data!$C$6437,"High","low")</f>
        <v>low</v>
      </c>
    </row>
    <row r="4811" spans="1:3">
      <c r="A4811" s="3">
        <v>34</v>
      </c>
      <c r="B4811" s="2">
        <f>Walmart_Sales_raw_data!C4811</f>
        <v>958063.87</v>
      </c>
      <c r="C4811" t="str">
        <f>IF(B4811&gt;=Walmart_Sales_raw_data!$C$6437,"High","low")</f>
        <v>low</v>
      </c>
    </row>
    <row r="4812" spans="1:3">
      <c r="A4812" s="1">
        <v>34</v>
      </c>
      <c r="B4812" s="2">
        <f>Walmart_Sales_raw_data!C4812</f>
        <v>992621.93</v>
      </c>
      <c r="C4812" t="str">
        <f>IF(B4812&gt;=Walmart_Sales_raw_data!$C$6437,"High","low")</f>
        <v>low</v>
      </c>
    </row>
    <row r="4813" spans="1:3">
      <c r="A4813" s="3">
        <v>34</v>
      </c>
      <c r="B4813" s="2">
        <f>Walmart_Sales_raw_data!C4813</f>
        <v>991570.02</v>
      </c>
      <c r="C4813" t="str">
        <f>IF(B4813&gt;=Walmart_Sales_raw_data!$C$6437,"High","low")</f>
        <v>low</v>
      </c>
    </row>
    <row r="4814" spans="1:3">
      <c r="A4814" s="1">
        <v>34</v>
      </c>
      <c r="B4814" s="2">
        <f>Walmart_Sales_raw_data!C4814</f>
        <v>947552.44</v>
      </c>
      <c r="C4814" t="str">
        <f>IF(B4814&gt;=Walmart_Sales_raw_data!$C$6437,"High","low")</f>
        <v>low</v>
      </c>
    </row>
    <row r="4815" spans="1:3">
      <c r="A4815" s="3">
        <v>34</v>
      </c>
      <c r="B4815" s="2">
        <f>Walmart_Sales_raw_data!C4815</f>
        <v>1345595.82</v>
      </c>
      <c r="C4815" t="str">
        <f>IF(B4815&gt;=Walmart_Sales_raw_data!$C$6437,"High","low")</f>
        <v>High</v>
      </c>
    </row>
    <row r="4816" spans="1:3">
      <c r="A4816" s="1">
        <v>34</v>
      </c>
      <c r="B4816" s="2">
        <f>Walmart_Sales_raw_data!C4816</f>
        <v>988742.08</v>
      </c>
      <c r="C4816" t="str">
        <f>IF(B4816&gt;=Walmart_Sales_raw_data!$C$6437,"High","low")</f>
        <v>low</v>
      </c>
    </row>
    <row r="4817" spans="1:3">
      <c r="A4817" s="3">
        <v>34</v>
      </c>
      <c r="B4817" s="2">
        <f>Walmart_Sales_raw_data!C4817</f>
        <v>1084243.91</v>
      </c>
      <c r="C4817" t="str">
        <f>IF(B4817&gt;=Walmart_Sales_raw_data!$C$6437,"High","low")</f>
        <v>High</v>
      </c>
    </row>
    <row r="4818" spans="1:3">
      <c r="A4818" s="1">
        <v>34</v>
      </c>
      <c r="B4818" s="2">
        <f>Walmart_Sales_raw_data!C4818</f>
        <v>1151052.86</v>
      </c>
      <c r="C4818" t="str">
        <f>IF(B4818&gt;=Walmart_Sales_raw_data!$C$6437,"High","low")</f>
        <v>High</v>
      </c>
    </row>
    <row r="4819" spans="1:3">
      <c r="A4819" s="3">
        <v>34</v>
      </c>
      <c r="B4819" s="2">
        <f>Walmart_Sales_raw_data!C4819</f>
        <v>1593655.96</v>
      </c>
      <c r="C4819" t="str">
        <f>IF(B4819&gt;=Walmart_Sales_raw_data!$C$6437,"High","low")</f>
        <v>High</v>
      </c>
    </row>
    <row r="4820" spans="1:3">
      <c r="A4820" s="1">
        <v>34</v>
      </c>
      <c r="B4820" s="2">
        <f>Walmart_Sales_raw_data!C4820</f>
        <v>965512.36</v>
      </c>
      <c r="C4820" t="str">
        <f>IF(B4820&gt;=Walmart_Sales_raw_data!$C$6437,"High","low")</f>
        <v>low</v>
      </c>
    </row>
    <row r="4821" spans="1:3">
      <c r="A4821" s="3">
        <v>34</v>
      </c>
      <c r="B4821" s="2">
        <f>Walmart_Sales_raw_data!C4821</f>
        <v>953844.85</v>
      </c>
      <c r="C4821" t="str">
        <f>IF(B4821&gt;=Walmart_Sales_raw_data!$C$6437,"High","low")</f>
        <v>low</v>
      </c>
    </row>
    <row r="4822" spans="1:3">
      <c r="A4822" s="1">
        <v>34</v>
      </c>
      <c r="B4822" s="2">
        <f>Walmart_Sales_raw_data!C4822</f>
        <v>913755.12</v>
      </c>
      <c r="C4822" t="str">
        <f>IF(B4822&gt;=Walmart_Sales_raw_data!$C$6437,"High","low")</f>
        <v>low</v>
      </c>
    </row>
    <row r="4823" spans="1:3">
      <c r="A4823" s="3">
        <v>34</v>
      </c>
      <c r="B4823" s="2">
        <f>Walmart_Sales_raw_data!C4823</f>
        <v>910899.05</v>
      </c>
      <c r="C4823" t="str">
        <f>IF(B4823&gt;=Walmart_Sales_raw_data!$C$6437,"High","low")</f>
        <v>low</v>
      </c>
    </row>
    <row r="4824" spans="1:3">
      <c r="A4824" s="1">
        <v>34</v>
      </c>
      <c r="B4824" s="2">
        <f>Walmart_Sales_raw_data!C4824</f>
        <v>872450.37</v>
      </c>
      <c r="C4824" t="str">
        <f>IF(B4824&gt;=Walmart_Sales_raw_data!$C$6437,"High","low")</f>
        <v>low</v>
      </c>
    </row>
    <row r="4825" spans="1:3">
      <c r="A4825" s="3">
        <v>34</v>
      </c>
      <c r="B4825" s="2">
        <f>Walmart_Sales_raw_data!C4825</f>
        <v>939367.14</v>
      </c>
      <c r="C4825" t="str">
        <f>IF(B4825&gt;=Walmart_Sales_raw_data!$C$6437,"High","low")</f>
        <v>low</v>
      </c>
    </row>
    <row r="4826" spans="1:3">
      <c r="A4826" s="1">
        <v>34</v>
      </c>
      <c r="B4826" s="2">
        <f>Walmart_Sales_raw_data!C4826</f>
        <v>1047658.09</v>
      </c>
      <c r="C4826" t="str">
        <f>IF(B4826&gt;=Walmart_Sales_raw_data!$C$6437,"High","low")</f>
        <v>High</v>
      </c>
    </row>
    <row r="4827" spans="1:3">
      <c r="A4827" s="3">
        <v>34</v>
      </c>
      <c r="B4827" s="2">
        <f>Walmart_Sales_raw_data!C4827</f>
        <v>1123446.51</v>
      </c>
      <c r="C4827" t="str">
        <f>IF(B4827&gt;=Walmart_Sales_raw_data!$C$6437,"High","low")</f>
        <v>High</v>
      </c>
    </row>
    <row r="4828" spans="1:3">
      <c r="A4828" s="1">
        <v>34</v>
      </c>
      <c r="B4828" s="2">
        <f>Walmart_Sales_raw_data!C4828</f>
        <v>950154.24</v>
      </c>
      <c r="C4828" t="str">
        <f>IF(B4828&gt;=Walmart_Sales_raw_data!$C$6437,"High","low")</f>
        <v>low</v>
      </c>
    </row>
    <row r="4829" spans="1:3">
      <c r="A4829" s="3">
        <v>34</v>
      </c>
      <c r="B4829" s="2">
        <f>Walmart_Sales_raw_data!C4829</f>
        <v>990263.7</v>
      </c>
      <c r="C4829" t="str">
        <f>IF(B4829&gt;=Walmart_Sales_raw_data!$C$6437,"High","low")</f>
        <v>low</v>
      </c>
    </row>
    <row r="4830" spans="1:3">
      <c r="A4830" s="1">
        <v>34</v>
      </c>
      <c r="B4830" s="2">
        <f>Walmart_Sales_raw_data!C4830</f>
        <v>976393.43</v>
      </c>
      <c r="C4830" t="str">
        <f>IF(B4830&gt;=Walmart_Sales_raw_data!$C$6437,"High","low")</f>
        <v>low</v>
      </c>
    </row>
    <row r="4831" spans="1:3">
      <c r="A4831" s="3">
        <v>34</v>
      </c>
      <c r="B4831" s="2">
        <f>Walmart_Sales_raw_data!C4831</f>
        <v>999298.43</v>
      </c>
      <c r="C4831" t="str">
        <f>IF(B4831&gt;=Walmart_Sales_raw_data!$C$6437,"High","low")</f>
        <v>low</v>
      </c>
    </row>
    <row r="4832" spans="1:3">
      <c r="A4832" s="1">
        <v>34</v>
      </c>
      <c r="B4832" s="2">
        <f>Walmart_Sales_raw_data!C4832</f>
        <v>945143.33</v>
      </c>
      <c r="C4832" t="str">
        <f>IF(B4832&gt;=Walmart_Sales_raw_data!$C$6437,"High","low")</f>
        <v>low</v>
      </c>
    </row>
    <row r="4833" spans="1:3">
      <c r="A4833" s="3">
        <v>34</v>
      </c>
      <c r="B4833" s="2">
        <f>Walmart_Sales_raw_data!C4833</f>
        <v>938861.77</v>
      </c>
      <c r="C4833" t="str">
        <f>IF(B4833&gt;=Walmart_Sales_raw_data!$C$6437,"High","low")</f>
        <v>low</v>
      </c>
    </row>
    <row r="4834" spans="1:3">
      <c r="A4834" s="1">
        <v>34</v>
      </c>
      <c r="B4834" s="2">
        <f>Walmart_Sales_raw_data!C4834</f>
        <v>1091020.37</v>
      </c>
      <c r="C4834" t="str">
        <f>IF(B4834&gt;=Walmart_Sales_raw_data!$C$6437,"High","low")</f>
        <v>High</v>
      </c>
    </row>
    <row r="4835" spans="1:3">
      <c r="A4835" s="3">
        <v>34</v>
      </c>
      <c r="B4835" s="2">
        <f>Walmart_Sales_raw_data!C4835</f>
        <v>987353.65</v>
      </c>
      <c r="C4835" t="str">
        <f>IF(B4835&gt;=Walmart_Sales_raw_data!$C$6437,"High","low")</f>
        <v>low</v>
      </c>
    </row>
    <row r="4836" spans="1:3">
      <c r="A4836" s="1">
        <v>34</v>
      </c>
      <c r="B4836" s="2">
        <f>Walmart_Sales_raw_data!C4836</f>
        <v>977628.78</v>
      </c>
      <c r="C4836" t="str">
        <f>IF(B4836&gt;=Walmart_Sales_raw_data!$C$6437,"High","low")</f>
        <v>low</v>
      </c>
    </row>
    <row r="4837" spans="1:3">
      <c r="A4837" s="3">
        <v>34</v>
      </c>
      <c r="B4837" s="2">
        <f>Walmart_Sales_raw_data!C4837</f>
        <v>940299.87</v>
      </c>
      <c r="C4837" t="str">
        <f>IF(B4837&gt;=Walmart_Sales_raw_data!$C$6437,"High","low")</f>
        <v>low</v>
      </c>
    </row>
    <row r="4838" spans="1:3">
      <c r="A4838" s="1">
        <v>34</v>
      </c>
      <c r="B4838" s="2">
        <f>Walmart_Sales_raw_data!C4838</f>
        <v>991104.4</v>
      </c>
      <c r="C4838" t="str">
        <f>IF(B4838&gt;=Walmart_Sales_raw_data!$C$6437,"High","low")</f>
        <v>low</v>
      </c>
    </row>
    <row r="4839" spans="1:3">
      <c r="A4839" s="3">
        <v>34</v>
      </c>
      <c r="B4839" s="2">
        <f>Walmart_Sales_raw_data!C4839</f>
        <v>949625.52</v>
      </c>
      <c r="C4839" t="str">
        <f>IF(B4839&gt;=Walmart_Sales_raw_data!$C$6437,"High","low")</f>
        <v>low</v>
      </c>
    </row>
    <row r="4840" spans="1:3">
      <c r="A4840" s="1">
        <v>34</v>
      </c>
      <c r="B4840" s="2">
        <f>Walmart_Sales_raw_data!C4840</f>
        <v>998672.85</v>
      </c>
      <c r="C4840" t="str">
        <f>IF(B4840&gt;=Walmart_Sales_raw_data!$C$6437,"High","low")</f>
        <v>low</v>
      </c>
    </row>
    <row r="4841" spans="1:3">
      <c r="A4841" s="3">
        <v>34</v>
      </c>
      <c r="B4841" s="2">
        <f>Walmart_Sales_raw_data!C4841</f>
        <v>1015737.61</v>
      </c>
      <c r="C4841" t="str">
        <f>IF(B4841&gt;=Walmart_Sales_raw_data!$C$6437,"High","low")</f>
        <v>low</v>
      </c>
    </row>
    <row r="4842" spans="1:3">
      <c r="A4842" s="1">
        <v>34</v>
      </c>
      <c r="B4842" s="2">
        <f>Walmart_Sales_raw_data!C4842</f>
        <v>977062.44</v>
      </c>
      <c r="C4842" t="str">
        <f>IF(B4842&gt;=Walmart_Sales_raw_data!$C$6437,"High","low")</f>
        <v>low</v>
      </c>
    </row>
    <row r="4843" spans="1:3">
      <c r="A4843" s="3">
        <v>34</v>
      </c>
      <c r="B4843" s="2">
        <f>Walmart_Sales_raw_data!C4843</f>
        <v>999511.29</v>
      </c>
      <c r="C4843" t="str">
        <f>IF(B4843&gt;=Walmart_Sales_raw_data!$C$6437,"High","low")</f>
        <v>low</v>
      </c>
    </row>
    <row r="4844" spans="1:3">
      <c r="A4844" s="1">
        <v>34</v>
      </c>
      <c r="B4844" s="2">
        <f>Walmart_Sales_raw_data!C4844</f>
        <v>982345.51</v>
      </c>
      <c r="C4844" t="str">
        <f>IF(B4844&gt;=Walmart_Sales_raw_data!$C$6437,"High","low")</f>
        <v>low</v>
      </c>
    </row>
    <row r="4845" spans="1:3">
      <c r="A4845" s="3">
        <v>34</v>
      </c>
      <c r="B4845" s="2">
        <f>Walmart_Sales_raw_data!C4845</f>
        <v>1000285.1</v>
      </c>
      <c r="C4845" t="str">
        <f>IF(B4845&gt;=Walmart_Sales_raw_data!$C$6437,"High","low")</f>
        <v>low</v>
      </c>
    </row>
    <row r="4846" spans="1:3">
      <c r="A4846" s="1">
        <v>34</v>
      </c>
      <c r="B4846" s="2">
        <f>Walmart_Sales_raw_data!C4846</f>
        <v>942970.63</v>
      </c>
      <c r="C4846" t="str">
        <f>IF(B4846&gt;=Walmart_Sales_raw_data!$C$6437,"High","low")</f>
        <v>low</v>
      </c>
    </row>
    <row r="4847" spans="1:3">
      <c r="A4847" s="3">
        <v>34</v>
      </c>
      <c r="B4847" s="2">
        <f>Walmart_Sales_raw_data!C4847</f>
        <v>1007867.68</v>
      </c>
      <c r="C4847" t="str">
        <f>IF(B4847&gt;=Walmart_Sales_raw_data!$C$6437,"High","low")</f>
        <v>low</v>
      </c>
    </row>
    <row r="4848" spans="1:3">
      <c r="A4848" s="1">
        <v>34</v>
      </c>
      <c r="B4848" s="2">
        <f>Walmart_Sales_raw_data!C4848</f>
        <v>954677.75</v>
      </c>
      <c r="C4848" t="str">
        <f>IF(B4848&gt;=Walmart_Sales_raw_data!$C$6437,"High","low")</f>
        <v>low</v>
      </c>
    </row>
    <row r="4849" spans="1:3">
      <c r="A4849" s="3">
        <v>34</v>
      </c>
      <c r="B4849" s="2">
        <f>Walmart_Sales_raw_data!C4849</f>
        <v>950929.59</v>
      </c>
      <c r="C4849" t="str">
        <f>IF(B4849&gt;=Walmart_Sales_raw_data!$C$6437,"High","low")</f>
        <v>low</v>
      </c>
    </row>
    <row r="4850" spans="1:3">
      <c r="A4850" s="1">
        <v>34</v>
      </c>
      <c r="B4850" s="2">
        <f>Walmart_Sales_raw_data!C4850</f>
        <v>917883.79</v>
      </c>
      <c r="C4850" t="str">
        <f>IF(B4850&gt;=Walmart_Sales_raw_data!$C$6437,"High","low")</f>
        <v>low</v>
      </c>
    </row>
    <row r="4851" spans="1:3">
      <c r="A4851" s="3">
        <v>34</v>
      </c>
      <c r="B4851" s="2">
        <f>Walmart_Sales_raw_data!C4851</f>
        <v>973250.41</v>
      </c>
      <c r="C4851" t="str">
        <f>IF(B4851&gt;=Walmart_Sales_raw_data!$C$6437,"High","low")</f>
        <v>low</v>
      </c>
    </row>
    <row r="4852" spans="1:3">
      <c r="A4852" s="1">
        <v>34</v>
      </c>
      <c r="B4852" s="2">
        <f>Walmart_Sales_raw_data!C4852</f>
        <v>1004523.59</v>
      </c>
      <c r="C4852" t="str">
        <f>IF(B4852&gt;=Walmart_Sales_raw_data!$C$6437,"High","low")</f>
        <v>low</v>
      </c>
    </row>
    <row r="4853" spans="1:3">
      <c r="A4853" s="3">
        <v>34</v>
      </c>
      <c r="B4853" s="2">
        <f>Walmart_Sales_raw_data!C4853</f>
        <v>1013820.86</v>
      </c>
      <c r="C4853" t="str">
        <f>IF(B4853&gt;=Walmart_Sales_raw_data!$C$6437,"High","low")</f>
        <v>low</v>
      </c>
    </row>
    <row r="4854" spans="1:3">
      <c r="A4854" s="1">
        <v>34</v>
      </c>
      <c r="B4854" s="2">
        <f>Walmart_Sales_raw_data!C4854</f>
        <v>926250.21</v>
      </c>
      <c r="C4854" t="str">
        <f>IF(B4854&gt;=Walmart_Sales_raw_data!$C$6437,"High","low")</f>
        <v>low</v>
      </c>
    </row>
    <row r="4855" spans="1:3">
      <c r="A4855" s="3">
        <v>34</v>
      </c>
      <c r="B4855" s="2">
        <f>Walmart_Sales_raw_data!C4855</f>
        <v>933487.71</v>
      </c>
      <c r="C4855" t="str">
        <f>IF(B4855&gt;=Walmart_Sales_raw_data!$C$6437,"High","low")</f>
        <v>low</v>
      </c>
    </row>
    <row r="4856" spans="1:3">
      <c r="A4856" s="1">
        <v>34</v>
      </c>
      <c r="B4856" s="2">
        <f>Walmart_Sales_raw_data!C4856</f>
        <v>976415.56</v>
      </c>
      <c r="C4856" t="str">
        <f>IF(B4856&gt;=Walmart_Sales_raw_data!$C$6437,"High","low")</f>
        <v>low</v>
      </c>
    </row>
    <row r="4857" spans="1:3">
      <c r="A4857" s="3">
        <v>34</v>
      </c>
      <c r="B4857" s="2">
        <f>Walmart_Sales_raw_data!C4857</f>
        <v>955211.7</v>
      </c>
      <c r="C4857" t="str">
        <f>IF(B4857&gt;=Walmart_Sales_raw_data!$C$6437,"High","low")</f>
        <v>low</v>
      </c>
    </row>
    <row r="4858" spans="1:3">
      <c r="A4858" s="1">
        <v>34</v>
      </c>
      <c r="B4858" s="2">
        <f>Walmart_Sales_raw_data!C4858</f>
        <v>943047.78</v>
      </c>
      <c r="C4858" t="str">
        <f>IF(B4858&gt;=Walmart_Sales_raw_data!$C$6437,"High","low")</f>
        <v>low</v>
      </c>
    </row>
    <row r="4859" spans="1:3">
      <c r="A4859" s="3">
        <v>34</v>
      </c>
      <c r="B4859" s="2">
        <f>Walmart_Sales_raw_data!C4859</f>
        <v>928629.31</v>
      </c>
      <c r="C4859" t="str">
        <f>IF(B4859&gt;=Walmart_Sales_raw_data!$C$6437,"High","low")</f>
        <v>low</v>
      </c>
    </row>
    <row r="4860" spans="1:3">
      <c r="A4860" s="1">
        <v>34</v>
      </c>
      <c r="B4860" s="2">
        <f>Walmart_Sales_raw_data!C4860</f>
        <v>968896.68</v>
      </c>
      <c r="C4860" t="str">
        <f>IF(B4860&gt;=Walmart_Sales_raw_data!$C$6437,"High","low")</f>
        <v>low</v>
      </c>
    </row>
    <row r="4861" spans="1:3">
      <c r="A4861" s="3">
        <v>34</v>
      </c>
      <c r="B4861" s="2">
        <f>Walmart_Sales_raw_data!C4861</f>
        <v>948613.39</v>
      </c>
      <c r="C4861" t="str">
        <f>IF(B4861&gt;=Walmart_Sales_raw_data!$C$6437,"High","low")</f>
        <v>low</v>
      </c>
    </row>
    <row r="4862" spans="1:3">
      <c r="A4862" s="1">
        <v>34</v>
      </c>
      <c r="B4862" s="2">
        <f>Walmart_Sales_raw_data!C4862</f>
        <v>963516.28</v>
      </c>
      <c r="C4862" t="str">
        <f>IF(B4862&gt;=Walmart_Sales_raw_data!$C$6437,"High","low")</f>
        <v>low</v>
      </c>
    </row>
    <row r="4863" spans="1:3">
      <c r="A4863" s="3">
        <v>34</v>
      </c>
      <c r="B4863" s="2">
        <f>Walmart_Sales_raw_data!C4863</f>
        <v>956987.81</v>
      </c>
      <c r="C4863" t="str">
        <f>IF(B4863&gt;=Walmart_Sales_raw_data!$C$6437,"High","low")</f>
        <v>low</v>
      </c>
    </row>
    <row r="4864" spans="1:3">
      <c r="A4864" s="1">
        <v>35</v>
      </c>
      <c r="B4864" s="2">
        <f>Walmart_Sales_raw_data!C4864</f>
        <v>1230613.5</v>
      </c>
      <c r="C4864" t="str">
        <f>IF(B4864&gt;=Walmart_Sales_raw_data!$C$6437,"High","low")</f>
        <v>High</v>
      </c>
    </row>
    <row r="4865" spans="1:3">
      <c r="A4865" s="3">
        <v>35</v>
      </c>
      <c r="B4865" s="2">
        <f>Walmart_Sales_raw_data!C4865</f>
        <v>1168815.31</v>
      </c>
      <c r="C4865" t="str">
        <f>IF(B4865&gt;=Walmart_Sales_raw_data!$C$6437,"High","low")</f>
        <v>High</v>
      </c>
    </row>
    <row r="4866" spans="1:3">
      <c r="A4866" s="1">
        <v>35</v>
      </c>
      <c r="B4866" s="2">
        <f>Walmart_Sales_raw_data!C4866</f>
        <v>1270658.64</v>
      </c>
      <c r="C4866" t="str">
        <f>IF(B4866&gt;=Walmart_Sales_raw_data!$C$6437,"High","low")</f>
        <v>High</v>
      </c>
    </row>
    <row r="4867" spans="1:3">
      <c r="A4867" s="3">
        <v>35</v>
      </c>
      <c r="B4867" s="2">
        <f>Walmart_Sales_raw_data!C4867</f>
        <v>1020651.74</v>
      </c>
      <c r="C4867" t="str">
        <f>IF(B4867&gt;=Walmart_Sales_raw_data!$C$6437,"High","low")</f>
        <v>low</v>
      </c>
    </row>
    <row r="4868" spans="1:3">
      <c r="A4868" s="1">
        <v>35</v>
      </c>
      <c r="B4868" s="2">
        <f>Walmart_Sales_raw_data!C4868</f>
        <v>1162610.27</v>
      </c>
      <c r="C4868" t="str">
        <f>IF(B4868&gt;=Walmart_Sales_raw_data!$C$6437,"High","low")</f>
        <v>High</v>
      </c>
    </row>
    <row r="4869" spans="1:3">
      <c r="A4869" s="3">
        <v>35</v>
      </c>
      <c r="B4869" s="2">
        <f>Walmart_Sales_raw_data!C4869</f>
        <v>1150344.39</v>
      </c>
      <c r="C4869" t="str">
        <f>IF(B4869&gt;=Walmart_Sales_raw_data!$C$6437,"High","low")</f>
        <v>High</v>
      </c>
    </row>
    <row r="4870" spans="1:3">
      <c r="A4870" s="1">
        <v>35</v>
      </c>
      <c r="B4870" s="2">
        <f>Walmart_Sales_raw_data!C4870</f>
        <v>1117536.09</v>
      </c>
      <c r="C4870" t="str">
        <f>IF(B4870&gt;=Walmart_Sales_raw_data!$C$6437,"High","low")</f>
        <v>High</v>
      </c>
    </row>
    <row r="4871" spans="1:3">
      <c r="A4871" s="3">
        <v>35</v>
      </c>
      <c r="B4871" s="2">
        <f>Walmart_Sales_raw_data!C4871</f>
        <v>1078900.44</v>
      </c>
      <c r="C4871" t="str">
        <f>IF(B4871&gt;=Walmart_Sales_raw_data!$C$6437,"High","low")</f>
        <v>High</v>
      </c>
    </row>
    <row r="4872" spans="1:3">
      <c r="A4872" s="1">
        <v>35</v>
      </c>
      <c r="B4872" s="2">
        <f>Walmart_Sales_raw_data!C4872</f>
        <v>1189556.47</v>
      </c>
      <c r="C4872" t="str">
        <f>IF(B4872&gt;=Walmart_Sales_raw_data!$C$6437,"High","low")</f>
        <v>High</v>
      </c>
    </row>
    <row r="4873" spans="1:3">
      <c r="A4873" s="3">
        <v>35</v>
      </c>
      <c r="B4873" s="2">
        <f>Walmart_Sales_raw_data!C4873</f>
        <v>1198014.97</v>
      </c>
      <c r="C4873" t="str">
        <f>IF(B4873&gt;=Walmart_Sales_raw_data!$C$6437,"High","low")</f>
        <v>High</v>
      </c>
    </row>
    <row r="4874" spans="1:3">
      <c r="A4874" s="1">
        <v>35</v>
      </c>
      <c r="B4874" s="2">
        <f>Walmart_Sales_raw_data!C4874</f>
        <v>1084487.55</v>
      </c>
      <c r="C4874" t="str">
        <f>IF(B4874&gt;=Walmart_Sales_raw_data!$C$6437,"High","low")</f>
        <v>High</v>
      </c>
    </row>
    <row r="4875" spans="1:3">
      <c r="A4875" s="3">
        <v>35</v>
      </c>
      <c r="B4875" s="2">
        <f>Walmart_Sales_raw_data!C4875</f>
        <v>1110827.48</v>
      </c>
      <c r="C4875" t="str">
        <f>IF(B4875&gt;=Walmart_Sales_raw_data!$C$6437,"High","low")</f>
        <v>High</v>
      </c>
    </row>
    <row r="4876" spans="1:3">
      <c r="A4876" s="1">
        <v>35</v>
      </c>
      <c r="B4876" s="2">
        <f>Walmart_Sales_raw_data!C4876</f>
        <v>1096930.65</v>
      </c>
      <c r="C4876" t="str">
        <f>IF(B4876&gt;=Walmart_Sales_raw_data!$C$6437,"High","low")</f>
        <v>High</v>
      </c>
    </row>
    <row r="4877" spans="1:3">
      <c r="A4877" s="3">
        <v>35</v>
      </c>
      <c r="B4877" s="2">
        <f>Walmart_Sales_raw_data!C4877</f>
        <v>1182099.88</v>
      </c>
      <c r="C4877" t="str">
        <f>IF(B4877&gt;=Walmart_Sales_raw_data!$C$6437,"High","low")</f>
        <v>High</v>
      </c>
    </row>
    <row r="4878" spans="1:3">
      <c r="A4878" s="1">
        <v>35</v>
      </c>
      <c r="B4878" s="2">
        <f>Walmart_Sales_raw_data!C4878</f>
        <v>1104277.57</v>
      </c>
      <c r="C4878" t="str">
        <f>IF(B4878&gt;=Walmart_Sales_raw_data!$C$6437,"High","low")</f>
        <v>High</v>
      </c>
    </row>
    <row r="4879" spans="1:3">
      <c r="A4879" s="3">
        <v>35</v>
      </c>
      <c r="B4879" s="2">
        <f>Walmart_Sales_raw_data!C4879</f>
        <v>1078182.18</v>
      </c>
      <c r="C4879" t="str">
        <f>IF(B4879&gt;=Walmart_Sales_raw_data!$C$6437,"High","low")</f>
        <v>High</v>
      </c>
    </row>
    <row r="4880" spans="1:3">
      <c r="A4880" s="1">
        <v>35</v>
      </c>
      <c r="B4880" s="2">
        <f>Walmart_Sales_raw_data!C4880</f>
        <v>1223777.48</v>
      </c>
      <c r="C4880" t="str">
        <f>IF(B4880&gt;=Walmart_Sales_raw_data!$C$6437,"High","low")</f>
        <v>High</v>
      </c>
    </row>
    <row r="4881" spans="1:3">
      <c r="A4881" s="3">
        <v>35</v>
      </c>
      <c r="B4881" s="2">
        <f>Walmart_Sales_raw_data!C4881</f>
        <v>1282378.71</v>
      </c>
      <c r="C4881" t="str">
        <f>IF(B4881&gt;=Walmart_Sales_raw_data!$C$6437,"High","low")</f>
        <v>High</v>
      </c>
    </row>
    <row r="4882" spans="1:3">
      <c r="A4882" s="1">
        <v>35</v>
      </c>
      <c r="B4882" s="2">
        <f>Walmart_Sales_raw_data!C4882</f>
        <v>1160412.71</v>
      </c>
      <c r="C4882" t="str">
        <f>IF(B4882&gt;=Walmart_Sales_raw_data!$C$6437,"High","low")</f>
        <v>High</v>
      </c>
    </row>
    <row r="4883" spans="1:3">
      <c r="A4883" s="3">
        <v>35</v>
      </c>
      <c r="B4883" s="2">
        <f>Walmart_Sales_raw_data!C4883</f>
        <v>1198025.76</v>
      </c>
      <c r="C4883" t="str">
        <f>IF(B4883&gt;=Walmart_Sales_raw_data!$C$6437,"High","low")</f>
        <v>High</v>
      </c>
    </row>
    <row r="4884" spans="1:3">
      <c r="A4884" s="1">
        <v>35</v>
      </c>
      <c r="B4884" s="2">
        <f>Walmart_Sales_raw_data!C4884</f>
        <v>1230245.74</v>
      </c>
      <c r="C4884" t="str">
        <f>IF(B4884&gt;=Walmart_Sales_raw_data!$C$6437,"High","low")</f>
        <v>High</v>
      </c>
    </row>
    <row r="4885" spans="1:3">
      <c r="A4885" s="3">
        <v>35</v>
      </c>
      <c r="B4885" s="2">
        <f>Walmart_Sales_raw_data!C4885</f>
        <v>1245827.08</v>
      </c>
      <c r="C4885" t="str">
        <f>IF(B4885&gt;=Walmart_Sales_raw_data!$C$6437,"High","low")</f>
        <v>High</v>
      </c>
    </row>
    <row r="4886" spans="1:3">
      <c r="A4886" s="1">
        <v>35</v>
      </c>
      <c r="B4886" s="2">
        <f>Walmart_Sales_raw_data!C4886</f>
        <v>1268766.76</v>
      </c>
      <c r="C4886" t="str">
        <f>IF(B4886&gt;=Walmart_Sales_raw_data!$C$6437,"High","low")</f>
        <v>High</v>
      </c>
    </row>
    <row r="4887" spans="1:3">
      <c r="A4887" s="3">
        <v>35</v>
      </c>
      <c r="B4887" s="2">
        <f>Walmart_Sales_raw_data!C4887</f>
        <v>1124414.87</v>
      </c>
      <c r="C4887" t="str">
        <f>IF(B4887&gt;=Walmart_Sales_raw_data!$C$6437,"High","low")</f>
        <v>High</v>
      </c>
    </row>
    <row r="4888" spans="1:3">
      <c r="A4888" s="1">
        <v>35</v>
      </c>
      <c r="B4888" s="2">
        <f>Walmart_Sales_raw_data!C4888</f>
        <v>1121756.43</v>
      </c>
      <c r="C4888" t="str">
        <f>IF(B4888&gt;=Walmart_Sales_raw_data!$C$6437,"High","low")</f>
        <v>High</v>
      </c>
    </row>
    <row r="4889" spans="1:3">
      <c r="A4889" s="3">
        <v>35</v>
      </c>
      <c r="B4889" s="2">
        <f>Walmart_Sales_raw_data!C4889</f>
        <v>1139131.78</v>
      </c>
      <c r="C4889" t="str">
        <f>IF(B4889&gt;=Walmart_Sales_raw_data!$C$6437,"High","low")</f>
        <v>High</v>
      </c>
    </row>
    <row r="4890" spans="1:3">
      <c r="A4890" s="1">
        <v>35</v>
      </c>
      <c r="B4890" s="2">
        <f>Walmart_Sales_raw_data!C4890</f>
        <v>1180183.39</v>
      </c>
      <c r="C4890" t="str">
        <f>IF(B4890&gt;=Walmart_Sales_raw_data!$C$6437,"High","low")</f>
        <v>High</v>
      </c>
    </row>
    <row r="4891" spans="1:3">
      <c r="A4891" s="3">
        <v>35</v>
      </c>
      <c r="B4891" s="2">
        <f>Walmart_Sales_raw_data!C4891</f>
        <v>1090587.5</v>
      </c>
      <c r="C4891" t="str">
        <f>IF(B4891&gt;=Walmart_Sales_raw_data!$C$6437,"High","low")</f>
        <v>High</v>
      </c>
    </row>
    <row r="4892" spans="1:3">
      <c r="A4892" s="1">
        <v>35</v>
      </c>
      <c r="B4892" s="2">
        <f>Walmart_Sales_raw_data!C4892</f>
        <v>1033719.5</v>
      </c>
      <c r="C4892" t="str">
        <f>IF(B4892&gt;=Walmart_Sales_raw_data!$C$6437,"High","low")</f>
        <v>low</v>
      </c>
    </row>
    <row r="4893" spans="1:3">
      <c r="A4893" s="3">
        <v>35</v>
      </c>
      <c r="B4893" s="2">
        <f>Walmart_Sales_raw_data!C4893</f>
        <v>917693.06</v>
      </c>
      <c r="C4893" t="str">
        <f>IF(B4893&gt;=Walmart_Sales_raw_data!$C$6437,"High","low")</f>
        <v>low</v>
      </c>
    </row>
    <row r="4894" spans="1:3">
      <c r="A4894" s="1">
        <v>35</v>
      </c>
      <c r="B4894" s="2">
        <f>Walmart_Sales_raw_data!C4894</f>
        <v>948660.79</v>
      </c>
      <c r="C4894" t="str">
        <f>IF(B4894&gt;=Walmart_Sales_raw_data!$C$6437,"High","low")</f>
        <v>low</v>
      </c>
    </row>
    <row r="4895" spans="1:3">
      <c r="A4895" s="3">
        <v>35</v>
      </c>
      <c r="B4895" s="2">
        <f>Walmart_Sales_raw_data!C4895</f>
        <v>961685.98</v>
      </c>
      <c r="C4895" t="str">
        <f>IF(B4895&gt;=Walmart_Sales_raw_data!$C$6437,"High","low")</f>
        <v>low</v>
      </c>
    </row>
    <row r="4896" spans="1:3">
      <c r="A4896" s="1">
        <v>35</v>
      </c>
      <c r="B4896" s="2">
        <f>Walmart_Sales_raw_data!C4896</f>
        <v>831443.61</v>
      </c>
      <c r="C4896" t="str">
        <f>IF(B4896&gt;=Walmart_Sales_raw_data!$C$6437,"High","low")</f>
        <v>low</v>
      </c>
    </row>
    <row r="4897" spans="1:3">
      <c r="A4897" s="3">
        <v>35</v>
      </c>
      <c r="B4897" s="2">
        <f>Walmart_Sales_raw_data!C4897</f>
        <v>758069.78</v>
      </c>
      <c r="C4897" t="str">
        <f>IF(B4897&gt;=Walmart_Sales_raw_data!$C$6437,"High","low")</f>
        <v>low</v>
      </c>
    </row>
    <row r="4898" spans="1:3">
      <c r="A4898" s="1">
        <v>35</v>
      </c>
      <c r="B4898" s="2">
        <f>Walmart_Sales_raw_data!C4898</f>
        <v>771065.21</v>
      </c>
      <c r="C4898" t="str">
        <f>IF(B4898&gt;=Walmart_Sales_raw_data!$C$6437,"High","low")</f>
        <v>low</v>
      </c>
    </row>
    <row r="4899" spans="1:3">
      <c r="A4899" s="3">
        <v>35</v>
      </c>
      <c r="B4899" s="2">
        <f>Walmart_Sales_raw_data!C4899</f>
        <v>874615.32</v>
      </c>
      <c r="C4899" t="str">
        <f>IF(B4899&gt;=Walmart_Sales_raw_data!$C$6437,"High","low")</f>
        <v>low</v>
      </c>
    </row>
    <row r="4900" spans="1:3">
      <c r="A4900" s="1">
        <v>35</v>
      </c>
      <c r="B4900" s="2">
        <f>Walmart_Sales_raw_data!C4900</f>
        <v>798376.99</v>
      </c>
      <c r="C4900" t="str">
        <f>IF(B4900&gt;=Walmart_Sales_raw_data!$C$6437,"High","low")</f>
        <v>low</v>
      </c>
    </row>
    <row r="4901" spans="1:3">
      <c r="A4901" s="3">
        <v>35</v>
      </c>
      <c r="B4901" s="2">
        <f>Walmart_Sales_raw_data!C4901</f>
        <v>827705.82</v>
      </c>
      <c r="C4901" t="str">
        <f>IF(B4901&gt;=Walmart_Sales_raw_data!$C$6437,"High","low")</f>
        <v>low</v>
      </c>
    </row>
    <row r="4902" spans="1:3">
      <c r="A4902" s="1">
        <v>35</v>
      </c>
      <c r="B4902" s="2">
        <f>Walmart_Sales_raw_data!C4902</f>
        <v>857797.33</v>
      </c>
      <c r="C4902" t="str">
        <f>IF(B4902&gt;=Walmart_Sales_raw_data!$C$6437,"High","low")</f>
        <v>low</v>
      </c>
    </row>
    <row r="4903" spans="1:3">
      <c r="A4903" s="3">
        <v>35</v>
      </c>
      <c r="B4903" s="2">
        <f>Walmart_Sales_raw_data!C4903</f>
        <v>843755.12</v>
      </c>
      <c r="C4903" t="str">
        <f>IF(B4903&gt;=Walmart_Sales_raw_data!$C$6437,"High","low")</f>
        <v>low</v>
      </c>
    </row>
    <row r="4904" spans="1:3">
      <c r="A4904" s="1">
        <v>35</v>
      </c>
      <c r="B4904" s="2">
        <f>Walmart_Sales_raw_data!C4904</f>
        <v>870914.69</v>
      </c>
      <c r="C4904" t="str">
        <f>IF(B4904&gt;=Walmart_Sales_raw_data!$C$6437,"High","low")</f>
        <v>low</v>
      </c>
    </row>
    <row r="4905" spans="1:3">
      <c r="A4905" s="3">
        <v>35</v>
      </c>
      <c r="B4905" s="2">
        <f>Walmart_Sales_raw_data!C4905</f>
        <v>846850.35</v>
      </c>
      <c r="C4905" t="str">
        <f>IF(B4905&gt;=Walmart_Sales_raw_data!$C$6437,"High","low")</f>
        <v>low</v>
      </c>
    </row>
    <row r="4906" spans="1:3">
      <c r="A4906" s="1">
        <v>35</v>
      </c>
      <c r="B4906" s="2">
        <f>Walmart_Sales_raw_data!C4906</f>
        <v>1781866.98</v>
      </c>
      <c r="C4906" t="str">
        <f>IF(B4906&gt;=Walmart_Sales_raw_data!$C$6437,"High","low")</f>
        <v>High</v>
      </c>
    </row>
    <row r="4907" spans="1:3">
      <c r="A4907" s="3">
        <v>35</v>
      </c>
      <c r="B4907" s="2">
        <f>Walmart_Sales_raw_data!C4907</f>
        <v>982598.88</v>
      </c>
      <c r="C4907" t="str">
        <f>IF(B4907&gt;=Walmart_Sales_raw_data!$C$6437,"High","low")</f>
        <v>low</v>
      </c>
    </row>
    <row r="4908" spans="1:3">
      <c r="A4908" s="1">
        <v>35</v>
      </c>
      <c r="B4908" s="2">
        <f>Walmart_Sales_raw_data!C4908</f>
        <v>1108580.19</v>
      </c>
      <c r="C4908" t="str">
        <f>IF(B4908&gt;=Walmart_Sales_raw_data!$C$6437,"High","low")</f>
        <v>High</v>
      </c>
    </row>
    <row r="4909" spans="1:3">
      <c r="A4909" s="3">
        <v>35</v>
      </c>
      <c r="B4909" s="2">
        <f>Walmart_Sales_raw_data!C4909</f>
        <v>1314987.4</v>
      </c>
      <c r="C4909" t="str">
        <f>IF(B4909&gt;=Walmart_Sales_raw_data!$C$6437,"High","low")</f>
        <v>High</v>
      </c>
    </row>
    <row r="4910" spans="1:3">
      <c r="A4910" s="1">
        <v>35</v>
      </c>
      <c r="B4910" s="2">
        <f>Walmart_Sales_raw_data!C4910</f>
        <v>1779236.54</v>
      </c>
      <c r="C4910" t="str">
        <f>IF(B4910&gt;=Walmart_Sales_raw_data!$C$6437,"High","low")</f>
        <v>High</v>
      </c>
    </row>
    <row r="4911" spans="1:3">
      <c r="A4911" s="3">
        <v>35</v>
      </c>
      <c r="B4911" s="2">
        <f>Walmart_Sales_raw_data!C4911</f>
        <v>576332.05</v>
      </c>
      <c r="C4911" t="str">
        <f>IF(B4911&gt;=Walmart_Sales_raw_data!$C$6437,"High","low")</f>
        <v>low</v>
      </c>
    </row>
    <row r="4912" spans="1:3">
      <c r="A4912" s="1">
        <v>35</v>
      </c>
      <c r="B4912" s="2">
        <f>Walmart_Sales_raw_data!C4912</f>
        <v>649289.75</v>
      </c>
      <c r="C4912" t="str">
        <f>IF(B4912&gt;=Walmart_Sales_raw_data!$C$6437,"High","low")</f>
        <v>low</v>
      </c>
    </row>
    <row r="4913" spans="1:3">
      <c r="A4913" s="3">
        <v>35</v>
      </c>
      <c r="B4913" s="2">
        <f>Walmart_Sales_raw_data!C4913</f>
        <v>687670.78</v>
      </c>
      <c r="C4913" t="str">
        <f>IF(B4913&gt;=Walmart_Sales_raw_data!$C$6437,"High","low")</f>
        <v>low</v>
      </c>
    </row>
    <row r="4914" spans="1:3">
      <c r="A4914" s="1">
        <v>35</v>
      </c>
      <c r="B4914" s="2">
        <f>Walmart_Sales_raw_data!C4914</f>
        <v>659902.07</v>
      </c>
      <c r="C4914" t="str">
        <f>IF(B4914&gt;=Walmart_Sales_raw_data!$C$6437,"High","low")</f>
        <v>low</v>
      </c>
    </row>
    <row r="4915" spans="1:3">
      <c r="A4915" s="3">
        <v>35</v>
      </c>
      <c r="B4915" s="2">
        <f>Walmart_Sales_raw_data!C4915</f>
        <v>633289.78</v>
      </c>
      <c r="C4915" t="str">
        <f>IF(B4915&gt;=Walmart_Sales_raw_data!$C$6437,"High","low")</f>
        <v>low</v>
      </c>
    </row>
    <row r="4916" spans="1:3">
      <c r="A4916" s="1">
        <v>35</v>
      </c>
      <c r="B4916" s="2">
        <f>Walmart_Sales_raw_data!C4916</f>
        <v>747577.05</v>
      </c>
      <c r="C4916" t="str">
        <f>IF(B4916&gt;=Walmart_Sales_raw_data!$C$6437,"High","low")</f>
        <v>low</v>
      </c>
    </row>
    <row r="4917" spans="1:3">
      <c r="A4917" s="3">
        <v>35</v>
      </c>
      <c r="B4917" s="2">
        <f>Walmart_Sales_raw_data!C4917</f>
        <v>859258.17</v>
      </c>
      <c r="C4917" t="str">
        <f>IF(B4917&gt;=Walmart_Sales_raw_data!$C$6437,"High","low")</f>
        <v>low</v>
      </c>
    </row>
    <row r="4918" spans="1:3">
      <c r="A4918" s="1">
        <v>35</v>
      </c>
      <c r="B4918" s="2">
        <f>Walmart_Sales_raw_data!C4918</f>
        <v>865305.88</v>
      </c>
      <c r="C4918" t="str">
        <f>IF(B4918&gt;=Walmart_Sales_raw_data!$C$6437,"High","low")</f>
        <v>low</v>
      </c>
    </row>
    <row r="4919" spans="1:3">
      <c r="A4919" s="3">
        <v>35</v>
      </c>
      <c r="B4919" s="2">
        <f>Walmart_Sales_raw_data!C4919</f>
        <v>841129.26</v>
      </c>
      <c r="C4919" t="str">
        <f>IF(B4919&gt;=Walmart_Sales_raw_data!$C$6437,"High","low")</f>
        <v>low</v>
      </c>
    </row>
    <row r="4920" spans="1:3">
      <c r="A4920" s="1">
        <v>35</v>
      </c>
      <c r="B4920" s="2">
        <f>Walmart_Sales_raw_data!C4920</f>
        <v>850448.54</v>
      </c>
      <c r="C4920" t="str">
        <f>IF(B4920&gt;=Walmart_Sales_raw_data!$C$6437,"High","low")</f>
        <v>low</v>
      </c>
    </row>
    <row r="4921" spans="1:3">
      <c r="A4921" s="3">
        <v>35</v>
      </c>
      <c r="B4921" s="2">
        <f>Walmart_Sales_raw_data!C4921</f>
        <v>830601.39</v>
      </c>
      <c r="C4921" t="str">
        <f>IF(B4921&gt;=Walmart_Sales_raw_data!$C$6437,"High","low")</f>
        <v>low</v>
      </c>
    </row>
    <row r="4922" spans="1:3">
      <c r="A4922" s="1">
        <v>35</v>
      </c>
      <c r="B4922" s="2">
        <f>Walmart_Sales_raw_data!C4922</f>
        <v>800662.82</v>
      </c>
      <c r="C4922" t="str">
        <f>IF(B4922&gt;=Walmart_Sales_raw_data!$C$6437,"High","low")</f>
        <v>low</v>
      </c>
    </row>
    <row r="4923" spans="1:3">
      <c r="A4923" s="3">
        <v>35</v>
      </c>
      <c r="B4923" s="2">
        <f>Walmart_Sales_raw_data!C4923</f>
        <v>762184.1</v>
      </c>
      <c r="C4923" t="str">
        <f>IF(B4923&gt;=Walmart_Sales_raw_data!$C$6437,"High","low")</f>
        <v>low</v>
      </c>
    </row>
    <row r="4924" spans="1:3">
      <c r="A4924" s="1">
        <v>35</v>
      </c>
      <c r="B4924" s="2">
        <f>Walmart_Sales_raw_data!C4924</f>
        <v>762620.94</v>
      </c>
      <c r="C4924" t="str">
        <f>IF(B4924&gt;=Walmart_Sales_raw_data!$C$6437,"High","low")</f>
        <v>low</v>
      </c>
    </row>
    <row r="4925" spans="1:3">
      <c r="A4925" s="3">
        <v>35</v>
      </c>
      <c r="B4925" s="2">
        <f>Walmart_Sales_raw_data!C4925</f>
        <v>813352.41</v>
      </c>
      <c r="C4925" t="str">
        <f>IF(B4925&gt;=Walmart_Sales_raw_data!$C$6437,"High","low")</f>
        <v>low</v>
      </c>
    </row>
    <row r="4926" spans="1:3">
      <c r="A4926" s="1">
        <v>35</v>
      </c>
      <c r="B4926" s="2">
        <f>Walmart_Sales_raw_data!C4926</f>
        <v>795157.2</v>
      </c>
      <c r="C4926" t="str">
        <f>IF(B4926&gt;=Walmart_Sales_raw_data!$C$6437,"High","low")</f>
        <v>low</v>
      </c>
    </row>
    <row r="4927" spans="1:3">
      <c r="A4927" s="3">
        <v>35</v>
      </c>
      <c r="B4927" s="2">
        <f>Walmart_Sales_raw_data!C4927</f>
        <v>841778.34</v>
      </c>
      <c r="C4927" t="str">
        <f>IF(B4927&gt;=Walmart_Sales_raw_data!$C$6437,"High","low")</f>
        <v>low</v>
      </c>
    </row>
    <row r="4928" spans="1:3">
      <c r="A4928" s="1">
        <v>35</v>
      </c>
      <c r="B4928" s="2">
        <f>Walmart_Sales_raw_data!C4928</f>
        <v>811824.06</v>
      </c>
      <c r="C4928" t="str">
        <f>IF(B4928&gt;=Walmart_Sales_raw_data!$C$6437,"High","low")</f>
        <v>low</v>
      </c>
    </row>
    <row r="4929" spans="1:3">
      <c r="A4929" s="3">
        <v>35</v>
      </c>
      <c r="B4929" s="2">
        <f>Walmart_Sales_raw_data!C4929</f>
        <v>835181.18</v>
      </c>
      <c r="C4929" t="str">
        <f>IF(B4929&gt;=Walmart_Sales_raw_data!$C$6437,"High","low")</f>
        <v>low</v>
      </c>
    </row>
    <row r="4930" spans="1:3">
      <c r="A4930" s="1">
        <v>35</v>
      </c>
      <c r="B4930" s="2">
        <f>Walmart_Sales_raw_data!C4930</f>
        <v>826155.95</v>
      </c>
      <c r="C4930" t="str">
        <f>IF(B4930&gt;=Walmart_Sales_raw_data!$C$6437,"High","low")</f>
        <v>low</v>
      </c>
    </row>
    <row r="4931" spans="1:3">
      <c r="A4931" s="3">
        <v>35</v>
      </c>
      <c r="B4931" s="2">
        <f>Walmart_Sales_raw_data!C4931</f>
        <v>776838.56</v>
      </c>
      <c r="C4931" t="str">
        <f>IF(B4931&gt;=Walmart_Sales_raw_data!$C$6437,"High","low")</f>
        <v>low</v>
      </c>
    </row>
    <row r="4932" spans="1:3">
      <c r="A4932" s="1">
        <v>35</v>
      </c>
      <c r="B4932" s="2">
        <f>Walmart_Sales_raw_data!C4932</f>
        <v>850708.6</v>
      </c>
      <c r="C4932" t="str">
        <f>IF(B4932&gt;=Walmart_Sales_raw_data!$C$6437,"High","low")</f>
        <v>low</v>
      </c>
    </row>
    <row r="4933" spans="1:3">
      <c r="A4933" s="3">
        <v>35</v>
      </c>
      <c r="B4933" s="2">
        <f>Walmart_Sales_raw_data!C4933</f>
        <v>955466.84</v>
      </c>
      <c r="C4933" t="str">
        <f>IF(B4933&gt;=Walmart_Sales_raw_data!$C$6437,"High","low")</f>
        <v>low</v>
      </c>
    </row>
    <row r="4934" spans="1:3">
      <c r="A4934" s="1">
        <v>35</v>
      </c>
      <c r="B4934" s="2">
        <f>Walmart_Sales_raw_data!C4934</f>
        <v>855130.21</v>
      </c>
      <c r="C4934" t="str">
        <f>IF(B4934&gt;=Walmart_Sales_raw_data!$C$6437,"High","low")</f>
        <v>low</v>
      </c>
    </row>
    <row r="4935" spans="1:3">
      <c r="A4935" s="3">
        <v>35</v>
      </c>
      <c r="B4935" s="2">
        <f>Walmart_Sales_raw_data!C4935</f>
        <v>828594.86</v>
      </c>
      <c r="C4935" t="str">
        <f>IF(B4935&gt;=Walmart_Sales_raw_data!$C$6437,"High","low")</f>
        <v>low</v>
      </c>
    </row>
    <row r="4936" spans="1:3">
      <c r="A4936" s="1">
        <v>35</v>
      </c>
      <c r="B4936" s="2">
        <f>Walmart_Sales_raw_data!C4936</f>
        <v>849397.57</v>
      </c>
      <c r="C4936" t="str">
        <f>IF(B4936&gt;=Walmart_Sales_raw_data!$C$6437,"High","low")</f>
        <v>low</v>
      </c>
    </row>
    <row r="4937" spans="1:3">
      <c r="A4937" s="3">
        <v>35</v>
      </c>
      <c r="B4937" s="2">
        <f>Walmart_Sales_raw_data!C4937</f>
        <v>874453.88</v>
      </c>
      <c r="C4937" t="str">
        <f>IF(B4937&gt;=Walmart_Sales_raw_data!$C$6437,"High","low")</f>
        <v>low</v>
      </c>
    </row>
    <row r="4938" spans="1:3">
      <c r="A4938" s="1">
        <v>35</v>
      </c>
      <c r="B4938" s="2">
        <f>Walmart_Sales_raw_data!C4938</f>
        <v>827717.85</v>
      </c>
      <c r="C4938" t="str">
        <f>IF(B4938&gt;=Walmart_Sales_raw_data!$C$6437,"High","low")</f>
        <v>low</v>
      </c>
    </row>
    <row r="4939" spans="1:3">
      <c r="A4939" s="3">
        <v>35</v>
      </c>
      <c r="B4939" s="2">
        <f>Walmart_Sales_raw_data!C4939</f>
        <v>813845.5</v>
      </c>
      <c r="C4939" t="str">
        <f>IF(B4939&gt;=Walmart_Sales_raw_data!$C$6437,"High","low")</f>
        <v>low</v>
      </c>
    </row>
    <row r="4940" spans="1:3">
      <c r="A4940" s="1">
        <v>35</v>
      </c>
      <c r="B4940" s="2">
        <f>Walmart_Sales_raw_data!C4940</f>
        <v>820188.42</v>
      </c>
      <c r="C4940" t="str">
        <f>IF(B4940&gt;=Walmart_Sales_raw_data!$C$6437,"High","low")</f>
        <v>low</v>
      </c>
    </row>
    <row r="4941" spans="1:3">
      <c r="A4941" s="3">
        <v>35</v>
      </c>
      <c r="B4941" s="2">
        <f>Walmart_Sales_raw_data!C4941</f>
        <v>770820.27</v>
      </c>
      <c r="C4941" t="str">
        <f>IF(B4941&gt;=Walmart_Sales_raw_data!$C$6437,"High","low")</f>
        <v>low</v>
      </c>
    </row>
    <row r="4942" spans="1:3">
      <c r="A4942" s="1">
        <v>35</v>
      </c>
      <c r="B4942" s="2">
        <f>Walmart_Sales_raw_data!C4942</f>
        <v>826820.71</v>
      </c>
      <c r="C4942" t="str">
        <f>IF(B4942&gt;=Walmart_Sales_raw_data!$C$6437,"High","low")</f>
        <v>low</v>
      </c>
    </row>
    <row r="4943" spans="1:3">
      <c r="A4943" s="3">
        <v>35</v>
      </c>
      <c r="B4943" s="2">
        <f>Walmart_Sales_raw_data!C4943</f>
        <v>819911.89</v>
      </c>
      <c r="C4943" t="str">
        <f>IF(B4943&gt;=Walmart_Sales_raw_data!$C$6437,"High","low")</f>
        <v>low</v>
      </c>
    </row>
    <row r="4944" spans="1:3">
      <c r="A4944" s="1">
        <v>35</v>
      </c>
      <c r="B4944" s="2">
        <f>Walmart_Sales_raw_data!C4944</f>
        <v>820288.35</v>
      </c>
      <c r="C4944" t="str">
        <f>IF(B4944&gt;=Walmart_Sales_raw_data!$C$6437,"High","low")</f>
        <v>low</v>
      </c>
    </row>
    <row r="4945" spans="1:3">
      <c r="A4945" s="3">
        <v>35</v>
      </c>
      <c r="B4945" s="2">
        <f>Walmart_Sales_raw_data!C4945</f>
        <v>897037.25</v>
      </c>
      <c r="C4945" t="str">
        <f>IF(B4945&gt;=Walmart_Sales_raw_data!$C$6437,"High","low")</f>
        <v>low</v>
      </c>
    </row>
    <row r="4946" spans="1:3">
      <c r="A4946" s="1">
        <v>35</v>
      </c>
      <c r="B4946" s="2">
        <f>Walmart_Sales_raw_data!C4946</f>
        <v>813486.55</v>
      </c>
      <c r="C4946" t="str">
        <f>IF(B4946&gt;=Walmart_Sales_raw_data!$C$6437,"High","low")</f>
        <v>low</v>
      </c>
    </row>
    <row r="4947" spans="1:3">
      <c r="A4947" s="3">
        <v>35</v>
      </c>
      <c r="B4947" s="2">
        <f>Walmart_Sales_raw_data!C4947</f>
        <v>922440.64</v>
      </c>
      <c r="C4947" t="str">
        <f>IF(B4947&gt;=Walmart_Sales_raw_data!$C$6437,"High","low")</f>
        <v>low</v>
      </c>
    </row>
    <row r="4948" spans="1:3">
      <c r="A4948" s="1">
        <v>35</v>
      </c>
      <c r="B4948" s="2">
        <f>Walmart_Sales_raw_data!C4948</f>
        <v>738792.11</v>
      </c>
      <c r="C4948" t="str">
        <f>IF(B4948&gt;=Walmart_Sales_raw_data!$C$6437,"High","low")</f>
        <v>low</v>
      </c>
    </row>
    <row r="4949" spans="1:3">
      <c r="A4949" s="3">
        <v>35</v>
      </c>
      <c r="B4949" s="2">
        <f>Walmart_Sales_raw_data!C4949</f>
        <v>705802.45</v>
      </c>
      <c r="C4949" t="str">
        <f>IF(B4949&gt;=Walmart_Sales_raw_data!$C$6437,"High","low")</f>
        <v>low</v>
      </c>
    </row>
    <row r="4950" spans="1:3">
      <c r="A4950" s="1">
        <v>35</v>
      </c>
      <c r="B4950" s="2">
        <f>Walmart_Sales_raw_data!C4950</f>
        <v>749676.95</v>
      </c>
      <c r="C4950" t="str">
        <f>IF(B4950&gt;=Walmart_Sales_raw_data!$C$6437,"High","low")</f>
        <v>low</v>
      </c>
    </row>
    <row r="4951" spans="1:3">
      <c r="A4951" s="3">
        <v>35</v>
      </c>
      <c r="B4951" s="2">
        <f>Walmart_Sales_raw_data!C4951</f>
        <v>791637.53</v>
      </c>
      <c r="C4951" t="str">
        <f>IF(B4951&gt;=Walmart_Sales_raw_data!$C$6437,"High","low")</f>
        <v>low</v>
      </c>
    </row>
    <row r="4952" spans="1:3">
      <c r="A4952" s="1">
        <v>35</v>
      </c>
      <c r="B4952" s="2">
        <f>Walmart_Sales_raw_data!C4952</f>
        <v>772859.25</v>
      </c>
      <c r="C4952" t="str">
        <f>IF(B4952&gt;=Walmart_Sales_raw_data!$C$6437,"High","low")</f>
        <v>low</v>
      </c>
    </row>
    <row r="4953" spans="1:3">
      <c r="A4953" s="3">
        <v>35</v>
      </c>
      <c r="B4953" s="2">
        <f>Walmart_Sales_raw_data!C4953</f>
        <v>811328.4</v>
      </c>
      <c r="C4953" t="str">
        <f>IF(B4953&gt;=Walmart_Sales_raw_data!$C$6437,"High","low")</f>
        <v>low</v>
      </c>
    </row>
    <row r="4954" spans="1:3">
      <c r="A4954" s="1">
        <v>35</v>
      </c>
      <c r="B4954" s="2">
        <f>Walmart_Sales_raw_data!C4954</f>
        <v>808821.5</v>
      </c>
      <c r="C4954" t="str">
        <f>IF(B4954&gt;=Walmart_Sales_raw_data!$C$6437,"High","low")</f>
        <v>low</v>
      </c>
    </row>
    <row r="4955" spans="1:3">
      <c r="A4955" s="3">
        <v>35</v>
      </c>
      <c r="B4955" s="2">
        <f>Walmart_Sales_raw_data!C4955</f>
        <v>653468.75</v>
      </c>
      <c r="C4955" t="str">
        <f>IF(B4955&gt;=Walmart_Sales_raw_data!$C$6437,"High","low")</f>
        <v>low</v>
      </c>
    </row>
    <row r="4956" spans="1:3">
      <c r="A4956" s="1">
        <v>35</v>
      </c>
      <c r="B4956" s="2">
        <f>Walmart_Sales_raw_data!C4956</f>
        <v>880576.33</v>
      </c>
      <c r="C4956" t="str">
        <f>IF(B4956&gt;=Walmart_Sales_raw_data!$C$6437,"High","low")</f>
        <v>low</v>
      </c>
    </row>
    <row r="4957" spans="1:3">
      <c r="A4957" s="3">
        <v>35</v>
      </c>
      <c r="B4957" s="2">
        <f>Walmart_Sales_raw_data!C4957</f>
        <v>820964.1</v>
      </c>
      <c r="C4957" t="str">
        <f>IF(B4957&gt;=Walmart_Sales_raw_data!$C$6437,"High","low")</f>
        <v>low</v>
      </c>
    </row>
    <row r="4958" spans="1:3">
      <c r="A4958" s="1">
        <v>35</v>
      </c>
      <c r="B4958" s="2">
        <f>Walmart_Sales_raw_data!C4958</f>
        <v>1733822.4</v>
      </c>
      <c r="C4958" t="str">
        <f>IF(B4958&gt;=Walmart_Sales_raw_data!$C$6437,"High","low")</f>
        <v>High</v>
      </c>
    </row>
    <row r="4959" spans="1:3">
      <c r="A4959" s="3">
        <v>35</v>
      </c>
      <c r="B4959" s="2">
        <f>Walmart_Sales_raw_data!C4959</f>
        <v>903606.03</v>
      </c>
      <c r="C4959" t="str">
        <f>IF(B4959&gt;=Walmart_Sales_raw_data!$C$6437,"High","low")</f>
        <v>low</v>
      </c>
    </row>
    <row r="4960" spans="1:3">
      <c r="A4960" s="1">
        <v>35</v>
      </c>
      <c r="B4960" s="2">
        <f>Walmart_Sales_raw_data!C4960</f>
        <v>948964.99</v>
      </c>
      <c r="C4960" t="str">
        <f>IF(B4960&gt;=Walmart_Sales_raw_data!$C$6437,"High","low")</f>
        <v>low</v>
      </c>
    </row>
    <row r="4961" spans="1:3">
      <c r="A4961" s="3">
        <v>35</v>
      </c>
      <c r="B4961" s="2">
        <f>Walmart_Sales_raw_data!C4961</f>
        <v>1115255.65</v>
      </c>
      <c r="C4961" t="str">
        <f>IF(B4961&gt;=Walmart_Sales_raw_data!$C$6437,"High","low")</f>
        <v>High</v>
      </c>
    </row>
    <row r="4962" spans="1:3">
      <c r="A4962" s="1">
        <v>35</v>
      </c>
      <c r="B4962" s="2">
        <f>Walmart_Sales_raw_data!C4962</f>
        <v>1550214.02</v>
      </c>
      <c r="C4962" t="str">
        <f>IF(B4962&gt;=Walmart_Sales_raw_data!$C$6437,"High","low")</f>
        <v>High</v>
      </c>
    </row>
    <row r="4963" spans="1:3">
      <c r="A4963" s="3">
        <v>35</v>
      </c>
      <c r="B4963" s="2">
        <f>Walmart_Sales_raw_data!C4963</f>
        <v>904650.55</v>
      </c>
      <c r="C4963" t="str">
        <f>IF(B4963&gt;=Walmart_Sales_raw_data!$C$6437,"High","low")</f>
        <v>low</v>
      </c>
    </row>
    <row r="4964" spans="1:3">
      <c r="A4964" s="1">
        <v>35</v>
      </c>
      <c r="B4964" s="2">
        <f>Walmart_Sales_raw_data!C4964</f>
        <v>671708.09</v>
      </c>
      <c r="C4964" t="str">
        <f>IF(B4964&gt;=Walmart_Sales_raw_data!$C$6437,"High","low")</f>
        <v>low</v>
      </c>
    </row>
    <row r="4965" spans="1:3">
      <c r="A4965" s="3">
        <v>35</v>
      </c>
      <c r="B4965" s="2">
        <f>Walmart_Sales_raw_data!C4965</f>
        <v>625135.11</v>
      </c>
      <c r="C4965" t="str">
        <f>IF(B4965&gt;=Walmart_Sales_raw_data!$C$6437,"High","low")</f>
        <v>low</v>
      </c>
    </row>
    <row r="4966" spans="1:3">
      <c r="A4966" s="1">
        <v>35</v>
      </c>
      <c r="B4966" s="2">
        <f>Walmart_Sales_raw_data!C4966</f>
        <v>669850.04</v>
      </c>
      <c r="C4966" t="str">
        <f>IF(B4966&gt;=Walmart_Sales_raw_data!$C$6437,"High","low")</f>
        <v>low</v>
      </c>
    </row>
    <row r="4967" spans="1:3">
      <c r="A4967" s="3">
        <v>35</v>
      </c>
      <c r="B4967" s="2">
        <f>Walmart_Sales_raw_data!C4967</f>
        <v>588722.99</v>
      </c>
      <c r="C4967" t="str">
        <f>IF(B4967&gt;=Walmart_Sales_raw_data!$C$6437,"High","low")</f>
        <v>low</v>
      </c>
    </row>
    <row r="4968" spans="1:3">
      <c r="A4968" s="1">
        <v>35</v>
      </c>
      <c r="B4968" s="2">
        <f>Walmart_Sales_raw_data!C4968</f>
        <v>746901.03</v>
      </c>
      <c r="C4968" t="str">
        <f>IF(B4968&gt;=Walmart_Sales_raw_data!$C$6437,"High","low")</f>
        <v>low</v>
      </c>
    </row>
    <row r="4969" spans="1:3">
      <c r="A4969" s="3">
        <v>35</v>
      </c>
      <c r="B4969" s="2">
        <f>Walmart_Sales_raw_data!C4969</f>
        <v>849779.14</v>
      </c>
      <c r="C4969" t="str">
        <f>IF(B4969&gt;=Walmart_Sales_raw_data!$C$6437,"High","low")</f>
        <v>low</v>
      </c>
    </row>
    <row r="4970" spans="1:3">
      <c r="A4970" s="1">
        <v>35</v>
      </c>
      <c r="B4970" s="2">
        <f>Walmart_Sales_raw_data!C4970</f>
        <v>824568.39</v>
      </c>
      <c r="C4970" t="str">
        <f>IF(B4970&gt;=Walmart_Sales_raw_data!$C$6437,"High","low")</f>
        <v>low</v>
      </c>
    </row>
    <row r="4971" spans="1:3">
      <c r="A4971" s="3">
        <v>35</v>
      </c>
      <c r="B4971" s="2">
        <f>Walmart_Sales_raw_data!C4971</f>
        <v>805028.74</v>
      </c>
      <c r="C4971" t="str">
        <f>IF(B4971&gt;=Walmart_Sales_raw_data!$C$6437,"High","low")</f>
        <v>low</v>
      </c>
    </row>
    <row r="4972" spans="1:3">
      <c r="A4972" s="1">
        <v>35</v>
      </c>
      <c r="B4972" s="2">
        <f>Walmart_Sales_raw_data!C4972</f>
        <v>766571.1</v>
      </c>
      <c r="C4972" t="str">
        <f>IF(B4972&gt;=Walmart_Sales_raw_data!$C$6437,"High","low")</f>
        <v>low</v>
      </c>
    </row>
    <row r="4973" spans="1:3">
      <c r="A4973" s="3">
        <v>35</v>
      </c>
      <c r="B4973" s="2">
        <f>Walmart_Sales_raw_data!C4973</f>
        <v>796351.35</v>
      </c>
      <c r="C4973" t="str">
        <f>IF(B4973&gt;=Walmart_Sales_raw_data!$C$6437,"High","low")</f>
        <v>low</v>
      </c>
    </row>
    <row r="4974" spans="1:3">
      <c r="A4974" s="1">
        <v>35</v>
      </c>
      <c r="B4974" s="2">
        <f>Walmart_Sales_raw_data!C4974</f>
        <v>793045.82</v>
      </c>
      <c r="C4974" t="str">
        <f>IF(B4974&gt;=Walmart_Sales_raw_data!$C$6437,"High","low")</f>
        <v>low</v>
      </c>
    </row>
    <row r="4975" spans="1:3">
      <c r="A4975" s="3">
        <v>35</v>
      </c>
      <c r="B4975" s="2">
        <f>Walmart_Sales_raw_data!C4975</f>
        <v>760671.1</v>
      </c>
      <c r="C4975" t="str">
        <f>IF(B4975&gt;=Walmart_Sales_raw_data!$C$6437,"High","low")</f>
        <v>low</v>
      </c>
    </row>
    <row r="4976" spans="1:3">
      <c r="A4976" s="1">
        <v>35</v>
      </c>
      <c r="B4976" s="2">
        <f>Walmart_Sales_raw_data!C4976</f>
        <v>744525.69</v>
      </c>
      <c r="C4976" t="str">
        <f>IF(B4976&gt;=Walmart_Sales_raw_data!$C$6437,"High","low")</f>
        <v>low</v>
      </c>
    </row>
    <row r="4977" spans="1:3">
      <c r="A4977" s="3">
        <v>35</v>
      </c>
      <c r="B4977" s="2">
        <f>Walmart_Sales_raw_data!C4977</f>
        <v>860293.46</v>
      </c>
      <c r="C4977" t="str">
        <f>IF(B4977&gt;=Walmart_Sales_raw_data!$C$6437,"High","low")</f>
        <v>low</v>
      </c>
    </row>
    <row r="4978" spans="1:3">
      <c r="A4978" s="1">
        <v>35</v>
      </c>
      <c r="B4978" s="2">
        <f>Walmart_Sales_raw_data!C4978</f>
        <v>788633.42</v>
      </c>
      <c r="C4978" t="str">
        <f>IF(B4978&gt;=Walmart_Sales_raw_data!$C$6437,"High","low")</f>
        <v>low</v>
      </c>
    </row>
    <row r="4979" spans="1:3">
      <c r="A4979" s="3">
        <v>35</v>
      </c>
      <c r="B4979" s="2">
        <f>Walmart_Sales_raw_data!C4979</f>
        <v>794660.24</v>
      </c>
      <c r="C4979" t="str">
        <f>IF(B4979&gt;=Walmart_Sales_raw_data!$C$6437,"High","low")</f>
        <v>low</v>
      </c>
    </row>
    <row r="4980" spans="1:3">
      <c r="A4980" s="1">
        <v>35</v>
      </c>
      <c r="B4980" s="2">
        <f>Walmart_Sales_raw_data!C4980</f>
        <v>721212.45</v>
      </c>
      <c r="C4980" t="str">
        <f>IF(B4980&gt;=Walmart_Sales_raw_data!$C$6437,"High","low")</f>
        <v>low</v>
      </c>
    </row>
    <row r="4981" spans="1:3">
      <c r="A4981" s="3">
        <v>35</v>
      </c>
      <c r="B4981" s="2">
        <f>Walmart_Sales_raw_data!C4981</f>
        <v>772036.6</v>
      </c>
      <c r="C4981" t="str">
        <f>IF(B4981&gt;=Walmart_Sales_raw_data!$C$6437,"High","low")</f>
        <v>low</v>
      </c>
    </row>
    <row r="4982" spans="1:3">
      <c r="A4982" s="1">
        <v>35</v>
      </c>
      <c r="B4982" s="2">
        <f>Walmart_Sales_raw_data!C4982</f>
        <v>802383.63</v>
      </c>
      <c r="C4982" t="str">
        <f>IF(B4982&gt;=Walmart_Sales_raw_data!$C$6437,"High","low")</f>
        <v>low</v>
      </c>
    </row>
    <row r="4983" spans="1:3">
      <c r="A4983" s="3">
        <v>35</v>
      </c>
      <c r="B4983" s="2">
        <f>Walmart_Sales_raw_data!C4983</f>
        <v>819196.68</v>
      </c>
      <c r="C4983" t="str">
        <f>IF(B4983&gt;=Walmart_Sales_raw_data!$C$6437,"High","low")</f>
        <v>low</v>
      </c>
    </row>
    <row r="4984" spans="1:3">
      <c r="A4984" s="1">
        <v>35</v>
      </c>
      <c r="B4984" s="2">
        <f>Walmart_Sales_raw_data!C4984</f>
        <v>822167.17</v>
      </c>
      <c r="C4984" t="str">
        <f>IF(B4984&gt;=Walmart_Sales_raw_data!$C$6437,"High","low")</f>
        <v>low</v>
      </c>
    </row>
    <row r="4985" spans="1:3">
      <c r="A4985" s="3">
        <v>35</v>
      </c>
      <c r="B4985" s="2">
        <f>Walmart_Sales_raw_data!C4985</f>
        <v>932195.52</v>
      </c>
      <c r="C4985" t="str">
        <f>IF(B4985&gt;=Walmart_Sales_raw_data!$C$6437,"High","low")</f>
        <v>low</v>
      </c>
    </row>
    <row r="4986" spans="1:3">
      <c r="A4986" s="1">
        <v>35</v>
      </c>
      <c r="B4986" s="2">
        <f>Walmart_Sales_raw_data!C4986</f>
        <v>873415.01</v>
      </c>
      <c r="C4986" t="str">
        <f>IF(B4986&gt;=Walmart_Sales_raw_data!$C$6437,"High","low")</f>
        <v>low</v>
      </c>
    </row>
    <row r="4987" spans="1:3">
      <c r="A4987" s="3">
        <v>35</v>
      </c>
      <c r="B4987" s="2">
        <f>Walmart_Sales_raw_data!C4987</f>
        <v>848289.41</v>
      </c>
      <c r="C4987" t="str">
        <f>IF(B4987&gt;=Walmart_Sales_raw_data!$C$6437,"High","low")</f>
        <v>low</v>
      </c>
    </row>
    <row r="4988" spans="1:3">
      <c r="A4988" s="1">
        <v>35</v>
      </c>
      <c r="B4988" s="2">
        <f>Walmart_Sales_raw_data!C4988</f>
        <v>911696</v>
      </c>
      <c r="C4988" t="str">
        <f>IF(B4988&gt;=Walmart_Sales_raw_data!$C$6437,"High","low")</f>
        <v>low</v>
      </c>
    </row>
    <row r="4989" spans="1:3">
      <c r="A4989" s="3">
        <v>35</v>
      </c>
      <c r="B4989" s="2">
        <f>Walmart_Sales_raw_data!C4989</f>
        <v>892133.41</v>
      </c>
      <c r="C4989" t="str">
        <f>IF(B4989&gt;=Walmart_Sales_raw_data!$C$6437,"High","low")</f>
        <v>low</v>
      </c>
    </row>
    <row r="4990" spans="1:3">
      <c r="A4990" s="1">
        <v>35</v>
      </c>
      <c r="B4990" s="2">
        <f>Walmart_Sales_raw_data!C4990</f>
        <v>985479.64</v>
      </c>
      <c r="C4990" t="str">
        <f>IF(B4990&gt;=Walmart_Sales_raw_data!$C$6437,"High","low")</f>
        <v>low</v>
      </c>
    </row>
    <row r="4991" spans="1:3">
      <c r="A4991" s="3">
        <v>35</v>
      </c>
      <c r="B4991" s="2">
        <f>Walmart_Sales_raw_data!C4991</f>
        <v>825763.48</v>
      </c>
      <c r="C4991" t="str">
        <f>IF(B4991&gt;=Walmart_Sales_raw_data!$C$6437,"High","low")</f>
        <v>low</v>
      </c>
    </row>
    <row r="4992" spans="1:3">
      <c r="A4992" s="1">
        <v>35</v>
      </c>
      <c r="B4992" s="2">
        <f>Walmart_Sales_raw_data!C4992</f>
        <v>841224.74</v>
      </c>
      <c r="C4992" t="str">
        <f>IF(B4992&gt;=Walmart_Sales_raw_data!$C$6437,"High","low")</f>
        <v>low</v>
      </c>
    </row>
    <row r="4993" spans="1:3">
      <c r="A4993" s="3">
        <v>35</v>
      </c>
      <c r="B4993" s="2">
        <f>Walmart_Sales_raw_data!C4993</f>
        <v>808030.15</v>
      </c>
      <c r="C4993" t="str">
        <f>IF(B4993&gt;=Walmart_Sales_raw_data!$C$6437,"High","low")</f>
        <v>low</v>
      </c>
    </row>
    <row r="4994" spans="1:3">
      <c r="A4994" s="1">
        <v>35</v>
      </c>
      <c r="B4994" s="2">
        <f>Walmart_Sales_raw_data!C4994</f>
        <v>866216.36</v>
      </c>
      <c r="C4994" t="str">
        <f>IF(B4994&gt;=Walmart_Sales_raw_data!$C$6437,"High","low")</f>
        <v>low</v>
      </c>
    </row>
    <row r="4995" spans="1:3">
      <c r="A4995" s="3">
        <v>35</v>
      </c>
      <c r="B4995" s="2">
        <f>Walmart_Sales_raw_data!C4995</f>
        <v>888368.8</v>
      </c>
      <c r="C4995" t="str">
        <f>IF(B4995&gt;=Walmart_Sales_raw_data!$C$6437,"High","low")</f>
        <v>low</v>
      </c>
    </row>
    <row r="4996" spans="1:3">
      <c r="A4996" s="1">
        <v>35</v>
      </c>
      <c r="B4996" s="2">
        <f>Walmart_Sales_raw_data!C4996</f>
        <v>887979.47</v>
      </c>
      <c r="C4996" t="str">
        <f>IF(B4996&gt;=Walmart_Sales_raw_data!$C$6437,"High","low")</f>
        <v>low</v>
      </c>
    </row>
    <row r="4997" spans="1:3">
      <c r="A4997" s="3">
        <v>35</v>
      </c>
      <c r="B4997" s="2">
        <f>Walmart_Sales_raw_data!C4997</f>
        <v>895274.72</v>
      </c>
      <c r="C4997" t="str">
        <f>IF(B4997&gt;=Walmart_Sales_raw_data!$C$6437,"High","low")</f>
        <v>low</v>
      </c>
    </row>
    <row r="4998" spans="1:3">
      <c r="A4998" s="1">
        <v>35</v>
      </c>
      <c r="B4998" s="2">
        <f>Walmart_Sales_raw_data!C4998</f>
        <v>931278.97</v>
      </c>
      <c r="C4998" t="str">
        <f>IF(B4998&gt;=Walmart_Sales_raw_data!$C$6437,"High","low")</f>
        <v>low</v>
      </c>
    </row>
    <row r="4999" spans="1:3">
      <c r="A4999" s="3">
        <v>35</v>
      </c>
      <c r="B4999" s="2">
        <f>Walmart_Sales_raw_data!C4999</f>
        <v>984833.35</v>
      </c>
      <c r="C4999" t="str">
        <f>IF(B4999&gt;=Walmart_Sales_raw_data!$C$6437,"High","low")</f>
        <v>low</v>
      </c>
    </row>
    <row r="5000" spans="1:3">
      <c r="A5000" s="1">
        <v>35</v>
      </c>
      <c r="B5000" s="2">
        <f>Walmart_Sales_raw_data!C5000</f>
        <v>821568.64</v>
      </c>
      <c r="C5000" t="str">
        <f>IF(B5000&gt;=Walmart_Sales_raw_data!$C$6437,"High","low")</f>
        <v>low</v>
      </c>
    </row>
    <row r="5001" spans="1:3">
      <c r="A5001" s="3">
        <v>35</v>
      </c>
      <c r="B5001" s="2">
        <f>Walmart_Sales_raw_data!C5001</f>
        <v>772302.94</v>
      </c>
      <c r="C5001" t="str">
        <f>IF(B5001&gt;=Walmart_Sales_raw_data!$C$6437,"High","low")</f>
        <v>low</v>
      </c>
    </row>
    <row r="5002" spans="1:3">
      <c r="A5002" s="1">
        <v>35</v>
      </c>
      <c r="B5002" s="2">
        <f>Walmart_Sales_raw_data!C5002</f>
        <v>814099.86</v>
      </c>
      <c r="C5002" t="str">
        <f>IF(B5002&gt;=Walmart_Sales_raw_data!$C$6437,"High","low")</f>
        <v>low</v>
      </c>
    </row>
    <row r="5003" spans="1:3">
      <c r="A5003" s="3">
        <v>35</v>
      </c>
      <c r="B5003" s="2">
        <f>Walmart_Sales_raw_data!C5003</f>
        <v>866064.4</v>
      </c>
      <c r="C5003" t="str">
        <f>IF(B5003&gt;=Walmart_Sales_raw_data!$C$6437,"High","low")</f>
        <v>low</v>
      </c>
    </row>
    <row r="5004" spans="1:3">
      <c r="A5004" s="1">
        <v>35</v>
      </c>
      <c r="B5004" s="2">
        <f>Walmart_Sales_raw_data!C5004</f>
        <v>873643.14</v>
      </c>
      <c r="C5004" t="str">
        <f>IF(B5004&gt;=Walmart_Sales_raw_data!$C$6437,"High","low")</f>
        <v>low</v>
      </c>
    </row>
    <row r="5005" spans="1:3">
      <c r="A5005" s="3">
        <v>35</v>
      </c>
      <c r="B5005" s="2">
        <f>Walmart_Sales_raw_data!C5005</f>
        <v>829284.67</v>
      </c>
      <c r="C5005" t="str">
        <f>IF(B5005&gt;=Walmart_Sales_raw_data!$C$6437,"High","low")</f>
        <v>low</v>
      </c>
    </row>
    <row r="5006" spans="1:3">
      <c r="A5006" s="1">
        <v>35</v>
      </c>
      <c r="B5006" s="2">
        <f>Walmart_Sales_raw_data!C5006</f>
        <v>865137.6</v>
      </c>
      <c r="C5006" t="str">
        <f>IF(B5006&gt;=Walmart_Sales_raw_data!$C$6437,"High","low")</f>
        <v>low</v>
      </c>
    </row>
    <row r="5007" spans="1:3">
      <c r="A5007" s="3">
        <v>36</v>
      </c>
      <c r="B5007" s="2">
        <f>Walmart_Sales_raw_data!C5007</f>
        <v>467546.74</v>
      </c>
      <c r="C5007" t="str">
        <f>IF(B5007&gt;=Walmart_Sales_raw_data!$C$6437,"High","low")</f>
        <v>low</v>
      </c>
    </row>
    <row r="5008" spans="1:3">
      <c r="A5008" s="1">
        <v>36</v>
      </c>
      <c r="B5008" s="2">
        <f>Walmart_Sales_raw_data!C5008</f>
        <v>469563.7</v>
      </c>
      <c r="C5008" t="str">
        <f>IF(B5008&gt;=Walmart_Sales_raw_data!$C$6437,"High","low")</f>
        <v>low</v>
      </c>
    </row>
    <row r="5009" spans="1:3">
      <c r="A5009" s="3">
        <v>36</v>
      </c>
      <c r="B5009" s="2">
        <f>Walmart_Sales_raw_data!C5009</f>
        <v>470281.03</v>
      </c>
      <c r="C5009" t="str">
        <f>IF(B5009&gt;=Walmart_Sales_raw_data!$C$6437,"High","low")</f>
        <v>low</v>
      </c>
    </row>
    <row r="5010" spans="1:3">
      <c r="A5010" s="1">
        <v>36</v>
      </c>
      <c r="B5010" s="2">
        <f>Walmart_Sales_raw_data!C5010</f>
        <v>447519.44</v>
      </c>
      <c r="C5010" t="str">
        <f>IF(B5010&gt;=Walmart_Sales_raw_data!$C$6437,"High","low")</f>
        <v>low</v>
      </c>
    </row>
    <row r="5011" spans="1:3">
      <c r="A5011" s="3">
        <v>36</v>
      </c>
      <c r="B5011" s="2">
        <f>Walmart_Sales_raw_data!C5011</f>
        <v>480203.43</v>
      </c>
      <c r="C5011" t="str">
        <f>IF(B5011&gt;=Walmart_Sales_raw_data!$C$6437,"High","low")</f>
        <v>low</v>
      </c>
    </row>
    <row r="5012" spans="1:3">
      <c r="A5012" s="1">
        <v>36</v>
      </c>
      <c r="B5012" s="2">
        <f>Walmart_Sales_raw_data!C5012</f>
        <v>441434.2</v>
      </c>
      <c r="C5012" t="str">
        <f>IF(B5012&gt;=Walmart_Sales_raw_data!$C$6437,"High","low")</f>
        <v>low</v>
      </c>
    </row>
    <row r="5013" spans="1:3">
      <c r="A5013" s="3">
        <v>36</v>
      </c>
      <c r="B5013" s="2">
        <f>Walmart_Sales_raw_data!C5013</f>
        <v>428851.99</v>
      </c>
      <c r="C5013" t="str">
        <f>IF(B5013&gt;=Walmart_Sales_raw_data!$C$6437,"High","low")</f>
        <v>low</v>
      </c>
    </row>
    <row r="5014" spans="1:3">
      <c r="A5014" s="1">
        <v>36</v>
      </c>
      <c r="B5014" s="2">
        <f>Walmart_Sales_raw_data!C5014</f>
        <v>404438.51</v>
      </c>
      <c r="C5014" t="str">
        <f>IF(B5014&gt;=Walmart_Sales_raw_data!$C$6437,"High","low")</f>
        <v>low</v>
      </c>
    </row>
    <row r="5015" spans="1:3">
      <c r="A5015" s="3">
        <v>36</v>
      </c>
      <c r="B5015" s="2">
        <f>Walmart_Sales_raw_data!C5015</f>
        <v>435972.82</v>
      </c>
      <c r="C5015" t="str">
        <f>IF(B5015&gt;=Walmart_Sales_raw_data!$C$6437,"High","low")</f>
        <v>low</v>
      </c>
    </row>
    <row r="5016" spans="1:3">
      <c r="A5016" s="1">
        <v>36</v>
      </c>
      <c r="B5016" s="2">
        <f>Walmart_Sales_raw_data!C5016</f>
        <v>453016.91</v>
      </c>
      <c r="C5016" t="str">
        <f>IF(B5016&gt;=Walmart_Sales_raw_data!$C$6437,"High","low")</f>
        <v>low</v>
      </c>
    </row>
    <row r="5017" spans="1:3">
      <c r="A5017" s="3">
        <v>36</v>
      </c>
      <c r="B5017" s="2">
        <f>Walmart_Sales_raw_data!C5017</f>
        <v>483699.56</v>
      </c>
      <c r="C5017" t="str">
        <f>IF(B5017&gt;=Walmart_Sales_raw_data!$C$6437,"High","low")</f>
        <v>low</v>
      </c>
    </row>
    <row r="5018" spans="1:3">
      <c r="A5018" s="1">
        <v>36</v>
      </c>
      <c r="B5018" s="2">
        <f>Walmart_Sales_raw_data!C5018</f>
        <v>434116.8</v>
      </c>
      <c r="C5018" t="str">
        <f>IF(B5018&gt;=Walmart_Sales_raw_data!$C$6437,"High","low")</f>
        <v>low</v>
      </c>
    </row>
    <row r="5019" spans="1:3">
      <c r="A5019" s="3">
        <v>36</v>
      </c>
      <c r="B5019" s="2">
        <f>Walmart_Sales_raw_data!C5019</f>
        <v>457899.64</v>
      </c>
      <c r="C5019" t="str">
        <f>IF(B5019&gt;=Walmart_Sales_raw_data!$C$6437,"High","low")</f>
        <v>low</v>
      </c>
    </row>
    <row r="5020" spans="1:3">
      <c r="A5020" s="1">
        <v>36</v>
      </c>
      <c r="B5020" s="2">
        <f>Walmart_Sales_raw_data!C5020</f>
        <v>489372.02</v>
      </c>
      <c r="C5020" t="str">
        <f>IF(B5020&gt;=Walmart_Sales_raw_data!$C$6437,"High","low")</f>
        <v>low</v>
      </c>
    </row>
    <row r="5021" spans="1:3">
      <c r="A5021" s="3">
        <v>36</v>
      </c>
      <c r="B5021" s="2">
        <f>Walmart_Sales_raw_data!C5021</f>
        <v>476733.74</v>
      </c>
      <c r="C5021" t="str">
        <f>IF(B5021&gt;=Walmart_Sales_raw_data!$C$6437,"High","low")</f>
        <v>low</v>
      </c>
    </row>
    <row r="5022" spans="1:3">
      <c r="A5022" s="1">
        <v>36</v>
      </c>
      <c r="B5022" s="2">
        <f>Walmart_Sales_raw_data!C5022</f>
        <v>474917.98</v>
      </c>
      <c r="C5022" t="str">
        <f>IF(B5022&gt;=Walmart_Sales_raw_data!$C$6437,"High","low")</f>
        <v>low</v>
      </c>
    </row>
    <row r="5023" spans="1:3">
      <c r="A5023" s="3">
        <v>36</v>
      </c>
      <c r="B5023" s="2">
        <f>Walmart_Sales_raw_data!C5023</f>
        <v>447050.42</v>
      </c>
      <c r="C5023" t="str">
        <f>IF(B5023&gt;=Walmart_Sales_raw_data!$C$6437,"High","low")</f>
        <v>low</v>
      </c>
    </row>
    <row r="5024" spans="1:3">
      <c r="A5024" s="1">
        <v>36</v>
      </c>
      <c r="B5024" s="2">
        <f>Walmart_Sales_raw_data!C5024</f>
        <v>471088.88</v>
      </c>
      <c r="C5024" t="str">
        <f>IF(B5024&gt;=Walmart_Sales_raw_data!$C$6437,"High","low")</f>
        <v>low</v>
      </c>
    </row>
    <row r="5025" spans="1:3">
      <c r="A5025" s="3">
        <v>36</v>
      </c>
      <c r="B5025" s="2">
        <f>Walmart_Sales_raw_data!C5025</f>
        <v>467711.18</v>
      </c>
      <c r="C5025" t="str">
        <f>IF(B5025&gt;=Walmart_Sales_raw_data!$C$6437,"High","low")</f>
        <v>low</v>
      </c>
    </row>
    <row r="5026" spans="1:3">
      <c r="A5026" s="1">
        <v>36</v>
      </c>
      <c r="B5026" s="2">
        <f>Walmart_Sales_raw_data!C5026</f>
        <v>485694.72</v>
      </c>
      <c r="C5026" t="str">
        <f>IF(B5026&gt;=Walmart_Sales_raw_data!$C$6437,"High","low")</f>
        <v>low</v>
      </c>
    </row>
    <row r="5027" spans="1:3">
      <c r="A5027" s="3">
        <v>36</v>
      </c>
      <c r="B5027" s="2">
        <f>Walmart_Sales_raw_data!C5027</f>
        <v>434879.87</v>
      </c>
      <c r="C5027" t="str">
        <f>IF(B5027&gt;=Walmart_Sales_raw_data!$C$6437,"High","low")</f>
        <v>low</v>
      </c>
    </row>
    <row r="5028" spans="1:3">
      <c r="A5028" s="1">
        <v>36</v>
      </c>
      <c r="B5028" s="2">
        <f>Walmart_Sales_raw_data!C5028</f>
        <v>434252.15</v>
      </c>
      <c r="C5028" t="str">
        <f>IF(B5028&gt;=Walmart_Sales_raw_data!$C$6437,"High","low")</f>
        <v>low</v>
      </c>
    </row>
    <row r="5029" spans="1:3">
      <c r="A5029" s="3">
        <v>36</v>
      </c>
      <c r="B5029" s="2">
        <f>Walmart_Sales_raw_data!C5029</f>
        <v>471713.59</v>
      </c>
      <c r="C5029" t="str">
        <f>IF(B5029&gt;=Walmart_Sales_raw_data!$C$6437,"High","low")</f>
        <v>low</v>
      </c>
    </row>
    <row r="5030" spans="1:3">
      <c r="A5030" s="1">
        <v>36</v>
      </c>
      <c r="B5030" s="2">
        <f>Walmart_Sales_raw_data!C5030</f>
        <v>466962.04</v>
      </c>
      <c r="C5030" t="str">
        <f>IF(B5030&gt;=Walmart_Sales_raw_data!$C$6437,"High","low")</f>
        <v>low</v>
      </c>
    </row>
    <row r="5031" spans="1:3">
      <c r="A5031" s="3">
        <v>36</v>
      </c>
      <c r="B5031" s="2">
        <f>Walmart_Sales_raw_data!C5031</f>
        <v>452021.2</v>
      </c>
      <c r="C5031" t="str">
        <f>IF(B5031&gt;=Walmart_Sales_raw_data!$C$6437,"High","low")</f>
        <v>low</v>
      </c>
    </row>
    <row r="5032" spans="1:3">
      <c r="A5032" s="1">
        <v>36</v>
      </c>
      <c r="B5032" s="2">
        <f>Walmart_Sales_raw_data!C5032</f>
        <v>432451.91</v>
      </c>
      <c r="C5032" t="str">
        <f>IF(B5032&gt;=Walmart_Sales_raw_data!$C$6437,"High","low")</f>
        <v>low</v>
      </c>
    </row>
    <row r="5033" spans="1:3">
      <c r="A5033" s="3">
        <v>36</v>
      </c>
      <c r="B5033" s="2">
        <f>Walmart_Sales_raw_data!C5033</f>
        <v>467442.94</v>
      </c>
      <c r="C5033" t="str">
        <f>IF(B5033&gt;=Walmart_Sales_raw_data!$C$6437,"High","low")</f>
        <v>low</v>
      </c>
    </row>
    <row r="5034" spans="1:3">
      <c r="A5034" s="1">
        <v>36</v>
      </c>
      <c r="B5034" s="2">
        <f>Walmart_Sales_raw_data!C5034</f>
        <v>470436.8</v>
      </c>
      <c r="C5034" t="str">
        <f>IF(B5034&gt;=Walmart_Sales_raw_data!$C$6437,"High","low")</f>
        <v>low</v>
      </c>
    </row>
    <row r="5035" spans="1:3">
      <c r="A5035" s="3">
        <v>36</v>
      </c>
      <c r="B5035" s="2">
        <f>Walmart_Sales_raw_data!C5035</f>
        <v>437949.9</v>
      </c>
      <c r="C5035" t="str">
        <f>IF(B5035&gt;=Walmart_Sales_raw_data!$C$6437,"High","low")</f>
        <v>low</v>
      </c>
    </row>
    <row r="5036" spans="1:3">
      <c r="A5036" s="1">
        <v>36</v>
      </c>
      <c r="B5036" s="2">
        <f>Walmart_Sales_raw_data!C5036</f>
        <v>412050.73</v>
      </c>
      <c r="C5036" t="str">
        <f>IF(B5036&gt;=Walmart_Sales_raw_data!$C$6437,"High","low")</f>
        <v>low</v>
      </c>
    </row>
    <row r="5037" spans="1:3">
      <c r="A5037" s="3">
        <v>36</v>
      </c>
      <c r="B5037" s="2">
        <f>Walmart_Sales_raw_data!C5037</f>
        <v>431294.45</v>
      </c>
      <c r="C5037" t="str">
        <f>IF(B5037&gt;=Walmart_Sales_raw_data!$C$6437,"High","low")</f>
        <v>low</v>
      </c>
    </row>
    <row r="5038" spans="1:3">
      <c r="A5038" s="1">
        <v>36</v>
      </c>
      <c r="B5038" s="2">
        <f>Walmart_Sales_raw_data!C5038</f>
        <v>434471.38</v>
      </c>
      <c r="C5038" t="str">
        <f>IF(B5038&gt;=Walmart_Sales_raw_data!$C$6437,"High","low")</f>
        <v>low</v>
      </c>
    </row>
    <row r="5039" spans="1:3">
      <c r="A5039" s="3">
        <v>36</v>
      </c>
      <c r="B5039" s="2">
        <f>Walmart_Sales_raw_data!C5039</f>
        <v>454694.21</v>
      </c>
      <c r="C5039" t="str">
        <f>IF(B5039&gt;=Walmart_Sales_raw_data!$C$6437,"High","low")</f>
        <v>low</v>
      </c>
    </row>
    <row r="5040" spans="1:3">
      <c r="A5040" s="1">
        <v>36</v>
      </c>
      <c r="B5040" s="2">
        <f>Walmart_Sales_raw_data!C5040</f>
        <v>419348.59</v>
      </c>
      <c r="C5040" t="str">
        <f>IF(B5040&gt;=Walmart_Sales_raw_data!$C$6437,"High","low")</f>
        <v>low</v>
      </c>
    </row>
    <row r="5041" spans="1:3">
      <c r="A5041" s="3">
        <v>36</v>
      </c>
      <c r="B5041" s="2">
        <f>Walmart_Sales_raw_data!C5041</f>
        <v>422169.47</v>
      </c>
      <c r="C5041" t="str">
        <f>IF(B5041&gt;=Walmart_Sales_raw_data!$C$6437,"High","low")</f>
        <v>low</v>
      </c>
    </row>
    <row r="5042" spans="1:3">
      <c r="A5042" s="1">
        <v>36</v>
      </c>
      <c r="B5042" s="2">
        <f>Walmart_Sales_raw_data!C5042</f>
        <v>444351.61</v>
      </c>
      <c r="C5042" t="str">
        <f>IF(B5042&gt;=Walmart_Sales_raw_data!$C$6437,"High","low")</f>
        <v>low</v>
      </c>
    </row>
    <row r="5043" spans="1:3">
      <c r="A5043" s="3">
        <v>36</v>
      </c>
      <c r="B5043" s="2">
        <f>Walmart_Sales_raw_data!C5043</f>
        <v>453308.15</v>
      </c>
      <c r="C5043" t="str">
        <f>IF(B5043&gt;=Walmart_Sales_raw_data!$C$6437,"High","low")</f>
        <v>low</v>
      </c>
    </row>
    <row r="5044" spans="1:3">
      <c r="A5044" s="1">
        <v>36</v>
      </c>
      <c r="B5044" s="2">
        <f>Walmart_Sales_raw_data!C5044</f>
        <v>424956.3</v>
      </c>
      <c r="C5044" t="str">
        <f>IF(B5044&gt;=Walmart_Sales_raw_data!$C$6437,"High","low")</f>
        <v>low</v>
      </c>
    </row>
    <row r="5045" spans="1:3">
      <c r="A5045" s="3">
        <v>36</v>
      </c>
      <c r="B5045" s="2">
        <f>Walmart_Sales_raw_data!C5045</f>
        <v>392654.26</v>
      </c>
      <c r="C5045" t="str">
        <f>IF(B5045&gt;=Walmart_Sales_raw_data!$C$6437,"High","low")</f>
        <v>low</v>
      </c>
    </row>
    <row r="5046" spans="1:3">
      <c r="A5046" s="1">
        <v>36</v>
      </c>
      <c r="B5046" s="2">
        <f>Walmart_Sales_raw_data!C5046</f>
        <v>405860.37</v>
      </c>
      <c r="C5046" t="str">
        <f>IF(B5046&gt;=Walmart_Sales_raw_data!$C$6437,"High","low")</f>
        <v>low</v>
      </c>
    </row>
    <row r="5047" spans="1:3">
      <c r="A5047" s="3">
        <v>36</v>
      </c>
      <c r="B5047" s="2">
        <f>Walmart_Sales_raw_data!C5047</f>
        <v>425804.8</v>
      </c>
      <c r="C5047" t="str">
        <f>IF(B5047&gt;=Walmart_Sales_raw_data!$C$6437,"High","low")</f>
        <v>low</v>
      </c>
    </row>
    <row r="5048" spans="1:3">
      <c r="A5048" s="1">
        <v>36</v>
      </c>
      <c r="B5048" s="2">
        <f>Walmart_Sales_raw_data!C5048</f>
        <v>411615.71</v>
      </c>
      <c r="C5048" t="str">
        <f>IF(B5048&gt;=Walmart_Sales_raw_data!$C$6437,"High","low")</f>
        <v>low</v>
      </c>
    </row>
    <row r="5049" spans="1:3">
      <c r="A5049" s="3">
        <v>36</v>
      </c>
      <c r="B5049" s="2">
        <f>Walmart_Sales_raw_data!C5049</f>
        <v>408891.49</v>
      </c>
      <c r="C5049" t="str">
        <f>IF(B5049&gt;=Walmart_Sales_raw_data!$C$6437,"High","low")</f>
        <v>low</v>
      </c>
    </row>
    <row r="5050" spans="1:3">
      <c r="A5050" s="1">
        <v>36</v>
      </c>
      <c r="B5050" s="2">
        <f>Walmart_Sales_raw_data!C5050</f>
        <v>360266.09</v>
      </c>
      <c r="C5050" t="str">
        <f>IF(B5050&gt;=Walmart_Sales_raw_data!$C$6437,"High","low")</f>
        <v>low</v>
      </c>
    </row>
    <row r="5051" spans="1:3">
      <c r="A5051" s="3">
        <v>36</v>
      </c>
      <c r="B5051" s="2">
        <f>Walmart_Sales_raw_data!C5051</f>
        <v>404545.03</v>
      </c>
      <c r="C5051" t="str">
        <f>IF(B5051&gt;=Walmart_Sales_raw_data!$C$6437,"High","low")</f>
        <v>low</v>
      </c>
    </row>
    <row r="5052" spans="1:3">
      <c r="A5052" s="1">
        <v>36</v>
      </c>
      <c r="B5052" s="2">
        <f>Walmart_Sales_raw_data!C5052</f>
        <v>410214.7</v>
      </c>
      <c r="C5052" t="str">
        <f>IF(B5052&gt;=Walmart_Sales_raw_data!$C$6437,"High","low")</f>
        <v>low</v>
      </c>
    </row>
    <row r="5053" spans="1:3">
      <c r="A5053" s="3">
        <v>36</v>
      </c>
      <c r="B5053" s="2">
        <f>Walmart_Sales_raw_data!C5053</f>
        <v>422093.59</v>
      </c>
      <c r="C5053" t="str">
        <f>IF(B5053&gt;=Walmart_Sales_raw_data!$C$6437,"High","low")</f>
        <v>low</v>
      </c>
    </row>
    <row r="5054" spans="1:3">
      <c r="A5054" s="1">
        <v>36</v>
      </c>
      <c r="B5054" s="2">
        <f>Walmart_Sales_raw_data!C5054</f>
        <v>359310.65</v>
      </c>
      <c r="C5054" t="str">
        <f>IF(B5054&gt;=Walmart_Sales_raw_data!$C$6437,"High","low")</f>
        <v>low</v>
      </c>
    </row>
    <row r="5055" spans="1:3">
      <c r="A5055" s="3">
        <v>36</v>
      </c>
      <c r="B5055" s="2">
        <f>Walmart_Sales_raw_data!C5055</f>
        <v>384659.85</v>
      </c>
      <c r="C5055" t="str">
        <f>IF(B5055&gt;=Walmart_Sales_raw_data!$C$6437,"High","low")</f>
        <v>low</v>
      </c>
    </row>
    <row r="5056" spans="1:3">
      <c r="A5056" s="1">
        <v>36</v>
      </c>
      <c r="B5056" s="2">
        <f>Walmart_Sales_raw_data!C5056</f>
        <v>410497.73</v>
      </c>
      <c r="C5056" t="str">
        <f>IF(B5056&gt;=Walmart_Sales_raw_data!$C$6437,"High","low")</f>
        <v>low</v>
      </c>
    </row>
    <row r="5057" spans="1:3">
      <c r="A5057" s="3">
        <v>36</v>
      </c>
      <c r="B5057" s="2">
        <f>Walmart_Sales_raw_data!C5057</f>
        <v>399191.05</v>
      </c>
      <c r="C5057" t="str">
        <f>IF(B5057&gt;=Walmart_Sales_raw_data!$C$6437,"High","low")</f>
        <v>low</v>
      </c>
    </row>
    <row r="5058" spans="1:3">
      <c r="A5058" s="1">
        <v>36</v>
      </c>
      <c r="B5058" s="2">
        <f>Walmart_Sales_raw_data!C5058</f>
        <v>372174.12</v>
      </c>
      <c r="C5058" t="str">
        <f>IF(B5058&gt;=Walmart_Sales_raw_data!$C$6437,"High","low")</f>
        <v>low</v>
      </c>
    </row>
    <row r="5059" spans="1:3">
      <c r="A5059" s="3">
        <v>36</v>
      </c>
      <c r="B5059" s="2">
        <f>Walmart_Sales_raw_data!C5059</f>
        <v>417521.7</v>
      </c>
      <c r="C5059" t="str">
        <f>IF(B5059&gt;=Walmart_Sales_raw_data!$C$6437,"High","low")</f>
        <v>low</v>
      </c>
    </row>
    <row r="5060" spans="1:3">
      <c r="A5060" s="1">
        <v>36</v>
      </c>
      <c r="B5060" s="2">
        <f>Walmart_Sales_raw_data!C5060</f>
        <v>401501.2</v>
      </c>
      <c r="C5060" t="str">
        <f>IF(B5060&gt;=Walmart_Sales_raw_data!$C$6437,"High","low")</f>
        <v>low</v>
      </c>
    </row>
    <row r="5061" spans="1:3">
      <c r="A5061" s="3">
        <v>36</v>
      </c>
      <c r="B5061" s="2">
        <f>Walmart_Sales_raw_data!C5061</f>
        <v>427175.03</v>
      </c>
      <c r="C5061" t="str">
        <f>IF(B5061&gt;=Walmart_Sales_raw_data!$C$6437,"High","low")</f>
        <v>low</v>
      </c>
    </row>
    <row r="5062" spans="1:3">
      <c r="A5062" s="1">
        <v>36</v>
      </c>
      <c r="B5062" s="2">
        <f>Walmart_Sales_raw_data!C5062</f>
        <v>380279.44</v>
      </c>
      <c r="C5062" t="str">
        <f>IF(B5062&gt;=Walmart_Sales_raw_data!$C$6437,"High","low")</f>
        <v>low</v>
      </c>
    </row>
    <row r="5063" spans="1:3">
      <c r="A5063" s="3">
        <v>36</v>
      </c>
      <c r="B5063" s="2">
        <f>Walmart_Sales_raw_data!C5063</f>
        <v>402579.84</v>
      </c>
      <c r="C5063" t="str">
        <f>IF(B5063&gt;=Walmart_Sales_raw_data!$C$6437,"High","low")</f>
        <v>low</v>
      </c>
    </row>
    <row r="5064" spans="1:3">
      <c r="A5064" s="1">
        <v>36</v>
      </c>
      <c r="B5064" s="2">
        <f>Walmart_Sales_raw_data!C5064</f>
        <v>407506.78</v>
      </c>
      <c r="C5064" t="str">
        <f>IF(B5064&gt;=Walmart_Sales_raw_data!$C$6437,"High","low")</f>
        <v>low</v>
      </c>
    </row>
    <row r="5065" spans="1:3">
      <c r="A5065" s="3">
        <v>36</v>
      </c>
      <c r="B5065" s="2">
        <f>Walmart_Sales_raw_data!C5065</f>
        <v>431412.22</v>
      </c>
      <c r="C5065" t="str">
        <f>IF(B5065&gt;=Walmart_Sales_raw_data!$C$6437,"High","low")</f>
        <v>low</v>
      </c>
    </row>
    <row r="5066" spans="1:3">
      <c r="A5066" s="1">
        <v>36</v>
      </c>
      <c r="B5066" s="2">
        <f>Walmart_Sales_raw_data!C5066</f>
        <v>390732.02</v>
      </c>
      <c r="C5066" t="str">
        <f>IF(B5066&gt;=Walmart_Sales_raw_data!$C$6437,"High","low")</f>
        <v>low</v>
      </c>
    </row>
    <row r="5067" spans="1:3">
      <c r="A5067" s="3">
        <v>36</v>
      </c>
      <c r="B5067" s="2">
        <f>Walmart_Sales_raw_data!C5067</f>
        <v>385672.11</v>
      </c>
      <c r="C5067" t="str">
        <f>IF(B5067&gt;=Walmart_Sales_raw_data!$C$6437,"High","low")</f>
        <v>low</v>
      </c>
    </row>
    <row r="5068" spans="1:3">
      <c r="A5068" s="1">
        <v>36</v>
      </c>
      <c r="B5068" s="2">
        <f>Walmart_Sales_raw_data!C5068</f>
        <v>428727.61</v>
      </c>
      <c r="C5068" t="str">
        <f>IF(B5068&gt;=Walmart_Sales_raw_data!$C$6437,"High","low")</f>
        <v>low</v>
      </c>
    </row>
    <row r="5069" spans="1:3">
      <c r="A5069" s="3">
        <v>36</v>
      </c>
      <c r="B5069" s="2">
        <f>Walmart_Sales_raw_data!C5069</f>
        <v>414986.54</v>
      </c>
      <c r="C5069" t="str">
        <f>IF(B5069&gt;=Walmart_Sales_raw_data!$C$6437,"High","low")</f>
        <v>low</v>
      </c>
    </row>
    <row r="5070" spans="1:3">
      <c r="A5070" s="1">
        <v>36</v>
      </c>
      <c r="B5070" s="2">
        <f>Walmart_Sales_raw_data!C5070</f>
        <v>374574.72</v>
      </c>
      <c r="C5070" t="str">
        <f>IF(B5070&gt;=Walmart_Sales_raw_data!$C$6437,"High","low")</f>
        <v>low</v>
      </c>
    </row>
    <row r="5071" spans="1:3">
      <c r="A5071" s="3">
        <v>36</v>
      </c>
      <c r="B5071" s="2">
        <f>Walmart_Sales_raw_data!C5071</f>
        <v>340708.78</v>
      </c>
      <c r="C5071" t="str">
        <f>IF(B5071&gt;=Walmart_Sales_raw_data!$C$6437,"High","low")</f>
        <v>low</v>
      </c>
    </row>
    <row r="5072" spans="1:3">
      <c r="A5072" s="1">
        <v>36</v>
      </c>
      <c r="B5072" s="2">
        <f>Walmart_Sales_raw_data!C5072</f>
        <v>393401.4</v>
      </c>
      <c r="C5072" t="str">
        <f>IF(B5072&gt;=Walmart_Sales_raw_data!$C$6437,"High","low")</f>
        <v>low</v>
      </c>
    </row>
    <row r="5073" spans="1:3">
      <c r="A5073" s="3">
        <v>36</v>
      </c>
      <c r="B5073" s="2">
        <f>Walmart_Sales_raw_data!C5073</f>
        <v>395316.65</v>
      </c>
      <c r="C5073" t="str">
        <f>IF(B5073&gt;=Walmart_Sales_raw_data!$C$6437,"High","low")</f>
        <v>low</v>
      </c>
    </row>
    <row r="5074" spans="1:3">
      <c r="A5074" s="1">
        <v>36</v>
      </c>
      <c r="B5074" s="2">
        <f>Walmart_Sales_raw_data!C5074</f>
        <v>376183.44</v>
      </c>
      <c r="C5074" t="str">
        <f>IF(B5074&gt;=Walmart_Sales_raw_data!$C$6437,"High","low")</f>
        <v>low</v>
      </c>
    </row>
    <row r="5075" spans="1:3">
      <c r="A5075" s="3">
        <v>36</v>
      </c>
      <c r="B5075" s="2">
        <f>Walmart_Sales_raw_data!C5075</f>
        <v>348655.2</v>
      </c>
      <c r="C5075" t="str">
        <f>IF(B5075&gt;=Walmart_Sales_raw_data!$C$6437,"High","low")</f>
        <v>low</v>
      </c>
    </row>
    <row r="5076" spans="1:3">
      <c r="A5076" s="1">
        <v>36</v>
      </c>
      <c r="B5076" s="2">
        <f>Walmart_Sales_raw_data!C5076</f>
        <v>373703.95</v>
      </c>
      <c r="C5076" t="str">
        <f>IF(B5076&gt;=Walmart_Sales_raw_data!$C$6437,"High","low")</f>
        <v>low</v>
      </c>
    </row>
    <row r="5077" spans="1:3">
      <c r="A5077" s="3">
        <v>36</v>
      </c>
      <c r="B5077" s="2">
        <f>Walmart_Sales_raw_data!C5077</f>
        <v>374182.04</v>
      </c>
      <c r="C5077" t="str">
        <f>IF(B5077&gt;=Walmart_Sales_raw_data!$C$6437,"High","low")</f>
        <v>low</v>
      </c>
    </row>
    <row r="5078" spans="1:3">
      <c r="A5078" s="1">
        <v>36</v>
      </c>
      <c r="B5078" s="2">
        <f>Walmart_Sales_raw_data!C5078</f>
        <v>394645.25</v>
      </c>
      <c r="C5078" t="str">
        <f>IF(B5078&gt;=Walmart_Sales_raw_data!$C$6437,"High","low")</f>
        <v>low</v>
      </c>
    </row>
    <row r="5079" spans="1:3">
      <c r="A5079" s="3">
        <v>36</v>
      </c>
      <c r="B5079" s="2">
        <f>Walmart_Sales_raw_data!C5079</f>
        <v>360009.94</v>
      </c>
      <c r="C5079" t="str">
        <f>IF(B5079&gt;=Walmart_Sales_raw_data!$C$6437,"High","low")</f>
        <v>low</v>
      </c>
    </row>
    <row r="5080" spans="1:3">
      <c r="A5080" s="1">
        <v>36</v>
      </c>
      <c r="B5080" s="2">
        <f>Walmart_Sales_raw_data!C5080</f>
        <v>354270.77</v>
      </c>
      <c r="C5080" t="str">
        <f>IF(B5080&gt;=Walmart_Sales_raw_data!$C$6437,"High","low")</f>
        <v>low</v>
      </c>
    </row>
    <row r="5081" spans="1:3">
      <c r="A5081" s="3">
        <v>36</v>
      </c>
      <c r="B5081" s="2">
        <f>Walmart_Sales_raw_data!C5081</f>
        <v>377464.62</v>
      </c>
      <c r="C5081" t="str">
        <f>IF(B5081&gt;=Walmart_Sales_raw_data!$C$6437,"High","low")</f>
        <v>low</v>
      </c>
    </row>
    <row r="5082" spans="1:3">
      <c r="A5082" s="1">
        <v>36</v>
      </c>
      <c r="B5082" s="2">
        <f>Walmart_Sales_raw_data!C5082</f>
        <v>385631.48</v>
      </c>
      <c r="C5082" t="str">
        <f>IF(B5082&gt;=Walmart_Sales_raw_data!$C$6437,"High","low")</f>
        <v>low</v>
      </c>
    </row>
    <row r="5083" spans="1:3">
      <c r="A5083" s="3">
        <v>36</v>
      </c>
      <c r="B5083" s="2">
        <f>Walmart_Sales_raw_data!C5083</f>
        <v>361311.41</v>
      </c>
      <c r="C5083" t="str">
        <f>IF(B5083&gt;=Walmart_Sales_raw_data!$C$6437,"High","low")</f>
        <v>low</v>
      </c>
    </row>
    <row r="5084" spans="1:3">
      <c r="A5084" s="1">
        <v>36</v>
      </c>
      <c r="B5084" s="2">
        <f>Walmart_Sales_raw_data!C5084</f>
        <v>354361.08</v>
      </c>
      <c r="C5084" t="str">
        <f>IF(B5084&gt;=Walmart_Sales_raw_data!$C$6437,"High","low")</f>
        <v>low</v>
      </c>
    </row>
    <row r="5085" spans="1:3">
      <c r="A5085" s="3">
        <v>36</v>
      </c>
      <c r="B5085" s="2">
        <f>Walmart_Sales_raw_data!C5085</f>
        <v>381017.75</v>
      </c>
      <c r="C5085" t="str">
        <f>IF(B5085&gt;=Walmart_Sales_raw_data!$C$6437,"High","low")</f>
        <v>low</v>
      </c>
    </row>
    <row r="5086" spans="1:3">
      <c r="A5086" s="1">
        <v>36</v>
      </c>
      <c r="B5086" s="2">
        <f>Walmart_Sales_raw_data!C5086</f>
        <v>380188.69</v>
      </c>
      <c r="C5086" t="str">
        <f>IF(B5086&gt;=Walmart_Sales_raw_data!$C$6437,"High","low")</f>
        <v>low</v>
      </c>
    </row>
    <row r="5087" spans="1:3">
      <c r="A5087" s="3">
        <v>36</v>
      </c>
      <c r="B5087" s="2">
        <f>Walmart_Sales_raw_data!C5087</f>
        <v>373267.58</v>
      </c>
      <c r="C5087" t="str">
        <f>IF(B5087&gt;=Walmart_Sales_raw_data!$C$6437,"High","low")</f>
        <v>low</v>
      </c>
    </row>
    <row r="5088" spans="1:3">
      <c r="A5088" s="1">
        <v>36</v>
      </c>
      <c r="B5088" s="2">
        <f>Walmart_Sales_raw_data!C5088</f>
        <v>344964.2</v>
      </c>
      <c r="C5088" t="str">
        <f>IF(B5088&gt;=Walmart_Sales_raw_data!$C$6437,"High","low")</f>
        <v>low</v>
      </c>
    </row>
    <row r="5089" spans="1:3">
      <c r="A5089" s="3">
        <v>36</v>
      </c>
      <c r="B5089" s="2">
        <f>Walmart_Sales_raw_data!C5089</f>
        <v>350276.29</v>
      </c>
      <c r="C5089" t="str">
        <f>IF(B5089&gt;=Walmart_Sales_raw_data!$C$6437,"High","low")</f>
        <v>low</v>
      </c>
    </row>
    <row r="5090" spans="1:3">
      <c r="A5090" s="1">
        <v>36</v>
      </c>
      <c r="B5090" s="2">
        <f>Walmart_Sales_raw_data!C5090</f>
        <v>352960.64</v>
      </c>
      <c r="C5090" t="str">
        <f>IF(B5090&gt;=Walmart_Sales_raw_data!$C$6437,"High","low")</f>
        <v>low</v>
      </c>
    </row>
    <row r="5091" spans="1:3">
      <c r="A5091" s="3">
        <v>36</v>
      </c>
      <c r="B5091" s="2">
        <f>Walmart_Sales_raw_data!C5091</f>
        <v>343108.12</v>
      </c>
      <c r="C5091" t="str">
        <f>IF(B5091&gt;=Walmart_Sales_raw_data!$C$6437,"High","low")</f>
        <v>low</v>
      </c>
    </row>
    <row r="5092" spans="1:3">
      <c r="A5092" s="1">
        <v>36</v>
      </c>
      <c r="B5092" s="2">
        <f>Walmart_Sales_raw_data!C5092</f>
        <v>322405.13</v>
      </c>
      <c r="C5092" t="str">
        <f>IF(B5092&gt;=Walmart_Sales_raw_data!$C$6437,"High","low")</f>
        <v>low</v>
      </c>
    </row>
    <row r="5093" spans="1:3">
      <c r="A5093" s="3">
        <v>36</v>
      </c>
      <c r="B5093" s="2">
        <f>Walmart_Sales_raw_data!C5093</f>
        <v>314910.37</v>
      </c>
      <c r="C5093" t="str">
        <f>IF(B5093&gt;=Walmart_Sales_raw_data!$C$6437,"High","low")</f>
        <v>low</v>
      </c>
    </row>
    <row r="5094" spans="1:3">
      <c r="A5094" s="1">
        <v>36</v>
      </c>
      <c r="B5094" s="2">
        <f>Walmart_Sales_raw_data!C5094</f>
        <v>346137.87</v>
      </c>
      <c r="C5094" t="str">
        <f>IF(B5094&gt;=Walmart_Sales_raw_data!$C$6437,"High","low")</f>
        <v>low</v>
      </c>
    </row>
    <row r="5095" spans="1:3">
      <c r="A5095" s="3">
        <v>36</v>
      </c>
      <c r="B5095" s="2">
        <f>Walmart_Sales_raw_data!C5095</f>
        <v>342076.99</v>
      </c>
      <c r="C5095" t="str">
        <f>IF(B5095&gt;=Walmart_Sales_raw_data!$C$6437,"High","low")</f>
        <v>low</v>
      </c>
    </row>
    <row r="5096" spans="1:3">
      <c r="A5096" s="1">
        <v>36</v>
      </c>
      <c r="B5096" s="2">
        <f>Walmart_Sales_raw_data!C5096</f>
        <v>328633.34</v>
      </c>
      <c r="C5096" t="str">
        <f>IF(B5096&gt;=Walmart_Sales_raw_data!$C$6437,"High","low")</f>
        <v>low</v>
      </c>
    </row>
    <row r="5097" spans="1:3">
      <c r="A5097" s="3">
        <v>36</v>
      </c>
      <c r="B5097" s="2">
        <f>Walmart_Sales_raw_data!C5097</f>
        <v>306193.81</v>
      </c>
      <c r="C5097" t="str">
        <f>IF(B5097&gt;=Walmart_Sales_raw_data!$C$6437,"High","low")</f>
        <v>low</v>
      </c>
    </row>
    <row r="5098" spans="1:3">
      <c r="A5098" s="1">
        <v>36</v>
      </c>
      <c r="B5098" s="2">
        <f>Walmart_Sales_raw_data!C5098</f>
        <v>313387.11</v>
      </c>
      <c r="C5098" t="str">
        <f>IF(B5098&gt;=Walmart_Sales_raw_data!$C$6437,"High","low")</f>
        <v>low</v>
      </c>
    </row>
    <row r="5099" spans="1:3">
      <c r="A5099" s="3">
        <v>36</v>
      </c>
      <c r="B5099" s="2">
        <f>Walmart_Sales_raw_data!C5099</f>
        <v>328498.92</v>
      </c>
      <c r="C5099" t="str">
        <f>IF(B5099&gt;=Walmart_Sales_raw_data!$C$6437,"High","low")</f>
        <v>low</v>
      </c>
    </row>
    <row r="5100" spans="1:3">
      <c r="A5100" s="1">
        <v>36</v>
      </c>
      <c r="B5100" s="2">
        <f>Walmart_Sales_raw_data!C5100</f>
        <v>332901.94</v>
      </c>
      <c r="C5100" t="str">
        <f>IF(B5100&gt;=Walmart_Sales_raw_data!$C$6437,"High","low")</f>
        <v>low</v>
      </c>
    </row>
    <row r="5101" spans="1:3">
      <c r="A5101" s="3">
        <v>36</v>
      </c>
      <c r="B5101" s="2">
        <f>Walmart_Sales_raw_data!C5101</f>
        <v>332811.55</v>
      </c>
      <c r="C5101" t="str">
        <f>IF(B5101&gt;=Walmart_Sales_raw_data!$C$6437,"High","low")</f>
        <v>low</v>
      </c>
    </row>
    <row r="5102" spans="1:3">
      <c r="A5102" s="1">
        <v>36</v>
      </c>
      <c r="B5102" s="2">
        <f>Walmart_Sales_raw_data!C5102</f>
        <v>293350.51</v>
      </c>
      <c r="C5102" t="str">
        <f>IF(B5102&gt;=Walmart_Sales_raw_data!$C$6437,"High","low")</f>
        <v>low</v>
      </c>
    </row>
    <row r="5103" spans="1:3">
      <c r="A5103" s="3">
        <v>36</v>
      </c>
      <c r="B5103" s="2">
        <f>Walmart_Sales_raw_data!C5103</f>
        <v>312298.37</v>
      </c>
      <c r="C5103" t="str">
        <f>IF(B5103&gt;=Walmart_Sales_raw_data!$C$6437,"High","low")</f>
        <v>low</v>
      </c>
    </row>
    <row r="5104" spans="1:3">
      <c r="A5104" s="1">
        <v>36</v>
      </c>
      <c r="B5104" s="2">
        <f>Walmart_Sales_raw_data!C5104</f>
        <v>341503.92</v>
      </c>
      <c r="C5104" t="str">
        <f>IF(B5104&gt;=Walmart_Sales_raw_data!$C$6437,"High","low")</f>
        <v>low</v>
      </c>
    </row>
    <row r="5105" spans="1:3">
      <c r="A5105" s="3">
        <v>36</v>
      </c>
      <c r="B5105" s="2">
        <f>Walmart_Sales_raw_data!C5105</f>
        <v>325262.46</v>
      </c>
      <c r="C5105" t="str">
        <f>IF(B5105&gt;=Walmart_Sales_raw_data!$C$6437,"High","low")</f>
        <v>low</v>
      </c>
    </row>
    <row r="5106" spans="1:3">
      <c r="A5106" s="1">
        <v>36</v>
      </c>
      <c r="B5106" s="2">
        <f>Walmart_Sales_raw_data!C5106</f>
        <v>287425.22</v>
      </c>
      <c r="C5106" t="str">
        <f>IF(B5106&gt;=Walmart_Sales_raw_data!$C$6437,"High","low")</f>
        <v>low</v>
      </c>
    </row>
    <row r="5107" spans="1:3">
      <c r="A5107" s="3">
        <v>36</v>
      </c>
      <c r="B5107" s="2">
        <f>Walmart_Sales_raw_data!C5107</f>
        <v>329467.82</v>
      </c>
      <c r="C5107" t="str">
        <f>IF(B5107&gt;=Walmart_Sales_raw_data!$C$6437,"High","low")</f>
        <v>low</v>
      </c>
    </row>
    <row r="5108" spans="1:3">
      <c r="A5108" s="1">
        <v>36</v>
      </c>
      <c r="B5108" s="2">
        <f>Walmart_Sales_raw_data!C5108</f>
        <v>325976.34</v>
      </c>
      <c r="C5108" t="str">
        <f>IF(B5108&gt;=Walmart_Sales_raw_data!$C$6437,"High","low")</f>
        <v>low</v>
      </c>
    </row>
    <row r="5109" spans="1:3">
      <c r="A5109" s="3">
        <v>36</v>
      </c>
      <c r="B5109" s="2">
        <f>Walmart_Sales_raw_data!C5109</f>
        <v>330927.21</v>
      </c>
      <c r="C5109" t="str">
        <f>IF(B5109&gt;=Walmart_Sales_raw_data!$C$6437,"High","low")</f>
        <v>low</v>
      </c>
    </row>
    <row r="5110" spans="1:3">
      <c r="A5110" s="1">
        <v>36</v>
      </c>
      <c r="B5110" s="2">
        <f>Walmart_Sales_raw_data!C5110</f>
        <v>301444.94</v>
      </c>
      <c r="C5110" t="str">
        <f>IF(B5110&gt;=Walmart_Sales_raw_data!$C$6437,"High","low")</f>
        <v>low</v>
      </c>
    </row>
    <row r="5111" spans="1:3">
      <c r="A5111" s="3">
        <v>36</v>
      </c>
      <c r="B5111" s="2">
        <f>Walmart_Sales_raw_data!C5111</f>
        <v>310982.87</v>
      </c>
      <c r="C5111" t="str">
        <f>IF(B5111&gt;=Walmart_Sales_raw_data!$C$6437,"High","low")</f>
        <v>low</v>
      </c>
    </row>
    <row r="5112" spans="1:3">
      <c r="A5112" s="1">
        <v>36</v>
      </c>
      <c r="B5112" s="2">
        <f>Walmart_Sales_raw_data!C5112</f>
        <v>335741.9</v>
      </c>
      <c r="C5112" t="str">
        <f>IF(B5112&gt;=Walmart_Sales_raw_data!$C$6437,"High","low")</f>
        <v>low</v>
      </c>
    </row>
    <row r="5113" spans="1:3">
      <c r="A5113" s="3">
        <v>36</v>
      </c>
      <c r="B5113" s="2">
        <f>Walmart_Sales_raw_data!C5113</f>
        <v>326316.73</v>
      </c>
      <c r="C5113" t="str">
        <f>IF(B5113&gt;=Walmart_Sales_raw_data!$C$6437,"High","low")</f>
        <v>low</v>
      </c>
    </row>
    <row r="5114" spans="1:3">
      <c r="A5114" s="1">
        <v>36</v>
      </c>
      <c r="B5114" s="2">
        <f>Walmart_Sales_raw_data!C5114</f>
        <v>313270.45</v>
      </c>
      <c r="C5114" t="str">
        <f>IF(B5114&gt;=Walmart_Sales_raw_data!$C$6437,"High","low")</f>
        <v>low</v>
      </c>
    </row>
    <row r="5115" spans="1:3">
      <c r="A5115" s="3">
        <v>36</v>
      </c>
      <c r="B5115" s="2">
        <f>Walmart_Sales_raw_data!C5115</f>
        <v>315396.72</v>
      </c>
      <c r="C5115" t="str">
        <f>IF(B5115&gt;=Walmart_Sales_raw_data!$C$6437,"High","low")</f>
        <v>low</v>
      </c>
    </row>
    <row r="5116" spans="1:3">
      <c r="A5116" s="1">
        <v>36</v>
      </c>
      <c r="B5116" s="2">
        <f>Walmart_Sales_raw_data!C5116</f>
        <v>318674.93</v>
      </c>
      <c r="C5116" t="str">
        <f>IF(B5116&gt;=Walmart_Sales_raw_data!$C$6437,"High","low")</f>
        <v>low</v>
      </c>
    </row>
    <row r="5117" spans="1:3">
      <c r="A5117" s="3">
        <v>36</v>
      </c>
      <c r="B5117" s="2">
        <f>Walmart_Sales_raw_data!C5117</f>
        <v>335345.82</v>
      </c>
      <c r="C5117" t="str">
        <f>IF(B5117&gt;=Walmart_Sales_raw_data!$C$6437,"High","low")</f>
        <v>low</v>
      </c>
    </row>
    <row r="5118" spans="1:3">
      <c r="A5118" s="1">
        <v>36</v>
      </c>
      <c r="B5118" s="2">
        <f>Walmart_Sales_raw_data!C5118</f>
        <v>317872.51</v>
      </c>
      <c r="C5118" t="str">
        <f>IF(B5118&gt;=Walmart_Sales_raw_data!$C$6437,"High","low")</f>
        <v>low</v>
      </c>
    </row>
    <row r="5119" spans="1:3">
      <c r="A5119" s="3">
        <v>36</v>
      </c>
      <c r="B5119" s="2">
        <f>Walmart_Sales_raw_data!C5119</f>
        <v>304144.9</v>
      </c>
      <c r="C5119" t="str">
        <f>IF(B5119&gt;=Walmart_Sales_raw_data!$C$6437,"High","low")</f>
        <v>low</v>
      </c>
    </row>
    <row r="5120" spans="1:3">
      <c r="A5120" s="1">
        <v>36</v>
      </c>
      <c r="B5120" s="2">
        <f>Walmart_Sales_raw_data!C5120</f>
        <v>331026.11</v>
      </c>
      <c r="C5120" t="str">
        <f>IF(B5120&gt;=Walmart_Sales_raw_data!$C$6437,"High","low")</f>
        <v>low</v>
      </c>
    </row>
    <row r="5121" spans="1:3">
      <c r="A5121" s="3">
        <v>36</v>
      </c>
      <c r="B5121" s="2">
        <f>Walmart_Sales_raw_data!C5121</f>
        <v>339407.94</v>
      </c>
      <c r="C5121" t="str">
        <f>IF(B5121&gt;=Walmart_Sales_raw_data!$C$6437,"High","low")</f>
        <v>low</v>
      </c>
    </row>
    <row r="5122" spans="1:3">
      <c r="A5122" s="1">
        <v>36</v>
      </c>
      <c r="B5122" s="2">
        <f>Walmart_Sales_raw_data!C5122</f>
        <v>323915.32</v>
      </c>
      <c r="C5122" t="str">
        <f>IF(B5122&gt;=Walmart_Sales_raw_data!$C$6437,"High","low")</f>
        <v>low</v>
      </c>
    </row>
    <row r="5123" spans="1:3">
      <c r="A5123" s="3">
        <v>36</v>
      </c>
      <c r="B5123" s="2">
        <f>Walmart_Sales_raw_data!C5123</f>
        <v>308389.82</v>
      </c>
      <c r="C5123" t="str">
        <f>IF(B5123&gt;=Walmart_Sales_raw_data!$C$6437,"High","low")</f>
        <v>low</v>
      </c>
    </row>
    <row r="5124" spans="1:3">
      <c r="A5124" s="1">
        <v>36</v>
      </c>
      <c r="B5124" s="2">
        <f>Walmart_Sales_raw_data!C5124</f>
        <v>312467.52</v>
      </c>
      <c r="C5124" t="str">
        <f>IF(B5124&gt;=Walmart_Sales_raw_data!$C$6437,"High","low")</f>
        <v>low</v>
      </c>
    </row>
    <row r="5125" spans="1:3">
      <c r="A5125" s="3">
        <v>36</v>
      </c>
      <c r="B5125" s="2">
        <f>Walmart_Sales_raw_data!C5125</f>
        <v>330518.34</v>
      </c>
      <c r="C5125" t="str">
        <f>IF(B5125&gt;=Walmart_Sales_raw_data!$C$6437,"High","low")</f>
        <v>low</v>
      </c>
    </row>
    <row r="5126" spans="1:3">
      <c r="A5126" s="1">
        <v>36</v>
      </c>
      <c r="B5126" s="2">
        <f>Walmart_Sales_raw_data!C5126</f>
        <v>324801.13</v>
      </c>
      <c r="C5126" t="str">
        <f>IF(B5126&gt;=Walmart_Sales_raw_data!$C$6437,"High","low")</f>
        <v>low</v>
      </c>
    </row>
    <row r="5127" spans="1:3">
      <c r="A5127" s="3">
        <v>36</v>
      </c>
      <c r="B5127" s="2">
        <f>Walmart_Sales_raw_data!C5127</f>
        <v>306098.17</v>
      </c>
      <c r="C5127" t="str">
        <f>IF(B5127&gt;=Walmart_Sales_raw_data!$C$6437,"High","low")</f>
        <v>low</v>
      </c>
    </row>
    <row r="5128" spans="1:3">
      <c r="A5128" s="1">
        <v>36</v>
      </c>
      <c r="B5128" s="2">
        <f>Walmart_Sales_raw_data!C5128</f>
        <v>306005.53</v>
      </c>
      <c r="C5128" t="str">
        <f>IF(B5128&gt;=Walmart_Sales_raw_data!$C$6437,"High","low")</f>
        <v>low</v>
      </c>
    </row>
    <row r="5129" spans="1:3">
      <c r="A5129" s="3">
        <v>36</v>
      </c>
      <c r="B5129" s="2">
        <f>Walmart_Sales_raw_data!C5129</f>
        <v>338273.38</v>
      </c>
      <c r="C5129" t="str">
        <f>IF(B5129&gt;=Walmart_Sales_raw_data!$C$6437,"High","low")</f>
        <v>low</v>
      </c>
    </row>
    <row r="5130" spans="1:3">
      <c r="A5130" s="1">
        <v>36</v>
      </c>
      <c r="B5130" s="2">
        <f>Walmart_Sales_raw_data!C5130</f>
        <v>333146.88</v>
      </c>
      <c r="C5130" t="str">
        <f>IF(B5130&gt;=Walmart_Sales_raw_data!$C$6437,"High","low")</f>
        <v>low</v>
      </c>
    </row>
    <row r="5131" spans="1:3">
      <c r="A5131" s="3">
        <v>36</v>
      </c>
      <c r="B5131" s="2">
        <f>Walmart_Sales_raw_data!C5131</f>
        <v>306411.01</v>
      </c>
      <c r="C5131" t="str">
        <f>IF(B5131&gt;=Walmart_Sales_raw_data!$C$6437,"High","low")</f>
        <v>low</v>
      </c>
    </row>
    <row r="5132" spans="1:3">
      <c r="A5132" s="1">
        <v>36</v>
      </c>
      <c r="B5132" s="2">
        <f>Walmart_Sales_raw_data!C5132</f>
        <v>291530.43</v>
      </c>
      <c r="C5132" t="str">
        <f>IF(B5132&gt;=Walmart_Sales_raw_data!$C$6437,"High","low")</f>
        <v>low</v>
      </c>
    </row>
    <row r="5133" spans="1:3">
      <c r="A5133" s="3">
        <v>36</v>
      </c>
      <c r="B5133" s="2">
        <f>Walmart_Sales_raw_data!C5133</f>
        <v>306578.89</v>
      </c>
      <c r="C5133" t="str">
        <f>IF(B5133&gt;=Walmart_Sales_raw_data!$C$6437,"High","low")</f>
        <v>low</v>
      </c>
    </row>
    <row r="5134" spans="1:3">
      <c r="A5134" s="1">
        <v>36</v>
      </c>
      <c r="B5134" s="2">
        <f>Walmart_Sales_raw_data!C5134</f>
        <v>298337.41</v>
      </c>
      <c r="C5134" t="str">
        <f>IF(B5134&gt;=Walmart_Sales_raw_data!$C$6437,"High","low")</f>
        <v>low</v>
      </c>
    </row>
    <row r="5135" spans="1:3">
      <c r="A5135" s="3">
        <v>36</v>
      </c>
      <c r="B5135" s="2">
        <f>Walmart_Sales_raw_data!C5135</f>
        <v>303289.55</v>
      </c>
      <c r="C5135" t="str">
        <f>IF(B5135&gt;=Walmart_Sales_raw_data!$C$6437,"High","low")</f>
        <v>low</v>
      </c>
    </row>
    <row r="5136" spans="1:3">
      <c r="A5136" s="1">
        <v>36</v>
      </c>
      <c r="B5136" s="2">
        <f>Walmart_Sales_raw_data!C5136</f>
        <v>279643.43</v>
      </c>
      <c r="C5136" t="str">
        <f>IF(B5136&gt;=Walmart_Sales_raw_data!$C$6437,"High","low")</f>
        <v>low</v>
      </c>
    </row>
    <row r="5137" spans="1:3">
      <c r="A5137" s="3">
        <v>36</v>
      </c>
      <c r="B5137" s="2">
        <f>Walmart_Sales_raw_data!C5137</f>
        <v>304989.97</v>
      </c>
      <c r="C5137" t="str">
        <f>IF(B5137&gt;=Walmart_Sales_raw_data!$C$6437,"High","low")</f>
        <v>low</v>
      </c>
    </row>
    <row r="5138" spans="1:3">
      <c r="A5138" s="1">
        <v>36</v>
      </c>
      <c r="B5138" s="2">
        <f>Walmart_Sales_raw_data!C5138</f>
        <v>298947.51</v>
      </c>
      <c r="C5138" t="str">
        <f>IF(B5138&gt;=Walmart_Sales_raw_data!$C$6437,"High","low")</f>
        <v>low</v>
      </c>
    </row>
    <row r="5139" spans="1:3">
      <c r="A5139" s="3">
        <v>36</v>
      </c>
      <c r="B5139" s="2">
        <f>Walmart_Sales_raw_data!C5139</f>
        <v>314607.22</v>
      </c>
      <c r="C5139" t="str">
        <f>IF(B5139&gt;=Walmart_Sales_raw_data!$C$6437,"High","low")</f>
        <v>low</v>
      </c>
    </row>
    <row r="5140" spans="1:3">
      <c r="A5140" s="1">
        <v>36</v>
      </c>
      <c r="B5140" s="2">
        <f>Walmart_Sales_raw_data!C5140</f>
        <v>282545.55</v>
      </c>
      <c r="C5140" t="str">
        <f>IF(B5140&gt;=Walmart_Sales_raw_data!$C$6437,"High","low")</f>
        <v>low</v>
      </c>
    </row>
    <row r="5141" spans="1:3">
      <c r="A5141" s="3">
        <v>36</v>
      </c>
      <c r="B5141" s="2">
        <f>Walmart_Sales_raw_data!C5141</f>
        <v>282647.48</v>
      </c>
      <c r="C5141" t="str">
        <f>IF(B5141&gt;=Walmart_Sales_raw_data!$C$6437,"High","low")</f>
        <v>low</v>
      </c>
    </row>
    <row r="5142" spans="1:3">
      <c r="A5142" s="1">
        <v>36</v>
      </c>
      <c r="B5142" s="2">
        <f>Walmart_Sales_raw_data!C5142</f>
        <v>293728.57</v>
      </c>
      <c r="C5142" t="str">
        <f>IF(B5142&gt;=Walmart_Sales_raw_data!$C$6437,"High","low")</f>
        <v>low</v>
      </c>
    </row>
    <row r="5143" spans="1:3">
      <c r="A5143" s="3">
        <v>36</v>
      </c>
      <c r="B5143" s="2">
        <f>Walmart_Sales_raw_data!C5143</f>
        <v>301893.63</v>
      </c>
      <c r="C5143" t="str">
        <f>IF(B5143&gt;=Walmart_Sales_raw_data!$C$6437,"High","low")</f>
        <v>low</v>
      </c>
    </row>
    <row r="5144" spans="1:3">
      <c r="A5144" s="1">
        <v>36</v>
      </c>
      <c r="B5144" s="2">
        <f>Walmart_Sales_raw_data!C5144</f>
        <v>293804.45</v>
      </c>
      <c r="C5144" t="str">
        <f>IF(B5144&gt;=Walmart_Sales_raw_data!$C$6437,"High","low")</f>
        <v>low</v>
      </c>
    </row>
    <row r="5145" spans="1:3">
      <c r="A5145" s="3">
        <v>36</v>
      </c>
      <c r="B5145" s="2">
        <f>Walmart_Sales_raw_data!C5145</f>
        <v>270677.98</v>
      </c>
      <c r="C5145" t="str">
        <f>IF(B5145&gt;=Walmart_Sales_raw_data!$C$6437,"High","low")</f>
        <v>low</v>
      </c>
    </row>
    <row r="5146" spans="1:3">
      <c r="A5146" s="1">
        <v>36</v>
      </c>
      <c r="B5146" s="2">
        <f>Walmart_Sales_raw_data!C5146</f>
        <v>277137.86</v>
      </c>
      <c r="C5146" t="str">
        <f>IF(B5146&gt;=Walmart_Sales_raw_data!$C$6437,"High","low")</f>
        <v>low</v>
      </c>
    </row>
    <row r="5147" spans="1:3">
      <c r="A5147" s="3">
        <v>36</v>
      </c>
      <c r="B5147" s="2">
        <f>Walmart_Sales_raw_data!C5147</f>
        <v>300236.85</v>
      </c>
      <c r="C5147" t="str">
        <f>IF(B5147&gt;=Walmart_Sales_raw_data!$C$6437,"High","low")</f>
        <v>low</v>
      </c>
    </row>
    <row r="5148" spans="1:3">
      <c r="A5148" s="1">
        <v>36</v>
      </c>
      <c r="B5148" s="2">
        <f>Walmart_Sales_raw_data!C5148</f>
        <v>287360.05</v>
      </c>
      <c r="C5148" t="str">
        <f>IF(B5148&gt;=Walmart_Sales_raw_data!$C$6437,"High","low")</f>
        <v>low</v>
      </c>
    </row>
    <row r="5149" spans="1:3">
      <c r="A5149" s="3">
        <v>36</v>
      </c>
      <c r="B5149" s="2">
        <f>Walmart_Sales_raw_data!C5149</f>
        <v>272489.41</v>
      </c>
      <c r="C5149" t="str">
        <f>IF(B5149&gt;=Walmart_Sales_raw_data!$C$6437,"High","low")</f>
        <v>low</v>
      </c>
    </row>
    <row r="5150" spans="1:3">
      <c r="A5150" s="1">
        <v>37</v>
      </c>
      <c r="B5150" s="2">
        <f>Walmart_Sales_raw_data!C5150</f>
        <v>536006.73</v>
      </c>
      <c r="C5150" t="str">
        <f>IF(B5150&gt;=Walmart_Sales_raw_data!$C$6437,"High","low")</f>
        <v>low</v>
      </c>
    </row>
    <row r="5151" spans="1:3">
      <c r="A5151" s="3">
        <v>37</v>
      </c>
      <c r="B5151" s="2">
        <f>Walmart_Sales_raw_data!C5151</f>
        <v>529852.7</v>
      </c>
      <c r="C5151" t="str">
        <f>IF(B5151&gt;=Walmart_Sales_raw_data!$C$6437,"High","low")</f>
        <v>low</v>
      </c>
    </row>
    <row r="5152" spans="1:3">
      <c r="A5152" s="1">
        <v>37</v>
      </c>
      <c r="B5152" s="2">
        <f>Walmart_Sales_raw_data!C5152</f>
        <v>510382.5</v>
      </c>
      <c r="C5152" t="str">
        <f>IF(B5152&gt;=Walmart_Sales_raw_data!$C$6437,"High","low")</f>
        <v>low</v>
      </c>
    </row>
    <row r="5153" spans="1:3">
      <c r="A5153" s="3">
        <v>37</v>
      </c>
      <c r="B5153" s="2">
        <f>Walmart_Sales_raw_data!C5153</f>
        <v>513615.82</v>
      </c>
      <c r="C5153" t="str">
        <f>IF(B5153&gt;=Walmart_Sales_raw_data!$C$6437,"High","low")</f>
        <v>low</v>
      </c>
    </row>
    <row r="5154" spans="1:3">
      <c r="A5154" s="1">
        <v>37</v>
      </c>
      <c r="B5154" s="2">
        <f>Walmart_Sales_raw_data!C5154</f>
        <v>519255.68</v>
      </c>
      <c r="C5154" t="str">
        <f>IF(B5154&gt;=Walmart_Sales_raw_data!$C$6437,"High","low")</f>
        <v>low</v>
      </c>
    </row>
    <row r="5155" spans="1:3">
      <c r="A5155" s="3">
        <v>37</v>
      </c>
      <c r="B5155" s="2">
        <f>Walmart_Sales_raw_data!C5155</f>
        <v>513015.35</v>
      </c>
      <c r="C5155" t="str">
        <f>IF(B5155&gt;=Walmart_Sales_raw_data!$C$6437,"High","low")</f>
        <v>low</v>
      </c>
    </row>
    <row r="5156" spans="1:3">
      <c r="A5156" s="1">
        <v>37</v>
      </c>
      <c r="B5156" s="2">
        <f>Walmart_Sales_raw_data!C5156</f>
        <v>460020.74</v>
      </c>
      <c r="C5156" t="str">
        <f>IF(B5156&gt;=Walmart_Sales_raw_data!$C$6437,"High","low")</f>
        <v>low</v>
      </c>
    </row>
    <row r="5157" spans="1:3">
      <c r="A5157" s="3">
        <v>37</v>
      </c>
      <c r="B5157" s="2">
        <f>Walmart_Sales_raw_data!C5157</f>
        <v>515777.97</v>
      </c>
      <c r="C5157" t="str">
        <f>IF(B5157&gt;=Walmart_Sales_raw_data!$C$6437,"High","low")</f>
        <v>low</v>
      </c>
    </row>
    <row r="5158" spans="1:3">
      <c r="A5158" s="1">
        <v>37</v>
      </c>
      <c r="B5158" s="2">
        <f>Walmart_Sales_raw_data!C5158</f>
        <v>540189.7</v>
      </c>
      <c r="C5158" t="str">
        <f>IF(B5158&gt;=Walmart_Sales_raw_data!$C$6437,"High","low")</f>
        <v>low</v>
      </c>
    </row>
    <row r="5159" spans="1:3">
      <c r="A5159" s="3">
        <v>37</v>
      </c>
      <c r="B5159" s="2">
        <f>Walmart_Sales_raw_data!C5159</f>
        <v>513327.55</v>
      </c>
      <c r="C5159" t="str">
        <f>IF(B5159&gt;=Walmart_Sales_raw_data!$C$6437,"High","low")</f>
        <v>low</v>
      </c>
    </row>
    <row r="5160" spans="1:3">
      <c r="A5160" s="1">
        <v>37</v>
      </c>
      <c r="B5160" s="2">
        <f>Walmart_Sales_raw_data!C5160</f>
        <v>524544.83</v>
      </c>
      <c r="C5160" t="str">
        <f>IF(B5160&gt;=Walmart_Sales_raw_data!$C$6437,"High","low")</f>
        <v>low</v>
      </c>
    </row>
    <row r="5161" spans="1:3">
      <c r="A5161" s="3">
        <v>37</v>
      </c>
      <c r="B5161" s="2">
        <f>Walmart_Sales_raw_data!C5161</f>
        <v>527019.78</v>
      </c>
      <c r="C5161" t="str">
        <f>IF(B5161&gt;=Walmart_Sales_raw_data!$C$6437,"High","low")</f>
        <v>low</v>
      </c>
    </row>
    <row r="5162" spans="1:3">
      <c r="A5162" s="1">
        <v>37</v>
      </c>
      <c r="B5162" s="2">
        <f>Walmart_Sales_raw_data!C5162</f>
        <v>517850.83</v>
      </c>
      <c r="C5162" t="str">
        <f>IF(B5162&gt;=Walmart_Sales_raw_data!$C$6437,"High","low")</f>
        <v>low</v>
      </c>
    </row>
    <row r="5163" spans="1:3">
      <c r="A5163" s="3">
        <v>37</v>
      </c>
      <c r="B5163" s="2">
        <f>Walmart_Sales_raw_data!C5163</f>
        <v>543234.77</v>
      </c>
      <c r="C5163" t="str">
        <f>IF(B5163&gt;=Walmart_Sales_raw_data!$C$6437,"High","low")</f>
        <v>low</v>
      </c>
    </row>
    <row r="5164" spans="1:3">
      <c r="A5164" s="1">
        <v>37</v>
      </c>
      <c r="B5164" s="2">
        <f>Walmart_Sales_raw_data!C5164</f>
        <v>505196.08</v>
      </c>
      <c r="C5164" t="str">
        <f>IF(B5164&gt;=Walmart_Sales_raw_data!$C$6437,"High","low")</f>
        <v>low</v>
      </c>
    </row>
    <row r="5165" spans="1:3">
      <c r="A5165" s="3">
        <v>37</v>
      </c>
      <c r="B5165" s="2">
        <f>Walmart_Sales_raw_data!C5165</f>
        <v>510494.7</v>
      </c>
      <c r="C5165" t="str">
        <f>IF(B5165&gt;=Walmart_Sales_raw_data!$C$6437,"High","low")</f>
        <v>low</v>
      </c>
    </row>
    <row r="5166" spans="1:3">
      <c r="A5166" s="1">
        <v>37</v>
      </c>
      <c r="B5166" s="2">
        <f>Walmart_Sales_raw_data!C5166</f>
        <v>532241.22</v>
      </c>
      <c r="C5166" t="str">
        <f>IF(B5166&gt;=Walmart_Sales_raw_data!$C$6437,"High","low")</f>
        <v>low</v>
      </c>
    </row>
    <row r="5167" spans="1:3">
      <c r="A5167" s="3">
        <v>37</v>
      </c>
      <c r="B5167" s="2">
        <f>Walmart_Sales_raw_data!C5167</f>
        <v>479195.02</v>
      </c>
      <c r="C5167" t="str">
        <f>IF(B5167&gt;=Walmart_Sales_raw_data!$C$6437,"High","low")</f>
        <v>low</v>
      </c>
    </row>
    <row r="5168" spans="1:3">
      <c r="A5168" s="1">
        <v>37</v>
      </c>
      <c r="B5168" s="2">
        <f>Walmart_Sales_raw_data!C5168</f>
        <v>481915.11</v>
      </c>
      <c r="C5168" t="str">
        <f>IF(B5168&gt;=Walmart_Sales_raw_data!$C$6437,"High","low")</f>
        <v>low</v>
      </c>
    </row>
    <row r="5169" spans="1:3">
      <c r="A5169" s="3">
        <v>37</v>
      </c>
      <c r="B5169" s="2">
        <f>Walmart_Sales_raw_data!C5169</f>
        <v>505761.62</v>
      </c>
      <c r="C5169" t="str">
        <f>IF(B5169&gt;=Walmart_Sales_raw_data!$C$6437,"High","low")</f>
        <v>low</v>
      </c>
    </row>
    <row r="5170" spans="1:3">
      <c r="A5170" s="1">
        <v>37</v>
      </c>
      <c r="B5170" s="2">
        <f>Walmart_Sales_raw_data!C5170</f>
        <v>485419.39</v>
      </c>
      <c r="C5170" t="str">
        <f>IF(B5170&gt;=Walmart_Sales_raw_data!$C$6437,"High","low")</f>
        <v>low</v>
      </c>
    </row>
    <row r="5171" spans="1:3">
      <c r="A5171" s="3">
        <v>37</v>
      </c>
      <c r="B5171" s="2">
        <f>Walmart_Sales_raw_data!C5171</f>
        <v>498292.53</v>
      </c>
      <c r="C5171" t="str">
        <f>IF(B5171&gt;=Walmart_Sales_raw_data!$C$6437,"High","low")</f>
        <v>low</v>
      </c>
    </row>
    <row r="5172" spans="1:3">
      <c r="A5172" s="1">
        <v>37</v>
      </c>
      <c r="B5172" s="2">
        <f>Walmart_Sales_raw_data!C5172</f>
        <v>502456.04</v>
      </c>
      <c r="C5172" t="str">
        <f>IF(B5172&gt;=Walmart_Sales_raw_data!$C$6437,"High","low")</f>
        <v>low</v>
      </c>
    </row>
    <row r="5173" spans="1:3">
      <c r="A5173" s="3">
        <v>37</v>
      </c>
      <c r="B5173" s="2">
        <f>Walmart_Sales_raw_data!C5173</f>
        <v>485150.01</v>
      </c>
      <c r="C5173" t="str">
        <f>IF(B5173&gt;=Walmart_Sales_raw_data!$C$6437,"High","low")</f>
        <v>low</v>
      </c>
    </row>
    <row r="5174" spans="1:3">
      <c r="A5174" s="1">
        <v>37</v>
      </c>
      <c r="B5174" s="2">
        <f>Walmart_Sales_raw_data!C5174</f>
        <v>491998.12</v>
      </c>
      <c r="C5174" t="str">
        <f>IF(B5174&gt;=Walmart_Sales_raw_data!$C$6437,"High","low")</f>
        <v>low</v>
      </c>
    </row>
    <row r="5175" spans="1:3">
      <c r="A5175" s="3">
        <v>37</v>
      </c>
      <c r="B5175" s="2">
        <f>Walmart_Sales_raw_data!C5175</f>
        <v>487912.95</v>
      </c>
      <c r="C5175" t="str">
        <f>IF(B5175&gt;=Walmart_Sales_raw_data!$C$6437,"High","low")</f>
        <v>low</v>
      </c>
    </row>
    <row r="5176" spans="1:3">
      <c r="A5176" s="1">
        <v>37</v>
      </c>
      <c r="B5176" s="2">
        <f>Walmart_Sales_raw_data!C5176</f>
        <v>508576.62</v>
      </c>
      <c r="C5176" t="str">
        <f>IF(B5176&gt;=Walmart_Sales_raw_data!$C$6437,"High","low")</f>
        <v>low</v>
      </c>
    </row>
    <row r="5177" spans="1:3">
      <c r="A5177" s="3">
        <v>37</v>
      </c>
      <c r="B5177" s="2">
        <f>Walmart_Sales_raw_data!C5177</f>
        <v>491815.83</v>
      </c>
      <c r="C5177" t="str">
        <f>IF(B5177&gt;=Walmart_Sales_raw_data!$C$6437,"High","low")</f>
        <v>low</v>
      </c>
    </row>
    <row r="5178" spans="1:3">
      <c r="A5178" s="1">
        <v>37</v>
      </c>
      <c r="B5178" s="2">
        <f>Walmart_Sales_raw_data!C5178</f>
        <v>486930.72</v>
      </c>
      <c r="C5178" t="str">
        <f>IF(B5178&gt;=Walmart_Sales_raw_data!$C$6437,"High","low")</f>
        <v>low</v>
      </c>
    </row>
    <row r="5179" spans="1:3">
      <c r="A5179" s="3">
        <v>37</v>
      </c>
      <c r="B5179" s="2">
        <f>Walmart_Sales_raw_data!C5179</f>
        <v>512157.25</v>
      </c>
      <c r="C5179" t="str">
        <f>IF(B5179&gt;=Walmart_Sales_raw_data!$C$6437,"High","low")</f>
        <v>low</v>
      </c>
    </row>
    <row r="5180" spans="1:3">
      <c r="A5180" s="1">
        <v>37</v>
      </c>
      <c r="B5180" s="2">
        <f>Walmart_Sales_raw_data!C5180</f>
        <v>510427.53</v>
      </c>
      <c r="C5180" t="str">
        <f>IF(B5180&gt;=Walmart_Sales_raw_data!$C$6437,"High","low")</f>
        <v>low</v>
      </c>
    </row>
    <row r="5181" spans="1:3">
      <c r="A5181" s="3">
        <v>37</v>
      </c>
      <c r="B5181" s="2">
        <f>Walmart_Sales_raw_data!C5181</f>
        <v>510296.07</v>
      </c>
      <c r="C5181" t="str">
        <f>IF(B5181&gt;=Walmart_Sales_raw_data!$C$6437,"High","low")</f>
        <v>low</v>
      </c>
    </row>
    <row r="5182" spans="1:3">
      <c r="A5182" s="1">
        <v>37</v>
      </c>
      <c r="B5182" s="2">
        <f>Walmart_Sales_raw_data!C5182</f>
        <v>501251.4</v>
      </c>
      <c r="C5182" t="str">
        <f>IF(B5182&gt;=Walmart_Sales_raw_data!$C$6437,"High","low")</f>
        <v>low</v>
      </c>
    </row>
    <row r="5183" spans="1:3">
      <c r="A5183" s="3">
        <v>37</v>
      </c>
      <c r="B5183" s="2">
        <f>Walmart_Sales_raw_data!C5183</f>
        <v>494265.48</v>
      </c>
      <c r="C5183" t="str">
        <f>IF(B5183&gt;=Walmart_Sales_raw_data!$C$6437,"High","low")</f>
        <v>low</v>
      </c>
    </row>
    <row r="5184" spans="1:3">
      <c r="A5184" s="1">
        <v>37</v>
      </c>
      <c r="B5184" s="2">
        <f>Walmart_Sales_raw_data!C5184</f>
        <v>529877.93</v>
      </c>
      <c r="C5184" t="str">
        <f>IF(B5184&gt;=Walmart_Sales_raw_data!$C$6437,"High","low")</f>
        <v>low</v>
      </c>
    </row>
    <row r="5185" spans="1:3">
      <c r="A5185" s="3">
        <v>37</v>
      </c>
      <c r="B5185" s="2">
        <f>Walmart_Sales_raw_data!C5185</f>
        <v>524483.65</v>
      </c>
      <c r="C5185" t="str">
        <f>IF(B5185&gt;=Walmart_Sales_raw_data!$C$6437,"High","low")</f>
        <v>low</v>
      </c>
    </row>
    <row r="5186" spans="1:3">
      <c r="A5186" s="1">
        <v>37</v>
      </c>
      <c r="B5186" s="2">
        <f>Walmart_Sales_raw_data!C5186</f>
        <v>498925.86</v>
      </c>
      <c r="C5186" t="str">
        <f>IF(B5186&gt;=Walmart_Sales_raw_data!$C$6437,"High","low")</f>
        <v>low</v>
      </c>
    </row>
    <row r="5187" spans="1:3">
      <c r="A5187" s="3">
        <v>37</v>
      </c>
      <c r="B5187" s="2">
        <f>Walmart_Sales_raw_data!C5187</f>
        <v>510425.4</v>
      </c>
      <c r="C5187" t="str">
        <f>IF(B5187&gt;=Walmart_Sales_raw_data!$C$6437,"High","low")</f>
        <v>low</v>
      </c>
    </row>
    <row r="5188" spans="1:3">
      <c r="A5188" s="1">
        <v>37</v>
      </c>
      <c r="B5188" s="2">
        <f>Walmart_Sales_raw_data!C5188</f>
        <v>514485.9</v>
      </c>
      <c r="C5188" t="str">
        <f>IF(B5188&gt;=Walmart_Sales_raw_data!$C$6437,"High","low")</f>
        <v>low</v>
      </c>
    </row>
    <row r="5189" spans="1:3">
      <c r="A5189" s="3">
        <v>37</v>
      </c>
      <c r="B5189" s="2">
        <f>Walmart_Sales_raw_data!C5189</f>
        <v>539683.42</v>
      </c>
      <c r="C5189" t="str">
        <f>IF(B5189&gt;=Walmart_Sales_raw_data!$C$6437,"High","low")</f>
        <v>low</v>
      </c>
    </row>
    <row r="5190" spans="1:3">
      <c r="A5190" s="1">
        <v>37</v>
      </c>
      <c r="B5190" s="2">
        <f>Walmart_Sales_raw_data!C5190</f>
        <v>517546.69</v>
      </c>
      <c r="C5190" t="str">
        <f>IF(B5190&gt;=Walmart_Sales_raw_data!$C$6437,"High","low")</f>
        <v>low</v>
      </c>
    </row>
    <row r="5191" spans="1:3">
      <c r="A5191" s="3">
        <v>37</v>
      </c>
      <c r="B5191" s="2">
        <f>Walmart_Sales_raw_data!C5191</f>
        <v>518124.16</v>
      </c>
      <c r="C5191" t="str">
        <f>IF(B5191&gt;=Walmart_Sales_raw_data!$C$6437,"High","low")</f>
        <v>low</v>
      </c>
    </row>
    <row r="5192" spans="1:3">
      <c r="A5192" s="1">
        <v>37</v>
      </c>
      <c r="B5192" s="2">
        <f>Walmart_Sales_raw_data!C5192</f>
        <v>518220.72</v>
      </c>
      <c r="C5192" t="str">
        <f>IF(B5192&gt;=Walmart_Sales_raw_data!$C$6437,"High","low")</f>
        <v>low</v>
      </c>
    </row>
    <row r="5193" spans="1:3">
      <c r="A5193" s="3">
        <v>37</v>
      </c>
      <c r="B5193" s="2">
        <f>Walmart_Sales_raw_data!C5193</f>
        <v>508213.14</v>
      </c>
      <c r="C5193" t="str">
        <f>IF(B5193&gt;=Walmart_Sales_raw_data!$C$6437,"High","low")</f>
        <v>low</v>
      </c>
    </row>
    <row r="5194" spans="1:3">
      <c r="A5194" s="1">
        <v>37</v>
      </c>
      <c r="B5194" s="2">
        <f>Walmart_Sales_raw_data!C5194</f>
        <v>511207.52</v>
      </c>
      <c r="C5194" t="str">
        <f>IF(B5194&gt;=Walmart_Sales_raw_data!$C$6437,"High","low")</f>
        <v>low</v>
      </c>
    </row>
    <row r="5195" spans="1:3">
      <c r="A5195" s="3">
        <v>37</v>
      </c>
      <c r="B5195" s="2">
        <f>Walmart_Sales_raw_data!C5195</f>
        <v>534285.21</v>
      </c>
      <c r="C5195" t="str">
        <f>IF(B5195&gt;=Walmart_Sales_raw_data!$C$6437,"High","low")</f>
        <v>low</v>
      </c>
    </row>
    <row r="5196" spans="1:3">
      <c r="A5196" s="1">
        <v>37</v>
      </c>
      <c r="B5196" s="2">
        <f>Walmart_Sales_raw_data!C5196</f>
        <v>576809.92</v>
      </c>
      <c r="C5196" t="str">
        <f>IF(B5196&gt;=Walmart_Sales_raw_data!$C$6437,"High","low")</f>
        <v>low</v>
      </c>
    </row>
    <row r="5197" spans="1:3">
      <c r="A5197" s="3">
        <v>37</v>
      </c>
      <c r="B5197" s="2">
        <f>Walmart_Sales_raw_data!C5197</f>
        <v>460331.7</v>
      </c>
      <c r="C5197" t="str">
        <f>IF(B5197&gt;=Walmart_Sales_raw_data!$C$6437,"High","low")</f>
        <v>low</v>
      </c>
    </row>
    <row r="5198" spans="1:3">
      <c r="A5198" s="1">
        <v>37</v>
      </c>
      <c r="B5198" s="2">
        <f>Walmart_Sales_raw_data!C5198</f>
        <v>542464.02</v>
      </c>
      <c r="C5198" t="str">
        <f>IF(B5198&gt;=Walmart_Sales_raw_data!$C$6437,"High","low")</f>
        <v>low</v>
      </c>
    </row>
    <row r="5199" spans="1:3">
      <c r="A5199" s="3">
        <v>37</v>
      </c>
      <c r="B5199" s="2">
        <f>Walmart_Sales_raw_data!C5199</f>
        <v>525616.9</v>
      </c>
      <c r="C5199" t="str">
        <f>IF(B5199&gt;=Walmart_Sales_raw_data!$C$6437,"High","low")</f>
        <v>low</v>
      </c>
    </row>
    <row r="5200" spans="1:3">
      <c r="A5200" s="1">
        <v>37</v>
      </c>
      <c r="B5200" s="2">
        <f>Walmart_Sales_raw_data!C5200</f>
        <v>526486.82</v>
      </c>
      <c r="C5200" t="str">
        <f>IF(B5200&gt;=Walmart_Sales_raw_data!$C$6437,"High","low")</f>
        <v>low</v>
      </c>
    </row>
    <row r="5201" spans="1:3">
      <c r="A5201" s="3">
        <v>37</v>
      </c>
      <c r="B5201" s="2">
        <f>Walmart_Sales_raw_data!C5201</f>
        <v>513672.36</v>
      </c>
      <c r="C5201" t="str">
        <f>IF(B5201&gt;=Walmart_Sales_raw_data!$C$6437,"High","low")</f>
        <v>low</v>
      </c>
    </row>
    <row r="5202" spans="1:3">
      <c r="A5202" s="1">
        <v>37</v>
      </c>
      <c r="B5202" s="2">
        <f>Walmart_Sales_raw_data!C5202</f>
        <v>583835.18</v>
      </c>
      <c r="C5202" t="str">
        <f>IF(B5202&gt;=Walmart_Sales_raw_data!$C$6437,"High","low")</f>
        <v>low</v>
      </c>
    </row>
    <row r="5203" spans="1:3">
      <c r="A5203" s="3">
        <v>37</v>
      </c>
      <c r="B5203" s="2">
        <f>Walmart_Sales_raw_data!C5203</f>
        <v>522514.32</v>
      </c>
      <c r="C5203" t="str">
        <f>IF(B5203&gt;=Walmart_Sales_raw_data!$C$6437,"High","low")</f>
        <v>low</v>
      </c>
    </row>
    <row r="5204" spans="1:3">
      <c r="A5204" s="1">
        <v>37</v>
      </c>
      <c r="B5204" s="2">
        <f>Walmart_Sales_raw_data!C5204</f>
        <v>536840.69</v>
      </c>
      <c r="C5204" t="str">
        <f>IF(B5204&gt;=Walmart_Sales_raw_data!$C$6437,"High","low")</f>
        <v>low</v>
      </c>
    </row>
    <row r="5205" spans="1:3">
      <c r="A5205" s="3">
        <v>37</v>
      </c>
      <c r="B5205" s="2">
        <f>Walmart_Sales_raw_data!C5205</f>
        <v>514758.19</v>
      </c>
      <c r="C5205" t="str">
        <f>IF(B5205&gt;=Walmart_Sales_raw_data!$C$6437,"High","low")</f>
        <v>low</v>
      </c>
    </row>
    <row r="5206" spans="1:3">
      <c r="A5206" s="1">
        <v>37</v>
      </c>
      <c r="B5206" s="2">
        <f>Walmart_Sales_raw_data!C5206</f>
        <v>527572.25</v>
      </c>
      <c r="C5206" t="str">
        <f>IF(B5206&gt;=Walmart_Sales_raw_data!$C$6437,"High","low")</f>
        <v>low</v>
      </c>
    </row>
    <row r="5207" spans="1:3">
      <c r="A5207" s="3">
        <v>37</v>
      </c>
      <c r="B5207" s="2">
        <f>Walmart_Sales_raw_data!C5207</f>
        <v>505610.4</v>
      </c>
      <c r="C5207" t="str">
        <f>IF(B5207&gt;=Walmart_Sales_raw_data!$C$6437,"High","low")</f>
        <v>low</v>
      </c>
    </row>
    <row r="5208" spans="1:3">
      <c r="A5208" s="1">
        <v>37</v>
      </c>
      <c r="B5208" s="2">
        <f>Walmart_Sales_raw_data!C5208</f>
        <v>478503.06</v>
      </c>
      <c r="C5208" t="str">
        <f>IF(B5208&gt;=Walmart_Sales_raw_data!$C$6437,"High","low")</f>
        <v>low</v>
      </c>
    </row>
    <row r="5209" spans="1:3">
      <c r="A5209" s="3">
        <v>37</v>
      </c>
      <c r="B5209" s="2">
        <f>Walmart_Sales_raw_data!C5209</f>
        <v>522105.93</v>
      </c>
      <c r="C5209" t="str">
        <f>IF(B5209&gt;=Walmart_Sales_raw_data!$C$6437,"High","low")</f>
        <v>low</v>
      </c>
    </row>
    <row r="5210" spans="1:3">
      <c r="A5210" s="1">
        <v>37</v>
      </c>
      <c r="B5210" s="2">
        <f>Walmart_Sales_raw_data!C5210</f>
        <v>534578.78</v>
      </c>
      <c r="C5210" t="str">
        <f>IF(B5210&gt;=Walmart_Sales_raw_data!$C$6437,"High","low")</f>
        <v>low</v>
      </c>
    </row>
    <row r="5211" spans="1:3">
      <c r="A5211" s="3">
        <v>37</v>
      </c>
      <c r="B5211" s="2">
        <f>Walmart_Sales_raw_data!C5211</f>
        <v>543703.16</v>
      </c>
      <c r="C5211" t="str">
        <f>IF(B5211&gt;=Walmart_Sales_raw_data!$C$6437,"High","low")</f>
        <v>low</v>
      </c>
    </row>
    <row r="5212" spans="1:3">
      <c r="A5212" s="1">
        <v>37</v>
      </c>
      <c r="B5212" s="2">
        <f>Walmart_Sales_raw_data!C5212</f>
        <v>543775.87</v>
      </c>
      <c r="C5212" t="str">
        <f>IF(B5212&gt;=Walmart_Sales_raw_data!$C$6437,"High","low")</f>
        <v>low</v>
      </c>
    </row>
    <row r="5213" spans="1:3">
      <c r="A5213" s="3">
        <v>37</v>
      </c>
      <c r="B5213" s="2">
        <f>Walmart_Sales_raw_data!C5213</f>
        <v>526434.37</v>
      </c>
      <c r="C5213" t="str">
        <f>IF(B5213&gt;=Walmart_Sales_raw_data!$C$6437,"High","low")</f>
        <v>low</v>
      </c>
    </row>
    <row r="5214" spans="1:3">
      <c r="A5214" s="1">
        <v>37</v>
      </c>
      <c r="B5214" s="2">
        <f>Walmart_Sales_raw_data!C5214</f>
        <v>502918.18</v>
      </c>
      <c r="C5214" t="str">
        <f>IF(B5214&gt;=Walmart_Sales_raw_data!$C$6437,"High","low")</f>
        <v>low</v>
      </c>
    </row>
    <row r="5215" spans="1:3">
      <c r="A5215" s="3">
        <v>37</v>
      </c>
      <c r="B5215" s="2">
        <f>Walmart_Sales_raw_data!C5215</f>
        <v>547513.3</v>
      </c>
      <c r="C5215" t="str">
        <f>IF(B5215&gt;=Walmart_Sales_raw_data!$C$6437,"High","low")</f>
        <v>low</v>
      </c>
    </row>
    <row r="5216" spans="1:3">
      <c r="A5216" s="1">
        <v>37</v>
      </c>
      <c r="B5216" s="2">
        <f>Walmart_Sales_raw_data!C5216</f>
        <v>511871.63</v>
      </c>
      <c r="C5216" t="str">
        <f>IF(B5216&gt;=Walmart_Sales_raw_data!$C$6437,"High","low")</f>
        <v>low</v>
      </c>
    </row>
    <row r="5217" spans="1:3">
      <c r="A5217" s="3">
        <v>37</v>
      </c>
      <c r="B5217" s="2">
        <f>Walmart_Sales_raw_data!C5217</f>
        <v>533564.42</v>
      </c>
      <c r="C5217" t="str">
        <f>IF(B5217&gt;=Walmart_Sales_raw_data!$C$6437,"High","low")</f>
        <v>low</v>
      </c>
    </row>
    <row r="5218" spans="1:3">
      <c r="A5218" s="1">
        <v>37</v>
      </c>
      <c r="B5218" s="2">
        <f>Walmart_Sales_raw_data!C5218</f>
        <v>507086.75</v>
      </c>
      <c r="C5218" t="str">
        <f>IF(B5218&gt;=Walmart_Sales_raw_data!$C$6437,"High","low")</f>
        <v>low</v>
      </c>
    </row>
    <row r="5219" spans="1:3">
      <c r="A5219" s="3">
        <v>37</v>
      </c>
      <c r="B5219" s="2">
        <f>Walmart_Sales_raw_data!C5219</f>
        <v>500381.23</v>
      </c>
      <c r="C5219" t="str">
        <f>IF(B5219&gt;=Walmart_Sales_raw_data!$C$6437,"High","low")</f>
        <v>low</v>
      </c>
    </row>
    <row r="5220" spans="1:3">
      <c r="A5220" s="1">
        <v>37</v>
      </c>
      <c r="B5220" s="2">
        <f>Walmart_Sales_raw_data!C5220</f>
        <v>509647.25</v>
      </c>
      <c r="C5220" t="str">
        <f>IF(B5220&gt;=Walmart_Sales_raw_data!$C$6437,"High","low")</f>
        <v>low</v>
      </c>
    </row>
    <row r="5221" spans="1:3">
      <c r="A5221" s="3">
        <v>37</v>
      </c>
      <c r="B5221" s="2">
        <f>Walmart_Sales_raw_data!C5221</f>
        <v>525132.36</v>
      </c>
      <c r="C5221" t="str">
        <f>IF(B5221&gt;=Walmart_Sales_raw_data!$C$6437,"High","low")</f>
        <v>low</v>
      </c>
    </row>
    <row r="5222" spans="1:3">
      <c r="A5222" s="1">
        <v>37</v>
      </c>
      <c r="B5222" s="2">
        <f>Walmart_Sales_raw_data!C5222</f>
        <v>509276.22</v>
      </c>
      <c r="C5222" t="str">
        <f>IF(B5222&gt;=Walmart_Sales_raw_data!$C$6437,"High","low")</f>
        <v>low</v>
      </c>
    </row>
    <row r="5223" spans="1:3">
      <c r="A5223" s="3">
        <v>37</v>
      </c>
      <c r="B5223" s="2">
        <f>Walmart_Sales_raw_data!C5223</f>
        <v>517021.3</v>
      </c>
      <c r="C5223" t="str">
        <f>IF(B5223&gt;=Walmart_Sales_raw_data!$C$6437,"High","low")</f>
        <v>low</v>
      </c>
    </row>
    <row r="5224" spans="1:3">
      <c r="A5224" s="1">
        <v>37</v>
      </c>
      <c r="B5224" s="2">
        <f>Walmart_Sales_raw_data!C5224</f>
        <v>489059.93</v>
      </c>
      <c r="C5224" t="str">
        <f>IF(B5224&gt;=Walmart_Sales_raw_data!$C$6437,"High","low")</f>
        <v>low</v>
      </c>
    </row>
    <row r="5225" spans="1:3">
      <c r="A5225" s="3">
        <v>37</v>
      </c>
      <c r="B5225" s="2">
        <f>Walmart_Sales_raw_data!C5225</f>
        <v>498749.62</v>
      </c>
      <c r="C5225" t="str">
        <f>IF(B5225&gt;=Walmart_Sales_raw_data!$C$6437,"High","low")</f>
        <v>low</v>
      </c>
    </row>
    <row r="5226" spans="1:3">
      <c r="A5226" s="1">
        <v>37</v>
      </c>
      <c r="B5226" s="2">
        <f>Walmart_Sales_raw_data!C5226</f>
        <v>505543.53</v>
      </c>
      <c r="C5226" t="str">
        <f>IF(B5226&gt;=Walmart_Sales_raw_data!$C$6437,"High","low")</f>
        <v>low</v>
      </c>
    </row>
    <row r="5227" spans="1:3">
      <c r="A5227" s="3">
        <v>37</v>
      </c>
      <c r="B5227" s="2">
        <f>Walmart_Sales_raw_data!C5227</f>
        <v>504974.95</v>
      </c>
      <c r="C5227" t="str">
        <f>IF(B5227&gt;=Walmart_Sales_raw_data!$C$6437,"High","low")</f>
        <v>low</v>
      </c>
    </row>
    <row r="5228" spans="1:3">
      <c r="A5228" s="1">
        <v>37</v>
      </c>
      <c r="B5228" s="2">
        <f>Walmart_Sales_raw_data!C5228</f>
        <v>510787.46</v>
      </c>
      <c r="C5228" t="str">
        <f>IF(B5228&gt;=Walmart_Sales_raw_data!$C$6437,"High","low")</f>
        <v>low</v>
      </c>
    </row>
    <row r="5229" spans="1:3">
      <c r="A5229" s="3">
        <v>37</v>
      </c>
      <c r="B5229" s="2">
        <f>Walmart_Sales_raw_data!C5229</f>
        <v>502504.39</v>
      </c>
      <c r="C5229" t="str">
        <f>IF(B5229&gt;=Walmart_Sales_raw_data!$C$6437,"High","low")</f>
        <v>low</v>
      </c>
    </row>
    <row r="5230" spans="1:3">
      <c r="A5230" s="1">
        <v>37</v>
      </c>
      <c r="B5230" s="2">
        <f>Walmart_Sales_raw_data!C5230</f>
        <v>506897.98</v>
      </c>
      <c r="C5230" t="str">
        <f>IF(B5230&gt;=Walmart_Sales_raw_data!$C$6437,"High","low")</f>
        <v>low</v>
      </c>
    </row>
    <row r="5231" spans="1:3">
      <c r="A5231" s="3">
        <v>37</v>
      </c>
      <c r="B5231" s="2">
        <f>Walmart_Sales_raw_data!C5231</f>
        <v>527947.21</v>
      </c>
      <c r="C5231" t="str">
        <f>IF(B5231&gt;=Walmart_Sales_raw_data!$C$6437,"High","low")</f>
        <v>low</v>
      </c>
    </row>
    <row r="5232" spans="1:3">
      <c r="A5232" s="1">
        <v>37</v>
      </c>
      <c r="B5232" s="2">
        <f>Walmart_Sales_raw_data!C5232</f>
        <v>530367.83</v>
      </c>
      <c r="C5232" t="str">
        <f>IF(B5232&gt;=Walmart_Sales_raw_data!$C$6437,"High","low")</f>
        <v>low</v>
      </c>
    </row>
    <row r="5233" spans="1:3">
      <c r="A5233" s="3">
        <v>37</v>
      </c>
      <c r="B5233" s="2">
        <f>Walmart_Sales_raw_data!C5233</f>
        <v>506273.74</v>
      </c>
      <c r="C5233" t="str">
        <f>IF(B5233&gt;=Walmart_Sales_raw_data!$C$6437,"High","low")</f>
        <v>low</v>
      </c>
    </row>
    <row r="5234" spans="1:3">
      <c r="A5234" s="1">
        <v>37</v>
      </c>
      <c r="B5234" s="2">
        <f>Walmart_Sales_raw_data!C5234</f>
        <v>513341.94</v>
      </c>
      <c r="C5234" t="str">
        <f>IF(B5234&gt;=Walmart_Sales_raw_data!$C$6437,"High","low")</f>
        <v>low</v>
      </c>
    </row>
    <row r="5235" spans="1:3">
      <c r="A5235" s="3">
        <v>37</v>
      </c>
      <c r="B5235" s="2">
        <f>Walmart_Sales_raw_data!C5235</f>
        <v>516556.94</v>
      </c>
      <c r="C5235" t="str">
        <f>IF(B5235&gt;=Walmart_Sales_raw_data!$C$6437,"High","low")</f>
        <v>low</v>
      </c>
    </row>
    <row r="5236" spans="1:3">
      <c r="A5236" s="1">
        <v>37</v>
      </c>
      <c r="B5236" s="2">
        <f>Walmart_Sales_raw_data!C5236</f>
        <v>516402.1</v>
      </c>
      <c r="C5236" t="str">
        <f>IF(B5236&gt;=Walmart_Sales_raw_data!$C$6437,"High","low")</f>
        <v>low</v>
      </c>
    </row>
    <row r="5237" spans="1:3">
      <c r="A5237" s="3">
        <v>37</v>
      </c>
      <c r="B5237" s="2">
        <f>Walmart_Sales_raw_data!C5237</f>
        <v>522816.85</v>
      </c>
      <c r="C5237" t="str">
        <f>IF(B5237&gt;=Walmart_Sales_raw_data!$C$6437,"High","low")</f>
        <v>low</v>
      </c>
    </row>
    <row r="5238" spans="1:3">
      <c r="A5238" s="1">
        <v>37</v>
      </c>
      <c r="B5238" s="2">
        <f>Walmart_Sales_raw_data!C5238</f>
        <v>513636.01</v>
      </c>
      <c r="C5238" t="str">
        <f>IF(B5238&gt;=Walmart_Sales_raw_data!$C$6437,"High","low")</f>
        <v>low</v>
      </c>
    </row>
    <row r="5239" spans="1:3">
      <c r="A5239" s="3">
        <v>37</v>
      </c>
      <c r="B5239" s="2">
        <f>Walmart_Sales_raw_data!C5239</f>
        <v>522784.33</v>
      </c>
      <c r="C5239" t="str">
        <f>IF(B5239&gt;=Walmart_Sales_raw_data!$C$6437,"High","low")</f>
        <v>low</v>
      </c>
    </row>
    <row r="5240" spans="1:3">
      <c r="A5240" s="1">
        <v>37</v>
      </c>
      <c r="B5240" s="2">
        <f>Walmart_Sales_raw_data!C5240</f>
        <v>517355.44</v>
      </c>
      <c r="C5240" t="str">
        <f>IF(B5240&gt;=Walmart_Sales_raw_data!$C$6437,"High","low")</f>
        <v>low</v>
      </c>
    </row>
    <row r="5241" spans="1:3">
      <c r="A5241" s="3">
        <v>37</v>
      </c>
      <c r="B5241" s="2">
        <f>Walmart_Sales_raw_data!C5241</f>
        <v>555925.6</v>
      </c>
      <c r="C5241" t="str">
        <f>IF(B5241&gt;=Walmart_Sales_raw_data!$C$6437,"High","low")</f>
        <v>low</v>
      </c>
    </row>
    <row r="5242" spans="1:3">
      <c r="A5242" s="1">
        <v>37</v>
      </c>
      <c r="B5242" s="2">
        <f>Walmart_Sales_raw_data!C5242</f>
        <v>501268.78</v>
      </c>
      <c r="C5242" t="str">
        <f>IF(B5242&gt;=Walmart_Sales_raw_data!$C$6437,"High","low")</f>
        <v>low</v>
      </c>
    </row>
    <row r="5243" spans="1:3">
      <c r="A5243" s="3">
        <v>37</v>
      </c>
      <c r="B5243" s="2">
        <f>Walmart_Sales_raw_data!C5243</f>
        <v>527495.09</v>
      </c>
      <c r="C5243" t="str">
        <f>IF(B5243&gt;=Walmart_Sales_raw_data!$C$6437,"High","low")</f>
        <v>low</v>
      </c>
    </row>
    <row r="5244" spans="1:3">
      <c r="A5244" s="1">
        <v>37</v>
      </c>
      <c r="B5244" s="2">
        <f>Walmart_Sales_raw_data!C5244</f>
        <v>522554.04</v>
      </c>
      <c r="C5244" t="str">
        <f>IF(B5244&gt;=Walmart_Sales_raw_data!$C$6437,"High","low")</f>
        <v>low</v>
      </c>
    </row>
    <row r="5245" spans="1:3">
      <c r="A5245" s="3">
        <v>37</v>
      </c>
      <c r="B5245" s="2">
        <f>Walmart_Sales_raw_data!C5245</f>
        <v>527117.81</v>
      </c>
      <c r="C5245" t="str">
        <f>IF(B5245&gt;=Walmart_Sales_raw_data!$C$6437,"High","low")</f>
        <v>low</v>
      </c>
    </row>
    <row r="5246" spans="1:3">
      <c r="A5246" s="1">
        <v>37</v>
      </c>
      <c r="B5246" s="2">
        <f>Walmart_Sales_raw_data!C5246</f>
        <v>537224.52</v>
      </c>
      <c r="C5246" t="str">
        <f>IF(B5246&gt;=Walmart_Sales_raw_data!$C$6437,"High","low")</f>
        <v>low</v>
      </c>
    </row>
    <row r="5247" spans="1:3">
      <c r="A5247" s="3">
        <v>37</v>
      </c>
      <c r="B5247" s="2">
        <f>Walmart_Sales_raw_data!C5247</f>
        <v>533905.67</v>
      </c>
      <c r="C5247" t="str">
        <f>IF(B5247&gt;=Walmart_Sales_raw_data!$C$6437,"High","low")</f>
        <v>low</v>
      </c>
    </row>
    <row r="5248" spans="1:3">
      <c r="A5248" s="1">
        <v>37</v>
      </c>
      <c r="B5248" s="2">
        <f>Walmart_Sales_raw_data!C5248</f>
        <v>605791.46</v>
      </c>
      <c r="C5248" t="str">
        <f>IF(B5248&gt;=Walmart_Sales_raw_data!$C$6437,"High","low")</f>
        <v>low</v>
      </c>
    </row>
    <row r="5249" spans="1:3">
      <c r="A5249" s="3">
        <v>37</v>
      </c>
      <c r="B5249" s="2">
        <f>Walmart_Sales_raw_data!C5249</f>
        <v>451327.61</v>
      </c>
      <c r="C5249" t="str">
        <f>IF(B5249&gt;=Walmart_Sales_raw_data!$C$6437,"High","low")</f>
        <v>low</v>
      </c>
    </row>
    <row r="5250" spans="1:3">
      <c r="A5250" s="1">
        <v>37</v>
      </c>
      <c r="B5250" s="2">
        <f>Walmart_Sales_raw_data!C5250</f>
        <v>558343.57</v>
      </c>
      <c r="C5250" t="str">
        <f>IF(B5250&gt;=Walmart_Sales_raw_data!$C$6437,"High","low")</f>
        <v>low</v>
      </c>
    </row>
    <row r="5251" spans="1:3">
      <c r="A5251" s="3">
        <v>37</v>
      </c>
      <c r="B5251" s="2">
        <f>Walmart_Sales_raw_data!C5251</f>
        <v>546221.4</v>
      </c>
      <c r="C5251" t="str">
        <f>IF(B5251&gt;=Walmart_Sales_raw_data!$C$6437,"High","low")</f>
        <v>low</v>
      </c>
    </row>
    <row r="5252" spans="1:3">
      <c r="A5252" s="1">
        <v>37</v>
      </c>
      <c r="B5252" s="2">
        <f>Walmart_Sales_raw_data!C5252</f>
        <v>543894.07</v>
      </c>
      <c r="C5252" t="str">
        <f>IF(B5252&gt;=Walmart_Sales_raw_data!$C$6437,"High","low")</f>
        <v>low</v>
      </c>
    </row>
    <row r="5253" spans="1:3">
      <c r="A5253" s="3">
        <v>37</v>
      </c>
      <c r="B5253" s="2">
        <f>Walmart_Sales_raw_data!C5253</f>
        <v>514116.58</v>
      </c>
      <c r="C5253" t="str">
        <f>IF(B5253&gt;=Walmart_Sales_raw_data!$C$6437,"High","low")</f>
        <v>low</v>
      </c>
    </row>
    <row r="5254" spans="1:3">
      <c r="A5254" s="1">
        <v>37</v>
      </c>
      <c r="B5254" s="2">
        <f>Walmart_Sales_raw_data!C5254</f>
        <v>555424.24</v>
      </c>
      <c r="C5254" t="str">
        <f>IF(B5254&gt;=Walmart_Sales_raw_data!$C$6437,"High","low")</f>
        <v>low</v>
      </c>
    </row>
    <row r="5255" spans="1:3">
      <c r="A5255" s="3">
        <v>37</v>
      </c>
      <c r="B5255" s="2">
        <f>Walmart_Sales_raw_data!C5255</f>
        <v>527041.46</v>
      </c>
      <c r="C5255" t="str">
        <f>IF(B5255&gt;=Walmart_Sales_raw_data!$C$6437,"High","low")</f>
        <v>low</v>
      </c>
    </row>
    <row r="5256" spans="1:3">
      <c r="A5256" s="1">
        <v>37</v>
      </c>
      <c r="B5256" s="2">
        <f>Walmart_Sales_raw_data!C5256</f>
        <v>541071.29</v>
      </c>
      <c r="C5256" t="str">
        <f>IF(B5256&gt;=Walmart_Sales_raw_data!$C$6437,"High","low")</f>
        <v>low</v>
      </c>
    </row>
    <row r="5257" spans="1:3">
      <c r="A5257" s="3">
        <v>37</v>
      </c>
      <c r="B5257" s="2">
        <f>Walmart_Sales_raw_data!C5257</f>
        <v>518696.89</v>
      </c>
      <c r="C5257" t="str">
        <f>IF(B5257&gt;=Walmart_Sales_raw_data!$C$6437,"High","low")</f>
        <v>low</v>
      </c>
    </row>
    <row r="5258" spans="1:3">
      <c r="A5258" s="1">
        <v>37</v>
      </c>
      <c r="B5258" s="2">
        <f>Walmart_Sales_raw_data!C5258</f>
        <v>525559.17</v>
      </c>
      <c r="C5258" t="str">
        <f>IF(B5258&gt;=Walmart_Sales_raw_data!$C$6437,"High","low")</f>
        <v>low</v>
      </c>
    </row>
    <row r="5259" spans="1:3">
      <c r="A5259" s="3">
        <v>37</v>
      </c>
      <c r="B5259" s="2">
        <f>Walmart_Sales_raw_data!C5259</f>
        <v>535937.25</v>
      </c>
      <c r="C5259" t="str">
        <f>IF(B5259&gt;=Walmart_Sales_raw_data!$C$6437,"High","low")</f>
        <v>low</v>
      </c>
    </row>
    <row r="5260" spans="1:3">
      <c r="A5260" s="1">
        <v>37</v>
      </c>
      <c r="B5260" s="2">
        <f>Walmart_Sales_raw_data!C5260</f>
        <v>484588.34</v>
      </c>
      <c r="C5260" t="str">
        <f>IF(B5260&gt;=Walmart_Sales_raw_data!$C$6437,"High","low")</f>
        <v>low</v>
      </c>
    </row>
    <row r="5261" spans="1:3">
      <c r="A5261" s="3">
        <v>37</v>
      </c>
      <c r="B5261" s="2">
        <f>Walmart_Sales_raw_data!C5261</f>
        <v>520887.23</v>
      </c>
      <c r="C5261" t="str">
        <f>IF(B5261&gt;=Walmart_Sales_raw_data!$C$6437,"High","low")</f>
        <v>low</v>
      </c>
    </row>
    <row r="5262" spans="1:3">
      <c r="A5262" s="1">
        <v>37</v>
      </c>
      <c r="B5262" s="2">
        <f>Walmart_Sales_raw_data!C5262</f>
        <v>533734.94</v>
      </c>
      <c r="C5262" t="str">
        <f>IF(B5262&gt;=Walmart_Sales_raw_data!$C$6437,"High","low")</f>
        <v>low</v>
      </c>
    </row>
    <row r="5263" spans="1:3">
      <c r="A5263" s="3">
        <v>37</v>
      </c>
      <c r="B5263" s="2">
        <f>Walmart_Sales_raw_data!C5263</f>
        <v>564848.78</v>
      </c>
      <c r="C5263" t="str">
        <f>IF(B5263&gt;=Walmart_Sales_raw_data!$C$6437,"High","low")</f>
        <v>low</v>
      </c>
    </row>
    <row r="5264" spans="1:3">
      <c r="A5264" s="1">
        <v>37</v>
      </c>
      <c r="B5264" s="2">
        <f>Walmart_Sales_raw_data!C5264</f>
        <v>506973.17</v>
      </c>
      <c r="C5264" t="str">
        <f>IF(B5264&gt;=Walmart_Sales_raw_data!$C$6437,"High","low")</f>
        <v>low</v>
      </c>
    </row>
    <row r="5265" spans="1:3">
      <c r="A5265" s="3">
        <v>37</v>
      </c>
      <c r="B5265" s="2">
        <f>Walmart_Sales_raw_data!C5265</f>
        <v>523483.19</v>
      </c>
      <c r="C5265" t="str">
        <f>IF(B5265&gt;=Walmart_Sales_raw_data!$C$6437,"High","low")</f>
        <v>low</v>
      </c>
    </row>
    <row r="5266" spans="1:3">
      <c r="A5266" s="1">
        <v>37</v>
      </c>
      <c r="B5266" s="2">
        <f>Walmart_Sales_raw_data!C5266</f>
        <v>528807.45</v>
      </c>
      <c r="C5266" t="str">
        <f>IF(B5266&gt;=Walmart_Sales_raw_data!$C$6437,"High","low")</f>
        <v>low</v>
      </c>
    </row>
    <row r="5267" spans="1:3">
      <c r="A5267" s="3">
        <v>37</v>
      </c>
      <c r="B5267" s="2">
        <f>Walmart_Sales_raw_data!C5267</f>
        <v>535311.64</v>
      </c>
      <c r="C5267" t="str">
        <f>IF(B5267&gt;=Walmart_Sales_raw_data!$C$6437,"High","low")</f>
        <v>low</v>
      </c>
    </row>
    <row r="5268" spans="1:3">
      <c r="A5268" s="1">
        <v>37</v>
      </c>
      <c r="B5268" s="2">
        <f>Walmart_Sales_raw_data!C5268</f>
        <v>527983.04</v>
      </c>
      <c r="C5268" t="str">
        <f>IF(B5268&gt;=Walmart_Sales_raw_data!$C$6437,"High","low")</f>
        <v>low</v>
      </c>
    </row>
    <row r="5269" spans="1:3">
      <c r="A5269" s="3">
        <v>37</v>
      </c>
      <c r="B5269" s="2">
        <f>Walmart_Sales_raw_data!C5269</f>
        <v>534847.96</v>
      </c>
      <c r="C5269" t="str">
        <f>IF(B5269&gt;=Walmart_Sales_raw_data!$C$6437,"High","low")</f>
        <v>low</v>
      </c>
    </row>
    <row r="5270" spans="1:3">
      <c r="A5270" s="1">
        <v>37</v>
      </c>
      <c r="B5270" s="2">
        <f>Walmart_Sales_raw_data!C5270</f>
        <v>540625.79</v>
      </c>
      <c r="C5270" t="str">
        <f>IF(B5270&gt;=Walmart_Sales_raw_data!$C$6437,"High","low")</f>
        <v>low</v>
      </c>
    </row>
    <row r="5271" spans="1:3">
      <c r="A5271" s="3">
        <v>37</v>
      </c>
      <c r="B5271" s="2">
        <f>Walmart_Sales_raw_data!C5271</f>
        <v>531811.85</v>
      </c>
      <c r="C5271" t="str">
        <f>IF(B5271&gt;=Walmart_Sales_raw_data!$C$6437,"High","low")</f>
        <v>low</v>
      </c>
    </row>
    <row r="5272" spans="1:3">
      <c r="A5272" s="1">
        <v>37</v>
      </c>
      <c r="B5272" s="2">
        <f>Walmart_Sales_raw_data!C5272</f>
        <v>528940.78</v>
      </c>
      <c r="C5272" t="str">
        <f>IF(B5272&gt;=Walmart_Sales_raw_data!$C$6437,"High","low")</f>
        <v>low</v>
      </c>
    </row>
    <row r="5273" spans="1:3">
      <c r="A5273" s="3">
        <v>37</v>
      </c>
      <c r="B5273" s="2">
        <f>Walmart_Sales_raw_data!C5273</f>
        <v>508573.16</v>
      </c>
      <c r="C5273" t="str">
        <f>IF(B5273&gt;=Walmart_Sales_raw_data!$C$6437,"High","low")</f>
        <v>low</v>
      </c>
    </row>
    <row r="5274" spans="1:3">
      <c r="A5274" s="1">
        <v>37</v>
      </c>
      <c r="B5274" s="2">
        <f>Walmart_Sales_raw_data!C5274</f>
        <v>484032.75</v>
      </c>
      <c r="C5274" t="str">
        <f>IF(B5274&gt;=Walmart_Sales_raw_data!$C$6437,"High","low")</f>
        <v>low</v>
      </c>
    </row>
    <row r="5275" spans="1:3">
      <c r="A5275" s="3">
        <v>37</v>
      </c>
      <c r="B5275" s="2">
        <f>Walmart_Sales_raw_data!C5275</f>
        <v>508309.81</v>
      </c>
      <c r="C5275" t="str">
        <f>IF(B5275&gt;=Walmart_Sales_raw_data!$C$6437,"High","low")</f>
        <v>low</v>
      </c>
    </row>
    <row r="5276" spans="1:3">
      <c r="A5276" s="1">
        <v>37</v>
      </c>
      <c r="B5276" s="2">
        <f>Walmart_Sales_raw_data!C5276</f>
        <v>519498.32</v>
      </c>
      <c r="C5276" t="str">
        <f>IF(B5276&gt;=Walmart_Sales_raw_data!$C$6437,"High","low")</f>
        <v>low</v>
      </c>
    </row>
    <row r="5277" spans="1:3">
      <c r="A5277" s="3">
        <v>37</v>
      </c>
      <c r="B5277" s="2">
        <f>Walmart_Sales_raw_data!C5277</f>
        <v>506005.47</v>
      </c>
      <c r="C5277" t="str">
        <f>IF(B5277&gt;=Walmart_Sales_raw_data!$C$6437,"High","low")</f>
        <v>low</v>
      </c>
    </row>
    <row r="5278" spans="1:3">
      <c r="A5278" s="1">
        <v>37</v>
      </c>
      <c r="B5278" s="2">
        <f>Walmart_Sales_raw_data!C5278</f>
        <v>503744.56</v>
      </c>
      <c r="C5278" t="str">
        <f>IF(B5278&gt;=Walmart_Sales_raw_data!$C$6437,"High","low")</f>
        <v>low</v>
      </c>
    </row>
    <row r="5279" spans="1:3">
      <c r="A5279" s="3">
        <v>37</v>
      </c>
      <c r="B5279" s="2">
        <f>Walmart_Sales_raw_data!C5279</f>
        <v>514489.17</v>
      </c>
      <c r="C5279" t="str">
        <f>IF(B5279&gt;=Walmart_Sales_raw_data!$C$6437,"High","low")</f>
        <v>low</v>
      </c>
    </row>
    <row r="5280" spans="1:3">
      <c r="A5280" s="1">
        <v>37</v>
      </c>
      <c r="B5280" s="2">
        <f>Walmart_Sales_raw_data!C5280</f>
        <v>521959.28</v>
      </c>
      <c r="C5280" t="str">
        <f>IF(B5280&gt;=Walmart_Sales_raw_data!$C$6437,"High","low")</f>
        <v>low</v>
      </c>
    </row>
    <row r="5281" spans="1:3">
      <c r="A5281" s="3">
        <v>37</v>
      </c>
      <c r="B5281" s="2">
        <f>Walmart_Sales_raw_data!C5281</f>
        <v>500964.59</v>
      </c>
      <c r="C5281" t="str">
        <f>IF(B5281&gt;=Walmart_Sales_raw_data!$C$6437,"High","low")</f>
        <v>low</v>
      </c>
    </row>
    <row r="5282" spans="1:3">
      <c r="A5282" s="1">
        <v>37</v>
      </c>
      <c r="B5282" s="2">
        <f>Walmart_Sales_raw_data!C5282</f>
        <v>509633.71</v>
      </c>
      <c r="C5282" t="str">
        <f>IF(B5282&gt;=Walmart_Sales_raw_data!$C$6437,"High","low")</f>
        <v>low</v>
      </c>
    </row>
    <row r="5283" spans="1:3">
      <c r="A5283" s="3">
        <v>37</v>
      </c>
      <c r="B5283" s="2">
        <f>Walmart_Sales_raw_data!C5283</f>
        <v>522665.04</v>
      </c>
      <c r="C5283" t="str">
        <f>IF(B5283&gt;=Walmart_Sales_raw_data!$C$6437,"High","low")</f>
        <v>low</v>
      </c>
    </row>
    <row r="5284" spans="1:3">
      <c r="A5284" s="1">
        <v>37</v>
      </c>
      <c r="B5284" s="2">
        <f>Walmart_Sales_raw_data!C5284</f>
        <v>538344.1</v>
      </c>
      <c r="C5284" t="str">
        <f>IF(B5284&gt;=Walmart_Sales_raw_data!$C$6437,"High","low")</f>
        <v>low</v>
      </c>
    </row>
    <row r="5285" spans="1:3">
      <c r="A5285" s="3">
        <v>37</v>
      </c>
      <c r="B5285" s="2">
        <f>Walmart_Sales_raw_data!C5285</f>
        <v>526838.14</v>
      </c>
      <c r="C5285" t="str">
        <f>IF(B5285&gt;=Walmart_Sales_raw_data!$C$6437,"High","low")</f>
        <v>low</v>
      </c>
    </row>
    <row r="5286" spans="1:3">
      <c r="A5286" s="1">
        <v>37</v>
      </c>
      <c r="B5286" s="2">
        <f>Walmart_Sales_raw_data!C5286</f>
        <v>514651.74</v>
      </c>
      <c r="C5286" t="str">
        <f>IF(B5286&gt;=Walmart_Sales_raw_data!$C$6437,"High","low")</f>
        <v>low</v>
      </c>
    </row>
    <row r="5287" spans="1:3">
      <c r="A5287" s="3">
        <v>37</v>
      </c>
      <c r="B5287" s="2">
        <f>Walmart_Sales_raw_data!C5287</f>
        <v>521320.98</v>
      </c>
      <c r="C5287" t="str">
        <f>IF(B5287&gt;=Walmart_Sales_raw_data!$C$6437,"High","low")</f>
        <v>low</v>
      </c>
    </row>
    <row r="5288" spans="1:3">
      <c r="A5288" s="1">
        <v>37</v>
      </c>
      <c r="B5288" s="2">
        <f>Walmart_Sales_raw_data!C5288</f>
        <v>527953.14</v>
      </c>
      <c r="C5288" t="str">
        <f>IF(B5288&gt;=Walmart_Sales_raw_data!$C$6437,"High","low")</f>
        <v>low</v>
      </c>
    </row>
    <row r="5289" spans="1:3">
      <c r="A5289" s="3">
        <v>37</v>
      </c>
      <c r="B5289" s="2">
        <f>Walmart_Sales_raw_data!C5289</f>
        <v>546122.37</v>
      </c>
      <c r="C5289" t="str">
        <f>IF(B5289&gt;=Walmart_Sales_raw_data!$C$6437,"High","low")</f>
        <v>low</v>
      </c>
    </row>
    <row r="5290" spans="1:3">
      <c r="A5290" s="1">
        <v>37</v>
      </c>
      <c r="B5290" s="2">
        <f>Walmart_Sales_raw_data!C5290</f>
        <v>521810.75</v>
      </c>
      <c r="C5290" t="str">
        <f>IF(B5290&gt;=Walmart_Sales_raw_data!$C$6437,"High","low")</f>
        <v>low</v>
      </c>
    </row>
    <row r="5291" spans="1:3">
      <c r="A5291" s="3">
        <v>37</v>
      </c>
      <c r="B5291" s="2">
        <f>Walmart_Sales_raw_data!C5291</f>
        <v>551969.1</v>
      </c>
      <c r="C5291" t="str">
        <f>IF(B5291&gt;=Walmart_Sales_raw_data!$C$6437,"High","low")</f>
        <v>low</v>
      </c>
    </row>
    <row r="5292" spans="1:3">
      <c r="A5292" s="1">
        <v>37</v>
      </c>
      <c r="B5292" s="2">
        <f>Walmart_Sales_raw_data!C5292</f>
        <v>534738.43</v>
      </c>
      <c r="C5292" t="str">
        <f>IF(B5292&gt;=Walmart_Sales_raw_data!$C$6437,"High","low")</f>
        <v>low</v>
      </c>
    </row>
    <row r="5293" spans="1:3">
      <c r="A5293" s="3">
        <v>38</v>
      </c>
      <c r="B5293" s="2">
        <f>Walmart_Sales_raw_data!C5293</f>
        <v>358496.14</v>
      </c>
      <c r="C5293" t="str">
        <f>IF(B5293&gt;=Walmart_Sales_raw_data!$C$6437,"High","low")</f>
        <v>low</v>
      </c>
    </row>
    <row r="5294" spans="1:3">
      <c r="A5294" s="1">
        <v>38</v>
      </c>
      <c r="B5294" s="2">
        <f>Walmart_Sales_raw_data!C5294</f>
        <v>342214.9</v>
      </c>
      <c r="C5294" t="str">
        <f>IF(B5294&gt;=Walmart_Sales_raw_data!$C$6437,"High","low")</f>
        <v>low</v>
      </c>
    </row>
    <row r="5295" spans="1:3">
      <c r="A5295" s="3">
        <v>38</v>
      </c>
      <c r="B5295" s="2">
        <f>Walmart_Sales_raw_data!C5295</f>
        <v>327237.92</v>
      </c>
      <c r="C5295" t="str">
        <f>IF(B5295&gt;=Walmart_Sales_raw_data!$C$6437,"High","low")</f>
        <v>low</v>
      </c>
    </row>
    <row r="5296" spans="1:3">
      <c r="A5296" s="1">
        <v>38</v>
      </c>
      <c r="B5296" s="2">
        <f>Walmart_Sales_raw_data!C5296</f>
        <v>334222.73</v>
      </c>
      <c r="C5296" t="str">
        <f>IF(B5296&gt;=Walmart_Sales_raw_data!$C$6437,"High","low")</f>
        <v>low</v>
      </c>
    </row>
    <row r="5297" spans="1:3">
      <c r="A5297" s="3">
        <v>38</v>
      </c>
      <c r="B5297" s="2">
        <f>Walmart_Sales_raw_data!C5297</f>
        <v>372239.89</v>
      </c>
      <c r="C5297" t="str">
        <f>IF(B5297&gt;=Walmart_Sales_raw_data!$C$6437,"High","low")</f>
        <v>low</v>
      </c>
    </row>
    <row r="5298" spans="1:3">
      <c r="A5298" s="1">
        <v>38</v>
      </c>
      <c r="B5298" s="2">
        <f>Walmart_Sales_raw_data!C5298</f>
        <v>342023.92</v>
      </c>
      <c r="C5298" t="str">
        <f>IF(B5298&gt;=Walmart_Sales_raw_data!$C$6437,"High","low")</f>
        <v>low</v>
      </c>
    </row>
    <row r="5299" spans="1:3">
      <c r="A5299" s="3">
        <v>38</v>
      </c>
      <c r="B5299" s="2">
        <f>Walmart_Sales_raw_data!C5299</f>
        <v>333025.47</v>
      </c>
      <c r="C5299" t="str">
        <f>IF(B5299&gt;=Walmart_Sales_raw_data!$C$6437,"High","low")</f>
        <v>low</v>
      </c>
    </row>
    <row r="5300" spans="1:3">
      <c r="A5300" s="1">
        <v>38</v>
      </c>
      <c r="B5300" s="2">
        <f>Walmart_Sales_raw_data!C5300</f>
        <v>335858.11</v>
      </c>
      <c r="C5300" t="str">
        <f>IF(B5300&gt;=Walmart_Sales_raw_data!$C$6437,"High","low")</f>
        <v>low</v>
      </c>
    </row>
    <row r="5301" spans="1:3">
      <c r="A5301" s="3">
        <v>38</v>
      </c>
      <c r="B5301" s="2">
        <f>Walmart_Sales_raw_data!C5301</f>
        <v>368929.55</v>
      </c>
      <c r="C5301" t="str">
        <f>IF(B5301&gt;=Walmart_Sales_raw_data!$C$6437,"High","low")</f>
        <v>low</v>
      </c>
    </row>
    <row r="5302" spans="1:3">
      <c r="A5302" s="1">
        <v>38</v>
      </c>
      <c r="B5302" s="2">
        <f>Walmart_Sales_raw_data!C5302</f>
        <v>341630.46</v>
      </c>
      <c r="C5302" t="str">
        <f>IF(B5302&gt;=Walmart_Sales_raw_data!$C$6437,"High","low")</f>
        <v>low</v>
      </c>
    </row>
    <row r="5303" spans="1:3">
      <c r="A5303" s="3">
        <v>38</v>
      </c>
      <c r="B5303" s="2">
        <f>Walmart_Sales_raw_data!C5303</f>
        <v>337723.49</v>
      </c>
      <c r="C5303" t="str">
        <f>IF(B5303&gt;=Walmart_Sales_raw_data!$C$6437,"High","low")</f>
        <v>low</v>
      </c>
    </row>
    <row r="5304" spans="1:3">
      <c r="A5304" s="1">
        <v>38</v>
      </c>
      <c r="B5304" s="2">
        <f>Walmart_Sales_raw_data!C5304</f>
        <v>335121.82</v>
      </c>
      <c r="C5304" t="str">
        <f>IF(B5304&gt;=Walmart_Sales_raw_data!$C$6437,"High","low")</f>
        <v>low</v>
      </c>
    </row>
    <row r="5305" spans="1:3">
      <c r="A5305" s="3">
        <v>38</v>
      </c>
      <c r="B5305" s="2">
        <f>Walmart_Sales_raw_data!C5305</f>
        <v>337979.65</v>
      </c>
      <c r="C5305" t="str">
        <f>IF(B5305&gt;=Walmart_Sales_raw_data!$C$6437,"High","low")</f>
        <v>low</v>
      </c>
    </row>
    <row r="5306" spans="1:3">
      <c r="A5306" s="1">
        <v>38</v>
      </c>
      <c r="B5306" s="2">
        <f>Walmart_Sales_raw_data!C5306</f>
        <v>383657.44</v>
      </c>
      <c r="C5306" t="str">
        <f>IF(B5306&gt;=Walmart_Sales_raw_data!$C$6437,"High","low")</f>
        <v>low</v>
      </c>
    </row>
    <row r="5307" spans="1:3">
      <c r="A5307" s="3">
        <v>38</v>
      </c>
      <c r="B5307" s="2">
        <f>Walmart_Sales_raw_data!C5307</f>
        <v>346174.3</v>
      </c>
      <c r="C5307" t="str">
        <f>IF(B5307&gt;=Walmart_Sales_raw_data!$C$6437,"High","low")</f>
        <v>low</v>
      </c>
    </row>
    <row r="5308" spans="1:3">
      <c r="A5308" s="1">
        <v>38</v>
      </c>
      <c r="B5308" s="2">
        <f>Walmart_Sales_raw_data!C5308</f>
        <v>340497.08</v>
      </c>
      <c r="C5308" t="str">
        <f>IF(B5308&gt;=Walmart_Sales_raw_data!$C$6437,"High","low")</f>
        <v>low</v>
      </c>
    </row>
    <row r="5309" spans="1:3">
      <c r="A5309" s="3">
        <v>38</v>
      </c>
      <c r="B5309" s="2">
        <f>Walmart_Sales_raw_data!C5309</f>
        <v>326469.43</v>
      </c>
      <c r="C5309" t="str">
        <f>IF(B5309&gt;=Walmart_Sales_raw_data!$C$6437,"High","low")</f>
        <v>low</v>
      </c>
    </row>
    <row r="5310" spans="1:3">
      <c r="A5310" s="1">
        <v>38</v>
      </c>
      <c r="B5310" s="2">
        <f>Walmart_Sales_raw_data!C5310</f>
        <v>376184.88</v>
      </c>
      <c r="C5310" t="str">
        <f>IF(B5310&gt;=Walmart_Sales_raw_data!$C$6437,"High","low")</f>
        <v>low</v>
      </c>
    </row>
    <row r="5311" spans="1:3">
      <c r="A5311" s="3">
        <v>38</v>
      </c>
      <c r="B5311" s="2">
        <f>Walmart_Sales_raw_data!C5311</f>
        <v>354828.65</v>
      </c>
      <c r="C5311" t="str">
        <f>IF(B5311&gt;=Walmart_Sales_raw_data!$C$6437,"High","low")</f>
        <v>low</v>
      </c>
    </row>
    <row r="5312" spans="1:3">
      <c r="A5312" s="1">
        <v>38</v>
      </c>
      <c r="B5312" s="2">
        <f>Walmart_Sales_raw_data!C5312</f>
        <v>335691.85</v>
      </c>
      <c r="C5312" t="str">
        <f>IF(B5312&gt;=Walmart_Sales_raw_data!$C$6437,"High","low")</f>
        <v>low</v>
      </c>
    </row>
    <row r="5313" spans="1:3">
      <c r="A5313" s="3">
        <v>38</v>
      </c>
      <c r="B5313" s="2">
        <f>Walmart_Sales_raw_data!C5313</f>
        <v>322046.76</v>
      </c>
      <c r="C5313" t="str">
        <f>IF(B5313&gt;=Walmart_Sales_raw_data!$C$6437,"High","low")</f>
        <v>low</v>
      </c>
    </row>
    <row r="5314" spans="1:3">
      <c r="A5314" s="1">
        <v>38</v>
      </c>
      <c r="B5314" s="2">
        <f>Walmart_Sales_raw_data!C5314</f>
        <v>361181.48</v>
      </c>
      <c r="C5314" t="str">
        <f>IF(B5314&gt;=Walmart_Sales_raw_data!$C$6437,"High","low")</f>
        <v>low</v>
      </c>
    </row>
    <row r="5315" spans="1:3">
      <c r="A5315" s="3">
        <v>38</v>
      </c>
      <c r="B5315" s="2">
        <f>Walmart_Sales_raw_data!C5315</f>
        <v>343850.34</v>
      </c>
      <c r="C5315" t="str">
        <f>IF(B5315&gt;=Walmart_Sales_raw_data!$C$6437,"High","low")</f>
        <v>low</v>
      </c>
    </row>
    <row r="5316" spans="1:3">
      <c r="A5316" s="1">
        <v>38</v>
      </c>
      <c r="B5316" s="2">
        <f>Walmart_Sales_raw_data!C5316</f>
        <v>338277.71</v>
      </c>
      <c r="C5316" t="str">
        <f>IF(B5316&gt;=Walmart_Sales_raw_data!$C$6437,"High","low")</f>
        <v>low</v>
      </c>
    </row>
    <row r="5317" spans="1:3">
      <c r="A5317" s="3">
        <v>38</v>
      </c>
      <c r="B5317" s="2">
        <f>Walmart_Sales_raw_data!C5317</f>
        <v>328336.85</v>
      </c>
      <c r="C5317" t="str">
        <f>IF(B5317&gt;=Walmart_Sales_raw_data!$C$6437,"High","low")</f>
        <v>low</v>
      </c>
    </row>
    <row r="5318" spans="1:3">
      <c r="A5318" s="1">
        <v>38</v>
      </c>
      <c r="B5318" s="2">
        <f>Walmart_Sales_raw_data!C5318</f>
        <v>336378.38</v>
      </c>
      <c r="C5318" t="str">
        <f>IF(B5318&gt;=Walmart_Sales_raw_data!$C$6437,"High","low")</f>
        <v>low</v>
      </c>
    </row>
    <row r="5319" spans="1:3">
      <c r="A5319" s="3">
        <v>38</v>
      </c>
      <c r="B5319" s="2">
        <f>Walmart_Sales_raw_data!C5319</f>
        <v>378574.44</v>
      </c>
      <c r="C5319" t="str">
        <f>IF(B5319&gt;=Walmart_Sales_raw_data!$C$6437,"High","low")</f>
        <v>low</v>
      </c>
    </row>
    <row r="5320" spans="1:3">
      <c r="A5320" s="1">
        <v>38</v>
      </c>
      <c r="B5320" s="2">
        <f>Walmart_Sales_raw_data!C5320</f>
        <v>341400.72</v>
      </c>
      <c r="C5320" t="str">
        <f>IF(B5320&gt;=Walmart_Sales_raw_data!$C$6437,"High","low")</f>
        <v>low</v>
      </c>
    </row>
    <row r="5321" spans="1:3">
      <c r="A5321" s="3">
        <v>38</v>
      </c>
      <c r="B5321" s="2">
        <f>Walmart_Sales_raw_data!C5321</f>
        <v>329139.73</v>
      </c>
      <c r="C5321" t="str">
        <f>IF(B5321&gt;=Walmart_Sales_raw_data!$C$6437,"High","low")</f>
        <v>low</v>
      </c>
    </row>
    <row r="5322" spans="1:3">
      <c r="A5322" s="1">
        <v>38</v>
      </c>
      <c r="B5322" s="2">
        <f>Walmart_Sales_raw_data!C5322</f>
        <v>322868.56</v>
      </c>
      <c r="C5322" t="str">
        <f>IF(B5322&gt;=Walmart_Sales_raw_data!$C$6437,"High","low")</f>
        <v>low</v>
      </c>
    </row>
    <row r="5323" spans="1:3">
      <c r="A5323" s="3">
        <v>38</v>
      </c>
      <c r="B5323" s="2">
        <f>Walmart_Sales_raw_data!C5323</f>
        <v>377096.55</v>
      </c>
      <c r="C5323" t="str">
        <f>IF(B5323&gt;=Walmart_Sales_raw_data!$C$6437,"High","low")</f>
        <v>low</v>
      </c>
    </row>
    <row r="5324" spans="1:3">
      <c r="A5324" s="1">
        <v>38</v>
      </c>
      <c r="B5324" s="2">
        <f>Walmart_Sales_raw_data!C5324</f>
        <v>336227.69</v>
      </c>
      <c r="C5324" t="str">
        <f>IF(B5324&gt;=Walmart_Sales_raw_data!$C$6437,"High","low")</f>
        <v>low</v>
      </c>
    </row>
    <row r="5325" spans="1:3">
      <c r="A5325" s="3">
        <v>38</v>
      </c>
      <c r="B5325" s="2">
        <f>Walmart_Sales_raw_data!C5325</f>
        <v>336253.19</v>
      </c>
      <c r="C5325" t="str">
        <f>IF(B5325&gt;=Walmart_Sales_raw_data!$C$6437,"High","low")</f>
        <v>low</v>
      </c>
    </row>
    <row r="5326" spans="1:3">
      <c r="A5326" s="1">
        <v>38</v>
      </c>
      <c r="B5326" s="2">
        <f>Walmart_Sales_raw_data!C5326</f>
        <v>330604.9</v>
      </c>
      <c r="C5326" t="str">
        <f>IF(B5326&gt;=Walmart_Sales_raw_data!$C$6437,"High","low")</f>
        <v>low</v>
      </c>
    </row>
    <row r="5327" spans="1:3">
      <c r="A5327" s="3">
        <v>38</v>
      </c>
      <c r="B5327" s="2">
        <f>Walmart_Sales_raw_data!C5327</f>
        <v>360256.58</v>
      </c>
      <c r="C5327" t="str">
        <f>IF(B5327&gt;=Walmart_Sales_raw_data!$C$6437,"High","low")</f>
        <v>low</v>
      </c>
    </row>
    <row r="5328" spans="1:3">
      <c r="A5328" s="1">
        <v>38</v>
      </c>
      <c r="B5328" s="2">
        <f>Walmart_Sales_raw_data!C5328</f>
        <v>351271.36</v>
      </c>
      <c r="C5328" t="str">
        <f>IF(B5328&gt;=Walmart_Sales_raw_data!$C$6437,"High","low")</f>
        <v>low</v>
      </c>
    </row>
    <row r="5329" spans="1:3">
      <c r="A5329" s="3">
        <v>38</v>
      </c>
      <c r="B5329" s="2">
        <f>Walmart_Sales_raw_data!C5329</f>
        <v>337743.26</v>
      </c>
      <c r="C5329" t="str">
        <f>IF(B5329&gt;=Walmart_Sales_raw_data!$C$6437,"High","low")</f>
        <v>low</v>
      </c>
    </row>
    <row r="5330" spans="1:3">
      <c r="A5330" s="1">
        <v>38</v>
      </c>
      <c r="B5330" s="2">
        <f>Walmart_Sales_raw_data!C5330</f>
        <v>339042.18</v>
      </c>
      <c r="C5330" t="str">
        <f>IF(B5330&gt;=Walmart_Sales_raw_data!$C$6437,"High","low")</f>
        <v>low</v>
      </c>
    </row>
    <row r="5331" spans="1:3">
      <c r="A5331" s="3">
        <v>38</v>
      </c>
      <c r="B5331" s="2">
        <f>Walmart_Sales_raw_data!C5331</f>
        <v>341219.63</v>
      </c>
      <c r="C5331" t="str">
        <f>IF(B5331&gt;=Walmart_Sales_raw_data!$C$6437,"High","low")</f>
        <v>low</v>
      </c>
    </row>
    <row r="5332" spans="1:3">
      <c r="A5332" s="1">
        <v>38</v>
      </c>
      <c r="B5332" s="2">
        <f>Walmart_Sales_raw_data!C5332</f>
        <v>380870.09</v>
      </c>
      <c r="C5332" t="str">
        <f>IF(B5332&gt;=Walmart_Sales_raw_data!$C$6437,"High","low")</f>
        <v>low</v>
      </c>
    </row>
    <row r="5333" spans="1:3">
      <c r="A5333" s="3">
        <v>38</v>
      </c>
      <c r="B5333" s="2">
        <f>Walmart_Sales_raw_data!C5333</f>
        <v>340147.2</v>
      </c>
      <c r="C5333" t="str">
        <f>IF(B5333&gt;=Walmart_Sales_raw_data!$C$6437,"High","low")</f>
        <v>low</v>
      </c>
    </row>
    <row r="5334" spans="1:3">
      <c r="A5334" s="1">
        <v>38</v>
      </c>
      <c r="B5334" s="2">
        <f>Walmart_Sales_raw_data!C5334</f>
        <v>348593.99</v>
      </c>
      <c r="C5334" t="str">
        <f>IF(B5334&gt;=Walmart_Sales_raw_data!$C$6437,"High","low")</f>
        <v>low</v>
      </c>
    </row>
    <row r="5335" spans="1:3">
      <c r="A5335" s="3">
        <v>38</v>
      </c>
      <c r="B5335" s="2">
        <f>Walmart_Sales_raw_data!C5335</f>
        <v>360857.98</v>
      </c>
      <c r="C5335" t="str">
        <f>IF(B5335&gt;=Walmart_Sales_raw_data!$C$6437,"High","low")</f>
        <v>low</v>
      </c>
    </row>
    <row r="5336" spans="1:3">
      <c r="A5336" s="1">
        <v>38</v>
      </c>
      <c r="B5336" s="2">
        <f>Walmart_Sales_raw_data!C5336</f>
        <v>351925.36</v>
      </c>
      <c r="C5336" t="str">
        <f>IF(B5336&gt;=Walmart_Sales_raw_data!$C$6437,"High","low")</f>
        <v>low</v>
      </c>
    </row>
    <row r="5337" spans="1:3">
      <c r="A5337" s="3">
        <v>38</v>
      </c>
      <c r="B5337" s="2">
        <f>Walmart_Sales_raw_data!C5337</f>
        <v>355965.23</v>
      </c>
      <c r="C5337" t="str">
        <f>IF(B5337&gt;=Walmart_Sales_raw_data!$C$6437,"High","low")</f>
        <v>low</v>
      </c>
    </row>
    <row r="5338" spans="1:3">
      <c r="A5338" s="1">
        <v>38</v>
      </c>
      <c r="B5338" s="2">
        <f>Walmart_Sales_raw_data!C5338</f>
        <v>334441.15</v>
      </c>
      <c r="C5338" t="str">
        <f>IF(B5338&gt;=Walmart_Sales_raw_data!$C$6437,"High","low")</f>
        <v>low</v>
      </c>
    </row>
    <row r="5339" spans="1:3">
      <c r="A5339" s="3">
        <v>38</v>
      </c>
      <c r="B5339" s="2">
        <f>Walmart_Sales_raw_data!C5339</f>
        <v>369106.72</v>
      </c>
      <c r="C5339" t="str">
        <f>IF(B5339&gt;=Walmart_Sales_raw_data!$C$6437,"High","low")</f>
        <v>low</v>
      </c>
    </row>
    <row r="5340" spans="1:3">
      <c r="A5340" s="1">
        <v>38</v>
      </c>
      <c r="B5340" s="2">
        <f>Walmart_Sales_raw_data!C5340</f>
        <v>303908.81</v>
      </c>
      <c r="C5340" t="str">
        <f>IF(B5340&gt;=Walmart_Sales_raw_data!$C$6437,"High","low")</f>
        <v>low</v>
      </c>
    </row>
    <row r="5341" spans="1:3">
      <c r="A5341" s="3">
        <v>38</v>
      </c>
      <c r="B5341" s="2">
        <f>Walmart_Sales_raw_data!C5341</f>
        <v>386344.54</v>
      </c>
      <c r="C5341" t="str">
        <f>IF(B5341&gt;=Walmart_Sales_raw_data!$C$6437,"High","low")</f>
        <v>low</v>
      </c>
    </row>
    <row r="5342" spans="1:3">
      <c r="A5342" s="1">
        <v>38</v>
      </c>
      <c r="B5342" s="2">
        <f>Walmart_Sales_raw_data!C5342</f>
        <v>356138.79</v>
      </c>
      <c r="C5342" t="str">
        <f>IF(B5342&gt;=Walmart_Sales_raw_data!$C$6437,"High","low")</f>
        <v>low</v>
      </c>
    </row>
    <row r="5343" spans="1:3">
      <c r="A5343" s="3">
        <v>38</v>
      </c>
      <c r="B5343" s="2">
        <f>Walmart_Sales_raw_data!C5343</f>
        <v>341098.08</v>
      </c>
      <c r="C5343" t="str">
        <f>IF(B5343&gt;=Walmart_Sales_raw_data!$C$6437,"High","low")</f>
        <v>low</v>
      </c>
    </row>
    <row r="5344" spans="1:3">
      <c r="A5344" s="1">
        <v>38</v>
      </c>
      <c r="B5344" s="2">
        <f>Walmart_Sales_raw_data!C5344</f>
        <v>357557.16</v>
      </c>
      <c r="C5344" t="str">
        <f>IF(B5344&gt;=Walmart_Sales_raw_data!$C$6437,"High","low")</f>
        <v>low</v>
      </c>
    </row>
    <row r="5345" spans="1:3">
      <c r="A5345" s="3">
        <v>38</v>
      </c>
      <c r="B5345" s="2">
        <f>Walmart_Sales_raw_data!C5345</f>
        <v>402341.76</v>
      </c>
      <c r="C5345" t="str">
        <f>IF(B5345&gt;=Walmart_Sales_raw_data!$C$6437,"High","low")</f>
        <v>low</v>
      </c>
    </row>
    <row r="5346" spans="1:3">
      <c r="A5346" s="1">
        <v>38</v>
      </c>
      <c r="B5346" s="2">
        <f>Walmart_Sales_raw_data!C5346</f>
        <v>377672.46</v>
      </c>
      <c r="C5346" t="str">
        <f>IF(B5346&gt;=Walmart_Sales_raw_data!$C$6437,"High","low")</f>
        <v>low</v>
      </c>
    </row>
    <row r="5347" spans="1:3">
      <c r="A5347" s="3">
        <v>38</v>
      </c>
      <c r="B5347" s="2">
        <f>Walmart_Sales_raw_data!C5347</f>
        <v>364606.7</v>
      </c>
      <c r="C5347" t="str">
        <f>IF(B5347&gt;=Walmart_Sales_raw_data!$C$6437,"High","low")</f>
        <v>low</v>
      </c>
    </row>
    <row r="5348" spans="1:3">
      <c r="A5348" s="1">
        <v>38</v>
      </c>
      <c r="B5348" s="2">
        <f>Walmart_Sales_raw_data!C5348</f>
        <v>354232.34</v>
      </c>
      <c r="C5348" t="str">
        <f>IF(B5348&gt;=Walmart_Sales_raw_data!$C$6437,"High","low")</f>
        <v>low</v>
      </c>
    </row>
    <row r="5349" spans="1:3">
      <c r="A5349" s="3">
        <v>38</v>
      </c>
      <c r="B5349" s="2">
        <f>Walmart_Sales_raw_data!C5349</f>
        <v>405429.43</v>
      </c>
      <c r="C5349" t="str">
        <f>IF(B5349&gt;=Walmart_Sales_raw_data!$C$6437,"High","low")</f>
        <v>low</v>
      </c>
    </row>
    <row r="5350" spans="1:3">
      <c r="A5350" s="1">
        <v>38</v>
      </c>
      <c r="B5350" s="2">
        <f>Walmart_Sales_raw_data!C5350</f>
        <v>357897.18</v>
      </c>
      <c r="C5350" t="str">
        <f>IF(B5350&gt;=Walmart_Sales_raw_data!$C$6437,"High","low")</f>
        <v>low</v>
      </c>
    </row>
    <row r="5351" spans="1:3">
      <c r="A5351" s="3">
        <v>38</v>
      </c>
      <c r="B5351" s="2">
        <f>Walmart_Sales_raw_data!C5351</f>
        <v>349459.95</v>
      </c>
      <c r="C5351" t="str">
        <f>IF(B5351&gt;=Walmart_Sales_raw_data!$C$6437,"High","low")</f>
        <v>low</v>
      </c>
    </row>
    <row r="5352" spans="1:3">
      <c r="A5352" s="1">
        <v>38</v>
      </c>
      <c r="B5352" s="2">
        <f>Walmart_Sales_raw_data!C5352</f>
        <v>351541.62</v>
      </c>
      <c r="C5352" t="str">
        <f>IF(B5352&gt;=Walmart_Sales_raw_data!$C$6437,"High","low")</f>
        <v>low</v>
      </c>
    </row>
    <row r="5353" spans="1:3">
      <c r="A5353" s="3">
        <v>38</v>
      </c>
      <c r="B5353" s="2">
        <f>Walmart_Sales_raw_data!C5353</f>
        <v>382098.13</v>
      </c>
      <c r="C5353" t="str">
        <f>IF(B5353&gt;=Walmart_Sales_raw_data!$C$6437,"High","low")</f>
        <v>low</v>
      </c>
    </row>
    <row r="5354" spans="1:3">
      <c r="A5354" s="1">
        <v>38</v>
      </c>
      <c r="B5354" s="2">
        <f>Walmart_Sales_raw_data!C5354</f>
        <v>392152.3</v>
      </c>
      <c r="C5354" t="str">
        <f>IF(B5354&gt;=Walmart_Sales_raw_data!$C$6437,"High","low")</f>
        <v>low</v>
      </c>
    </row>
    <row r="5355" spans="1:3">
      <c r="A5355" s="3">
        <v>38</v>
      </c>
      <c r="B5355" s="2">
        <f>Walmart_Sales_raw_data!C5355</f>
        <v>362758.94</v>
      </c>
      <c r="C5355" t="str">
        <f>IF(B5355&gt;=Walmart_Sales_raw_data!$C$6437,"High","low")</f>
        <v>low</v>
      </c>
    </row>
    <row r="5356" spans="1:3">
      <c r="A5356" s="1">
        <v>38</v>
      </c>
      <c r="B5356" s="2">
        <f>Walmart_Sales_raw_data!C5356</f>
        <v>362952.34</v>
      </c>
      <c r="C5356" t="str">
        <f>IF(B5356&gt;=Walmart_Sales_raw_data!$C$6437,"High","low")</f>
        <v>low</v>
      </c>
    </row>
    <row r="5357" spans="1:3">
      <c r="A5357" s="3">
        <v>38</v>
      </c>
      <c r="B5357" s="2">
        <f>Walmart_Sales_raw_data!C5357</f>
        <v>344225.99</v>
      </c>
      <c r="C5357" t="str">
        <f>IF(B5357&gt;=Walmart_Sales_raw_data!$C$6437,"High","low")</f>
        <v>low</v>
      </c>
    </row>
    <row r="5358" spans="1:3">
      <c r="A5358" s="1">
        <v>38</v>
      </c>
      <c r="B5358" s="2">
        <f>Walmart_Sales_raw_data!C5358</f>
        <v>422186.65</v>
      </c>
      <c r="C5358" t="str">
        <f>IF(B5358&gt;=Walmart_Sales_raw_data!$C$6437,"High","low")</f>
        <v>low</v>
      </c>
    </row>
    <row r="5359" spans="1:3">
      <c r="A5359" s="3">
        <v>38</v>
      </c>
      <c r="B5359" s="2">
        <f>Walmart_Sales_raw_data!C5359</f>
        <v>366977.79</v>
      </c>
      <c r="C5359" t="str">
        <f>IF(B5359&gt;=Walmart_Sales_raw_data!$C$6437,"High","low")</f>
        <v>low</v>
      </c>
    </row>
    <row r="5360" spans="1:3">
      <c r="A5360" s="1">
        <v>38</v>
      </c>
      <c r="B5360" s="2">
        <f>Walmart_Sales_raw_data!C5360</f>
        <v>365730.76</v>
      </c>
      <c r="C5360" t="str">
        <f>IF(B5360&gt;=Walmart_Sales_raw_data!$C$6437,"High","low")</f>
        <v>low</v>
      </c>
    </row>
    <row r="5361" spans="1:3">
      <c r="A5361" s="3">
        <v>38</v>
      </c>
      <c r="B5361" s="2">
        <f>Walmart_Sales_raw_data!C5361</f>
        <v>356886.1</v>
      </c>
      <c r="C5361" t="str">
        <f>IF(B5361&gt;=Walmart_Sales_raw_data!$C$6437,"High","low")</f>
        <v>low</v>
      </c>
    </row>
    <row r="5362" spans="1:3">
      <c r="A5362" s="1">
        <v>38</v>
      </c>
      <c r="B5362" s="2">
        <f>Walmart_Sales_raw_data!C5362</f>
        <v>396826.06</v>
      </c>
      <c r="C5362" t="str">
        <f>IF(B5362&gt;=Walmart_Sales_raw_data!$C$6437,"High","low")</f>
        <v>low</v>
      </c>
    </row>
    <row r="5363" spans="1:3">
      <c r="A5363" s="3">
        <v>38</v>
      </c>
      <c r="B5363" s="2">
        <f>Walmart_Sales_raw_data!C5363</f>
        <v>381763.02</v>
      </c>
      <c r="C5363" t="str">
        <f>IF(B5363&gt;=Walmart_Sales_raw_data!$C$6437,"High","low")</f>
        <v>low</v>
      </c>
    </row>
    <row r="5364" spans="1:3">
      <c r="A5364" s="1">
        <v>38</v>
      </c>
      <c r="B5364" s="2">
        <f>Walmart_Sales_raw_data!C5364</f>
        <v>356797</v>
      </c>
      <c r="C5364" t="str">
        <f>IF(B5364&gt;=Walmart_Sales_raw_data!$C$6437,"High","low")</f>
        <v>low</v>
      </c>
    </row>
    <row r="5365" spans="1:3">
      <c r="A5365" s="3">
        <v>38</v>
      </c>
      <c r="B5365" s="2">
        <f>Walmart_Sales_raw_data!C5365</f>
        <v>354078.95</v>
      </c>
      <c r="C5365" t="str">
        <f>IF(B5365&gt;=Walmart_Sales_raw_data!$C$6437,"High","low")</f>
        <v>low</v>
      </c>
    </row>
    <row r="5366" spans="1:3">
      <c r="A5366" s="1">
        <v>38</v>
      </c>
      <c r="B5366" s="2">
        <f>Walmart_Sales_raw_data!C5366</f>
        <v>387334.04</v>
      </c>
      <c r="C5366" t="str">
        <f>IF(B5366&gt;=Walmart_Sales_raw_data!$C$6437,"High","low")</f>
        <v>low</v>
      </c>
    </row>
    <row r="5367" spans="1:3">
      <c r="A5367" s="3">
        <v>38</v>
      </c>
      <c r="B5367" s="2">
        <f>Walmart_Sales_raw_data!C5367</f>
        <v>399699.17</v>
      </c>
      <c r="C5367" t="str">
        <f>IF(B5367&gt;=Walmart_Sales_raw_data!$C$6437,"High","low")</f>
        <v>low</v>
      </c>
    </row>
    <row r="5368" spans="1:3">
      <c r="A5368" s="1">
        <v>38</v>
      </c>
      <c r="B5368" s="2">
        <f>Walmart_Sales_raw_data!C5368</f>
        <v>367181.71</v>
      </c>
      <c r="C5368" t="str">
        <f>IF(B5368&gt;=Walmart_Sales_raw_data!$C$6437,"High","low")</f>
        <v>low</v>
      </c>
    </row>
    <row r="5369" spans="1:3">
      <c r="A5369" s="3">
        <v>38</v>
      </c>
      <c r="B5369" s="2">
        <f>Walmart_Sales_raw_data!C5369</f>
        <v>365562.67</v>
      </c>
      <c r="C5369" t="str">
        <f>IF(B5369&gt;=Walmart_Sales_raw_data!$C$6437,"High","low")</f>
        <v>low</v>
      </c>
    </row>
    <row r="5370" spans="1:3">
      <c r="A5370" s="1">
        <v>38</v>
      </c>
      <c r="B5370" s="2">
        <f>Walmart_Sales_raw_data!C5370</f>
        <v>355131.33</v>
      </c>
      <c r="C5370" t="str">
        <f>IF(B5370&gt;=Walmart_Sales_raw_data!$C$6437,"High","low")</f>
        <v>low</v>
      </c>
    </row>
    <row r="5371" spans="1:3">
      <c r="A5371" s="3">
        <v>38</v>
      </c>
      <c r="B5371" s="2">
        <f>Walmart_Sales_raw_data!C5371</f>
        <v>437631.44</v>
      </c>
      <c r="C5371" t="str">
        <f>IF(B5371&gt;=Walmart_Sales_raw_data!$C$6437,"High","low")</f>
        <v>low</v>
      </c>
    </row>
    <row r="5372" spans="1:3">
      <c r="A5372" s="1">
        <v>38</v>
      </c>
      <c r="B5372" s="2">
        <f>Walmart_Sales_raw_data!C5372</f>
        <v>387844.05</v>
      </c>
      <c r="C5372" t="str">
        <f>IF(B5372&gt;=Walmart_Sales_raw_data!$C$6437,"High","low")</f>
        <v>low</v>
      </c>
    </row>
    <row r="5373" spans="1:3">
      <c r="A5373" s="3">
        <v>38</v>
      </c>
      <c r="B5373" s="2">
        <f>Walmart_Sales_raw_data!C5373</f>
        <v>362224.7</v>
      </c>
      <c r="C5373" t="str">
        <f>IF(B5373&gt;=Walmart_Sales_raw_data!$C$6437,"High","low")</f>
        <v>low</v>
      </c>
    </row>
    <row r="5374" spans="1:3">
      <c r="A5374" s="1">
        <v>38</v>
      </c>
      <c r="B5374" s="2">
        <f>Walmart_Sales_raw_data!C5374</f>
        <v>365672.55</v>
      </c>
      <c r="C5374" t="str">
        <f>IF(B5374&gt;=Walmart_Sales_raw_data!$C$6437,"High","low")</f>
        <v>low</v>
      </c>
    </row>
    <row r="5375" spans="1:3">
      <c r="A5375" s="3">
        <v>38</v>
      </c>
      <c r="B5375" s="2">
        <f>Walmart_Sales_raw_data!C5375</f>
        <v>416953.51</v>
      </c>
      <c r="C5375" t="str">
        <f>IF(B5375&gt;=Walmart_Sales_raw_data!$C$6437,"High","low")</f>
        <v>low</v>
      </c>
    </row>
    <row r="5376" spans="1:3">
      <c r="A5376" s="1">
        <v>38</v>
      </c>
      <c r="B5376" s="2">
        <f>Walmart_Sales_raw_data!C5376</f>
        <v>397771.68</v>
      </c>
      <c r="C5376" t="str">
        <f>IF(B5376&gt;=Walmart_Sales_raw_data!$C$6437,"High","low")</f>
        <v>low</v>
      </c>
    </row>
    <row r="5377" spans="1:3">
      <c r="A5377" s="3">
        <v>38</v>
      </c>
      <c r="B5377" s="2">
        <f>Walmart_Sales_raw_data!C5377</f>
        <v>408188.88</v>
      </c>
      <c r="C5377" t="str">
        <f>IF(B5377&gt;=Walmart_Sales_raw_data!$C$6437,"High","low")</f>
        <v>low</v>
      </c>
    </row>
    <row r="5378" spans="1:3">
      <c r="A5378" s="1">
        <v>38</v>
      </c>
      <c r="B5378" s="2">
        <f>Walmart_Sales_raw_data!C5378</f>
        <v>394665.28</v>
      </c>
      <c r="C5378" t="str">
        <f>IF(B5378&gt;=Walmart_Sales_raw_data!$C$6437,"High","low")</f>
        <v>low</v>
      </c>
    </row>
    <row r="5379" spans="1:3">
      <c r="A5379" s="3">
        <v>38</v>
      </c>
      <c r="B5379" s="2">
        <f>Walmart_Sales_raw_data!C5379</f>
        <v>366819.84</v>
      </c>
      <c r="C5379" t="str">
        <f>IF(B5379&gt;=Walmart_Sales_raw_data!$C$6437,"High","low")</f>
        <v>low</v>
      </c>
    </row>
    <row r="5380" spans="1:3">
      <c r="A5380" s="1">
        <v>38</v>
      </c>
      <c r="B5380" s="2">
        <f>Walmart_Sales_raw_data!C5380</f>
        <v>449516.29</v>
      </c>
      <c r="C5380" t="str">
        <f>IF(B5380&gt;=Walmart_Sales_raw_data!$C$6437,"High","low")</f>
        <v>low</v>
      </c>
    </row>
    <row r="5381" spans="1:3">
      <c r="A5381" s="3">
        <v>38</v>
      </c>
      <c r="B5381" s="2">
        <f>Walmart_Sales_raw_data!C5381</f>
        <v>400430.78</v>
      </c>
      <c r="C5381" t="str">
        <f>IF(B5381&gt;=Walmart_Sales_raw_data!$C$6437,"High","low")</f>
        <v>low</v>
      </c>
    </row>
    <row r="5382" spans="1:3">
      <c r="A5382" s="1">
        <v>38</v>
      </c>
      <c r="B5382" s="2">
        <f>Walmart_Sales_raw_data!C5382</f>
        <v>402709.17</v>
      </c>
      <c r="C5382" t="str">
        <f>IF(B5382&gt;=Walmart_Sales_raw_data!$C$6437,"High","low")</f>
        <v>low</v>
      </c>
    </row>
    <row r="5383" spans="1:3">
      <c r="A5383" s="3">
        <v>38</v>
      </c>
      <c r="B5383" s="2">
        <f>Walmart_Sales_raw_data!C5383</f>
        <v>378539.17</v>
      </c>
      <c r="C5383" t="str">
        <f>IF(B5383&gt;=Walmart_Sales_raw_data!$C$6437,"High","low")</f>
        <v>low</v>
      </c>
    </row>
    <row r="5384" spans="1:3">
      <c r="A5384" s="1">
        <v>38</v>
      </c>
      <c r="B5384" s="2">
        <f>Walmart_Sales_raw_data!C5384</f>
        <v>436970.1</v>
      </c>
      <c r="C5384" t="str">
        <f>IF(B5384&gt;=Walmart_Sales_raw_data!$C$6437,"High","low")</f>
        <v>low</v>
      </c>
    </row>
    <row r="5385" spans="1:3">
      <c r="A5385" s="3">
        <v>38</v>
      </c>
      <c r="B5385" s="2">
        <f>Walmart_Sales_raw_data!C5385</f>
        <v>411116.95</v>
      </c>
      <c r="C5385" t="str">
        <f>IF(B5385&gt;=Walmart_Sales_raw_data!$C$6437,"High","low")</f>
        <v>low</v>
      </c>
    </row>
    <row r="5386" spans="1:3">
      <c r="A5386" s="1">
        <v>38</v>
      </c>
      <c r="B5386" s="2">
        <f>Walmart_Sales_raw_data!C5386</f>
        <v>392003.13</v>
      </c>
      <c r="C5386" t="str">
        <f>IF(B5386&gt;=Walmart_Sales_raw_data!$C$6437,"High","low")</f>
        <v>low</v>
      </c>
    </row>
    <row r="5387" spans="1:3">
      <c r="A5387" s="3">
        <v>38</v>
      </c>
      <c r="B5387" s="2">
        <f>Walmart_Sales_raw_data!C5387</f>
        <v>393715.71</v>
      </c>
      <c r="C5387" t="str">
        <f>IF(B5387&gt;=Walmart_Sales_raw_data!$C$6437,"High","low")</f>
        <v>low</v>
      </c>
    </row>
    <row r="5388" spans="1:3">
      <c r="A5388" s="1">
        <v>38</v>
      </c>
      <c r="B5388" s="2">
        <f>Walmart_Sales_raw_data!C5388</f>
        <v>411252.02</v>
      </c>
      <c r="C5388" t="str">
        <f>IF(B5388&gt;=Walmart_Sales_raw_data!$C$6437,"High","low")</f>
        <v>low</v>
      </c>
    </row>
    <row r="5389" spans="1:3">
      <c r="A5389" s="3">
        <v>38</v>
      </c>
      <c r="B5389" s="2">
        <f>Walmart_Sales_raw_data!C5389</f>
        <v>435401.64</v>
      </c>
      <c r="C5389" t="str">
        <f>IF(B5389&gt;=Walmart_Sales_raw_data!$C$6437,"High","low")</f>
        <v>low</v>
      </c>
    </row>
    <row r="5390" spans="1:3">
      <c r="A5390" s="1">
        <v>38</v>
      </c>
      <c r="B5390" s="2">
        <f>Walmart_Sales_raw_data!C5390</f>
        <v>404283.84</v>
      </c>
      <c r="C5390" t="str">
        <f>IF(B5390&gt;=Walmart_Sales_raw_data!$C$6437,"High","low")</f>
        <v>low</v>
      </c>
    </row>
    <row r="5391" spans="1:3">
      <c r="A5391" s="3">
        <v>38</v>
      </c>
      <c r="B5391" s="2">
        <f>Walmart_Sales_raw_data!C5391</f>
        <v>419717.41</v>
      </c>
      <c r="C5391" t="str">
        <f>IF(B5391&gt;=Walmart_Sales_raw_data!$C$6437,"High","low")</f>
        <v>low</v>
      </c>
    </row>
    <row r="5392" spans="1:3">
      <c r="A5392" s="1">
        <v>38</v>
      </c>
      <c r="B5392" s="2">
        <f>Walmart_Sales_raw_data!C5392</f>
        <v>342667.35</v>
      </c>
      <c r="C5392" t="str">
        <f>IF(B5392&gt;=Walmart_Sales_raw_data!$C$6437,"High","low")</f>
        <v>low</v>
      </c>
    </row>
    <row r="5393" spans="1:3">
      <c r="A5393" s="3">
        <v>38</v>
      </c>
      <c r="B5393" s="2">
        <f>Walmart_Sales_raw_data!C5393</f>
        <v>478483.2</v>
      </c>
      <c r="C5393" t="str">
        <f>IF(B5393&gt;=Walmart_Sales_raw_data!$C$6437,"High","low")</f>
        <v>low</v>
      </c>
    </row>
    <row r="5394" spans="1:3">
      <c r="A5394" s="1">
        <v>38</v>
      </c>
      <c r="B5394" s="2">
        <f>Walmart_Sales_raw_data!C5394</f>
        <v>423260.82</v>
      </c>
      <c r="C5394" t="str">
        <f>IF(B5394&gt;=Walmart_Sales_raw_data!$C$6437,"High","low")</f>
        <v>low</v>
      </c>
    </row>
    <row r="5395" spans="1:3">
      <c r="A5395" s="3">
        <v>38</v>
      </c>
      <c r="B5395" s="2">
        <f>Walmart_Sales_raw_data!C5395</f>
        <v>405215.91</v>
      </c>
      <c r="C5395" t="str">
        <f>IF(B5395&gt;=Walmart_Sales_raw_data!$C$6437,"High","low")</f>
        <v>low</v>
      </c>
    </row>
    <row r="5396" spans="1:3">
      <c r="A5396" s="1">
        <v>38</v>
      </c>
      <c r="B5396" s="2">
        <f>Walmart_Sales_raw_data!C5396</f>
        <v>412882.31</v>
      </c>
      <c r="C5396" t="str">
        <f>IF(B5396&gt;=Walmart_Sales_raw_data!$C$6437,"High","low")</f>
        <v>low</v>
      </c>
    </row>
    <row r="5397" spans="1:3">
      <c r="A5397" s="3">
        <v>38</v>
      </c>
      <c r="B5397" s="2">
        <f>Walmart_Sales_raw_data!C5397</f>
        <v>457711.68</v>
      </c>
      <c r="C5397" t="str">
        <f>IF(B5397&gt;=Walmart_Sales_raw_data!$C$6437,"High","low")</f>
        <v>low</v>
      </c>
    </row>
    <row r="5398" spans="1:3">
      <c r="A5398" s="1">
        <v>38</v>
      </c>
      <c r="B5398" s="2">
        <f>Walmart_Sales_raw_data!C5398</f>
        <v>469787.38</v>
      </c>
      <c r="C5398" t="str">
        <f>IF(B5398&gt;=Walmart_Sales_raw_data!$C$6437,"High","low")</f>
        <v>low</v>
      </c>
    </row>
    <row r="5399" spans="1:3">
      <c r="A5399" s="3">
        <v>38</v>
      </c>
      <c r="B5399" s="2">
        <f>Walmart_Sales_raw_data!C5399</f>
        <v>415513.97</v>
      </c>
      <c r="C5399" t="str">
        <f>IF(B5399&gt;=Walmart_Sales_raw_data!$C$6437,"High","low")</f>
        <v>low</v>
      </c>
    </row>
    <row r="5400" spans="1:3">
      <c r="A5400" s="1">
        <v>38</v>
      </c>
      <c r="B5400" s="2">
        <f>Walmart_Sales_raw_data!C5400</f>
        <v>409411.61</v>
      </c>
      <c r="C5400" t="str">
        <f>IF(B5400&gt;=Walmart_Sales_raw_data!$C$6437,"High","low")</f>
        <v>low</v>
      </c>
    </row>
    <row r="5401" spans="1:3">
      <c r="A5401" s="3">
        <v>38</v>
      </c>
      <c r="B5401" s="2">
        <f>Walmart_Sales_raw_data!C5401</f>
        <v>471115.38</v>
      </c>
      <c r="C5401" t="str">
        <f>IF(B5401&gt;=Walmart_Sales_raw_data!$C$6437,"High","low")</f>
        <v>low</v>
      </c>
    </row>
    <row r="5402" spans="1:3">
      <c r="A5402" s="1">
        <v>38</v>
      </c>
      <c r="B5402" s="2">
        <f>Walmart_Sales_raw_data!C5402</f>
        <v>452792.53</v>
      </c>
      <c r="C5402" t="str">
        <f>IF(B5402&gt;=Walmart_Sales_raw_data!$C$6437,"High","low")</f>
        <v>low</v>
      </c>
    </row>
    <row r="5403" spans="1:3">
      <c r="A5403" s="3">
        <v>38</v>
      </c>
      <c r="B5403" s="2">
        <f>Walmart_Sales_raw_data!C5403</f>
        <v>428465.11</v>
      </c>
      <c r="C5403" t="str">
        <f>IF(B5403&gt;=Walmart_Sales_raw_data!$C$6437,"High","low")</f>
        <v>low</v>
      </c>
    </row>
    <row r="5404" spans="1:3">
      <c r="A5404" s="1">
        <v>38</v>
      </c>
      <c r="B5404" s="2">
        <f>Walmart_Sales_raw_data!C5404</f>
        <v>412456.48</v>
      </c>
      <c r="C5404" t="str">
        <f>IF(B5404&gt;=Walmart_Sales_raw_data!$C$6437,"High","low")</f>
        <v>low</v>
      </c>
    </row>
    <row r="5405" spans="1:3">
      <c r="A5405" s="3">
        <v>38</v>
      </c>
      <c r="B5405" s="2">
        <f>Walmart_Sales_raw_data!C5405</f>
        <v>408679.36</v>
      </c>
      <c r="C5405" t="str">
        <f>IF(B5405&gt;=Walmart_Sales_raw_data!$C$6437,"High","low")</f>
        <v>low</v>
      </c>
    </row>
    <row r="5406" spans="1:3">
      <c r="A5406" s="1">
        <v>38</v>
      </c>
      <c r="B5406" s="2">
        <f>Walmart_Sales_raw_data!C5406</f>
        <v>499267.66</v>
      </c>
      <c r="C5406" t="str">
        <f>IF(B5406&gt;=Walmart_Sales_raw_data!$C$6437,"High","low")</f>
        <v>low</v>
      </c>
    </row>
    <row r="5407" spans="1:3">
      <c r="A5407" s="3">
        <v>38</v>
      </c>
      <c r="B5407" s="2">
        <f>Walmart_Sales_raw_data!C5407</f>
        <v>435790.74</v>
      </c>
      <c r="C5407" t="str">
        <f>IF(B5407&gt;=Walmart_Sales_raw_data!$C$6437,"High","low")</f>
        <v>low</v>
      </c>
    </row>
    <row r="5408" spans="1:3">
      <c r="A5408" s="1">
        <v>38</v>
      </c>
      <c r="B5408" s="2">
        <f>Walmart_Sales_raw_data!C5408</f>
        <v>401615.8</v>
      </c>
      <c r="C5408" t="str">
        <f>IF(B5408&gt;=Walmart_Sales_raw_data!$C$6437,"High","low")</f>
        <v>low</v>
      </c>
    </row>
    <row r="5409" spans="1:3">
      <c r="A5409" s="3">
        <v>38</v>
      </c>
      <c r="B5409" s="2">
        <f>Walmart_Sales_raw_data!C5409</f>
        <v>419964.77</v>
      </c>
      <c r="C5409" t="str">
        <f>IF(B5409&gt;=Walmart_Sales_raw_data!$C$6437,"High","low")</f>
        <v>low</v>
      </c>
    </row>
    <row r="5410" spans="1:3">
      <c r="A5410" s="1">
        <v>38</v>
      </c>
      <c r="B5410" s="2">
        <f>Walmart_Sales_raw_data!C5410</f>
        <v>491755.69</v>
      </c>
      <c r="C5410" t="str">
        <f>IF(B5410&gt;=Walmart_Sales_raw_data!$C$6437,"High","low")</f>
        <v>low</v>
      </c>
    </row>
    <row r="5411" spans="1:3">
      <c r="A5411" s="3">
        <v>38</v>
      </c>
      <c r="B5411" s="2">
        <f>Walmart_Sales_raw_data!C5411</f>
        <v>429914.6</v>
      </c>
      <c r="C5411" t="str">
        <f>IF(B5411&gt;=Walmart_Sales_raw_data!$C$6437,"High","low")</f>
        <v>low</v>
      </c>
    </row>
    <row r="5412" spans="1:3">
      <c r="A5412" s="1">
        <v>38</v>
      </c>
      <c r="B5412" s="2">
        <f>Walmart_Sales_raw_data!C5412</f>
        <v>412314.71</v>
      </c>
      <c r="C5412" t="str">
        <f>IF(B5412&gt;=Walmart_Sales_raw_data!$C$6437,"High","low")</f>
        <v>low</v>
      </c>
    </row>
    <row r="5413" spans="1:3">
      <c r="A5413" s="3">
        <v>38</v>
      </c>
      <c r="B5413" s="2">
        <f>Walmart_Sales_raw_data!C5413</f>
        <v>422810.12</v>
      </c>
      <c r="C5413" t="str">
        <f>IF(B5413&gt;=Walmart_Sales_raw_data!$C$6437,"High","low")</f>
        <v>low</v>
      </c>
    </row>
    <row r="5414" spans="1:3">
      <c r="A5414" s="1">
        <v>38</v>
      </c>
      <c r="B5414" s="2">
        <f>Walmart_Sales_raw_data!C5414</f>
        <v>435579.7</v>
      </c>
      <c r="C5414" t="str">
        <f>IF(B5414&gt;=Walmart_Sales_raw_data!$C$6437,"High","low")</f>
        <v>low</v>
      </c>
    </row>
    <row r="5415" spans="1:3">
      <c r="A5415" s="3">
        <v>38</v>
      </c>
      <c r="B5415" s="2">
        <f>Walmart_Sales_raw_data!C5415</f>
        <v>448110.25</v>
      </c>
      <c r="C5415" t="str">
        <f>IF(B5415&gt;=Walmart_Sales_raw_data!$C$6437,"High","low")</f>
        <v>low</v>
      </c>
    </row>
    <row r="5416" spans="1:3">
      <c r="A5416" s="1">
        <v>38</v>
      </c>
      <c r="B5416" s="2">
        <f>Walmart_Sales_raw_data!C5416</f>
        <v>430222.07</v>
      </c>
      <c r="C5416" t="str">
        <f>IF(B5416&gt;=Walmart_Sales_raw_data!$C$6437,"High","low")</f>
        <v>low</v>
      </c>
    </row>
    <row r="5417" spans="1:3">
      <c r="A5417" s="3">
        <v>38</v>
      </c>
      <c r="B5417" s="2">
        <f>Walmart_Sales_raw_data!C5417</f>
        <v>405938.35</v>
      </c>
      <c r="C5417" t="str">
        <f>IF(B5417&gt;=Walmart_Sales_raw_data!$C$6437,"High","low")</f>
        <v>low</v>
      </c>
    </row>
    <row r="5418" spans="1:3">
      <c r="A5418" s="1">
        <v>38</v>
      </c>
      <c r="B5418" s="2">
        <f>Walmart_Sales_raw_data!C5418</f>
        <v>404634.36</v>
      </c>
      <c r="C5418" t="str">
        <f>IF(B5418&gt;=Walmart_Sales_raw_data!$C$6437,"High","low")</f>
        <v>low</v>
      </c>
    </row>
    <row r="5419" spans="1:3">
      <c r="A5419" s="3">
        <v>38</v>
      </c>
      <c r="B5419" s="2">
        <f>Walmart_Sales_raw_data!C5419</f>
        <v>471086.22</v>
      </c>
      <c r="C5419" t="str">
        <f>IF(B5419&gt;=Walmart_Sales_raw_data!$C$6437,"High","low")</f>
        <v>low</v>
      </c>
    </row>
    <row r="5420" spans="1:3">
      <c r="A5420" s="1">
        <v>38</v>
      </c>
      <c r="B5420" s="2">
        <f>Walmart_Sales_raw_data!C5420</f>
        <v>416036.75</v>
      </c>
      <c r="C5420" t="str">
        <f>IF(B5420&gt;=Walmart_Sales_raw_data!$C$6437,"High","low")</f>
        <v>low</v>
      </c>
    </row>
    <row r="5421" spans="1:3">
      <c r="A5421" s="3">
        <v>38</v>
      </c>
      <c r="B5421" s="2">
        <f>Walmart_Sales_raw_data!C5421</f>
        <v>441683.74</v>
      </c>
      <c r="C5421" t="str">
        <f>IF(B5421&gt;=Walmart_Sales_raw_data!$C$6437,"High","low")</f>
        <v>low</v>
      </c>
    </row>
    <row r="5422" spans="1:3">
      <c r="A5422" s="1">
        <v>38</v>
      </c>
      <c r="B5422" s="2">
        <f>Walmart_Sales_raw_data!C5422</f>
        <v>407186.47</v>
      </c>
      <c r="C5422" t="str">
        <f>IF(B5422&gt;=Walmart_Sales_raw_data!$C$6437,"High","low")</f>
        <v>low</v>
      </c>
    </row>
    <row r="5423" spans="1:3">
      <c r="A5423" s="3">
        <v>38</v>
      </c>
      <c r="B5423" s="2">
        <f>Walmart_Sales_raw_data!C5423</f>
        <v>469311.17</v>
      </c>
      <c r="C5423" t="str">
        <f>IF(B5423&gt;=Walmart_Sales_raw_data!$C$6437,"High","low")</f>
        <v>low</v>
      </c>
    </row>
    <row r="5424" spans="1:3">
      <c r="A5424" s="1">
        <v>38</v>
      </c>
      <c r="B5424" s="2">
        <f>Walmart_Sales_raw_data!C5424</f>
        <v>436690.13</v>
      </c>
      <c r="C5424" t="str">
        <f>IF(B5424&gt;=Walmart_Sales_raw_data!$C$6437,"High","low")</f>
        <v>low</v>
      </c>
    </row>
    <row r="5425" spans="1:3">
      <c r="A5425" s="3">
        <v>38</v>
      </c>
      <c r="B5425" s="2">
        <f>Walmart_Sales_raw_data!C5425</f>
        <v>411866.46</v>
      </c>
      <c r="C5425" t="str">
        <f>IF(B5425&gt;=Walmart_Sales_raw_data!$C$6437,"High","low")</f>
        <v>low</v>
      </c>
    </row>
    <row r="5426" spans="1:3">
      <c r="A5426" s="1">
        <v>38</v>
      </c>
      <c r="B5426" s="2">
        <f>Walmart_Sales_raw_data!C5426</f>
        <v>397428.22</v>
      </c>
      <c r="C5426" t="str">
        <f>IF(B5426&gt;=Walmart_Sales_raw_data!$C$6437,"High","low")</f>
        <v>low</v>
      </c>
    </row>
    <row r="5427" spans="1:3">
      <c r="A5427" s="3">
        <v>38</v>
      </c>
      <c r="B5427" s="2">
        <f>Walmart_Sales_raw_data!C5427</f>
        <v>424904.95</v>
      </c>
      <c r="C5427" t="str">
        <f>IF(B5427&gt;=Walmart_Sales_raw_data!$C$6437,"High","low")</f>
        <v>low</v>
      </c>
    </row>
    <row r="5428" spans="1:3">
      <c r="A5428" s="1">
        <v>38</v>
      </c>
      <c r="B5428" s="2">
        <f>Walmart_Sales_raw_data!C5428</f>
        <v>490274.82</v>
      </c>
      <c r="C5428" t="str">
        <f>IF(B5428&gt;=Walmart_Sales_raw_data!$C$6437,"High","low")</f>
        <v>low</v>
      </c>
    </row>
    <row r="5429" spans="1:3">
      <c r="A5429" s="3">
        <v>38</v>
      </c>
      <c r="B5429" s="2">
        <f>Walmart_Sales_raw_data!C5429</f>
        <v>430944.39</v>
      </c>
      <c r="C5429" t="str">
        <f>IF(B5429&gt;=Walmart_Sales_raw_data!$C$6437,"High","low")</f>
        <v>low</v>
      </c>
    </row>
    <row r="5430" spans="1:3">
      <c r="A5430" s="1">
        <v>38</v>
      </c>
      <c r="B5430" s="2">
        <f>Walmart_Sales_raw_data!C5430</f>
        <v>409600.98</v>
      </c>
      <c r="C5430" t="str">
        <f>IF(B5430&gt;=Walmart_Sales_raw_data!$C$6437,"High","low")</f>
        <v>low</v>
      </c>
    </row>
    <row r="5431" spans="1:3">
      <c r="A5431" s="3">
        <v>38</v>
      </c>
      <c r="B5431" s="2">
        <f>Walmart_Sales_raw_data!C5431</f>
        <v>398468.08</v>
      </c>
      <c r="C5431" t="str">
        <f>IF(B5431&gt;=Walmart_Sales_raw_data!$C$6437,"High","low")</f>
        <v>low</v>
      </c>
    </row>
    <row r="5432" spans="1:3">
      <c r="A5432" s="1">
        <v>38</v>
      </c>
      <c r="B5432" s="2">
        <f>Walmart_Sales_raw_data!C5432</f>
        <v>458479.01</v>
      </c>
      <c r="C5432" t="str">
        <f>IF(B5432&gt;=Walmart_Sales_raw_data!$C$6437,"High","low")</f>
        <v>low</v>
      </c>
    </row>
    <row r="5433" spans="1:3">
      <c r="A5433" s="3">
        <v>38</v>
      </c>
      <c r="B5433" s="2">
        <f>Walmart_Sales_raw_data!C5433</f>
        <v>437320.66</v>
      </c>
      <c r="C5433" t="str">
        <f>IF(B5433&gt;=Walmart_Sales_raw_data!$C$6437,"High","low")</f>
        <v>low</v>
      </c>
    </row>
    <row r="5434" spans="1:3">
      <c r="A5434" s="1">
        <v>38</v>
      </c>
      <c r="B5434" s="2">
        <f>Walmart_Sales_raw_data!C5434</f>
        <v>428806.46</v>
      </c>
      <c r="C5434" t="str">
        <f>IF(B5434&gt;=Walmart_Sales_raw_data!$C$6437,"High","low")</f>
        <v>low</v>
      </c>
    </row>
    <row r="5435" spans="1:3">
      <c r="A5435" s="3">
        <v>38</v>
      </c>
      <c r="B5435" s="2">
        <f>Walmart_Sales_raw_data!C5435</f>
        <v>417290.38</v>
      </c>
      <c r="C5435" t="str">
        <f>IF(B5435&gt;=Walmart_Sales_raw_data!$C$6437,"High","low")</f>
        <v>low</v>
      </c>
    </row>
    <row r="5436" spans="1:3">
      <c r="A5436" s="1">
        <v>39</v>
      </c>
      <c r="B5436" s="2">
        <f>Walmart_Sales_raw_data!C5436</f>
        <v>1230596.8</v>
      </c>
      <c r="C5436" t="str">
        <f>IF(B5436&gt;=Walmart_Sales_raw_data!$C$6437,"High","low")</f>
        <v>High</v>
      </c>
    </row>
    <row r="5437" spans="1:3">
      <c r="A5437" s="3">
        <v>39</v>
      </c>
      <c r="B5437" s="2">
        <f>Walmart_Sales_raw_data!C5437</f>
        <v>1266229.07</v>
      </c>
      <c r="C5437" t="str">
        <f>IF(B5437&gt;=Walmart_Sales_raw_data!$C$6437,"High","low")</f>
        <v>High</v>
      </c>
    </row>
    <row r="5438" spans="1:3">
      <c r="A5438" s="1">
        <v>39</v>
      </c>
      <c r="B5438" s="2">
        <f>Walmart_Sales_raw_data!C5438</f>
        <v>1230591.97</v>
      </c>
      <c r="C5438" t="str">
        <f>IF(B5438&gt;=Walmart_Sales_raw_data!$C$6437,"High","low")</f>
        <v>High</v>
      </c>
    </row>
    <row r="5439" spans="1:3">
      <c r="A5439" s="3">
        <v>39</v>
      </c>
      <c r="B5439" s="2">
        <f>Walmart_Sales_raw_data!C5439</f>
        <v>1168582.02</v>
      </c>
      <c r="C5439" t="str">
        <f>IF(B5439&gt;=Walmart_Sales_raw_data!$C$6437,"High","low")</f>
        <v>High</v>
      </c>
    </row>
    <row r="5440" spans="1:3">
      <c r="A5440" s="1">
        <v>39</v>
      </c>
      <c r="B5440" s="2">
        <f>Walmart_Sales_raw_data!C5440</f>
        <v>1266254.21</v>
      </c>
      <c r="C5440" t="str">
        <f>IF(B5440&gt;=Walmart_Sales_raw_data!$C$6437,"High","low")</f>
        <v>High</v>
      </c>
    </row>
    <row r="5441" spans="1:3">
      <c r="A5441" s="3">
        <v>39</v>
      </c>
      <c r="B5441" s="2">
        <f>Walmart_Sales_raw_data!C5441</f>
        <v>1244391.83</v>
      </c>
      <c r="C5441" t="str">
        <f>IF(B5441&gt;=Walmart_Sales_raw_data!$C$6437,"High","low")</f>
        <v>High</v>
      </c>
    </row>
    <row r="5442" spans="1:3">
      <c r="A5442" s="1">
        <v>39</v>
      </c>
      <c r="B5442" s="2">
        <f>Walmart_Sales_raw_data!C5442</f>
        <v>1301590.13</v>
      </c>
      <c r="C5442" t="str">
        <f>IF(B5442&gt;=Walmart_Sales_raw_data!$C$6437,"High","low")</f>
        <v>High</v>
      </c>
    </row>
    <row r="5443" spans="1:3">
      <c r="A5443" s="3">
        <v>39</v>
      </c>
      <c r="B5443" s="2">
        <f>Walmart_Sales_raw_data!C5443</f>
        <v>1235094.66</v>
      </c>
      <c r="C5443" t="str">
        <f>IF(B5443&gt;=Walmart_Sales_raw_data!$C$6437,"High","low")</f>
        <v>High</v>
      </c>
    </row>
    <row r="5444" spans="1:3">
      <c r="A5444" s="1">
        <v>39</v>
      </c>
      <c r="B5444" s="2">
        <f>Walmart_Sales_raw_data!C5444</f>
        <v>1463942.62</v>
      </c>
      <c r="C5444" t="str">
        <f>IF(B5444&gt;=Walmart_Sales_raw_data!$C$6437,"High","low")</f>
        <v>High</v>
      </c>
    </row>
    <row r="5445" spans="1:3">
      <c r="A5445" s="3">
        <v>39</v>
      </c>
      <c r="B5445" s="2">
        <f>Walmart_Sales_raw_data!C5445</f>
        <v>1327035.27</v>
      </c>
      <c r="C5445" t="str">
        <f>IF(B5445&gt;=Walmart_Sales_raw_data!$C$6437,"High","low")</f>
        <v>High</v>
      </c>
    </row>
    <row r="5446" spans="1:3">
      <c r="A5446" s="1">
        <v>39</v>
      </c>
      <c r="B5446" s="2">
        <f>Walmart_Sales_raw_data!C5446</f>
        <v>1242874.98</v>
      </c>
      <c r="C5446" t="str">
        <f>IF(B5446&gt;=Walmart_Sales_raw_data!$C$6437,"High","low")</f>
        <v>High</v>
      </c>
    </row>
    <row r="5447" spans="1:3">
      <c r="A5447" s="3">
        <v>39</v>
      </c>
      <c r="B5447" s="2">
        <f>Walmart_Sales_raw_data!C5447</f>
        <v>1280231.85</v>
      </c>
      <c r="C5447" t="str">
        <f>IF(B5447&gt;=Walmart_Sales_raw_data!$C$6437,"High","low")</f>
        <v>High</v>
      </c>
    </row>
    <row r="5448" spans="1:3">
      <c r="A5448" s="1">
        <v>39</v>
      </c>
      <c r="B5448" s="2">
        <f>Walmart_Sales_raw_data!C5448</f>
        <v>1263836.59</v>
      </c>
      <c r="C5448" t="str">
        <f>IF(B5448&gt;=Walmart_Sales_raw_data!$C$6437,"High","low")</f>
        <v>High</v>
      </c>
    </row>
    <row r="5449" spans="1:3">
      <c r="A5449" s="3">
        <v>39</v>
      </c>
      <c r="B5449" s="2">
        <f>Walmart_Sales_raw_data!C5449</f>
        <v>1355704.21</v>
      </c>
      <c r="C5449" t="str">
        <f>IF(B5449&gt;=Walmart_Sales_raw_data!$C$6437,"High","low")</f>
        <v>High</v>
      </c>
    </row>
    <row r="5450" spans="1:3">
      <c r="A5450" s="1">
        <v>39</v>
      </c>
      <c r="B5450" s="2">
        <f>Walmart_Sales_raw_data!C5450</f>
        <v>1226997.7</v>
      </c>
      <c r="C5450" t="str">
        <f>IF(B5450&gt;=Walmart_Sales_raw_data!$C$6437,"High","low")</f>
        <v>High</v>
      </c>
    </row>
    <row r="5451" spans="1:3">
      <c r="A5451" s="3">
        <v>39</v>
      </c>
      <c r="B5451" s="2">
        <f>Walmart_Sales_raw_data!C5451</f>
        <v>1350673.98</v>
      </c>
      <c r="C5451" t="str">
        <f>IF(B5451&gt;=Walmart_Sales_raw_data!$C$6437,"High","low")</f>
        <v>High</v>
      </c>
    </row>
    <row r="5452" spans="1:3">
      <c r="A5452" s="1">
        <v>39</v>
      </c>
      <c r="B5452" s="2">
        <f>Walmart_Sales_raw_data!C5452</f>
        <v>1365541.59</v>
      </c>
      <c r="C5452" t="str">
        <f>IF(B5452&gt;=Walmart_Sales_raw_data!$C$6437,"High","low")</f>
        <v>High</v>
      </c>
    </row>
    <row r="5453" spans="1:3">
      <c r="A5453" s="3">
        <v>39</v>
      </c>
      <c r="B5453" s="2">
        <f>Walmart_Sales_raw_data!C5453</f>
        <v>1512207.95</v>
      </c>
      <c r="C5453" t="str">
        <f>IF(B5453&gt;=Walmart_Sales_raw_data!$C$6437,"High","low")</f>
        <v>High</v>
      </c>
    </row>
    <row r="5454" spans="1:3">
      <c r="A5454" s="1">
        <v>39</v>
      </c>
      <c r="B5454" s="2">
        <f>Walmart_Sales_raw_data!C5454</f>
        <v>1371405.33</v>
      </c>
      <c r="C5454" t="str">
        <f>IF(B5454&gt;=Walmart_Sales_raw_data!$C$6437,"High","low")</f>
        <v>High</v>
      </c>
    </row>
    <row r="5455" spans="1:3">
      <c r="A5455" s="3">
        <v>39</v>
      </c>
      <c r="B5455" s="2">
        <f>Walmart_Sales_raw_data!C5455</f>
        <v>1368312.45</v>
      </c>
      <c r="C5455" t="str">
        <f>IF(B5455&gt;=Walmart_Sales_raw_data!$C$6437,"High","low")</f>
        <v>High</v>
      </c>
    </row>
    <row r="5456" spans="1:3">
      <c r="A5456" s="1">
        <v>39</v>
      </c>
      <c r="B5456" s="2">
        <f>Walmart_Sales_raw_data!C5456</f>
        <v>1280414.8</v>
      </c>
      <c r="C5456" t="str">
        <f>IF(B5456&gt;=Walmart_Sales_raw_data!$C$6437,"High","low")</f>
        <v>High</v>
      </c>
    </row>
    <row r="5457" spans="1:3">
      <c r="A5457" s="3">
        <v>39</v>
      </c>
      <c r="B5457" s="2">
        <f>Walmart_Sales_raw_data!C5457</f>
        <v>1352547.7</v>
      </c>
      <c r="C5457" t="str">
        <f>IF(B5457&gt;=Walmart_Sales_raw_data!$C$6437,"High","low")</f>
        <v>High</v>
      </c>
    </row>
    <row r="5458" spans="1:3">
      <c r="A5458" s="1">
        <v>39</v>
      </c>
      <c r="B5458" s="2">
        <f>Walmart_Sales_raw_data!C5458</f>
        <v>1330473.47</v>
      </c>
      <c r="C5458" t="str">
        <f>IF(B5458&gt;=Walmart_Sales_raw_data!$C$6437,"High","low")</f>
        <v>High</v>
      </c>
    </row>
    <row r="5459" spans="1:3">
      <c r="A5459" s="3">
        <v>39</v>
      </c>
      <c r="B5459" s="2">
        <f>Walmart_Sales_raw_data!C5459</f>
        <v>1339811.68</v>
      </c>
      <c r="C5459" t="str">
        <f>IF(B5459&gt;=Walmart_Sales_raw_data!$C$6437,"High","low")</f>
        <v>High</v>
      </c>
    </row>
    <row r="5460" spans="1:3">
      <c r="A5460" s="1">
        <v>39</v>
      </c>
      <c r="B5460" s="2">
        <f>Walmart_Sales_raw_data!C5460</f>
        <v>1314651.83</v>
      </c>
      <c r="C5460" t="str">
        <f>IF(B5460&gt;=Walmart_Sales_raw_data!$C$6437,"High","low")</f>
        <v>High</v>
      </c>
    </row>
    <row r="5461" spans="1:3">
      <c r="A5461" s="3">
        <v>39</v>
      </c>
      <c r="B5461" s="2">
        <f>Walmart_Sales_raw_data!C5461</f>
        <v>1308222.24</v>
      </c>
      <c r="C5461" t="str">
        <f>IF(B5461&gt;=Walmart_Sales_raw_data!$C$6437,"High","low")</f>
        <v>High</v>
      </c>
    </row>
    <row r="5462" spans="1:3">
      <c r="A5462" s="1">
        <v>39</v>
      </c>
      <c r="B5462" s="2">
        <f>Walmart_Sales_raw_data!C5462</f>
        <v>1409989.67</v>
      </c>
      <c r="C5462" t="str">
        <f>IF(B5462&gt;=Walmart_Sales_raw_data!$C$6437,"High","low")</f>
        <v>High</v>
      </c>
    </row>
    <row r="5463" spans="1:3">
      <c r="A5463" s="3">
        <v>39</v>
      </c>
      <c r="B5463" s="2">
        <f>Walmart_Sales_raw_data!C5463</f>
        <v>1371465.66</v>
      </c>
      <c r="C5463" t="str">
        <f>IF(B5463&gt;=Walmart_Sales_raw_data!$C$6437,"High","low")</f>
        <v>High</v>
      </c>
    </row>
    <row r="5464" spans="1:3">
      <c r="A5464" s="1">
        <v>39</v>
      </c>
      <c r="B5464" s="2">
        <f>Walmart_Sales_raw_data!C5464</f>
        <v>1471816.52</v>
      </c>
      <c r="C5464" t="str">
        <f>IF(B5464&gt;=Walmart_Sales_raw_data!$C$6437,"High","low")</f>
        <v>High</v>
      </c>
    </row>
    <row r="5465" spans="1:3">
      <c r="A5465" s="3">
        <v>39</v>
      </c>
      <c r="B5465" s="2">
        <f>Walmart_Sales_raw_data!C5465</f>
        <v>1417515.93</v>
      </c>
      <c r="C5465" t="str">
        <f>IF(B5465&gt;=Walmart_Sales_raw_data!$C$6437,"High","low")</f>
        <v>High</v>
      </c>
    </row>
    <row r="5466" spans="1:3">
      <c r="A5466" s="1">
        <v>39</v>
      </c>
      <c r="B5466" s="2">
        <f>Walmart_Sales_raw_data!C5466</f>
        <v>1345167.61</v>
      </c>
      <c r="C5466" t="str">
        <f>IF(B5466&gt;=Walmart_Sales_raw_data!$C$6437,"High","low")</f>
        <v>High</v>
      </c>
    </row>
    <row r="5467" spans="1:3">
      <c r="A5467" s="3">
        <v>39</v>
      </c>
      <c r="B5467" s="2">
        <f>Walmart_Sales_raw_data!C5467</f>
        <v>1279666.47</v>
      </c>
      <c r="C5467" t="str">
        <f>IF(B5467&gt;=Walmart_Sales_raw_data!$C$6437,"High","low")</f>
        <v>High</v>
      </c>
    </row>
    <row r="5468" spans="1:3">
      <c r="A5468" s="1">
        <v>39</v>
      </c>
      <c r="B5468" s="2">
        <f>Walmart_Sales_raw_data!C5468</f>
        <v>1252915.43</v>
      </c>
      <c r="C5468" t="str">
        <f>IF(B5468&gt;=Walmart_Sales_raw_data!$C$6437,"High","low")</f>
        <v>High</v>
      </c>
    </row>
    <row r="5469" spans="1:3">
      <c r="A5469" s="3">
        <v>39</v>
      </c>
      <c r="B5469" s="2">
        <f>Walmart_Sales_raw_data!C5469</f>
        <v>1199449.54</v>
      </c>
      <c r="C5469" t="str">
        <f>IF(B5469&gt;=Walmart_Sales_raw_data!$C$6437,"High","low")</f>
        <v>High</v>
      </c>
    </row>
    <row r="5470" spans="1:3">
      <c r="A5470" s="1">
        <v>39</v>
      </c>
      <c r="B5470" s="2">
        <f>Walmart_Sales_raw_data!C5470</f>
        <v>1219583.91</v>
      </c>
      <c r="C5470" t="str">
        <f>IF(B5470&gt;=Walmart_Sales_raw_data!$C$6437,"High","low")</f>
        <v>High</v>
      </c>
    </row>
    <row r="5471" spans="1:3">
      <c r="A5471" s="3">
        <v>39</v>
      </c>
      <c r="B5471" s="2">
        <f>Walmart_Sales_raw_data!C5471</f>
        <v>1286598.59</v>
      </c>
      <c r="C5471" t="str">
        <f>IF(B5471&gt;=Walmart_Sales_raw_data!$C$6437,"High","low")</f>
        <v>High</v>
      </c>
    </row>
    <row r="5472" spans="1:3">
      <c r="A5472" s="1">
        <v>39</v>
      </c>
      <c r="B5472" s="2">
        <f>Walmart_Sales_raw_data!C5472</f>
        <v>1238742</v>
      </c>
      <c r="C5472" t="str">
        <f>IF(B5472&gt;=Walmart_Sales_raw_data!$C$6437,"High","low")</f>
        <v>High</v>
      </c>
    </row>
    <row r="5473" spans="1:3">
      <c r="A5473" s="3">
        <v>39</v>
      </c>
      <c r="B5473" s="2">
        <f>Walmart_Sales_raw_data!C5473</f>
        <v>1261109.01</v>
      </c>
      <c r="C5473" t="str">
        <f>IF(B5473&gt;=Walmart_Sales_raw_data!$C$6437,"High","low")</f>
        <v>High</v>
      </c>
    </row>
    <row r="5474" spans="1:3">
      <c r="A5474" s="1">
        <v>39</v>
      </c>
      <c r="B5474" s="2">
        <f>Walmart_Sales_raw_data!C5474</f>
        <v>1294769.08</v>
      </c>
      <c r="C5474" t="str">
        <f>IF(B5474&gt;=Walmart_Sales_raw_data!$C$6437,"High","low")</f>
        <v>High</v>
      </c>
    </row>
    <row r="5475" spans="1:3">
      <c r="A5475" s="3">
        <v>39</v>
      </c>
      <c r="B5475" s="2">
        <f>Walmart_Sales_raw_data!C5475</f>
        <v>1293707.19</v>
      </c>
      <c r="C5475" t="str">
        <f>IF(B5475&gt;=Walmart_Sales_raw_data!$C$6437,"High","low")</f>
        <v>High</v>
      </c>
    </row>
    <row r="5476" spans="1:3">
      <c r="A5476" s="1">
        <v>39</v>
      </c>
      <c r="B5476" s="2">
        <f>Walmart_Sales_raw_data!C5476</f>
        <v>1291398.71</v>
      </c>
      <c r="C5476" t="str">
        <f>IF(B5476&gt;=Walmart_Sales_raw_data!$C$6437,"High","low")</f>
        <v>High</v>
      </c>
    </row>
    <row r="5477" spans="1:3">
      <c r="A5477" s="3">
        <v>39</v>
      </c>
      <c r="B5477" s="2">
        <f>Walmart_Sales_raw_data!C5477</f>
        <v>1370659.54</v>
      </c>
      <c r="C5477" t="str">
        <f>IF(B5477&gt;=Walmart_Sales_raw_data!$C$6437,"High","low")</f>
        <v>High</v>
      </c>
    </row>
    <row r="5478" spans="1:3">
      <c r="A5478" s="1">
        <v>39</v>
      </c>
      <c r="B5478" s="2">
        <f>Walmart_Sales_raw_data!C5478</f>
        <v>2149355.2</v>
      </c>
      <c r="C5478" t="str">
        <f>IF(B5478&gt;=Walmart_Sales_raw_data!$C$6437,"High","low")</f>
        <v>High</v>
      </c>
    </row>
    <row r="5479" spans="1:3">
      <c r="A5479" s="3">
        <v>39</v>
      </c>
      <c r="B5479" s="2">
        <f>Walmart_Sales_raw_data!C5479</f>
        <v>1431910.98</v>
      </c>
      <c r="C5479" t="str">
        <f>IF(B5479&gt;=Walmart_Sales_raw_data!$C$6437,"High","low")</f>
        <v>High</v>
      </c>
    </row>
    <row r="5480" spans="1:3">
      <c r="A5480" s="1">
        <v>39</v>
      </c>
      <c r="B5480" s="2">
        <f>Walmart_Sales_raw_data!C5480</f>
        <v>1630564.48</v>
      </c>
      <c r="C5480" t="str">
        <f>IF(B5480&gt;=Walmart_Sales_raw_data!$C$6437,"High","low")</f>
        <v>High</v>
      </c>
    </row>
    <row r="5481" spans="1:3">
      <c r="A5481" s="3">
        <v>39</v>
      </c>
      <c r="B5481" s="2">
        <f>Walmart_Sales_raw_data!C5481</f>
        <v>1842172.46</v>
      </c>
      <c r="C5481" t="str">
        <f>IF(B5481&gt;=Walmart_Sales_raw_data!$C$6437,"High","low")</f>
        <v>High</v>
      </c>
    </row>
    <row r="5482" spans="1:3">
      <c r="A5482" s="1">
        <v>39</v>
      </c>
      <c r="B5482" s="2">
        <f>Walmart_Sales_raw_data!C5482</f>
        <v>2495489.25</v>
      </c>
      <c r="C5482" t="str">
        <f>IF(B5482&gt;=Walmart_Sales_raw_data!$C$6437,"High","low")</f>
        <v>High</v>
      </c>
    </row>
    <row r="5483" spans="1:3">
      <c r="A5483" s="3">
        <v>39</v>
      </c>
      <c r="B5483" s="2">
        <f>Walmart_Sales_raw_data!C5483</f>
        <v>1230012.16</v>
      </c>
      <c r="C5483" t="str">
        <f>IF(B5483&gt;=Walmart_Sales_raw_data!$C$6437,"High","low")</f>
        <v>High</v>
      </c>
    </row>
    <row r="5484" spans="1:3">
      <c r="A5484" s="1">
        <v>39</v>
      </c>
      <c r="B5484" s="2">
        <f>Walmart_Sales_raw_data!C5484</f>
        <v>1224475.12</v>
      </c>
      <c r="C5484" t="str">
        <f>IF(B5484&gt;=Walmart_Sales_raw_data!$C$6437,"High","low")</f>
        <v>High</v>
      </c>
    </row>
    <row r="5485" spans="1:3">
      <c r="A5485" s="3">
        <v>39</v>
      </c>
      <c r="B5485" s="2">
        <f>Walmart_Sales_raw_data!C5485</f>
        <v>1193199.39</v>
      </c>
      <c r="C5485" t="str">
        <f>IF(B5485&gt;=Walmart_Sales_raw_data!$C$6437,"High","low")</f>
        <v>High</v>
      </c>
    </row>
    <row r="5486" spans="1:3">
      <c r="A5486" s="1">
        <v>39</v>
      </c>
      <c r="B5486" s="2">
        <f>Walmart_Sales_raw_data!C5486</f>
        <v>1243370.74</v>
      </c>
      <c r="C5486" t="str">
        <f>IF(B5486&gt;=Walmart_Sales_raw_data!$C$6437,"High","low")</f>
        <v>High</v>
      </c>
    </row>
    <row r="5487" spans="1:3">
      <c r="A5487" s="3">
        <v>39</v>
      </c>
      <c r="B5487" s="2">
        <f>Walmart_Sales_raw_data!C5487</f>
        <v>1158698.44</v>
      </c>
      <c r="C5487" t="str">
        <f>IF(B5487&gt;=Walmart_Sales_raw_data!$C$6437,"High","low")</f>
        <v>High</v>
      </c>
    </row>
    <row r="5488" spans="1:3">
      <c r="A5488" s="1">
        <v>39</v>
      </c>
      <c r="B5488" s="2">
        <f>Walmart_Sales_raw_data!C5488</f>
        <v>1343773.94</v>
      </c>
      <c r="C5488" t="str">
        <f>IF(B5488&gt;=Walmart_Sales_raw_data!$C$6437,"High","low")</f>
        <v>High</v>
      </c>
    </row>
    <row r="5489" spans="1:3">
      <c r="A5489" s="3">
        <v>39</v>
      </c>
      <c r="B5489" s="2">
        <f>Walmart_Sales_raw_data!C5489</f>
        <v>1227893.89</v>
      </c>
      <c r="C5489" t="str">
        <f>IF(B5489&gt;=Walmart_Sales_raw_data!$C$6437,"High","low")</f>
        <v>High</v>
      </c>
    </row>
    <row r="5490" spans="1:3">
      <c r="A5490" s="1">
        <v>39</v>
      </c>
      <c r="B5490" s="2">
        <f>Walmart_Sales_raw_data!C5490</f>
        <v>1335233.74</v>
      </c>
      <c r="C5490" t="str">
        <f>IF(B5490&gt;=Walmart_Sales_raw_data!$C$6437,"High","low")</f>
        <v>High</v>
      </c>
    </row>
    <row r="5491" spans="1:3">
      <c r="A5491" s="3">
        <v>39</v>
      </c>
      <c r="B5491" s="2">
        <f>Walmart_Sales_raw_data!C5491</f>
        <v>1240921.19</v>
      </c>
      <c r="C5491" t="str">
        <f>IF(B5491&gt;=Walmart_Sales_raw_data!$C$6437,"High","low")</f>
        <v>High</v>
      </c>
    </row>
    <row r="5492" spans="1:3">
      <c r="A5492" s="1">
        <v>39</v>
      </c>
      <c r="B5492" s="2">
        <f>Walmart_Sales_raw_data!C5492</f>
        <v>1316385.43</v>
      </c>
      <c r="C5492" t="str">
        <f>IF(B5492&gt;=Walmart_Sales_raw_data!$C$6437,"High","low")</f>
        <v>High</v>
      </c>
    </row>
    <row r="5493" spans="1:3">
      <c r="A5493" s="3">
        <v>39</v>
      </c>
      <c r="B5493" s="2">
        <f>Walmart_Sales_raw_data!C5493</f>
        <v>1283716.81</v>
      </c>
      <c r="C5493" t="str">
        <f>IF(B5493&gt;=Walmart_Sales_raw_data!$C$6437,"High","low")</f>
        <v>High</v>
      </c>
    </row>
    <row r="5494" spans="1:3">
      <c r="A5494" s="1">
        <v>39</v>
      </c>
      <c r="B5494" s="2">
        <f>Walmart_Sales_raw_data!C5494</f>
        <v>1348410.05</v>
      </c>
      <c r="C5494" t="str">
        <f>IF(B5494&gt;=Walmart_Sales_raw_data!$C$6437,"High","low")</f>
        <v>High</v>
      </c>
    </row>
    <row r="5495" spans="1:3">
      <c r="A5495" s="3">
        <v>39</v>
      </c>
      <c r="B5495" s="2">
        <f>Walmart_Sales_raw_data!C5495</f>
        <v>1284334.79</v>
      </c>
      <c r="C5495" t="str">
        <f>IF(B5495&gt;=Walmart_Sales_raw_data!$C$6437,"High","low")</f>
        <v>High</v>
      </c>
    </row>
    <row r="5496" spans="1:3">
      <c r="A5496" s="1">
        <v>39</v>
      </c>
      <c r="B5496" s="2">
        <f>Walmart_Sales_raw_data!C5496</f>
        <v>1316849.36</v>
      </c>
      <c r="C5496" t="str">
        <f>IF(B5496&gt;=Walmart_Sales_raw_data!$C$6437,"High","low")</f>
        <v>High</v>
      </c>
    </row>
    <row r="5497" spans="1:3">
      <c r="A5497" s="3">
        <v>39</v>
      </c>
      <c r="B5497" s="2">
        <f>Walmart_Sales_raw_data!C5497</f>
        <v>1350646.16</v>
      </c>
      <c r="C5497" t="str">
        <f>IF(B5497&gt;=Walmart_Sales_raw_data!$C$6437,"High","low")</f>
        <v>High</v>
      </c>
    </row>
    <row r="5498" spans="1:3">
      <c r="A5498" s="1">
        <v>39</v>
      </c>
      <c r="B5498" s="2">
        <f>Walmart_Sales_raw_data!C5498</f>
        <v>1348031.55</v>
      </c>
      <c r="C5498" t="str">
        <f>IF(B5498&gt;=Walmart_Sales_raw_data!$C$6437,"High","low")</f>
        <v>High</v>
      </c>
    </row>
    <row r="5499" spans="1:3">
      <c r="A5499" s="3">
        <v>39</v>
      </c>
      <c r="B5499" s="2">
        <f>Walmart_Sales_raw_data!C5499</f>
        <v>1563140.85</v>
      </c>
      <c r="C5499" t="str">
        <f>IF(B5499&gt;=Walmart_Sales_raw_data!$C$6437,"High","low")</f>
        <v>High</v>
      </c>
    </row>
    <row r="5500" spans="1:3">
      <c r="A5500" s="1">
        <v>39</v>
      </c>
      <c r="B5500" s="2">
        <f>Walmart_Sales_raw_data!C5500</f>
        <v>1379651.87</v>
      </c>
      <c r="C5500" t="str">
        <f>IF(B5500&gt;=Walmart_Sales_raw_data!$C$6437,"High","low")</f>
        <v>High</v>
      </c>
    </row>
    <row r="5501" spans="1:3">
      <c r="A5501" s="3">
        <v>39</v>
      </c>
      <c r="B5501" s="2">
        <f>Walmart_Sales_raw_data!C5501</f>
        <v>1370920.87</v>
      </c>
      <c r="C5501" t="str">
        <f>IF(B5501&gt;=Walmart_Sales_raw_data!$C$6437,"High","low")</f>
        <v>High</v>
      </c>
    </row>
    <row r="5502" spans="1:3">
      <c r="A5502" s="1">
        <v>39</v>
      </c>
      <c r="B5502" s="2">
        <f>Walmart_Sales_raw_data!C5502</f>
        <v>1325022.77</v>
      </c>
      <c r="C5502" t="str">
        <f>IF(B5502&gt;=Walmart_Sales_raw_data!$C$6437,"High","low")</f>
        <v>High</v>
      </c>
    </row>
    <row r="5503" spans="1:3">
      <c r="A5503" s="3">
        <v>39</v>
      </c>
      <c r="B5503" s="2">
        <f>Walmart_Sales_raw_data!C5503</f>
        <v>1373907.21</v>
      </c>
      <c r="C5503" t="str">
        <f>IF(B5503&gt;=Walmart_Sales_raw_data!$C$6437,"High","low")</f>
        <v>High</v>
      </c>
    </row>
    <row r="5504" spans="1:3">
      <c r="A5504" s="1">
        <v>39</v>
      </c>
      <c r="B5504" s="2">
        <f>Walmart_Sales_raw_data!C5504</f>
        <v>1406124.14</v>
      </c>
      <c r="C5504" t="str">
        <f>IF(B5504&gt;=Walmart_Sales_raw_data!$C$6437,"High","low")</f>
        <v>High</v>
      </c>
    </row>
    <row r="5505" spans="1:3">
      <c r="A5505" s="3">
        <v>39</v>
      </c>
      <c r="B5505" s="2">
        <f>Walmart_Sales_raw_data!C5505</f>
        <v>1541745.59</v>
      </c>
      <c r="C5505" t="str">
        <f>IF(B5505&gt;=Walmart_Sales_raw_data!$C$6437,"High","low")</f>
        <v>High</v>
      </c>
    </row>
    <row r="5506" spans="1:3">
      <c r="A5506" s="1">
        <v>39</v>
      </c>
      <c r="B5506" s="2">
        <f>Walmart_Sales_raw_data!C5506</f>
        <v>1442092.08</v>
      </c>
      <c r="C5506" t="str">
        <f>IF(B5506&gt;=Walmart_Sales_raw_data!$C$6437,"High","low")</f>
        <v>High</v>
      </c>
    </row>
    <row r="5507" spans="1:3">
      <c r="A5507" s="3">
        <v>39</v>
      </c>
      <c r="B5507" s="2">
        <f>Walmart_Sales_raw_data!C5507</f>
        <v>1451392.67</v>
      </c>
      <c r="C5507" t="str">
        <f>IF(B5507&gt;=Walmart_Sales_raw_data!$C$6437,"High","low")</f>
        <v>High</v>
      </c>
    </row>
    <row r="5508" spans="1:3">
      <c r="A5508" s="1">
        <v>39</v>
      </c>
      <c r="B5508" s="2">
        <f>Walmart_Sales_raw_data!C5508</f>
        <v>1363167.95</v>
      </c>
      <c r="C5508" t="str">
        <f>IF(B5508&gt;=Walmart_Sales_raw_data!$C$6437,"High","low")</f>
        <v>High</v>
      </c>
    </row>
    <row r="5509" spans="1:3">
      <c r="A5509" s="3">
        <v>39</v>
      </c>
      <c r="B5509" s="2">
        <f>Walmart_Sales_raw_data!C5509</f>
        <v>1429829.36</v>
      </c>
      <c r="C5509" t="str">
        <f>IF(B5509&gt;=Walmart_Sales_raw_data!$C$6437,"High","low")</f>
        <v>High</v>
      </c>
    </row>
    <row r="5510" spans="1:3">
      <c r="A5510" s="1">
        <v>39</v>
      </c>
      <c r="B5510" s="2">
        <f>Walmart_Sales_raw_data!C5510</f>
        <v>1414564.53</v>
      </c>
      <c r="C5510" t="str">
        <f>IF(B5510&gt;=Walmart_Sales_raw_data!$C$6437,"High","low")</f>
        <v>High</v>
      </c>
    </row>
    <row r="5511" spans="1:3">
      <c r="A5511" s="3">
        <v>39</v>
      </c>
      <c r="B5511" s="2">
        <f>Walmart_Sales_raw_data!C5511</f>
        <v>1380257.12</v>
      </c>
      <c r="C5511" t="str">
        <f>IF(B5511&gt;=Walmart_Sales_raw_data!$C$6437,"High","low")</f>
        <v>High</v>
      </c>
    </row>
    <row r="5512" spans="1:3">
      <c r="A5512" s="1">
        <v>39</v>
      </c>
      <c r="B5512" s="2">
        <f>Walmart_Sales_raw_data!C5512</f>
        <v>1416005.59</v>
      </c>
      <c r="C5512" t="str">
        <f>IF(B5512&gt;=Walmart_Sales_raw_data!$C$6437,"High","low")</f>
        <v>High</v>
      </c>
    </row>
    <row r="5513" spans="1:3">
      <c r="A5513" s="3">
        <v>39</v>
      </c>
      <c r="B5513" s="2">
        <f>Walmart_Sales_raw_data!C5513</f>
        <v>1426418.53</v>
      </c>
      <c r="C5513" t="str">
        <f>IF(B5513&gt;=Walmart_Sales_raw_data!$C$6437,"High","low")</f>
        <v>High</v>
      </c>
    </row>
    <row r="5514" spans="1:3">
      <c r="A5514" s="1">
        <v>39</v>
      </c>
      <c r="B5514" s="2">
        <f>Walmart_Sales_raw_data!C5514</f>
        <v>1518790.89</v>
      </c>
      <c r="C5514" t="str">
        <f>IF(B5514&gt;=Walmart_Sales_raw_data!$C$6437,"High","low")</f>
        <v>High</v>
      </c>
    </row>
    <row r="5515" spans="1:3">
      <c r="A5515" s="3">
        <v>39</v>
      </c>
      <c r="B5515" s="2">
        <f>Walmart_Sales_raw_data!C5515</f>
        <v>1514055.97</v>
      </c>
      <c r="C5515" t="str">
        <f>IF(B5515&gt;=Walmart_Sales_raw_data!$C$6437,"High","low")</f>
        <v>High</v>
      </c>
    </row>
    <row r="5516" spans="1:3">
      <c r="A5516" s="1">
        <v>39</v>
      </c>
      <c r="B5516" s="2">
        <f>Walmart_Sales_raw_data!C5516</f>
        <v>1629066.9</v>
      </c>
      <c r="C5516" t="str">
        <f>IF(B5516&gt;=Walmart_Sales_raw_data!$C$6437,"High","low")</f>
        <v>High</v>
      </c>
    </row>
    <row r="5517" spans="1:3">
      <c r="A5517" s="3">
        <v>39</v>
      </c>
      <c r="B5517" s="2">
        <f>Walmart_Sales_raw_data!C5517</f>
        <v>1573898.63</v>
      </c>
      <c r="C5517" t="str">
        <f>IF(B5517&gt;=Walmart_Sales_raw_data!$C$6437,"High","low")</f>
        <v>High</v>
      </c>
    </row>
    <row r="5518" spans="1:3">
      <c r="A5518" s="1">
        <v>39</v>
      </c>
      <c r="B5518" s="2">
        <f>Walmart_Sales_raw_data!C5518</f>
        <v>1465089.85</v>
      </c>
      <c r="C5518" t="str">
        <f>IF(B5518&gt;=Walmart_Sales_raw_data!$C$6437,"High","low")</f>
        <v>High</v>
      </c>
    </row>
    <row r="5519" spans="1:3">
      <c r="A5519" s="3">
        <v>39</v>
      </c>
      <c r="B5519" s="2">
        <f>Walmart_Sales_raw_data!C5519</f>
        <v>1429345.86</v>
      </c>
      <c r="C5519" t="str">
        <f>IF(B5519&gt;=Walmart_Sales_raw_data!$C$6437,"High","low")</f>
        <v>High</v>
      </c>
    </row>
    <row r="5520" spans="1:3">
      <c r="A5520" s="1">
        <v>39</v>
      </c>
      <c r="B5520" s="2">
        <f>Walmart_Sales_raw_data!C5520</f>
        <v>1372500.63</v>
      </c>
      <c r="C5520" t="str">
        <f>IF(B5520&gt;=Walmart_Sales_raw_data!$C$6437,"High","low")</f>
        <v>High</v>
      </c>
    </row>
    <row r="5521" spans="1:3">
      <c r="A5521" s="3">
        <v>39</v>
      </c>
      <c r="B5521" s="2">
        <f>Walmart_Sales_raw_data!C5521</f>
        <v>1338657.95</v>
      </c>
      <c r="C5521" t="str">
        <f>IF(B5521&gt;=Walmart_Sales_raw_data!$C$6437,"High","low")</f>
        <v>High</v>
      </c>
    </row>
    <row r="5522" spans="1:3">
      <c r="A5522" s="1">
        <v>39</v>
      </c>
      <c r="B5522" s="2">
        <f>Walmart_Sales_raw_data!C5522</f>
        <v>1311775.83</v>
      </c>
      <c r="C5522" t="str">
        <f>IF(B5522&gt;=Walmart_Sales_raw_data!$C$6437,"High","low")</f>
        <v>High</v>
      </c>
    </row>
    <row r="5523" spans="1:3">
      <c r="A5523" s="3">
        <v>39</v>
      </c>
      <c r="B5523" s="2">
        <f>Walmart_Sales_raw_data!C5523</f>
        <v>1443884.39</v>
      </c>
      <c r="C5523" t="str">
        <f>IF(B5523&gt;=Walmart_Sales_raw_data!$C$6437,"High","low")</f>
        <v>High</v>
      </c>
    </row>
    <row r="5524" spans="1:3">
      <c r="A5524" s="1">
        <v>39</v>
      </c>
      <c r="B5524" s="2">
        <f>Walmart_Sales_raw_data!C5524</f>
        <v>1384721.84</v>
      </c>
      <c r="C5524" t="str">
        <f>IF(B5524&gt;=Walmart_Sales_raw_data!$C$6437,"High","low")</f>
        <v>High</v>
      </c>
    </row>
    <row r="5525" spans="1:3">
      <c r="A5525" s="3">
        <v>39</v>
      </c>
      <c r="B5525" s="2">
        <f>Walmart_Sales_raw_data!C5525</f>
        <v>1465283.29</v>
      </c>
      <c r="C5525" t="str">
        <f>IF(B5525&gt;=Walmart_Sales_raw_data!$C$6437,"High","low")</f>
        <v>High</v>
      </c>
    </row>
    <row r="5526" spans="1:3">
      <c r="A5526" s="1">
        <v>39</v>
      </c>
      <c r="B5526" s="2">
        <f>Walmart_Sales_raw_data!C5526</f>
        <v>1472663.1</v>
      </c>
      <c r="C5526" t="str">
        <f>IF(B5526&gt;=Walmart_Sales_raw_data!$C$6437,"High","low")</f>
        <v>High</v>
      </c>
    </row>
    <row r="5527" spans="1:3">
      <c r="A5527" s="3">
        <v>39</v>
      </c>
      <c r="B5527" s="2">
        <f>Walmart_Sales_raw_data!C5527</f>
        <v>1553629.59</v>
      </c>
      <c r="C5527" t="str">
        <f>IF(B5527&gt;=Walmart_Sales_raw_data!$C$6437,"High","low")</f>
        <v>High</v>
      </c>
    </row>
    <row r="5528" spans="1:3">
      <c r="A5528" s="1">
        <v>39</v>
      </c>
      <c r="B5528" s="2">
        <f>Walmart_Sales_raw_data!C5528</f>
        <v>1456957.38</v>
      </c>
      <c r="C5528" t="str">
        <f>IF(B5528&gt;=Walmart_Sales_raw_data!$C$6437,"High","low")</f>
        <v>High</v>
      </c>
    </row>
    <row r="5529" spans="1:3">
      <c r="A5529" s="3">
        <v>39</v>
      </c>
      <c r="B5529" s="2">
        <f>Walmart_Sales_raw_data!C5529</f>
        <v>1510397.27</v>
      </c>
      <c r="C5529" t="str">
        <f>IF(B5529&gt;=Walmart_Sales_raw_data!$C$6437,"High","low")</f>
        <v>High</v>
      </c>
    </row>
    <row r="5530" spans="1:3">
      <c r="A5530" s="1">
        <v>39</v>
      </c>
      <c r="B5530" s="2">
        <f>Walmart_Sales_raw_data!C5530</f>
        <v>2338832.4</v>
      </c>
      <c r="C5530" t="str">
        <f>IF(B5530&gt;=Walmart_Sales_raw_data!$C$6437,"High","low")</f>
        <v>High</v>
      </c>
    </row>
    <row r="5531" spans="1:3">
      <c r="A5531" s="3">
        <v>39</v>
      </c>
      <c r="B5531" s="2">
        <f>Walmart_Sales_raw_data!C5531</f>
        <v>1632894.58</v>
      </c>
      <c r="C5531" t="str">
        <f>IF(B5531&gt;=Walmart_Sales_raw_data!$C$6437,"High","low")</f>
        <v>High</v>
      </c>
    </row>
    <row r="5532" spans="1:3">
      <c r="A5532" s="1">
        <v>39</v>
      </c>
      <c r="B5532" s="2">
        <f>Walmart_Sales_raw_data!C5532</f>
        <v>1781528.77</v>
      </c>
      <c r="C5532" t="str">
        <f>IF(B5532&gt;=Walmart_Sales_raw_data!$C$6437,"High","low")</f>
        <v>High</v>
      </c>
    </row>
    <row r="5533" spans="1:3">
      <c r="A5533" s="3">
        <v>39</v>
      </c>
      <c r="B5533" s="2">
        <f>Walmart_Sales_raw_data!C5533</f>
        <v>1991824.05</v>
      </c>
      <c r="C5533" t="str">
        <f>IF(B5533&gt;=Walmart_Sales_raw_data!$C$6437,"High","low")</f>
        <v>High</v>
      </c>
    </row>
    <row r="5534" spans="1:3">
      <c r="A5534" s="1">
        <v>39</v>
      </c>
      <c r="B5534" s="2">
        <f>Walmart_Sales_raw_data!C5534</f>
        <v>2554482.84</v>
      </c>
      <c r="C5534" t="str">
        <f>IF(B5534&gt;=Walmart_Sales_raw_data!$C$6437,"High","low")</f>
        <v>High</v>
      </c>
    </row>
    <row r="5535" spans="1:3">
      <c r="A5535" s="3">
        <v>39</v>
      </c>
      <c r="B5535" s="2">
        <f>Walmart_Sales_raw_data!C5535</f>
        <v>1537139.56</v>
      </c>
      <c r="C5535" t="str">
        <f>IF(B5535&gt;=Walmart_Sales_raw_data!$C$6437,"High","low")</f>
        <v>High</v>
      </c>
    </row>
    <row r="5536" spans="1:3">
      <c r="A5536" s="1">
        <v>39</v>
      </c>
      <c r="B5536" s="2">
        <f>Walmart_Sales_raw_data!C5536</f>
        <v>1478537.93</v>
      </c>
      <c r="C5536" t="str">
        <f>IF(B5536&gt;=Walmart_Sales_raw_data!$C$6437,"High","low")</f>
        <v>High</v>
      </c>
    </row>
    <row r="5537" spans="1:3">
      <c r="A5537" s="3">
        <v>39</v>
      </c>
      <c r="B5537" s="2">
        <f>Walmart_Sales_raw_data!C5537</f>
        <v>1369125.37</v>
      </c>
      <c r="C5537" t="str">
        <f>IF(B5537&gt;=Walmart_Sales_raw_data!$C$6437,"High","low")</f>
        <v>High</v>
      </c>
    </row>
    <row r="5538" spans="1:3">
      <c r="A5538" s="1">
        <v>39</v>
      </c>
      <c r="B5538" s="2">
        <f>Walmart_Sales_raw_data!C5538</f>
        <v>1394841.03</v>
      </c>
      <c r="C5538" t="str">
        <f>IF(B5538&gt;=Walmart_Sales_raw_data!$C$6437,"High","low")</f>
        <v>High</v>
      </c>
    </row>
    <row r="5539" spans="1:3">
      <c r="A5539" s="3">
        <v>39</v>
      </c>
      <c r="B5539" s="2">
        <f>Walmart_Sales_raw_data!C5539</f>
        <v>1320301.61</v>
      </c>
      <c r="C5539" t="str">
        <f>IF(B5539&gt;=Walmart_Sales_raw_data!$C$6437,"High","low")</f>
        <v>High</v>
      </c>
    </row>
    <row r="5540" spans="1:3">
      <c r="A5540" s="1">
        <v>39</v>
      </c>
      <c r="B5540" s="2">
        <f>Walmart_Sales_raw_data!C5540</f>
        <v>1396150.15</v>
      </c>
      <c r="C5540" t="str">
        <f>IF(B5540&gt;=Walmart_Sales_raw_data!$C$6437,"High","low")</f>
        <v>High</v>
      </c>
    </row>
    <row r="5541" spans="1:3">
      <c r="A5541" s="3">
        <v>39</v>
      </c>
      <c r="B5541" s="2">
        <f>Walmart_Sales_raw_data!C5541</f>
        <v>1442988.44</v>
      </c>
      <c r="C5541" t="str">
        <f>IF(B5541&gt;=Walmart_Sales_raw_data!$C$6437,"High","low")</f>
        <v>High</v>
      </c>
    </row>
    <row r="5542" spans="1:3">
      <c r="A5542" s="1">
        <v>39</v>
      </c>
      <c r="B5542" s="2">
        <f>Walmart_Sales_raw_data!C5542</f>
        <v>1511041.69</v>
      </c>
      <c r="C5542" t="str">
        <f>IF(B5542&gt;=Walmart_Sales_raw_data!$C$6437,"High","low")</f>
        <v>High</v>
      </c>
    </row>
    <row r="5543" spans="1:3">
      <c r="A5543" s="3">
        <v>39</v>
      </c>
      <c r="B5543" s="2">
        <f>Walmart_Sales_raw_data!C5543</f>
        <v>1412065.04</v>
      </c>
      <c r="C5543" t="str">
        <f>IF(B5543&gt;=Walmart_Sales_raw_data!$C$6437,"High","low")</f>
        <v>High</v>
      </c>
    </row>
    <row r="5544" spans="1:3">
      <c r="A5544" s="1">
        <v>39</v>
      </c>
      <c r="B5544" s="2">
        <f>Walmart_Sales_raw_data!C5544</f>
        <v>1453047.02</v>
      </c>
      <c r="C5544" t="str">
        <f>IF(B5544&gt;=Walmart_Sales_raw_data!$C$6437,"High","low")</f>
        <v>High</v>
      </c>
    </row>
    <row r="5545" spans="1:3">
      <c r="A5545" s="3">
        <v>39</v>
      </c>
      <c r="B5545" s="2">
        <f>Walmart_Sales_raw_data!C5545</f>
        <v>1470764.35</v>
      </c>
      <c r="C5545" t="str">
        <f>IF(B5545&gt;=Walmart_Sales_raw_data!$C$6437,"High","low")</f>
        <v>High</v>
      </c>
    </row>
    <row r="5546" spans="1:3">
      <c r="A5546" s="1">
        <v>39</v>
      </c>
      <c r="B5546" s="2">
        <f>Walmart_Sales_raw_data!C5546</f>
        <v>1522421.07</v>
      </c>
      <c r="C5546" t="str">
        <f>IF(B5546&gt;=Walmart_Sales_raw_data!$C$6437,"High","low")</f>
        <v>High</v>
      </c>
    </row>
    <row r="5547" spans="1:3">
      <c r="A5547" s="3">
        <v>39</v>
      </c>
      <c r="B5547" s="2">
        <f>Walmart_Sales_raw_data!C5547</f>
        <v>1469593.37</v>
      </c>
      <c r="C5547" t="str">
        <f>IF(B5547&gt;=Walmart_Sales_raw_data!$C$6437,"High","low")</f>
        <v>High</v>
      </c>
    </row>
    <row r="5548" spans="1:3">
      <c r="A5548" s="1">
        <v>39</v>
      </c>
      <c r="B5548" s="2">
        <f>Walmart_Sales_raw_data!C5548</f>
        <v>1499727.02</v>
      </c>
      <c r="C5548" t="str">
        <f>IF(B5548&gt;=Walmart_Sales_raw_data!$C$6437,"High","low")</f>
        <v>High</v>
      </c>
    </row>
    <row r="5549" spans="1:3">
      <c r="A5549" s="3">
        <v>39</v>
      </c>
      <c r="B5549" s="2">
        <f>Walmart_Sales_raw_data!C5549</f>
        <v>1764847.94</v>
      </c>
      <c r="C5549" t="str">
        <f>IF(B5549&gt;=Walmart_Sales_raw_data!$C$6437,"High","low")</f>
        <v>High</v>
      </c>
    </row>
    <row r="5550" spans="1:3">
      <c r="A5550" s="1">
        <v>39</v>
      </c>
      <c r="B5550" s="2">
        <f>Walmart_Sales_raw_data!C5550</f>
        <v>1580732.73</v>
      </c>
      <c r="C5550" t="str">
        <f>IF(B5550&gt;=Walmart_Sales_raw_data!$C$6437,"High","low")</f>
        <v>High</v>
      </c>
    </row>
    <row r="5551" spans="1:3">
      <c r="A5551" s="3">
        <v>39</v>
      </c>
      <c r="B5551" s="2">
        <f>Walmart_Sales_raw_data!C5551</f>
        <v>1433391.04</v>
      </c>
      <c r="C5551" t="str">
        <f>IF(B5551&gt;=Walmart_Sales_raw_data!$C$6437,"High","low")</f>
        <v>High</v>
      </c>
    </row>
    <row r="5552" spans="1:3">
      <c r="A5552" s="1">
        <v>39</v>
      </c>
      <c r="B5552" s="2">
        <f>Walmart_Sales_raw_data!C5552</f>
        <v>1456997.2</v>
      </c>
      <c r="C5552" t="str">
        <f>IF(B5552&gt;=Walmart_Sales_raw_data!$C$6437,"High","low")</f>
        <v>High</v>
      </c>
    </row>
    <row r="5553" spans="1:3">
      <c r="A5553" s="3">
        <v>39</v>
      </c>
      <c r="B5553" s="2">
        <f>Walmart_Sales_raw_data!C5553</f>
        <v>1512227.34</v>
      </c>
      <c r="C5553" t="str">
        <f>IF(B5553&gt;=Walmart_Sales_raw_data!$C$6437,"High","low")</f>
        <v>High</v>
      </c>
    </row>
    <row r="5554" spans="1:3">
      <c r="A5554" s="1">
        <v>39</v>
      </c>
      <c r="B5554" s="2">
        <f>Walmart_Sales_raw_data!C5554</f>
        <v>1470792.41</v>
      </c>
      <c r="C5554" t="str">
        <f>IF(B5554&gt;=Walmart_Sales_raw_data!$C$6437,"High","low")</f>
        <v>High</v>
      </c>
    </row>
    <row r="5555" spans="1:3">
      <c r="A5555" s="3">
        <v>39</v>
      </c>
      <c r="B5555" s="2">
        <f>Walmart_Sales_raw_data!C5555</f>
        <v>1522978.54</v>
      </c>
      <c r="C5555" t="str">
        <f>IF(B5555&gt;=Walmart_Sales_raw_data!$C$6437,"High","low")</f>
        <v>High</v>
      </c>
    </row>
    <row r="5556" spans="1:3">
      <c r="A5556" s="1">
        <v>39</v>
      </c>
      <c r="B5556" s="2">
        <f>Walmart_Sales_raw_data!C5556</f>
        <v>1596036.66</v>
      </c>
      <c r="C5556" t="str">
        <f>IF(B5556&gt;=Walmart_Sales_raw_data!$C$6437,"High","low")</f>
        <v>High</v>
      </c>
    </row>
    <row r="5557" spans="1:3">
      <c r="A5557" s="3">
        <v>39</v>
      </c>
      <c r="B5557" s="2">
        <f>Walmart_Sales_raw_data!C5557</f>
        <v>1640476.77</v>
      </c>
      <c r="C5557" t="str">
        <f>IF(B5557&gt;=Walmart_Sales_raw_data!$C$6437,"High","low")</f>
        <v>High</v>
      </c>
    </row>
    <row r="5558" spans="1:3">
      <c r="A5558" s="1">
        <v>39</v>
      </c>
      <c r="B5558" s="2">
        <f>Walmart_Sales_raw_data!C5558</f>
        <v>1623442.24</v>
      </c>
      <c r="C5558" t="str">
        <f>IF(B5558&gt;=Walmart_Sales_raw_data!$C$6437,"High","low")</f>
        <v>High</v>
      </c>
    </row>
    <row r="5559" spans="1:3">
      <c r="A5559" s="3">
        <v>39</v>
      </c>
      <c r="B5559" s="2">
        <f>Walmart_Sales_raw_data!C5559</f>
        <v>1587499.82</v>
      </c>
      <c r="C5559" t="str">
        <f>IF(B5559&gt;=Walmart_Sales_raw_data!$C$6437,"High","low")</f>
        <v>High</v>
      </c>
    </row>
    <row r="5560" spans="1:3">
      <c r="A5560" s="1">
        <v>39</v>
      </c>
      <c r="B5560" s="2">
        <f>Walmart_Sales_raw_data!C5560</f>
        <v>1532316.79</v>
      </c>
      <c r="C5560" t="str">
        <f>IF(B5560&gt;=Walmart_Sales_raw_data!$C$6437,"High","low")</f>
        <v>High</v>
      </c>
    </row>
    <row r="5561" spans="1:3">
      <c r="A5561" s="3">
        <v>39</v>
      </c>
      <c r="B5561" s="2">
        <f>Walmart_Sales_raw_data!C5561</f>
        <v>1492388.98</v>
      </c>
      <c r="C5561" t="str">
        <f>IF(B5561&gt;=Walmart_Sales_raw_data!$C$6437,"High","low")</f>
        <v>High</v>
      </c>
    </row>
    <row r="5562" spans="1:3">
      <c r="A5562" s="1">
        <v>39</v>
      </c>
      <c r="B5562" s="2">
        <f>Walmart_Sales_raw_data!C5562</f>
        <v>1659221.99</v>
      </c>
      <c r="C5562" t="str">
        <f>IF(B5562&gt;=Walmart_Sales_raw_data!$C$6437,"High","low")</f>
        <v>High</v>
      </c>
    </row>
    <row r="5563" spans="1:3">
      <c r="A5563" s="3">
        <v>39</v>
      </c>
      <c r="B5563" s="2">
        <f>Walmart_Sales_raw_data!C5563</f>
        <v>1471261.76</v>
      </c>
      <c r="C5563" t="str">
        <f>IF(B5563&gt;=Walmart_Sales_raw_data!$C$6437,"High","low")</f>
        <v>High</v>
      </c>
    </row>
    <row r="5564" spans="1:3">
      <c r="A5564" s="1">
        <v>39</v>
      </c>
      <c r="B5564" s="2">
        <f>Walmart_Sales_raw_data!C5564</f>
        <v>1582168.27</v>
      </c>
      <c r="C5564" t="str">
        <f>IF(B5564&gt;=Walmart_Sales_raw_data!$C$6437,"High","low")</f>
        <v>High</v>
      </c>
    </row>
    <row r="5565" spans="1:3">
      <c r="A5565" s="3">
        <v>39</v>
      </c>
      <c r="B5565" s="2">
        <f>Walmart_Sales_raw_data!C5565</f>
        <v>1487797.54</v>
      </c>
      <c r="C5565" t="str">
        <f>IF(B5565&gt;=Walmart_Sales_raw_data!$C$6437,"High","low")</f>
        <v>High</v>
      </c>
    </row>
    <row r="5566" spans="1:3">
      <c r="A5566" s="1">
        <v>39</v>
      </c>
      <c r="B5566" s="2">
        <f>Walmart_Sales_raw_data!C5566</f>
        <v>1608277.74</v>
      </c>
      <c r="C5566" t="str">
        <f>IF(B5566&gt;=Walmart_Sales_raw_data!$C$6437,"High","low")</f>
        <v>High</v>
      </c>
    </row>
    <row r="5567" spans="1:3">
      <c r="A5567" s="3">
        <v>39</v>
      </c>
      <c r="B5567" s="2">
        <f>Walmart_Sales_raw_data!C5567</f>
        <v>1641867.92</v>
      </c>
      <c r="C5567" t="str">
        <f>IF(B5567&gt;=Walmart_Sales_raw_data!$C$6437,"High","low")</f>
        <v>High</v>
      </c>
    </row>
    <row r="5568" spans="1:3">
      <c r="A5568" s="1">
        <v>39</v>
      </c>
      <c r="B5568" s="2">
        <f>Walmart_Sales_raw_data!C5568</f>
        <v>1720221.91</v>
      </c>
      <c r="C5568" t="str">
        <f>IF(B5568&gt;=Walmart_Sales_raw_data!$C$6437,"High","low")</f>
        <v>High</v>
      </c>
    </row>
    <row r="5569" spans="1:3">
      <c r="A5569" s="3">
        <v>39</v>
      </c>
      <c r="B5569" s="2">
        <f>Walmart_Sales_raw_data!C5569</f>
        <v>1724669.75</v>
      </c>
      <c r="C5569" t="str">
        <f>IF(B5569&gt;=Walmart_Sales_raw_data!$C$6437,"High","low")</f>
        <v>High</v>
      </c>
    </row>
    <row r="5570" spans="1:3">
      <c r="A5570" s="1">
        <v>39</v>
      </c>
      <c r="B5570" s="2">
        <f>Walmart_Sales_raw_data!C5570</f>
        <v>1710923.94</v>
      </c>
      <c r="C5570" t="str">
        <f>IF(B5570&gt;=Walmart_Sales_raw_data!$C$6437,"High","low")</f>
        <v>High</v>
      </c>
    </row>
    <row r="5571" spans="1:3">
      <c r="A5571" s="3">
        <v>39</v>
      </c>
      <c r="B5571" s="2">
        <f>Walmart_Sales_raw_data!C5571</f>
        <v>1609811.75</v>
      </c>
      <c r="C5571" t="str">
        <f>IF(B5571&gt;=Walmart_Sales_raw_data!$C$6437,"High","low")</f>
        <v>High</v>
      </c>
    </row>
    <row r="5572" spans="1:3">
      <c r="A5572" s="1">
        <v>39</v>
      </c>
      <c r="B5572" s="2">
        <f>Walmart_Sales_raw_data!C5572</f>
        <v>1447614.08</v>
      </c>
      <c r="C5572" t="str">
        <f>IF(B5572&gt;=Walmart_Sales_raw_data!$C$6437,"High","low")</f>
        <v>High</v>
      </c>
    </row>
    <row r="5573" spans="1:3">
      <c r="A5573" s="3">
        <v>39</v>
      </c>
      <c r="B5573" s="2">
        <f>Walmart_Sales_raw_data!C5573</f>
        <v>1555672.51</v>
      </c>
      <c r="C5573" t="str">
        <f>IF(B5573&gt;=Walmart_Sales_raw_data!$C$6437,"High","low")</f>
        <v>High</v>
      </c>
    </row>
    <row r="5574" spans="1:3">
      <c r="A5574" s="1">
        <v>39</v>
      </c>
      <c r="B5574" s="2">
        <f>Walmart_Sales_raw_data!C5574</f>
        <v>1495607.07</v>
      </c>
      <c r="C5574" t="str">
        <f>IF(B5574&gt;=Walmart_Sales_raw_data!$C$6437,"High","low")</f>
        <v>High</v>
      </c>
    </row>
    <row r="5575" spans="1:3">
      <c r="A5575" s="3">
        <v>39</v>
      </c>
      <c r="B5575" s="2">
        <f>Walmart_Sales_raw_data!C5575</f>
        <v>1574408.67</v>
      </c>
      <c r="C5575" t="str">
        <f>IF(B5575&gt;=Walmart_Sales_raw_data!$C$6437,"High","low")</f>
        <v>High</v>
      </c>
    </row>
    <row r="5576" spans="1:3">
      <c r="A5576" s="1">
        <v>39</v>
      </c>
      <c r="B5576" s="2">
        <f>Walmart_Sales_raw_data!C5576</f>
        <v>1494417.07</v>
      </c>
      <c r="C5576" t="str">
        <f>IF(B5576&gt;=Walmart_Sales_raw_data!$C$6437,"High","low")</f>
        <v>High</v>
      </c>
    </row>
    <row r="5577" spans="1:3">
      <c r="A5577" s="3">
        <v>39</v>
      </c>
      <c r="B5577" s="2">
        <f>Walmart_Sales_raw_data!C5577</f>
        <v>1577486.33</v>
      </c>
      <c r="C5577" t="str">
        <f>IF(B5577&gt;=Walmart_Sales_raw_data!$C$6437,"High","low")</f>
        <v>High</v>
      </c>
    </row>
    <row r="5578" spans="1:3">
      <c r="A5578" s="1">
        <v>39</v>
      </c>
      <c r="B5578" s="2">
        <f>Walmart_Sales_raw_data!C5578</f>
        <v>1569502</v>
      </c>
      <c r="C5578" t="str">
        <f>IF(B5578&gt;=Walmart_Sales_raw_data!$C$6437,"High","low")</f>
        <v>High</v>
      </c>
    </row>
    <row r="5579" spans="1:3">
      <c r="A5579" s="3">
        <v>40</v>
      </c>
      <c r="B5579" s="2">
        <f>Walmart_Sales_raw_data!C5579</f>
        <v>1001943.8</v>
      </c>
      <c r="C5579" t="str">
        <f>IF(B5579&gt;=Walmart_Sales_raw_data!$C$6437,"High","low")</f>
        <v>low</v>
      </c>
    </row>
    <row r="5580" spans="1:3">
      <c r="A5580" s="1">
        <v>40</v>
      </c>
      <c r="B5580" s="2">
        <f>Walmart_Sales_raw_data!C5580</f>
        <v>955338.29</v>
      </c>
      <c r="C5580" t="str">
        <f>IF(B5580&gt;=Walmart_Sales_raw_data!$C$6437,"High","low")</f>
        <v>low</v>
      </c>
    </row>
    <row r="5581" spans="1:3">
      <c r="A5581" s="3">
        <v>40</v>
      </c>
      <c r="B5581" s="2">
        <f>Walmart_Sales_raw_data!C5581</f>
        <v>916289.2</v>
      </c>
      <c r="C5581" t="str">
        <f>IF(B5581&gt;=Walmart_Sales_raw_data!$C$6437,"High","low")</f>
        <v>low</v>
      </c>
    </row>
    <row r="5582" spans="1:3">
      <c r="A5582" s="1">
        <v>40</v>
      </c>
      <c r="B5582" s="2">
        <f>Walmart_Sales_raw_data!C5582</f>
        <v>863917.41</v>
      </c>
      <c r="C5582" t="str">
        <f>IF(B5582&gt;=Walmart_Sales_raw_data!$C$6437,"High","low")</f>
        <v>low</v>
      </c>
    </row>
    <row r="5583" spans="1:3">
      <c r="A5583" s="3">
        <v>40</v>
      </c>
      <c r="B5583" s="2">
        <f>Walmart_Sales_raw_data!C5583</f>
        <v>990152.28</v>
      </c>
      <c r="C5583" t="str">
        <f>IF(B5583&gt;=Walmart_Sales_raw_data!$C$6437,"High","low")</f>
        <v>low</v>
      </c>
    </row>
    <row r="5584" spans="1:3">
      <c r="A5584" s="1">
        <v>40</v>
      </c>
      <c r="B5584" s="2">
        <f>Walmart_Sales_raw_data!C5584</f>
        <v>899352.4</v>
      </c>
      <c r="C5584" t="str">
        <f>IF(B5584&gt;=Walmart_Sales_raw_data!$C$6437,"High","low")</f>
        <v>low</v>
      </c>
    </row>
    <row r="5585" spans="1:3">
      <c r="A5585" s="3">
        <v>40</v>
      </c>
      <c r="B5585" s="2">
        <f>Walmart_Sales_raw_data!C5585</f>
        <v>894865.3</v>
      </c>
      <c r="C5585" t="str">
        <f>IF(B5585&gt;=Walmart_Sales_raw_data!$C$6437,"High","low")</f>
        <v>low</v>
      </c>
    </row>
    <row r="5586" spans="1:3">
      <c r="A5586" s="1">
        <v>40</v>
      </c>
      <c r="B5586" s="2">
        <f>Walmart_Sales_raw_data!C5586</f>
        <v>873354.58</v>
      </c>
      <c r="C5586" t="str">
        <f>IF(B5586&gt;=Walmart_Sales_raw_data!$C$6437,"High","low")</f>
        <v>low</v>
      </c>
    </row>
    <row r="5587" spans="1:3">
      <c r="A5587" s="3">
        <v>40</v>
      </c>
      <c r="B5587" s="2">
        <f>Walmart_Sales_raw_data!C5587</f>
        <v>1041202.13</v>
      </c>
      <c r="C5587" t="str">
        <f>IF(B5587&gt;=Walmart_Sales_raw_data!$C$6437,"High","low")</f>
        <v>low</v>
      </c>
    </row>
    <row r="5588" spans="1:3">
      <c r="A5588" s="1">
        <v>40</v>
      </c>
      <c r="B5588" s="2">
        <f>Walmart_Sales_raw_data!C5588</f>
        <v>919839.19</v>
      </c>
      <c r="C5588" t="str">
        <f>IF(B5588&gt;=Walmart_Sales_raw_data!$C$6437,"High","low")</f>
        <v>low</v>
      </c>
    </row>
    <row r="5589" spans="1:3">
      <c r="A5589" s="3">
        <v>40</v>
      </c>
      <c r="B5589" s="2">
        <f>Walmart_Sales_raw_data!C5589</f>
        <v>882636.96</v>
      </c>
      <c r="C5589" t="str">
        <f>IF(B5589&gt;=Walmart_Sales_raw_data!$C$6437,"High","low")</f>
        <v>low</v>
      </c>
    </row>
    <row r="5590" spans="1:3">
      <c r="A5590" s="1">
        <v>40</v>
      </c>
      <c r="B5590" s="2">
        <f>Walmart_Sales_raw_data!C5590</f>
        <v>844958.49</v>
      </c>
      <c r="C5590" t="str">
        <f>IF(B5590&gt;=Walmart_Sales_raw_data!$C$6437,"High","low")</f>
        <v>low</v>
      </c>
    </row>
    <row r="5591" spans="1:3">
      <c r="A5591" s="3">
        <v>40</v>
      </c>
      <c r="B5591" s="2">
        <f>Walmart_Sales_raw_data!C5591</f>
        <v>816838.31</v>
      </c>
      <c r="C5591" t="str">
        <f>IF(B5591&gt;=Walmart_Sales_raw_data!$C$6437,"High","low")</f>
        <v>low</v>
      </c>
    </row>
    <row r="5592" spans="1:3">
      <c r="A5592" s="1">
        <v>40</v>
      </c>
      <c r="B5592" s="2">
        <f>Walmart_Sales_raw_data!C5592</f>
        <v>1009797.06</v>
      </c>
      <c r="C5592" t="str">
        <f>IF(B5592&gt;=Walmart_Sales_raw_data!$C$6437,"High","low")</f>
        <v>low</v>
      </c>
    </row>
    <row r="5593" spans="1:3">
      <c r="A5593" s="3">
        <v>40</v>
      </c>
      <c r="B5593" s="2">
        <f>Walmart_Sales_raw_data!C5593</f>
        <v>907262.47</v>
      </c>
      <c r="C5593" t="str">
        <f>IF(B5593&gt;=Walmart_Sales_raw_data!$C$6437,"High","low")</f>
        <v>low</v>
      </c>
    </row>
    <row r="5594" spans="1:3">
      <c r="A5594" s="1">
        <v>40</v>
      </c>
      <c r="B5594" s="2">
        <f>Walmart_Sales_raw_data!C5594</f>
        <v>885613.91</v>
      </c>
      <c r="C5594" t="str">
        <f>IF(B5594&gt;=Walmart_Sales_raw_data!$C$6437,"High","low")</f>
        <v>low</v>
      </c>
    </row>
    <row r="5595" spans="1:3">
      <c r="A5595" s="3">
        <v>40</v>
      </c>
      <c r="B5595" s="2">
        <f>Walmart_Sales_raw_data!C5595</f>
        <v>1008483.07</v>
      </c>
      <c r="C5595" t="str">
        <f>IF(B5595&gt;=Walmart_Sales_raw_data!$C$6437,"High","low")</f>
        <v>low</v>
      </c>
    </row>
    <row r="5596" spans="1:3">
      <c r="A5596" s="1">
        <v>40</v>
      </c>
      <c r="B5596" s="2">
        <f>Walmart_Sales_raw_data!C5596</f>
        <v>1052429.03</v>
      </c>
      <c r="C5596" t="str">
        <f>IF(B5596&gt;=Walmart_Sales_raw_data!$C$6437,"High","low")</f>
        <v>High</v>
      </c>
    </row>
    <row r="5597" spans="1:3">
      <c r="A5597" s="3">
        <v>40</v>
      </c>
      <c r="B5597" s="2">
        <f>Walmart_Sales_raw_data!C5597</f>
        <v>1007574.67</v>
      </c>
      <c r="C5597" t="str">
        <f>IF(B5597&gt;=Walmart_Sales_raw_data!$C$6437,"High","low")</f>
        <v>low</v>
      </c>
    </row>
    <row r="5598" spans="1:3">
      <c r="A5598" s="1">
        <v>40</v>
      </c>
      <c r="B5598" s="2">
        <f>Walmart_Sales_raw_data!C5598</f>
        <v>973105.3</v>
      </c>
      <c r="C5598" t="str">
        <f>IF(B5598&gt;=Walmart_Sales_raw_data!$C$6437,"High","low")</f>
        <v>low</v>
      </c>
    </row>
    <row r="5599" spans="1:3">
      <c r="A5599" s="3">
        <v>40</v>
      </c>
      <c r="B5599" s="2">
        <f>Walmart_Sales_raw_data!C5599</f>
        <v>940405.03</v>
      </c>
      <c r="C5599" t="str">
        <f>IF(B5599&gt;=Walmart_Sales_raw_data!$C$6437,"High","low")</f>
        <v>low</v>
      </c>
    </row>
    <row r="5600" spans="1:3">
      <c r="A5600" s="1">
        <v>40</v>
      </c>
      <c r="B5600" s="2">
        <f>Walmart_Sales_raw_data!C5600</f>
        <v>1087578.78</v>
      </c>
      <c r="C5600" t="str">
        <f>IF(B5600&gt;=Walmart_Sales_raw_data!$C$6437,"High","low")</f>
        <v>High</v>
      </c>
    </row>
    <row r="5601" spans="1:3">
      <c r="A5601" s="3">
        <v>40</v>
      </c>
      <c r="B5601" s="2">
        <f>Walmart_Sales_raw_data!C5601</f>
        <v>1058250.91</v>
      </c>
      <c r="C5601" t="str">
        <f>IF(B5601&gt;=Walmart_Sales_raw_data!$C$6437,"High","low")</f>
        <v>High</v>
      </c>
    </row>
    <row r="5602" spans="1:3">
      <c r="A5602" s="1">
        <v>40</v>
      </c>
      <c r="B5602" s="2">
        <f>Walmart_Sales_raw_data!C5602</f>
        <v>959229.09</v>
      </c>
      <c r="C5602" t="str">
        <f>IF(B5602&gt;=Walmart_Sales_raw_data!$C$6437,"High","low")</f>
        <v>low</v>
      </c>
    </row>
    <row r="5603" spans="1:3">
      <c r="A5603" s="3">
        <v>40</v>
      </c>
      <c r="B5603" s="2">
        <f>Walmart_Sales_raw_data!C5603</f>
        <v>922341.82</v>
      </c>
      <c r="C5603" t="str">
        <f>IF(B5603&gt;=Walmart_Sales_raw_data!$C$6437,"High","low")</f>
        <v>low</v>
      </c>
    </row>
    <row r="5604" spans="1:3">
      <c r="A5604" s="1">
        <v>40</v>
      </c>
      <c r="B5604" s="2">
        <f>Walmart_Sales_raw_data!C5604</f>
        <v>953393.02</v>
      </c>
      <c r="C5604" t="str">
        <f>IF(B5604&gt;=Walmart_Sales_raw_data!$C$6437,"High","low")</f>
        <v>low</v>
      </c>
    </row>
    <row r="5605" spans="1:3">
      <c r="A5605" s="3">
        <v>40</v>
      </c>
      <c r="B5605" s="2">
        <f>Walmart_Sales_raw_data!C5605</f>
        <v>1057295.87</v>
      </c>
      <c r="C5605" t="str">
        <f>IF(B5605&gt;=Walmart_Sales_raw_data!$C$6437,"High","low")</f>
        <v>High</v>
      </c>
    </row>
    <row r="5606" spans="1:3">
      <c r="A5606" s="1">
        <v>40</v>
      </c>
      <c r="B5606" s="2">
        <f>Walmart_Sales_raw_data!C5606</f>
        <v>924011.76</v>
      </c>
      <c r="C5606" t="str">
        <f>IF(B5606&gt;=Walmart_Sales_raw_data!$C$6437,"High","low")</f>
        <v>low</v>
      </c>
    </row>
    <row r="5607" spans="1:3">
      <c r="A5607" s="3">
        <v>40</v>
      </c>
      <c r="B5607" s="2">
        <f>Walmart_Sales_raw_data!C5607</f>
        <v>932397</v>
      </c>
      <c r="C5607" t="str">
        <f>IF(B5607&gt;=Walmart_Sales_raw_data!$C$6437,"High","low")</f>
        <v>low</v>
      </c>
    </row>
    <row r="5608" spans="1:3">
      <c r="A5608" s="1">
        <v>40</v>
      </c>
      <c r="B5608" s="2">
        <f>Walmart_Sales_raw_data!C5608</f>
        <v>922328.02</v>
      </c>
      <c r="C5608" t="str">
        <f>IF(B5608&gt;=Walmart_Sales_raw_data!$C$6437,"High","low")</f>
        <v>low</v>
      </c>
    </row>
    <row r="5609" spans="1:3">
      <c r="A5609" s="3">
        <v>40</v>
      </c>
      <c r="B5609" s="2">
        <f>Walmart_Sales_raw_data!C5609</f>
        <v>976453.34</v>
      </c>
      <c r="C5609" t="str">
        <f>IF(B5609&gt;=Walmart_Sales_raw_data!$C$6437,"High","low")</f>
        <v>low</v>
      </c>
    </row>
    <row r="5610" spans="1:3">
      <c r="A5610" s="1">
        <v>40</v>
      </c>
      <c r="B5610" s="2">
        <f>Walmart_Sales_raw_data!C5610</f>
        <v>967310.82</v>
      </c>
      <c r="C5610" t="str">
        <f>IF(B5610&gt;=Walmart_Sales_raw_data!$C$6437,"High","low")</f>
        <v>low</v>
      </c>
    </row>
    <row r="5611" spans="1:3">
      <c r="A5611" s="3">
        <v>40</v>
      </c>
      <c r="B5611" s="2">
        <f>Walmart_Sales_raw_data!C5611</f>
        <v>855046.95</v>
      </c>
      <c r="C5611" t="str">
        <f>IF(B5611&gt;=Walmart_Sales_raw_data!$C$6437,"High","low")</f>
        <v>low</v>
      </c>
    </row>
    <row r="5612" spans="1:3">
      <c r="A5612" s="1">
        <v>40</v>
      </c>
      <c r="B5612" s="2">
        <f>Walmart_Sales_raw_data!C5612</f>
        <v>844373.31</v>
      </c>
      <c r="C5612" t="str">
        <f>IF(B5612&gt;=Walmart_Sales_raw_data!$C$6437,"High","low")</f>
        <v>low</v>
      </c>
    </row>
    <row r="5613" spans="1:3">
      <c r="A5613" s="3">
        <v>40</v>
      </c>
      <c r="B5613" s="2">
        <f>Walmart_Sales_raw_data!C5613</f>
        <v>891152.33</v>
      </c>
      <c r="C5613" t="str">
        <f>IF(B5613&gt;=Walmart_Sales_raw_data!$C$6437,"High","low")</f>
        <v>low</v>
      </c>
    </row>
    <row r="5614" spans="1:3">
      <c r="A5614" s="1">
        <v>40</v>
      </c>
      <c r="B5614" s="2">
        <f>Walmart_Sales_raw_data!C5614</f>
        <v>972405.38</v>
      </c>
      <c r="C5614" t="str">
        <f>IF(B5614&gt;=Walmart_Sales_raw_data!$C$6437,"High","low")</f>
        <v>low</v>
      </c>
    </row>
    <row r="5615" spans="1:3">
      <c r="A5615" s="3">
        <v>40</v>
      </c>
      <c r="B5615" s="2">
        <f>Walmart_Sales_raw_data!C5615</f>
        <v>917883.17</v>
      </c>
      <c r="C5615" t="str">
        <f>IF(B5615&gt;=Walmart_Sales_raw_data!$C$6437,"High","low")</f>
        <v>low</v>
      </c>
    </row>
    <row r="5616" spans="1:3">
      <c r="A5616" s="1">
        <v>40</v>
      </c>
      <c r="B5616" s="2">
        <f>Walmart_Sales_raw_data!C5616</f>
        <v>882180.91</v>
      </c>
      <c r="C5616" t="str">
        <f>IF(B5616&gt;=Walmart_Sales_raw_data!$C$6437,"High","low")</f>
        <v>low</v>
      </c>
    </row>
    <row r="5617" spans="1:3">
      <c r="A5617" s="3">
        <v>40</v>
      </c>
      <c r="B5617" s="2">
        <f>Walmart_Sales_raw_data!C5617</f>
        <v>875038.84</v>
      </c>
      <c r="C5617" t="str">
        <f>IF(B5617&gt;=Walmart_Sales_raw_data!$C$6437,"High","low")</f>
        <v>low</v>
      </c>
    </row>
    <row r="5618" spans="1:3">
      <c r="A5618" s="1">
        <v>40</v>
      </c>
      <c r="B5618" s="2">
        <f>Walmart_Sales_raw_data!C5618</f>
        <v>968270.66</v>
      </c>
      <c r="C5618" t="str">
        <f>IF(B5618&gt;=Walmart_Sales_raw_data!$C$6437,"High","low")</f>
        <v>low</v>
      </c>
    </row>
    <row r="5619" spans="1:3">
      <c r="A5619" s="3">
        <v>40</v>
      </c>
      <c r="B5619" s="2">
        <f>Walmart_Sales_raw_data!C5619</f>
        <v>935481.32</v>
      </c>
      <c r="C5619" t="str">
        <f>IF(B5619&gt;=Walmart_Sales_raw_data!$C$6437,"High","low")</f>
        <v>low</v>
      </c>
    </row>
    <row r="5620" spans="1:3">
      <c r="A5620" s="1">
        <v>40</v>
      </c>
      <c r="B5620" s="2">
        <f>Walmart_Sales_raw_data!C5620</f>
        <v>852452.93</v>
      </c>
      <c r="C5620" t="str">
        <f>IF(B5620&gt;=Walmart_Sales_raw_data!$C$6437,"High","low")</f>
        <v>low</v>
      </c>
    </row>
    <row r="5621" spans="1:3">
      <c r="A5621" s="3">
        <v>40</v>
      </c>
      <c r="B5621" s="2">
        <f>Walmart_Sales_raw_data!C5621</f>
        <v>1166142.85</v>
      </c>
      <c r="C5621" t="str">
        <f>IF(B5621&gt;=Walmart_Sales_raw_data!$C$6437,"High","low")</f>
        <v>High</v>
      </c>
    </row>
    <row r="5622" spans="1:3">
      <c r="A5622" s="1">
        <v>40</v>
      </c>
      <c r="B5622" s="2">
        <f>Walmart_Sales_raw_data!C5622</f>
        <v>1000582.06</v>
      </c>
      <c r="C5622" t="str">
        <f>IF(B5622&gt;=Walmart_Sales_raw_data!$C$6437,"High","low")</f>
        <v>low</v>
      </c>
    </row>
    <row r="5623" spans="1:3">
      <c r="A5623" s="3">
        <v>40</v>
      </c>
      <c r="B5623" s="2">
        <f>Walmart_Sales_raw_data!C5623</f>
        <v>1111215.72</v>
      </c>
      <c r="C5623" t="str">
        <f>IF(B5623&gt;=Walmart_Sales_raw_data!$C$6437,"High","low")</f>
        <v>High</v>
      </c>
    </row>
    <row r="5624" spans="1:3">
      <c r="A5624" s="1">
        <v>40</v>
      </c>
      <c r="B5624" s="2">
        <f>Walmart_Sales_raw_data!C5624</f>
        <v>1179036.3</v>
      </c>
      <c r="C5624" t="str">
        <f>IF(B5624&gt;=Walmart_Sales_raw_data!$C$6437,"High","low")</f>
        <v>High</v>
      </c>
    </row>
    <row r="5625" spans="1:3">
      <c r="A5625" s="3">
        <v>40</v>
      </c>
      <c r="B5625" s="2">
        <f>Walmart_Sales_raw_data!C5625</f>
        <v>1648829.18</v>
      </c>
      <c r="C5625" t="str">
        <f>IF(B5625&gt;=Walmart_Sales_raw_data!$C$6437,"High","low")</f>
        <v>High</v>
      </c>
    </row>
    <row r="5626" spans="1:3">
      <c r="A5626" s="1">
        <v>40</v>
      </c>
      <c r="B5626" s="2">
        <f>Walmart_Sales_raw_data!C5626</f>
        <v>811318.3</v>
      </c>
      <c r="C5626" t="str">
        <f>IF(B5626&gt;=Walmart_Sales_raw_data!$C$6437,"High","low")</f>
        <v>low</v>
      </c>
    </row>
    <row r="5627" spans="1:3">
      <c r="A5627" s="3">
        <v>40</v>
      </c>
      <c r="B5627" s="2">
        <f>Walmart_Sales_raw_data!C5627</f>
        <v>894280.19</v>
      </c>
      <c r="C5627" t="str">
        <f>IF(B5627&gt;=Walmart_Sales_raw_data!$C$6437,"High","low")</f>
        <v>low</v>
      </c>
    </row>
    <row r="5628" spans="1:3">
      <c r="A5628" s="1">
        <v>40</v>
      </c>
      <c r="B5628" s="2">
        <f>Walmart_Sales_raw_data!C5628</f>
        <v>771315.62</v>
      </c>
      <c r="C5628" t="str">
        <f>IF(B5628&gt;=Walmart_Sales_raw_data!$C$6437,"High","low")</f>
        <v>low</v>
      </c>
    </row>
    <row r="5629" spans="1:3">
      <c r="A5629" s="3">
        <v>40</v>
      </c>
      <c r="B5629" s="2">
        <f>Walmart_Sales_raw_data!C5629</f>
        <v>764014.75</v>
      </c>
      <c r="C5629" t="str">
        <f>IF(B5629&gt;=Walmart_Sales_raw_data!$C$6437,"High","low")</f>
        <v>low</v>
      </c>
    </row>
    <row r="5630" spans="1:3">
      <c r="A5630" s="1">
        <v>40</v>
      </c>
      <c r="B5630" s="2">
        <f>Walmart_Sales_raw_data!C5630</f>
        <v>775910.43</v>
      </c>
      <c r="C5630" t="str">
        <f>IF(B5630&gt;=Walmart_Sales_raw_data!$C$6437,"High","low")</f>
        <v>low</v>
      </c>
    </row>
    <row r="5631" spans="1:3">
      <c r="A5631" s="3">
        <v>40</v>
      </c>
      <c r="B5631" s="2">
        <f>Walmart_Sales_raw_data!C5631</f>
        <v>904261.65</v>
      </c>
      <c r="C5631" t="str">
        <f>IF(B5631&gt;=Walmart_Sales_raw_data!$C$6437,"High","low")</f>
        <v>low</v>
      </c>
    </row>
    <row r="5632" spans="1:3">
      <c r="A5632" s="1">
        <v>40</v>
      </c>
      <c r="B5632" s="2">
        <f>Walmart_Sales_raw_data!C5632</f>
        <v>931939.52</v>
      </c>
      <c r="C5632" t="str">
        <f>IF(B5632&gt;=Walmart_Sales_raw_data!$C$6437,"High","low")</f>
        <v>low</v>
      </c>
    </row>
    <row r="5633" spans="1:3">
      <c r="A5633" s="3">
        <v>40</v>
      </c>
      <c r="B5633" s="2">
        <f>Walmart_Sales_raw_data!C5633</f>
        <v>968694.45</v>
      </c>
      <c r="C5633" t="str">
        <f>IF(B5633&gt;=Walmart_Sales_raw_data!$C$6437,"High","low")</f>
        <v>low</v>
      </c>
    </row>
    <row r="5634" spans="1:3">
      <c r="A5634" s="1">
        <v>40</v>
      </c>
      <c r="B5634" s="2">
        <f>Walmart_Sales_raw_data!C5634</f>
        <v>888869.27</v>
      </c>
      <c r="C5634" t="str">
        <f>IF(B5634&gt;=Walmart_Sales_raw_data!$C$6437,"High","low")</f>
        <v>low</v>
      </c>
    </row>
    <row r="5635" spans="1:3">
      <c r="A5635" s="3">
        <v>40</v>
      </c>
      <c r="B5635" s="2">
        <f>Walmart_Sales_raw_data!C5635</f>
        <v>977070.62</v>
      </c>
      <c r="C5635" t="str">
        <f>IF(B5635&gt;=Walmart_Sales_raw_data!$C$6437,"High","low")</f>
        <v>low</v>
      </c>
    </row>
    <row r="5636" spans="1:3">
      <c r="A5636" s="1">
        <v>40</v>
      </c>
      <c r="B5636" s="2">
        <f>Walmart_Sales_raw_data!C5636</f>
        <v>860255.58</v>
      </c>
      <c r="C5636" t="str">
        <f>IF(B5636&gt;=Walmart_Sales_raw_data!$C$6437,"High","low")</f>
        <v>low</v>
      </c>
    </row>
    <row r="5637" spans="1:3">
      <c r="A5637" s="3">
        <v>40</v>
      </c>
      <c r="B5637" s="2">
        <f>Walmart_Sales_raw_data!C5637</f>
        <v>871024.26</v>
      </c>
      <c r="C5637" t="str">
        <f>IF(B5637&gt;=Walmart_Sales_raw_data!$C$6437,"High","low")</f>
        <v>low</v>
      </c>
    </row>
    <row r="5638" spans="1:3">
      <c r="A5638" s="1">
        <v>40</v>
      </c>
      <c r="B5638" s="2">
        <f>Walmart_Sales_raw_data!C5638</f>
        <v>834621.39</v>
      </c>
      <c r="C5638" t="str">
        <f>IF(B5638&gt;=Walmart_Sales_raw_data!$C$6437,"High","low")</f>
        <v>low</v>
      </c>
    </row>
    <row r="5639" spans="1:3">
      <c r="A5639" s="3">
        <v>40</v>
      </c>
      <c r="B5639" s="2">
        <f>Walmart_Sales_raw_data!C5639</f>
        <v>841889.08</v>
      </c>
      <c r="C5639" t="str">
        <f>IF(B5639&gt;=Walmart_Sales_raw_data!$C$6437,"High","low")</f>
        <v>low</v>
      </c>
    </row>
    <row r="5640" spans="1:3">
      <c r="A5640" s="1">
        <v>40</v>
      </c>
      <c r="B5640" s="2">
        <f>Walmart_Sales_raw_data!C5640</f>
        <v>947753.32</v>
      </c>
      <c r="C5640" t="str">
        <f>IF(B5640&gt;=Walmart_Sales_raw_data!$C$6437,"High","low")</f>
        <v>low</v>
      </c>
    </row>
    <row r="5641" spans="1:3">
      <c r="A5641" s="3">
        <v>40</v>
      </c>
      <c r="B5641" s="2">
        <f>Walmart_Sales_raw_data!C5641</f>
        <v>874446.32</v>
      </c>
      <c r="C5641" t="str">
        <f>IF(B5641&gt;=Walmart_Sales_raw_data!$C$6437,"High","low")</f>
        <v>low</v>
      </c>
    </row>
    <row r="5642" spans="1:3">
      <c r="A5642" s="1">
        <v>40</v>
      </c>
      <c r="B5642" s="2">
        <f>Walmart_Sales_raw_data!C5642</f>
        <v>965056.4</v>
      </c>
      <c r="C5642" t="str">
        <f>IF(B5642&gt;=Walmart_Sales_raw_data!$C$6437,"High","low")</f>
        <v>low</v>
      </c>
    </row>
    <row r="5643" spans="1:3">
      <c r="A5643" s="3">
        <v>40</v>
      </c>
      <c r="B5643" s="2">
        <f>Walmart_Sales_raw_data!C5643</f>
        <v>847246.5</v>
      </c>
      <c r="C5643" t="str">
        <f>IF(B5643&gt;=Walmart_Sales_raw_data!$C$6437,"High","low")</f>
        <v>low</v>
      </c>
    </row>
    <row r="5644" spans="1:3">
      <c r="A5644" s="1">
        <v>40</v>
      </c>
      <c r="B5644" s="2">
        <f>Walmart_Sales_raw_data!C5644</f>
        <v>1016752.55</v>
      </c>
      <c r="C5644" t="str">
        <f>IF(B5644&gt;=Walmart_Sales_raw_data!$C$6437,"High","low")</f>
        <v>low</v>
      </c>
    </row>
    <row r="5645" spans="1:3">
      <c r="A5645" s="3">
        <v>40</v>
      </c>
      <c r="B5645" s="2">
        <f>Walmart_Sales_raw_data!C5645</f>
        <v>903864.02</v>
      </c>
      <c r="C5645" t="str">
        <f>IF(B5645&gt;=Walmart_Sales_raw_data!$C$6437,"High","low")</f>
        <v>low</v>
      </c>
    </row>
    <row r="5646" spans="1:3">
      <c r="A5646" s="1">
        <v>40</v>
      </c>
      <c r="B5646" s="2">
        <f>Walmart_Sales_raw_data!C5646</f>
        <v>907110.83</v>
      </c>
      <c r="C5646" t="str">
        <f>IF(B5646&gt;=Walmart_Sales_raw_data!$C$6437,"High","low")</f>
        <v>low</v>
      </c>
    </row>
    <row r="5647" spans="1:3">
      <c r="A5647" s="3">
        <v>40</v>
      </c>
      <c r="B5647" s="2">
        <f>Walmart_Sales_raw_data!C5647</f>
        <v>972373.81</v>
      </c>
      <c r="C5647" t="str">
        <f>IF(B5647&gt;=Walmart_Sales_raw_data!$C$6437,"High","low")</f>
        <v>low</v>
      </c>
    </row>
    <row r="5648" spans="1:3">
      <c r="A5648" s="1">
        <v>40</v>
      </c>
      <c r="B5648" s="2">
        <f>Walmart_Sales_raw_data!C5648</f>
        <v>1075687.74</v>
      </c>
      <c r="C5648" t="str">
        <f>IF(B5648&gt;=Walmart_Sales_raw_data!$C$6437,"High","low")</f>
        <v>High</v>
      </c>
    </row>
    <row r="5649" spans="1:3">
      <c r="A5649" s="3">
        <v>40</v>
      </c>
      <c r="B5649" s="2">
        <f>Walmart_Sales_raw_data!C5649</f>
        <v>984336.04</v>
      </c>
      <c r="C5649" t="str">
        <f>IF(B5649&gt;=Walmart_Sales_raw_data!$C$6437,"High","low")</f>
        <v>low</v>
      </c>
    </row>
    <row r="5650" spans="1:3">
      <c r="A5650" s="1">
        <v>40</v>
      </c>
      <c r="B5650" s="2">
        <f>Walmart_Sales_raw_data!C5650</f>
        <v>971422.67</v>
      </c>
      <c r="C5650" t="str">
        <f>IF(B5650&gt;=Walmart_Sales_raw_data!$C$6437,"High","low")</f>
        <v>low</v>
      </c>
    </row>
    <row r="5651" spans="1:3">
      <c r="A5651" s="3">
        <v>40</v>
      </c>
      <c r="B5651" s="2">
        <f>Walmart_Sales_raw_data!C5651</f>
        <v>977103.64</v>
      </c>
      <c r="C5651" t="str">
        <f>IF(B5651&gt;=Walmart_Sales_raw_data!$C$6437,"High","low")</f>
        <v>low</v>
      </c>
    </row>
    <row r="5652" spans="1:3">
      <c r="A5652" s="1">
        <v>40</v>
      </c>
      <c r="B5652" s="2">
        <f>Walmart_Sales_raw_data!C5652</f>
        <v>1048866.3</v>
      </c>
      <c r="C5652" t="str">
        <f>IF(B5652&gt;=Walmart_Sales_raw_data!$C$6437,"High","low")</f>
        <v>High</v>
      </c>
    </row>
    <row r="5653" spans="1:3">
      <c r="A5653" s="3">
        <v>40</v>
      </c>
      <c r="B5653" s="2">
        <f>Walmart_Sales_raw_data!C5653</f>
        <v>1107366.06</v>
      </c>
      <c r="C5653" t="str">
        <f>IF(B5653&gt;=Walmart_Sales_raw_data!$C$6437,"High","low")</f>
        <v>High</v>
      </c>
    </row>
    <row r="5654" spans="1:3">
      <c r="A5654" s="1">
        <v>40</v>
      </c>
      <c r="B5654" s="2">
        <f>Walmart_Sales_raw_data!C5654</f>
        <v>953252.14</v>
      </c>
      <c r="C5654" t="str">
        <f>IF(B5654&gt;=Walmart_Sales_raw_data!$C$6437,"High","low")</f>
        <v>low</v>
      </c>
    </row>
    <row r="5655" spans="1:3">
      <c r="A5655" s="3">
        <v>40</v>
      </c>
      <c r="B5655" s="2">
        <f>Walmart_Sales_raw_data!C5655</f>
        <v>980642.1</v>
      </c>
      <c r="C5655" t="str">
        <f>IF(B5655&gt;=Walmart_Sales_raw_data!$C$6437,"High","low")</f>
        <v>low</v>
      </c>
    </row>
    <row r="5656" spans="1:3">
      <c r="A5656" s="1">
        <v>40</v>
      </c>
      <c r="B5656" s="2">
        <f>Walmart_Sales_raw_data!C5656</f>
        <v>929096.9</v>
      </c>
      <c r="C5656" t="str">
        <f>IF(B5656&gt;=Walmart_Sales_raw_data!$C$6437,"High","low")</f>
        <v>low</v>
      </c>
    </row>
    <row r="5657" spans="1:3">
      <c r="A5657" s="3">
        <v>40</v>
      </c>
      <c r="B5657" s="2">
        <f>Walmart_Sales_raw_data!C5657</f>
        <v>1063818.2</v>
      </c>
      <c r="C5657" t="str">
        <f>IF(B5657&gt;=Walmart_Sales_raw_data!$C$6437,"High","low")</f>
        <v>High</v>
      </c>
    </row>
    <row r="5658" spans="1:3">
      <c r="A5658" s="1">
        <v>40</v>
      </c>
      <c r="B5658" s="2">
        <f>Walmart_Sales_raw_data!C5658</f>
        <v>955506.95</v>
      </c>
      <c r="C5658" t="str">
        <f>IF(B5658&gt;=Walmart_Sales_raw_data!$C$6437,"High","low")</f>
        <v>low</v>
      </c>
    </row>
    <row r="5659" spans="1:3">
      <c r="A5659" s="3">
        <v>40</v>
      </c>
      <c r="B5659" s="2">
        <f>Walmart_Sales_raw_data!C5659</f>
        <v>943237.12</v>
      </c>
      <c r="C5659" t="str">
        <f>IF(B5659&gt;=Walmart_Sales_raw_data!$C$6437,"High","low")</f>
        <v>low</v>
      </c>
    </row>
    <row r="5660" spans="1:3">
      <c r="A5660" s="1">
        <v>40</v>
      </c>
      <c r="B5660" s="2">
        <f>Walmart_Sales_raw_data!C5660</f>
        <v>969611.3</v>
      </c>
      <c r="C5660" t="str">
        <f>IF(B5660&gt;=Walmart_Sales_raw_data!$C$6437,"High","low")</f>
        <v>low</v>
      </c>
    </row>
    <row r="5661" spans="1:3">
      <c r="A5661" s="3">
        <v>40</v>
      </c>
      <c r="B5661" s="2">
        <f>Walmart_Sales_raw_data!C5661</f>
        <v>957298.26</v>
      </c>
      <c r="C5661" t="str">
        <f>IF(B5661&gt;=Walmart_Sales_raw_data!$C$6437,"High","low")</f>
        <v>low</v>
      </c>
    </row>
    <row r="5662" spans="1:3">
      <c r="A5662" s="1">
        <v>40</v>
      </c>
      <c r="B5662" s="2">
        <f>Walmart_Sales_raw_data!C5662</f>
        <v>1021391.99</v>
      </c>
      <c r="C5662" t="str">
        <f>IF(B5662&gt;=Walmart_Sales_raw_data!$C$6437,"High","low")</f>
        <v>low</v>
      </c>
    </row>
    <row r="5663" spans="1:3">
      <c r="A5663" s="3">
        <v>40</v>
      </c>
      <c r="B5663" s="2">
        <f>Walmart_Sales_raw_data!C5663</f>
        <v>890661.79</v>
      </c>
      <c r="C5663" t="str">
        <f>IF(B5663&gt;=Walmart_Sales_raw_data!$C$6437,"High","low")</f>
        <v>low</v>
      </c>
    </row>
    <row r="5664" spans="1:3">
      <c r="A5664" s="1">
        <v>40</v>
      </c>
      <c r="B5664" s="2">
        <f>Walmart_Sales_raw_data!C5664</f>
        <v>876583.98</v>
      </c>
      <c r="C5664" t="str">
        <f>IF(B5664&gt;=Walmart_Sales_raw_data!$C$6437,"High","low")</f>
        <v>low</v>
      </c>
    </row>
    <row r="5665" spans="1:3">
      <c r="A5665" s="3">
        <v>40</v>
      </c>
      <c r="B5665" s="2">
        <f>Walmart_Sales_raw_data!C5665</f>
        <v>912857.1</v>
      </c>
      <c r="C5665" t="str">
        <f>IF(B5665&gt;=Walmart_Sales_raw_data!$C$6437,"High","low")</f>
        <v>low</v>
      </c>
    </row>
    <row r="5666" spans="1:3">
      <c r="A5666" s="1">
        <v>40</v>
      </c>
      <c r="B5666" s="2">
        <f>Walmart_Sales_raw_data!C5666</f>
        <v>1070389.98</v>
      </c>
      <c r="C5666" t="str">
        <f>IF(B5666&gt;=Walmart_Sales_raw_data!$C$6437,"High","low")</f>
        <v>High</v>
      </c>
    </row>
    <row r="5667" spans="1:3">
      <c r="A5667" s="3">
        <v>40</v>
      </c>
      <c r="B5667" s="2">
        <f>Walmart_Sales_raw_data!C5667</f>
        <v>936751.68</v>
      </c>
      <c r="C5667" t="str">
        <f>IF(B5667&gt;=Walmart_Sales_raw_data!$C$6437,"High","low")</f>
        <v>low</v>
      </c>
    </row>
    <row r="5668" spans="1:3">
      <c r="A5668" s="1">
        <v>40</v>
      </c>
      <c r="B5668" s="2">
        <f>Walmart_Sales_raw_data!C5668</f>
        <v>942319.65</v>
      </c>
      <c r="C5668" t="str">
        <f>IF(B5668&gt;=Walmart_Sales_raw_data!$C$6437,"High","low")</f>
        <v>low</v>
      </c>
    </row>
    <row r="5669" spans="1:3">
      <c r="A5669" s="3">
        <v>40</v>
      </c>
      <c r="B5669" s="2">
        <f>Walmart_Sales_raw_data!C5669</f>
        <v>941675.95</v>
      </c>
      <c r="C5669" t="str">
        <f>IF(B5669&gt;=Walmart_Sales_raw_data!$C$6437,"High","low")</f>
        <v>low</v>
      </c>
    </row>
    <row r="5670" spans="1:3">
      <c r="A5670" s="1">
        <v>40</v>
      </c>
      <c r="B5670" s="2">
        <f>Walmart_Sales_raw_data!C5670</f>
        <v>1011321.18</v>
      </c>
      <c r="C5670" t="str">
        <f>IF(B5670&gt;=Walmart_Sales_raw_data!$C$6437,"High","low")</f>
        <v>low</v>
      </c>
    </row>
    <row r="5671" spans="1:3">
      <c r="A5671" s="3">
        <v>40</v>
      </c>
      <c r="B5671" s="2">
        <f>Walmart_Sales_raw_data!C5671</f>
        <v>1037687.07</v>
      </c>
      <c r="C5671" t="str">
        <f>IF(B5671&gt;=Walmart_Sales_raw_data!$C$6437,"High","low")</f>
        <v>low</v>
      </c>
    </row>
    <row r="5672" spans="1:3">
      <c r="A5672" s="1">
        <v>40</v>
      </c>
      <c r="B5672" s="2">
        <f>Walmart_Sales_raw_data!C5672</f>
        <v>905399.99</v>
      </c>
      <c r="C5672" t="str">
        <f>IF(B5672&gt;=Walmart_Sales_raw_data!$C$6437,"High","low")</f>
        <v>low</v>
      </c>
    </row>
    <row r="5673" spans="1:3">
      <c r="A5673" s="3">
        <v>40</v>
      </c>
      <c r="B5673" s="2">
        <f>Walmart_Sales_raw_data!C5673</f>
        <v>1230011.95</v>
      </c>
      <c r="C5673" t="str">
        <f>IF(B5673&gt;=Walmart_Sales_raw_data!$C$6437,"High","low")</f>
        <v>High</v>
      </c>
    </row>
    <row r="5674" spans="1:3">
      <c r="A5674" s="1">
        <v>40</v>
      </c>
      <c r="B5674" s="2">
        <f>Walmart_Sales_raw_data!C5674</f>
        <v>1059676.62</v>
      </c>
      <c r="C5674" t="str">
        <f>IF(B5674&gt;=Walmart_Sales_raw_data!$C$6437,"High","low")</f>
        <v>High</v>
      </c>
    </row>
    <row r="5675" spans="1:3">
      <c r="A5675" s="3">
        <v>40</v>
      </c>
      <c r="B5675" s="2">
        <f>Walmart_Sales_raw_data!C5675</f>
        <v>1158708.98</v>
      </c>
      <c r="C5675" t="str">
        <f>IF(B5675&gt;=Walmart_Sales_raw_data!$C$6437,"High","low")</f>
        <v>High</v>
      </c>
    </row>
    <row r="5676" spans="1:3">
      <c r="A5676" s="1">
        <v>40</v>
      </c>
      <c r="B5676" s="2">
        <f>Walmart_Sales_raw_data!C5676</f>
        <v>1198670.19</v>
      </c>
      <c r="C5676" t="str">
        <f>IF(B5676&gt;=Walmart_Sales_raw_data!$C$6437,"High","low")</f>
        <v>High</v>
      </c>
    </row>
    <row r="5677" spans="1:3">
      <c r="A5677" s="3">
        <v>40</v>
      </c>
      <c r="B5677" s="2">
        <f>Walmart_Sales_raw_data!C5677</f>
        <v>1601585.7</v>
      </c>
      <c r="C5677" t="str">
        <f>IF(B5677&gt;=Walmart_Sales_raw_data!$C$6437,"High","low")</f>
        <v>High</v>
      </c>
    </row>
    <row r="5678" spans="1:3">
      <c r="A5678" s="1">
        <v>40</v>
      </c>
      <c r="B5678" s="2">
        <f>Walmart_Sales_raw_data!C5678</f>
        <v>908853.15</v>
      </c>
      <c r="C5678" t="str">
        <f>IF(B5678&gt;=Walmart_Sales_raw_data!$C$6437,"High","low")</f>
        <v>low</v>
      </c>
    </row>
    <row r="5679" spans="1:3">
      <c r="A5679" s="3">
        <v>40</v>
      </c>
      <c r="B5679" s="2">
        <f>Walmart_Sales_raw_data!C5679</f>
        <v>954576.86</v>
      </c>
      <c r="C5679" t="str">
        <f>IF(B5679&gt;=Walmart_Sales_raw_data!$C$6437,"High","low")</f>
        <v>low</v>
      </c>
    </row>
    <row r="5680" spans="1:3">
      <c r="A5680" s="1">
        <v>40</v>
      </c>
      <c r="B5680" s="2">
        <f>Walmart_Sales_raw_data!C5680</f>
        <v>780607.52</v>
      </c>
      <c r="C5680" t="str">
        <f>IF(B5680&gt;=Walmart_Sales_raw_data!$C$6437,"High","low")</f>
        <v>low</v>
      </c>
    </row>
    <row r="5681" spans="1:3">
      <c r="A5681" s="3">
        <v>40</v>
      </c>
      <c r="B5681" s="2">
        <f>Walmart_Sales_raw_data!C5681</f>
        <v>811365.42</v>
      </c>
      <c r="C5681" t="str">
        <f>IF(B5681&gt;=Walmart_Sales_raw_data!$C$6437,"High","low")</f>
        <v>low</v>
      </c>
    </row>
    <row r="5682" spans="1:3">
      <c r="A5682" s="1">
        <v>40</v>
      </c>
      <c r="B5682" s="2">
        <f>Walmart_Sales_raw_data!C5682</f>
        <v>770157.29</v>
      </c>
      <c r="C5682" t="str">
        <f>IF(B5682&gt;=Walmart_Sales_raw_data!$C$6437,"High","low")</f>
        <v>low</v>
      </c>
    </row>
    <row r="5683" spans="1:3">
      <c r="A5683" s="3">
        <v>40</v>
      </c>
      <c r="B5683" s="2">
        <f>Walmart_Sales_raw_data!C5683</f>
        <v>979552.34</v>
      </c>
      <c r="C5683" t="str">
        <f>IF(B5683&gt;=Walmart_Sales_raw_data!$C$6437,"High","low")</f>
        <v>low</v>
      </c>
    </row>
    <row r="5684" spans="1:3">
      <c r="A5684" s="1">
        <v>40</v>
      </c>
      <c r="B5684" s="2">
        <f>Walmart_Sales_raw_data!C5684</f>
        <v>999785.48</v>
      </c>
      <c r="C5684" t="str">
        <f>IF(B5684&gt;=Walmart_Sales_raw_data!$C$6437,"High","low")</f>
        <v>low</v>
      </c>
    </row>
    <row r="5685" spans="1:3">
      <c r="A5685" s="3">
        <v>40</v>
      </c>
      <c r="B5685" s="2">
        <f>Walmart_Sales_raw_data!C5685</f>
        <v>975500.87</v>
      </c>
      <c r="C5685" t="str">
        <f>IF(B5685&gt;=Walmart_Sales_raw_data!$C$6437,"High","low")</f>
        <v>low</v>
      </c>
    </row>
    <row r="5686" spans="1:3">
      <c r="A5686" s="1">
        <v>40</v>
      </c>
      <c r="B5686" s="2">
        <f>Walmart_Sales_raw_data!C5686</f>
        <v>919301.81</v>
      </c>
      <c r="C5686" t="str">
        <f>IF(B5686&gt;=Walmart_Sales_raw_data!$C$6437,"High","low")</f>
        <v>low</v>
      </c>
    </row>
    <row r="5687" spans="1:3">
      <c r="A5687" s="3">
        <v>40</v>
      </c>
      <c r="B5687" s="2">
        <f>Walmart_Sales_raw_data!C5687</f>
        <v>927732.02</v>
      </c>
      <c r="C5687" t="str">
        <f>IF(B5687&gt;=Walmart_Sales_raw_data!$C$6437,"High","low")</f>
        <v>low</v>
      </c>
    </row>
    <row r="5688" spans="1:3">
      <c r="A5688" s="1">
        <v>40</v>
      </c>
      <c r="B5688" s="2">
        <f>Walmart_Sales_raw_data!C5688</f>
        <v>954233.87</v>
      </c>
      <c r="C5688" t="str">
        <f>IF(B5688&gt;=Walmart_Sales_raw_data!$C$6437,"High","low")</f>
        <v>low</v>
      </c>
    </row>
    <row r="5689" spans="1:3">
      <c r="A5689" s="3">
        <v>40</v>
      </c>
      <c r="B5689" s="2">
        <f>Walmart_Sales_raw_data!C5689</f>
        <v>891154.18</v>
      </c>
      <c r="C5689" t="str">
        <f>IF(B5689&gt;=Walmart_Sales_raw_data!$C$6437,"High","low")</f>
        <v>low</v>
      </c>
    </row>
    <row r="5690" spans="1:3">
      <c r="A5690" s="1">
        <v>40</v>
      </c>
      <c r="B5690" s="2">
        <f>Walmart_Sales_raw_data!C5690</f>
        <v>844490.86</v>
      </c>
      <c r="C5690" t="str">
        <f>IF(B5690&gt;=Walmart_Sales_raw_data!$C$6437,"High","low")</f>
        <v>low</v>
      </c>
    </row>
    <row r="5691" spans="1:3">
      <c r="A5691" s="3">
        <v>40</v>
      </c>
      <c r="B5691" s="2">
        <f>Walmart_Sales_raw_data!C5691</f>
        <v>871945.64</v>
      </c>
      <c r="C5691" t="str">
        <f>IF(B5691&gt;=Walmart_Sales_raw_data!$C$6437,"High","low")</f>
        <v>low</v>
      </c>
    </row>
    <row r="5692" spans="1:3">
      <c r="A5692" s="1">
        <v>40</v>
      </c>
      <c r="B5692" s="2">
        <f>Walmart_Sales_raw_data!C5692</f>
        <v>1132064.23</v>
      </c>
      <c r="C5692" t="str">
        <f>IF(B5692&gt;=Walmart_Sales_raw_data!$C$6437,"High","low")</f>
        <v>High</v>
      </c>
    </row>
    <row r="5693" spans="1:3">
      <c r="A5693" s="3">
        <v>40</v>
      </c>
      <c r="B5693" s="2">
        <f>Walmart_Sales_raw_data!C5693</f>
        <v>857811.17</v>
      </c>
      <c r="C5693" t="str">
        <f>IF(B5693&gt;=Walmart_Sales_raw_data!$C$6437,"High","low")</f>
        <v>low</v>
      </c>
    </row>
    <row r="5694" spans="1:3">
      <c r="A5694" s="1">
        <v>40</v>
      </c>
      <c r="B5694" s="2">
        <f>Walmart_Sales_raw_data!C5694</f>
        <v>896979.93</v>
      </c>
      <c r="C5694" t="str">
        <f>IF(B5694&gt;=Walmart_Sales_raw_data!$C$6437,"High","low")</f>
        <v>low</v>
      </c>
    </row>
    <row r="5695" spans="1:3">
      <c r="A5695" s="3">
        <v>40</v>
      </c>
      <c r="B5695" s="2">
        <f>Walmart_Sales_raw_data!C5695</f>
        <v>875372.91</v>
      </c>
      <c r="C5695" t="str">
        <f>IF(B5695&gt;=Walmart_Sales_raw_data!$C$6437,"High","low")</f>
        <v>low</v>
      </c>
    </row>
    <row r="5696" spans="1:3">
      <c r="A5696" s="1">
        <v>40</v>
      </c>
      <c r="B5696" s="2">
        <f>Walmart_Sales_raw_data!C5696</f>
        <v>993311.59</v>
      </c>
      <c r="C5696" t="str">
        <f>IF(B5696&gt;=Walmart_Sales_raw_data!$C$6437,"High","low")</f>
        <v>low</v>
      </c>
    </row>
    <row r="5697" spans="1:3">
      <c r="A5697" s="3">
        <v>40</v>
      </c>
      <c r="B5697" s="2">
        <f>Walmart_Sales_raw_data!C5697</f>
        <v>967729.35</v>
      </c>
      <c r="C5697" t="str">
        <f>IF(B5697&gt;=Walmart_Sales_raw_data!$C$6437,"High","low")</f>
        <v>low</v>
      </c>
    </row>
    <row r="5698" spans="1:3">
      <c r="A5698" s="1">
        <v>40</v>
      </c>
      <c r="B5698" s="2">
        <f>Walmart_Sales_raw_data!C5698</f>
        <v>896295.41</v>
      </c>
      <c r="C5698" t="str">
        <f>IF(B5698&gt;=Walmart_Sales_raw_data!$C$6437,"High","low")</f>
        <v>low</v>
      </c>
    </row>
    <row r="5699" spans="1:3">
      <c r="A5699" s="3">
        <v>40</v>
      </c>
      <c r="B5699" s="2">
        <f>Walmart_Sales_raw_data!C5699</f>
        <v>991054.49</v>
      </c>
      <c r="C5699" t="str">
        <f>IF(B5699&gt;=Walmart_Sales_raw_data!$C$6437,"High","low")</f>
        <v>low</v>
      </c>
    </row>
    <row r="5700" spans="1:3">
      <c r="A5700" s="1">
        <v>40</v>
      </c>
      <c r="B5700" s="2">
        <f>Walmart_Sales_raw_data!C5700</f>
        <v>1037464.27</v>
      </c>
      <c r="C5700" t="str">
        <f>IF(B5700&gt;=Walmart_Sales_raw_data!$C$6437,"High","low")</f>
        <v>low</v>
      </c>
    </row>
    <row r="5701" spans="1:3">
      <c r="A5701" s="3">
        <v>40</v>
      </c>
      <c r="B5701" s="2">
        <f>Walmart_Sales_raw_data!C5701</f>
        <v>1079386.88</v>
      </c>
      <c r="C5701" t="str">
        <f>IF(B5701&gt;=Walmart_Sales_raw_data!$C$6437,"High","low")</f>
        <v>High</v>
      </c>
    </row>
    <row r="5702" spans="1:3">
      <c r="A5702" s="1">
        <v>40</v>
      </c>
      <c r="B5702" s="2">
        <f>Walmart_Sales_raw_data!C5702</f>
        <v>977950.28</v>
      </c>
      <c r="C5702" t="str">
        <f>IF(B5702&gt;=Walmart_Sales_raw_data!$C$6437,"High","low")</f>
        <v>low</v>
      </c>
    </row>
    <row r="5703" spans="1:3">
      <c r="A5703" s="3">
        <v>40</v>
      </c>
      <c r="B5703" s="2">
        <f>Walmart_Sales_raw_data!C5703</f>
        <v>1033552.18</v>
      </c>
      <c r="C5703" t="str">
        <f>IF(B5703&gt;=Walmart_Sales_raw_data!$C$6437,"High","low")</f>
        <v>low</v>
      </c>
    </row>
    <row r="5704" spans="1:3">
      <c r="A5704" s="1">
        <v>40</v>
      </c>
      <c r="B5704" s="2">
        <f>Walmart_Sales_raw_data!C5704</f>
        <v>988764.84</v>
      </c>
      <c r="C5704" t="str">
        <f>IF(B5704&gt;=Walmart_Sales_raw_data!$C$6437,"High","low")</f>
        <v>low</v>
      </c>
    </row>
    <row r="5705" spans="1:3">
      <c r="A5705" s="3">
        <v>40</v>
      </c>
      <c r="B5705" s="2">
        <f>Walmart_Sales_raw_data!C5705</f>
        <v>1182901.56</v>
      </c>
      <c r="C5705" t="str">
        <f>IF(B5705&gt;=Walmart_Sales_raw_data!$C$6437,"High","low")</f>
        <v>High</v>
      </c>
    </row>
    <row r="5706" spans="1:3">
      <c r="A5706" s="1">
        <v>40</v>
      </c>
      <c r="B5706" s="2">
        <f>Walmart_Sales_raw_data!C5706</f>
        <v>979848.71</v>
      </c>
      <c r="C5706" t="str">
        <f>IF(B5706&gt;=Walmart_Sales_raw_data!$C$6437,"High","low")</f>
        <v>low</v>
      </c>
    </row>
    <row r="5707" spans="1:3">
      <c r="A5707" s="3">
        <v>40</v>
      </c>
      <c r="B5707" s="2">
        <f>Walmart_Sales_raw_data!C5707</f>
        <v>968502.38</v>
      </c>
      <c r="C5707" t="str">
        <f>IF(B5707&gt;=Walmart_Sales_raw_data!$C$6437,"High","low")</f>
        <v>low</v>
      </c>
    </row>
    <row r="5708" spans="1:3">
      <c r="A5708" s="1">
        <v>40</v>
      </c>
      <c r="B5708" s="2">
        <f>Walmart_Sales_raw_data!C5708</f>
        <v>954396.85</v>
      </c>
      <c r="C5708" t="str">
        <f>IF(B5708&gt;=Walmart_Sales_raw_data!$C$6437,"High","low")</f>
        <v>low</v>
      </c>
    </row>
    <row r="5709" spans="1:3">
      <c r="A5709" s="3">
        <v>40</v>
      </c>
      <c r="B5709" s="2">
        <f>Walmart_Sales_raw_data!C5709</f>
        <v>1068346.76</v>
      </c>
      <c r="C5709" t="str">
        <f>IF(B5709&gt;=Walmart_Sales_raw_data!$C$6437,"High","low")</f>
        <v>High</v>
      </c>
    </row>
    <row r="5710" spans="1:3">
      <c r="A5710" s="1">
        <v>40</v>
      </c>
      <c r="B5710" s="2">
        <f>Walmart_Sales_raw_data!C5710</f>
        <v>1007906.43</v>
      </c>
      <c r="C5710" t="str">
        <f>IF(B5710&gt;=Walmart_Sales_raw_data!$C$6437,"High","low")</f>
        <v>low</v>
      </c>
    </row>
    <row r="5711" spans="1:3">
      <c r="A5711" s="3">
        <v>40</v>
      </c>
      <c r="B5711" s="2">
        <f>Walmart_Sales_raw_data!C5711</f>
        <v>969387.48</v>
      </c>
      <c r="C5711" t="str">
        <f>IF(B5711&gt;=Walmart_Sales_raw_data!$C$6437,"High","low")</f>
        <v>low</v>
      </c>
    </row>
    <row r="5712" spans="1:3">
      <c r="A5712" s="1">
        <v>40</v>
      </c>
      <c r="B5712" s="2">
        <f>Walmart_Sales_raw_data!C5712</f>
        <v>945318.47</v>
      </c>
      <c r="C5712" t="str">
        <f>IF(B5712&gt;=Walmart_Sales_raw_data!$C$6437,"High","low")</f>
        <v>low</v>
      </c>
    </row>
    <row r="5713" spans="1:3">
      <c r="A5713" s="3">
        <v>40</v>
      </c>
      <c r="B5713" s="2">
        <f>Walmart_Sales_raw_data!C5713</f>
        <v>987264.67</v>
      </c>
      <c r="C5713" t="str">
        <f>IF(B5713&gt;=Walmart_Sales_raw_data!$C$6437,"High","low")</f>
        <v>low</v>
      </c>
    </row>
    <row r="5714" spans="1:3">
      <c r="A5714" s="1">
        <v>40</v>
      </c>
      <c r="B5714" s="2">
        <f>Walmart_Sales_raw_data!C5714</f>
        <v>1088248.4</v>
      </c>
      <c r="C5714" t="str">
        <f>IF(B5714&gt;=Walmart_Sales_raw_data!$C$6437,"High","low")</f>
        <v>High</v>
      </c>
    </row>
    <row r="5715" spans="1:3">
      <c r="A5715" s="3">
        <v>40</v>
      </c>
      <c r="B5715" s="2">
        <f>Walmart_Sales_raw_data!C5715</f>
        <v>901709.82</v>
      </c>
      <c r="C5715" t="str">
        <f>IF(B5715&gt;=Walmart_Sales_raw_data!$C$6437,"High","low")</f>
        <v>low</v>
      </c>
    </row>
    <row r="5716" spans="1:3">
      <c r="A5716" s="1">
        <v>40</v>
      </c>
      <c r="B5716" s="2">
        <f>Walmart_Sales_raw_data!C5716</f>
        <v>899768.4</v>
      </c>
      <c r="C5716" t="str">
        <f>IF(B5716&gt;=Walmart_Sales_raw_data!$C$6437,"High","low")</f>
        <v>low</v>
      </c>
    </row>
    <row r="5717" spans="1:3">
      <c r="A5717" s="3">
        <v>40</v>
      </c>
      <c r="B5717" s="2">
        <f>Walmart_Sales_raw_data!C5717</f>
        <v>919595.44</v>
      </c>
      <c r="C5717" t="str">
        <f>IF(B5717&gt;=Walmart_Sales_raw_data!$C$6437,"High","low")</f>
        <v>low</v>
      </c>
    </row>
    <row r="5718" spans="1:3">
      <c r="A5718" s="1">
        <v>40</v>
      </c>
      <c r="B5718" s="2">
        <f>Walmart_Sales_raw_data!C5718</f>
        <v>1069112</v>
      </c>
      <c r="C5718" t="str">
        <f>IF(B5718&gt;=Walmart_Sales_raw_data!$C$6437,"High","low")</f>
        <v>High</v>
      </c>
    </row>
    <row r="5719" spans="1:3">
      <c r="A5719" s="3">
        <v>40</v>
      </c>
      <c r="B5719" s="2">
        <f>Walmart_Sales_raw_data!C5719</f>
        <v>982523.26</v>
      </c>
      <c r="C5719" t="str">
        <f>IF(B5719&gt;=Walmart_Sales_raw_data!$C$6437,"High","low")</f>
        <v>low</v>
      </c>
    </row>
    <row r="5720" spans="1:3">
      <c r="A5720" s="1">
        <v>40</v>
      </c>
      <c r="B5720" s="2">
        <f>Walmart_Sales_raw_data!C5720</f>
        <v>918170.5</v>
      </c>
      <c r="C5720" t="str">
        <f>IF(B5720&gt;=Walmart_Sales_raw_data!$C$6437,"High","low")</f>
        <v>low</v>
      </c>
    </row>
    <row r="5721" spans="1:3">
      <c r="A5721" s="3">
        <v>40</v>
      </c>
      <c r="B5721" s="2">
        <f>Walmart_Sales_raw_data!C5721</f>
        <v>921264.52</v>
      </c>
      <c r="C5721" t="str">
        <f>IF(B5721&gt;=Walmart_Sales_raw_data!$C$6437,"High","low")</f>
        <v>low</v>
      </c>
    </row>
    <row r="5722" spans="1:3">
      <c r="A5722" s="1">
        <v>41</v>
      </c>
      <c r="B5722" s="2">
        <f>Walmart_Sales_raw_data!C5722</f>
        <v>1086533.18</v>
      </c>
      <c r="C5722" t="str">
        <f>IF(B5722&gt;=Walmart_Sales_raw_data!$C$6437,"High","low")</f>
        <v>High</v>
      </c>
    </row>
    <row r="5723" spans="1:3">
      <c r="A5723" s="3">
        <v>41</v>
      </c>
      <c r="B5723" s="2">
        <f>Walmart_Sales_raw_data!C5723</f>
        <v>1075656.34</v>
      </c>
      <c r="C5723" t="str">
        <f>IF(B5723&gt;=Walmart_Sales_raw_data!$C$6437,"High","low")</f>
        <v>High</v>
      </c>
    </row>
    <row r="5724" spans="1:3">
      <c r="A5724" s="1">
        <v>41</v>
      </c>
      <c r="B5724" s="2">
        <f>Walmart_Sales_raw_data!C5724</f>
        <v>1052034.74</v>
      </c>
      <c r="C5724" t="str">
        <f>IF(B5724&gt;=Walmart_Sales_raw_data!$C$6437,"High","low")</f>
        <v>High</v>
      </c>
    </row>
    <row r="5725" spans="1:3">
      <c r="A5725" s="3">
        <v>41</v>
      </c>
      <c r="B5725" s="2">
        <f>Walmart_Sales_raw_data!C5725</f>
        <v>991941.73</v>
      </c>
      <c r="C5725" t="str">
        <f>IF(B5725&gt;=Walmart_Sales_raw_data!$C$6437,"High","low")</f>
        <v>low</v>
      </c>
    </row>
    <row r="5726" spans="1:3">
      <c r="A5726" s="1">
        <v>41</v>
      </c>
      <c r="B5726" s="2">
        <f>Walmart_Sales_raw_data!C5726</f>
        <v>1063557.49</v>
      </c>
      <c r="C5726" t="str">
        <f>IF(B5726&gt;=Walmart_Sales_raw_data!$C$6437,"High","low")</f>
        <v>High</v>
      </c>
    </row>
    <row r="5727" spans="1:3">
      <c r="A5727" s="3">
        <v>41</v>
      </c>
      <c r="B5727" s="2">
        <f>Walmart_Sales_raw_data!C5727</f>
        <v>1023997.71</v>
      </c>
      <c r="C5727" t="str">
        <f>IF(B5727&gt;=Walmart_Sales_raw_data!$C$6437,"High","low")</f>
        <v>low</v>
      </c>
    </row>
    <row r="5728" spans="1:3">
      <c r="A5728" s="1">
        <v>41</v>
      </c>
      <c r="B5728" s="2">
        <f>Walmart_Sales_raw_data!C5728</f>
        <v>1006597.69</v>
      </c>
      <c r="C5728" t="str">
        <f>IF(B5728&gt;=Walmart_Sales_raw_data!$C$6437,"High","low")</f>
        <v>low</v>
      </c>
    </row>
    <row r="5729" spans="1:3">
      <c r="A5729" s="3">
        <v>41</v>
      </c>
      <c r="B5729" s="2">
        <f>Walmart_Sales_raw_data!C5729</f>
        <v>1015196.46</v>
      </c>
      <c r="C5729" t="str">
        <f>IF(B5729&gt;=Walmart_Sales_raw_data!$C$6437,"High","low")</f>
        <v>low</v>
      </c>
    </row>
    <row r="5730" spans="1:3">
      <c r="A5730" s="1">
        <v>41</v>
      </c>
      <c r="B5730" s="2">
        <f>Walmart_Sales_raw_data!C5730</f>
        <v>1168826.39</v>
      </c>
      <c r="C5730" t="str">
        <f>IF(B5730&gt;=Walmart_Sales_raw_data!$C$6437,"High","low")</f>
        <v>High</v>
      </c>
    </row>
    <row r="5731" spans="1:3">
      <c r="A5731" s="3">
        <v>41</v>
      </c>
      <c r="B5731" s="2">
        <f>Walmart_Sales_raw_data!C5731</f>
        <v>1082158.21</v>
      </c>
      <c r="C5731" t="str">
        <f>IF(B5731&gt;=Walmart_Sales_raw_data!$C$6437,"High","low")</f>
        <v>High</v>
      </c>
    </row>
    <row r="5732" spans="1:3">
      <c r="A5732" s="1">
        <v>41</v>
      </c>
      <c r="B5732" s="2">
        <f>Walmart_Sales_raw_data!C5732</f>
        <v>1043388.79</v>
      </c>
      <c r="C5732" t="str">
        <f>IF(B5732&gt;=Walmart_Sales_raw_data!$C$6437,"High","low")</f>
        <v>low</v>
      </c>
    </row>
    <row r="5733" spans="1:3">
      <c r="A5733" s="3">
        <v>41</v>
      </c>
      <c r="B5733" s="2">
        <f>Walmart_Sales_raw_data!C5733</f>
        <v>1067340.74</v>
      </c>
      <c r="C5733" t="str">
        <f>IF(B5733&gt;=Walmart_Sales_raw_data!$C$6437,"High","low")</f>
        <v>High</v>
      </c>
    </row>
    <row r="5734" spans="1:3">
      <c r="A5734" s="1">
        <v>41</v>
      </c>
      <c r="B5734" s="2">
        <f>Walmart_Sales_raw_data!C5734</f>
        <v>1063960.11</v>
      </c>
      <c r="C5734" t="str">
        <f>IF(B5734&gt;=Walmart_Sales_raw_data!$C$6437,"High","low")</f>
        <v>High</v>
      </c>
    </row>
    <row r="5735" spans="1:3">
      <c r="A5735" s="3">
        <v>41</v>
      </c>
      <c r="B5735" s="2">
        <f>Walmart_Sales_raw_data!C5735</f>
        <v>1175738.22</v>
      </c>
      <c r="C5735" t="str">
        <f>IF(B5735&gt;=Walmart_Sales_raw_data!$C$6437,"High","low")</f>
        <v>High</v>
      </c>
    </row>
    <row r="5736" spans="1:3">
      <c r="A5736" s="1">
        <v>41</v>
      </c>
      <c r="B5736" s="2">
        <f>Walmart_Sales_raw_data!C5736</f>
        <v>1116439.02</v>
      </c>
      <c r="C5736" t="str">
        <f>IF(B5736&gt;=Walmart_Sales_raw_data!$C$6437,"High","low")</f>
        <v>High</v>
      </c>
    </row>
    <row r="5737" spans="1:3">
      <c r="A5737" s="3">
        <v>41</v>
      </c>
      <c r="B5737" s="2">
        <f>Walmart_Sales_raw_data!C5737</f>
        <v>1163234.33</v>
      </c>
      <c r="C5737" t="str">
        <f>IF(B5737&gt;=Walmart_Sales_raw_data!$C$6437,"High","low")</f>
        <v>High</v>
      </c>
    </row>
    <row r="5738" spans="1:3">
      <c r="A5738" s="1">
        <v>41</v>
      </c>
      <c r="B5738" s="2">
        <f>Walmart_Sales_raw_data!C5738</f>
        <v>1246654.24</v>
      </c>
      <c r="C5738" t="str">
        <f>IF(B5738&gt;=Walmart_Sales_raw_data!$C$6437,"High","low")</f>
        <v>High</v>
      </c>
    </row>
    <row r="5739" spans="1:3">
      <c r="A5739" s="3">
        <v>41</v>
      </c>
      <c r="B5739" s="2">
        <f>Walmart_Sales_raw_data!C5739</f>
        <v>1305068.1</v>
      </c>
      <c r="C5739" t="str">
        <f>IF(B5739&gt;=Walmart_Sales_raw_data!$C$6437,"High","low")</f>
        <v>High</v>
      </c>
    </row>
    <row r="5740" spans="1:3">
      <c r="A5740" s="1">
        <v>41</v>
      </c>
      <c r="B5740" s="2">
        <f>Walmart_Sales_raw_data!C5740</f>
        <v>1217199.39</v>
      </c>
      <c r="C5740" t="str">
        <f>IF(B5740&gt;=Walmart_Sales_raw_data!$C$6437,"High","low")</f>
        <v>High</v>
      </c>
    </row>
    <row r="5741" spans="1:3">
      <c r="A5741" s="3">
        <v>41</v>
      </c>
      <c r="B5741" s="2">
        <f>Walmart_Sales_raw_data!C5741</f>
        <v>1202963.06</v>
      </c>
      <c r="C5741" t="str">
        <f>IF(B5741&gt;=Walmart_Sales_raw_data!$C$6437,"High","low")</f>
        <v>High</v>
      </c>
    </row>
    <row r="5742" spans="1:3">
      <c r="A5742" s="1">
        <v>41</v>
      </c>
      <c r="B5742" s="2">
        <f>Walmart_Sales_raw_data!C5742</f>
        <v>1174209.52</v>
      </c>
      <c r="C5742" t="str">
        <f>IF(B5742&gt;=Walmart_Sales_raw_data!$C$6437,"High","low")</f>
        <v>High</v>
      </c>
    </row>
    <row r="5743" spans="1:3">
      <c r="A5743" s="3">
        <v>41</v>
      </c>
      <c r="B5743" s="2">
        <f>Walmart_Sales_raw_data!C5743</f>
        <v>1273279.79</v>
      </c>
      <c r="C5743" t="str">
        <f>IF(B5743&gt;=Walmart_Sales_raw_data!$C$6437,"High","low")</f>
        <v>High</v>
      </c>
    </row>
    <row r="5744" spans="1:3">
      <c r="A5744" s="1">
        <v>41</v>
      </c>
      <c r="B5744" s="2">
        <f>Walmart_Sales_raw_data!C5744</f>
        <v>1176079.59</v>
      </c>
      <c r="C5744" t="str">
        <f>IF(B5744&gt;=Walmart_Sales_raw_data!$C$6437,"High","low")</f>
        <v>High</v>
      </c>
    </row>
    <row r="5745" spans="1:3">
      <c r="A5745" s="3">
        <v>41</v>
      </c>
      <c r="B5745" s="2">
        <f>Walmart_Sales_raw_data!C5745</f>
        <v>1179788.38</v>
      </c>
      <c r="C5745" t="str">
        <f>IF(B5745&gt;=Walmart_Sales_raw_data!$C$6437,"High","low")</f>
        <v>High</v>
      </c>
    </row>
    <row r="5746" spans="1:3">
      <c r="A5746" s="1">
        <v>41</v>
      </c>
      <c r="B5746" s="2">
        <f>Walmart_Sales_raw_data!C5746</f>
        <v>1192213.87</v>
      </c>
      <c r="C5746" t="str">
        <f>IF(B5746&gt;=Walmart_Sales_raw_data!$C$6437,"High","low")</f>
        <v>High</v>
      </c>
    </row>
    <row r="5747" spans="1:3">
      <c r="A5747" s="3">
        <v>41</v>
      </c>
      <c r="B5747" s="2">
        <f>Walmart_Sales_raw_data!C5747</f>
        <v>1211136.63</v>
      </c>
      <c r="C5747" t="str">
        <f>IF(B5747&gt;=Walmart_Sales_raw_data!$C$6437,"High","low")</f>
        <v>High</v>
      </c>
    </row>
    <row r="5748" spans="1:3">
      <c r="A5748" s="1">
        <v>41</v>
      </c>
      <c r="B5748" s="2">
        <f>Walmart_Sales_raw_data!C5748</f>
        <v>1338132.72</v>
      </c>
      <c r="C5748" t="str">
        <f>IF(B5748&gt;=Walmart_Sales_raw_data!$C$6437,"High","low")</f>
        <v>High</v>
      </c>
    </row>
    <row r="5749" spans="1:3">
      <c r="A5749" s="3">
        <v>41</v>
      </c>
      <c r="B5749" s="2">
        <f>Walmart_Sales_raw_data!C5749</f>
        <v>1285976.53</v>
      </c>
      <c r="C5749" t="str">
        <f>IF(B5749&gt;=Walmart_Sales_raw_data!$C$6437,"High","low")</f>
        <v>High</v>
      </c>
    </row>
    <row r="5750" spans="1:3">
      <c r="A5750" s="1">
        <v>41</v>
      </c>
      <c r="B5750" s="2">
        <f>Walmart_Sales_raw_data!C5750</f>
        <v>1353838.39</v>
      </c>
      <c r="C5750" t="str">
        <f>IF(B5750&gt;=Walmart_Sales_raw_data!$C$6437,"High","low")</f>
        <v>High</v>
      </c>
    </row>
    <row r="5751" spans="1:3">
      <c r="A5751" s="3">
        <v>41</v>
      </c>
      <c r="B5751" s="2">
        <f>Walmart_Sales_raw_data!C5751</f>
        <v>1173131.63</v>
      </c>
      <c r="C5751" t="str">
        <f>IF(B5751&gt;=Walmart_Sales_raw_data!$C$6437,"High","low")</f>
        <v>High</v>
      </c>
    </row>
    <row r="5752" spans="1:3">
      <c r="A5752" s="1">
        <v>41</v>
      </c>
      <c r="B5752" s="2">
        <f>Walmart_Sales_raw_data!C5752</f>
        <v>1223355.5</v>
      </c>
      <c r="C5752" t="str">
        <f>IF(B5752&gt;=Walmart_Sales_raw_data!$C$6437,"High","low")</f>
        <v>High</v>
      </c>
    </row>
    <row r="5753" spans="1:3">
      <c r="A5753" s="3">
        <v>41</v>
      </c>
      <c r="B5753" s="2">
        <f>Walmart_Sales_raw_data!C5753</f>
        <v>1172672.27</v>
      </c>
      <c r="C5753" t="str">
        <f>IF(B5753&gt;=Walmart_Sales_raw_data!$C$6437,"High","low")</f>
        <v>High</v>
      </c>
    </row>
    <row r="5754" spans="1:3">
      <c r="A5754" s="1">
        <v>41</v>
      </c>
      <c r="B5754" s="2">
        <f>Walmart_Sales_raw_data!C5754</f>
        <v>1111170.91</v>
      </c>
      <c r="C5754" t="str">
        <f>IF(B5754&gt;=Walmart_Sales_raw_data!$C$6437,"High","low")</f>
        <v>High</v>
      </c>
    </row>
    <row r="5755" spans="1:3">
      <c r="A5755" s="3">
        <v>41</v>
      </c>
      <c r="B5755" s="2">
        <f>Walmart_Sales_raw_data!C5755</f>
        <v>1110941.78</v>
      </c>
      <c r="C5755" t="str">
        <f>IF(B5755&gt;=Walmart_Sales_raw_data!$C$6437,"High","low")</f>
        <v>High</v>
      </c>
    </row>
    <row r="5756" spans="1:3">
      <c r="A5756" s="1">
        <v>41</v>
      </c>
      <c r="B5756" s="2">
        <f>Walmart_Sales_raw_data!C5756</f>
        <v>1109216.35</v>
      </c>
      <c r="C5756" t="str">
        <f>IF(B5756&gt;=Walmart_Sales_raw_data!$C$6437,"High","low")</f>
        <v>High</v>
      </c>
    </row>
    <row r="5757" spans="1:3">
      <c r="A5757" s="3">
        <v>41</v>
      </c>
      <c r="B5757" s="2">
        <f>Walmart_Sales_raw_data!C5757</f>
        <v>1162042.24</v>
      </c>
      <c r="C5757" t="str">
        <f>IF(B5757&gt;=Walmart_Sales_raw_data!$C$6437,"High","low")</f>
        <v>High</v>
      </c>
    </row>
    <row r="5758" spans="1:3">
      <c r="A5758" s="1">
        <v>41</v>
      </c>
      <c r="B5758" s="2">
        <f>Walmart_Sales_raw_data!C5758</f>
        <v>1133913.33</v>
      </c>
      <c r="C5758" t="str">
        <f>IF(B5758&gt;=Walmart_Sales_raw_data!$C$6437,"High","low")</f>
        <v>High</v>
      </c>
    </row>
    <row r="5759" spans="1:3">
      <c r="A5759" s="3">
        <v>41</v>
      </c>
      <c r="B5759" s="2">
        <f>Walmart_Sales_raw_data!C5759</f>
        <v>1156003.7</v>
      </c>
      <c r="C5759" t="str">
        <f>IF(B5759&gt;=Walmart_Sales_raw_data!$C$6437,"High","low")</f>
        <v>High</v>
      </c>
    </row>
    <row r="5760" spans="1:3">
      <c r="A5760" s="1">
        <v>41</v>
      </c>
      <c r="B5760" s="2">
        <f>Walmart_Sales_raw_data!C5760</f>
        <v>1144854.56</v>
      </c>
      <c r="C5760" t="str">
        <f>IF(B5760&gt;=Walmart_Sales_raw_data!$C$6437,"High","low")</f>
        <v>High</v>
      </c>
    </row>
    <row r="5761" spans="1:3">
      <c r="A5761" s="3">
        <v>41</v>
      </c>
      <c r="B5761" s="2">
        <f>Walmart_Sales_raw_data!C5761</f>
        <v>1163878.49</v>
      </c>
      <c r="C5761" t="str">
        <f>IF(B5761&gt;=Walmart_Sales_raw_data!$C$6437,"High","low")</f>
        <v>High</v>
      </c>
    </row>
    <row r="5762" spans="1:3">
      <c r="A5762" s="1">
        <v>41</v>
      </c>
      <c r="B5762" s="2">
        <f>Walmart_Sales_raw_data!C5762</f>
        <v>1175326.23</v>
      </c>
      <c r="C5762" t="str">
        <f>IF(B5762&gt;=Walmart_Sales_raw_data!$C$6437,"High","low")</f>
        <v>High</v>
      </c>
    </row>
    <row r="5763" spans="1:3">
      <c r="A5763" s="3">
        <v>41</v>
      </c>
      <c r="B5763" s="2">
        <f>Walmart_Sales_raw_data!C5763</f>
        <v>1172155.28</v>
      </c>
      <c r="C5763" t="str">
        <f>IF(B5763&gt;=Walmart_Sales_raw_data!$C$6437,"High","low")</f>
        <v>High</v>
      </c>
    </row>
    <row r="5764" spans="1:3">
      <c r="A5764" s="1">
        <v>41</v>
      </c>
      <c r="B5764" s="2">
        <f>Walmart_Sales_raw_data!C5764</f>
        <v>1866681.57</v>
      </c>
      <c r="C5764" t="str">
        <f>IF(B5764&gt;=Walmart_Sales_raw_data!$C$6437,"High","low")</f>
        <v>High</v>
      </c>
    </row>
    <row r="5765" spans="1:3">
      <c r="A5765" s="3">
        <v>41</v>
      </c>
      <c r="B5765" s="2">
        <f>Walmart_Sales_raw_data!C5765</f>
        <v>1220115.75</v>
      </c>
      <c r="C5765" t="str">
        <f>IF(B5765&gt;=Walmart_Sales_raw_data!$C$6437,"High","low")</f>
        <v>High</v>
      </c>
    </row>
    <row r="5766" spans="1:3">
      <c r="A5766" s="1">
        <v>41</v>
      </c>
      <c r="B5766" s="2">
        <f>Walmart_Sales_raw_data!C5766</f>
        <v>1434908.13</v>
      </c>
      <c r="C5766" t="str">
        <f>IF(B5766&gt;=Walmart_Sales_raw_data!$C$6437,"High","low")</f>
        <v>High</v>
      </c>
    </row>
    <row r="5767" spans="1:3">
      <c r="A5767" s="3">
        <v>41</v>
      </c>
      <c r="B5767" s="2">
        <f>Walmart_Sales_raw_data!C5767</f>
        <v>1627904.68</v>
      </c>
      <c r="C5767" t="str">
        <f>IF(B5767&gt;=Walmart_Sales_raw_data!$C$6437,"High","low")</f>
        <v>High</v>
      </c>
    </row>
    <row r="5768" spans="1:3">
      <c r="A5768" s="1">
        <v>41</v>
      </c>
      <c r="B5768" s="2">
        <f>Walmart_Sales_raw_data!C5768</f>
        <v>2225016.73</v>
      </c>
      <c r="C5768" t="str">
        <f>IF(B5768&gt;=Walmart_Sales_raw_data!$C$6437,"High","low")</f>
        <v>High</v>
      </c>
    </row>
    <row r="5769" spans="1:3">
      <c r="A5769" s="3">
        <v>41</v>
      </c>
      <c r="B5769" s="2">
        <f>Walmart_Sales_raw_data!C5769</f>
        <v>1001790.16</v>
      </c>
      <c r="C5769" t="str">
        <f>IF(B5769&gt;=Walmart_Sales_raw_data!$C$6437,"High","low")</f>
        <v>low</v>
      </c>
    </row>
    <row r="5770" spans="1:3">
      <c r="A5770" s="1">
        <v>41</v>
      </c>
      <c r="B5770" s="2">
        <f>Walmart_Sales_raw_data!C5770</f>
        <v>1153596.53</v>
      </c>
      <c r="C5770" t="str">
        <f>IF(B5770&gt;=Walmart_Sales_raw_data!$C$6437,"High","low")</f>
        <v>High</v>
      </c>
    </row>
    <row r="5771" spans="1:3">
      <c r="A5771" s="3">
        <v>41</v>
      </c>
      <c r="B5771" s="2">
        <f>Walmart_Sales_raw_data!C5771</f>
        <v>1052609.16</v>
      </c>
      <c r="C5771" t="str">
        <f>IF(B5771&gt;=Walmart_Sales_raw_data!$C$6437,"High","low")</f>
        <v>High</v>
      </c>
    </row>
    <row r="5772" spans="1:3">
      <c r="A5772" s="1">
        <v>41</v>
      </c>
      <c r="B5772" s="2">
        <f>Walmart_Sales_raw_data!C5772</f>
        <v>1088025.8</v>
      </c>
      <c r="C5772" t="str">
        <f>IF(B5772&gt;=Walmart_Sales_raw_data!$C$6437,"High","low")</f>
        <v>High</v>
      </c>
    </row>
    <row r="5773" spans="1:3">
      <c r="A5773" s="3">
        <v>41</v>
      </c>
      <c r="B5773" s="2">
        <f>Walmart_Sales_raw_data!C5773</f>
        <v>1026439.93</v>
      </c>
      <c r="C5773" t="str">
        <f>IF(B5773&gt;=Walmart_Sales_raw_data!$C$6437,"High","low")</f>
        <v>low</v>
      </c>
    </row>
    <row r="5774" spans="1:3">
      <c r="A5774" s="1">
        <v>41</v>
      </c>
      <c r="B5774" s="2">
        <f>Walmart_Sales_raw_data!C5774</f>
        <v>1179420.5</v>
      </c>
      <c r="C5774" t="str">
        <f>IF(B5774&gt;=Walmart_Sales_raw_data!$C$6437,"High","low")</f>
        <v>High</v>
      </c>
    </row>
    <row r="5775" spans="1:3">
      <c r="A5775" s="3">
        <v>41</v>
      </c>
      <c r="B5775" s="2">
        <f>Walmart_Sales_raw_data!C5775</f>
        <v>1150003.36</v>
      </c>
      <c r="C5775" t="str">
        <f>IF(B5775&gt;=Walmart_Sales_raw_data!$C$6437,"High","low")</f>
        <v>High</v>
      </c>
    </row>
    <row r="5776" spans="1:3">
      <c r="A5776" s="1">
        <v>41</v>
      </c>
      <c r="B5776" s="2">
        <f>Walmart_Sales_raw_data!C5776</f>
        <v>1203399.64</v>
      </c>
      <c r="C5776" t="str">
        <f>IF(B5776&gt;=Walmart_Sales_raw_data!$C$6437,"High","low")</f>
        <v>High</v>
      </c>
    </row>
    <row r="5777" spans="1:3">
      <c r="A5777" s="3">
        <v>41</v>
      </c>
      <c r="B5777" s="2">
        <f>Walmart_Sales_raw_data!C5777</f>
        <v>1099714.93</v>
      </c>
      <c r="C5777" t="str">
        <f>IF(B5777&gt;=Walmart_Sales_raw_data!$C$6437,"High","low")</f>
        <v>High</v>
      </c>
    </row>
    <row r="5778" spans="1:3">
      <c r="A5778" s="1">
        <v>41</v>
      </c>
      <c r="B5778" s="2">
        <f>Walmart_Sales_raw_data!C5778</f>
        <v>1229257.7</v>
      </c>
      <c r="C5778" t="str">
        <f>IF(B5778&gt;=Walmart_Sales_raw_data!$C$6437,"High","low")</f>
        <v>High</v>
      </c>
    </row>
    <row r="5779" spans="1:3">
      <c r="A5779" s="3">
        <v>41</v>
      </c>
      <c r="B5779" s="2">
        <f>Walmart_Sales_raw_data!C5779</f>
        <v>1159089.6</v>
      </c>
      <c r="C5779" t="str">
        <f>IF(B5779&gt;=Walmart_Sales_raw_data!$C$6437,"High","low")</f>
        <v>High</v>
      </c>
    </row>
    <row r="5780" spans="1:3">
      <c r="A5780" s="1">
        <v>41</v>
      </c>
      <c r="B5780" s="2">
        <f>Walmart_Sales_raw_data!C5780</f>
        <v>1115504.26</v>
      </c>
      <c r="C5780" t="str">
        <f>IF(B5780&gt;=Walmart_Sales_raw_data!$C$6437,"High","low")</f>
        <v>High</v>
      </c>
    </row>
    <row r="5781" spans="1:3">
      <c r="A5781" s="3">
        <v>41</v>
      </c>
      <c r="B5781" s="2">
        <f>Walmart_Sales_raw_data!C5781</f>
        <v>1140578.16</v>
      </c>
      <c r="C5781" t="str">
        <f>IF(B5781&gt;=Walmart_Sales_raw_data!$C$6437,"High","low")</f>
        <v>High</v>
      </c>
    </row>
    <row r="5782" spans="1:3">
      <c r="A5782" s="1">
        <v>41</v>
      </c>
      <c r="B5782" s="2">
        <f>Walmart_Sales_raw_data!C5782</f>
        <v>1179125.48</v>
      </c>
      <c r="C5782" t="str">
        <f>IF(B5782&gt;=Walmart_Sales_raw_data!$C$6437,"High","low")</f>
        <v>High</v>
      </c>
    </row>
    <row r="5783" spans="1:3">
      <c r="A5783" s="3">
        <v>41</v>
      </c>
      <c r="B5783" s="2">
        <f>Walmart_Sales_raw_data!C5783</f>
        <v>1206252.12</v>
      </c>
      <c r="C5783" t="str">
        <f>IF(B5783&gt;=Walmart_Sales_raw_data!$C$6437,"High","low")</f>
        <v>High</v>
      </c>
    </row>
    <row r="5784" spans="1:3">
      <c r="A5784" s="1">
        <v>41</v>
      </c>
      <c r="B5784" s="2">
        <f>Walmart_Sales_raw_data!C5784</f>
        <v>1192982.07</v>
      </c>
      <c r="C5784" t="str">
        <f>IF(B5784&gt;=Walmart_Sales_raw_data!$C$6437,"High","low")</f>
        <v>High</v>
      </c>
    </row>
    <row r="5785" spans="1:3">
      <c r="A5785" s="3">
        <v>41</v>
      </c>
      <c r="B5785" s="2">
        <f>Walmart_Sales_raw_data!C5785</f>
        <v>1304481.75</v>
      </c>
      <c r="C5785" t="str">
        <f>IF(B5785&gt;=Walmart_Sales_raw_data!$C$6437,"High","low")</f>
        <v>High</v>
      </c>
    </row>
    <row r="5786" spans="1:3">
      <c r="A5786" s="1">
        <v>41</v>
      </c>
      <c r="B5786" s="2">
        <f>Walmart_Sales_raw_data!C5786</f>
        <v>1178841.05</v>
      </c>
      <c r="C5786" t="str">
        <f>IF(B5786&gt;=Walmart_Sales_raw_data!$C$6437,"High","low")</f>
        <v>High</v>
      </c>
    </row>
    <row r="5787" spans="1:3">
      <c r="A5787" s="3">
        <v>41</v>
      </c>
      <c r="B5787" s="2">
        <f>Walmart_Sales_raw_data!C5787</f>
        <v>1244956.91</v>
      </c>
      <c r="C5787" t="str">
        <f>IF(B5787&gt;=Walmart_Sales_raw_data!$C$6437,"High","low")</f>
        <v>High</v>
      </c>
    </row>
    <row r="5788" spans="1:3">
      <c r="A5788" s="1">
        <v>41</v>
      </c>
      <c r="B5788" s="2">
        <f>Walmart_Sales_raw_data!C5788</f>
        <v>1270025.74</v>
      </c>
      <c r="C5788" t="str">
        <f>IF(B5788&gt;=Walmart_Sales_raw_data!$C$6437,"High","low")</f>
        <v>High</v>
      </c>
    </row>
    <row r="5789" spans="1:3">
      <c r="A5789" s="3">
        <v>41</v>
      </c>
      <c r="B5789" s="2">
        <f>Walmart_Sales_raw_data!C5789</f>
        <v>1244542.33</v>
      </c>
      <c r="C5789" t="str">
        <f>IF(B5789&gt;=Walmart_Sales_raw_data!$C$6437,"High","low")</f>
        <v>High</v>
      </c>
    </row>
    <row r="5790" spans="1:3">
      <c r="A5790" s="1">
        <v>41</v>
      </c>
      <c r="B5790" s="2">
        <f>Walmart_Sales_raw_data!C5790</f>
        <v>1278304.33</v>
      </c>
      <c r="C5790" t="str">
        <f>IF(B5790&gt;=Walmart_Sales_raw_data!$C$6437,"High","low")</f>
        <v>High</v>
      </c>
    </row>
    <row r="5791" spans="1:3">
      <c r="A5791" s="3">
        <v>41</v>
      </c>
      <c r="B5791" s="2">
        <f>Walmart_Sales_raw_data!C5791</f>
        <v>1297584.95</v>
      </c>
      <c r="C5791" t="str">
        <f>IF(B5791&gt;=Walmart_Sales_raw_data!$C$6437,"High","low")</f>
        <v>High</v>
      </c>
    </row>
    <row r="5792" spans="1:3">
      <c r="A5792" s="1">
        <v>41</v>
      </c>
      <c r="B5792" s="2">
        <f>Walmart_Sales_raw_data!C5792</f>
        <v>1311690.11</v>
      </c>
      <c r="C5792" t="str">
        <f>IF(B5792&gt;=Walmart_Sales_raw_data!$C$6437,"High","low")</f>
        <v>High</v>
      </c>
    </row>
    <row r="5793" spans="1:3">
      <c r="A5793" s="3">
        <v>41</v>
      </c>
      <c r="B5793" s="2">
        <f>Walmart_Sales_raw_data!C5793</f>
        <v>1289151.84</v>
      </c>
      <c r="C5793" t="str">
        <f>IF(B5793&gt;=Walmart_Sales_raw_data!$C$6437,"High","low")</f>
        <v>High</v>
      </c>
    </row>
    <row r="5794" spans="1:3">
      <c r="A5794" s="1">
        <v>41</v>
      </c>
      <c r="B5794" s="2">
        <f>Walmart_Sales_raw_data!C5794</f>
        <v>1244381.98</v>
      </c>
      <c r="C5794" t="str">
        <f>IF(B5794&gt;=Walmart_Sales_raw_data!$C$6437,"High","low")</f>
        <v>High</v>
      </c>
    </row>
    <row r="5795" spans="1:3">
      <c r="A5795" s="3">
        <v>41</v>
      </c>
      <c r="B5795" s="2">
        <f>Walmart_Sales_raw_data!C5795</f>
        <v>1333347.78</v>
      </c>
      <c r="C5795" t="str">
        <f>IF(B5795&gt;=Walmart_Sales_raw_data!$C$6437,"High","low")</f>
        <v>High</v>
      </c>
    </row>
    <row r="5796" spans="1:3">
      <c r="A5796" s="1">
        <v>41</v>
      </c>
      <c r="B5796" s="2">
        <f>Walmart_Sales_raw_data!C5796</f>
        <v>1338862.58</v>
      </c>
      <c r="C5796" t="str">
        <f>IF(B5796&gt;=Walmart_Sales_raw_data!$C$6437,"High","low")</f>
        <v>High</v>
      </c>
    </row>
    <row r="5797" spans="1:3">
      <c r="A5797" s="3">
        <v>41</v>
      </c>
      <c r="B5797" s="2">
        <f>Walmart_Sales_raw_data!C5797</f>
        <v>1245772.7</v>
      </c>
      <c r="C5797" t="str">
        <f>IF(B5797&gt;=Walmart_Sales_raw_data!$C$6437,"High","low")</f>
        <v>High</v>
      </c>
    </row>
    <row r="5798" spans="1:3">
      <c r="A5798" s="1">
        <v>41</v>
      </c>
      <c r="B5798" s="2">
        <f>Walmart_Sales_raw_data!C5798</f>
        <v>1292830.93</v>
      </c>
      <c r="C5798" t="str">
        <f>IF(B5798&gt;=Walmart_Sales_raw_data!$C$6437,"High","low")</f>
        <v>High</v>
      </c>
    </row>
    <row r="5799" spans="1:3">
      <c r="A5799" s="3">
        <v>41</v>
      </c>
      <c r="B5799" s="2">
        <f>Walmart_Sales_raw_data!C5799</f>
        <v>1248330.1</v>
      </c>
      <c r="C5799" t="str">
        <f>IF(B5799&gt;=Walmart_Sales_raw_data!$C$6437,"High","low")</f>
        <v>High</v>
      </c>
    </row>
    <row r="5800" spans="1:3">
      <c r="A5800" s="1">
        <v>41</v>
      </c>
      <c r="B5800" s="2">
        <f>Walmart_Sales_raw_data!C5800</f>
        <v>1402233.69</v>
      </c>
      <c r="C5800" t="str">
        <f>IF(B5800&gt;=Walmart_Sales_raw_data!$C$6437,"High","low")</f>
        <v>High</v>
      </c>
    </row>
    <row r="5801" spans="1:3">
      <c r="A5801" s="3">
        <v>41</v>
      </c>
      <c r="B5801" s="2">
        <f>Walmart_Sales_raw_data!C5801</f>
        <v>1356689.88</v>
      </c>
      <c r="C5801" t="str">
        <f>IF(B5801&gt;=Walmart_Sales_raw_data!$C$6437,"High","low")</f>
        <v>High</v>
      </c>
    </row>
    <row r="5802" spans="1:3">
      <c r="A5802" s="1">
        <v>41</v>
      </c>
      <c r="B5802" s="2">
        <f>Walmart_Sales_raw_data!C5802</f>
        <v>1412959.97</v>
      </c>
      <c r="C5802" t="str">
        <f>IF(B5802&gt;=Walmart_Sales_raw_data!$C$6437,"High","low")</f>
        <v>High</v>
      </c>
    </row>
    <row r="5803" spans="1:3">
      <c r="A5803" s="3">
        <v>41</v>
      </c>
      <c r="B5803" s="2">
        <f>Walmart_Sales_raw_data!C5803</f>
        <v>1328740.71</v>
      </c>
      <c r="C5803" t="str">
        <f>IF(B5803&gt;=Walmart_Sales_raw_data!$C$6437,"High","low")</f>
        <v>High</v>
      </c>
    </row>
    <row r="5804" spans="1:3">
      <c r="A5804" s="1">
        <v>41</v>
      </c>
      <c r="B5804" s="2">
        <f>Walmart_Sales_raw_data!C5804</f>
        <v>1283849.38</v>
      </c>
      <c r="C5804" t="str">
        <f>IF(B5804&gt;=Walmart_Sales_raw_data!$C$6437,"High","low")</f>
        <v>High</v>
      </c>
    </row>
    <row r="5805" spans="1:3">
      <c r="A5805" s="3">
        <v>41</v>
      </c>
      <c r="B5805" s="2">
        <f>Walmart_Sales_raw_data!C5805</f>
        <v>1280958.97</v>
      </c>
      <c r="C5805" t="str">
        <f>IF(B5805&gt;=Walmart_Sales_raw_data!$C$6437,"High","low")</f>
        <v>High</v>
      </c>
    </row>
    <row r="5806" spans="1:3">
      <c r="A5806" s="1">
        <v>41</v>
      </c>
      <c r="B5806" s="2">
        <f>Walmart_Sales_raw_data!C5806</f>
        <v>1197019.39</v>
      </c>
      <c r="C5806" t="str">
        <f>IF(B5806&gt;=Walmart_Sales_raw_data!$C$6437,"High","low")</f>
        <v>High</v>
      </c>
    </row>
    <row r="5807" spans="1:3">
      <c r="A5807" s="3">
        <v>41</v>
      </c>
      <c r="B5807" s="2">
        <f>Walmart_Sales_raw_data!C5807</f>
        <v>1173059.79</v>
      </c>
      <c r="C5807" t="str">
        <f>IF(B5807&gt;=Walmart_Sales_raw_data!$C$6437,"High","low")</f>
        <v>High</v>
      </c>
    </row>
    <row r="5808" spans="1:3">
      <c r="A5808" s="1">
        <v>41</v>
      </c>
      <c r="B5808" s="2">
        <f>Walmart_Sales_raw_data!C5808</f>
        <v>1160619.61</v>
      </c>
      <c r="C5808" t="str">
        <f>IF(B5808&gt;=Walmart_Sales_raw_data!$C$6437,"High","low")</f>
        <v>High</v>
      </c>
    </row>
    <row r="5809" spans="1:3">
      <c r="A5809" s="3">
        <v>41</v>
      </c>
      <c r="B5809" s="2">
        <f>Walmart_Sales_raw_data!C5809</f>
        <v>1277882.77</v>
      </c>
      <c r="C5809" t="str">
        <f>IF(B5809&gt;=Walmart_Sales_raw_data!$C$6437,"High","low")</f>
        <v>High</v>
      </c>
    </row>
    <row r="5810" spans="1:3">
      <c r="A5810" s="1">
        <v>41</v>
      </c>
      <c r="B5810" s="2">
        <f>Walmart_Sales_raw_data!C5810</f>
        <v>1247130.22</v>
      </c>
      <c r="C5810" t="str">
        <f>IF(B5810&gt;=Walmart_Sales_raw_data!$C$6437,"High","low")</f>
        <v>High</v>
      </c>
    </row>
    <row r="5811" spans="1:3">
      <c r="A5811" s="3">
        <v>41</v>
      </c>
      <c r="B5811" s="2">
        <f>Walmart_Sales_raw_data!C5811</f>
        <v>1214944.29</v>
      </c>
      <c r="C5811" t="str">
        <f>IF(B5811&gt;=Walmart_Sales_raw_data!$C$6437,"High","low")</f>
        <v>High</v>
      </c>
    </row>
    <row r="5812" spans="1:3">
      <c r="A5812" s="1">
        <v>41</v>
      </c>
      <c r="B5812" s="2">
        <f>Walmart_Sales_raw_data!C5812</f>
        <v>1274463.02</v>
      </c>
      <c r="C5812" t="str">
        <f>IF(B5812&gt;=Walmart_Sales_raw_data!$C$6437,"High","low")</f>
        <v>High</v>
      </c>
    </row>
    <row r="5813" spans="1:3">
      <c r="A5813" s="3">
        <v>41</v>
      </c>
      <c r="B5813" s="2">
        <f>Walmart_Sales_raw_data!C5813</f>
        <v>1315684.86</v>
      </c>
      <c r="C5813" t="str">
        <f>IF(B5813&gt;=Walmart_Sales_raw_data!$C$6437,"High","low")</f>
        <v>High</v>
      </c>
    </row>
    <row r="5814" spans="1:3">
      <c r="A5814" s="1">
        <v>41</v>
      </c>
      <c r="B5814" s="2">
        <f>Walmart_Sales_raw_data!C5814</f>
        <v>1302499.23</v>
      </c>
      <c r="C5814" t="str">
        <f>IF(B5814&gt;=Walmart_Sales_raw_data!$C$6437,"High","low")</f>
        <v>High</v>
      </c>
    </row>
    <row r="5815" spans="1:3">
      <c r="A5815" s="3">
        <v>41</v>
      </c>
      <c r="B5815" s="2">
        <f>Walmart_Sales_raw_data!C5815</f>
        <v>1230118.02</v>
      </c>
      <c r="C5815" t="str">
        <f>IF(B5815&gt;=Walmart_Sales_raw_data!$C$6437,"High","low")</f>
        <v>High</v>
      </c>
    </row>
    <row r="5816" spans="1:3">
      <c r="A5816" s="1">
        <v>41</v>
      </c>
      <c r="B5816" s="2">
        <f>Walmart_Sales_raw_data!C5816</f>
        <v>1906713.35</v>
      </c>
      <c r="C5816" t="str">
        <f>IF(B5816&gt;=Walmart_Sales_raw_data!$C$6437,"High","low")</f>
        <v>High</v>
      </c>
    </row>
    <row r="5817" spans="1:3">
      <c r="A5817" s="3">
        <v>41</v>
      </c>
      <c r="B5817" s="2">
        <f>Walmart_Sales_raw_data!C5817</f>
        <v>1292436.23</v>
      </c>
      <c r="C5817" t="str">
        <f>IF(B5817&gt;=Walmart_Sales_raw_data!$C$6437,"High","low")</f>
        <v>High</v>
      </c>
    </row>
    <row r="5818" spans="1:3">
      <c r="A5818" s="1">
        <v>41</v>
      </c>
      <c r="B5818" s="2">
        <f>Walmart_Sales_raw_data!C5818</f>
        <v>1548661.45</v>
      </c>
      <c r="C5818" t="str">
        <f>IF(B5818&gt;=Walmart_Sales_raw_data!$C$6437,"High","low")</f>
        <v>High</v>
      </c>
    </row>
    <row r="5819" spans="1:3">
      <c r="A5819" s="3">
        <v>41</v>
      </c>
      <c r="B5819" s="2">
        <f>Walmart_Sales_raw_data!C5819</f>
        <v>1682368.32</v>
      </c>
      <c r="C5819" t="str">
        <f>IF(B5819&gt;=Walmart_Sales_raw_data!$C$6437,"High","low")</f>
        <v>High</v>
      </c>
    </row>
    <row r="5820" spans="1:3">
      <c r="A5820" s="1">
        <v>41</v>
      </c>
      <c r="B5820" s="2">
        <f>Walmart_Sales_raw_data!C5820</f>
        <v>2263722.68</v>
      </c>
      <c r="C5820" t="str">
        <f>IF(B5820&gt;=Walmart_Sales_raw_data!$C$6437,"High","low")</f>
        <v>High</v>
      </c>
    </row>
    <row r="5821" spans="1:3">
      <c r="A5821" s="3">
        <v>41</v>
      </c>
      <c r="B5821" s="2">
        <f>Walmart_Sales_raw_data!C5821</f>
        <v>1264014.16</v>
      </c>
      <c r="C5821" t="str">
        <f>IF(B5821&gt;=Walmart_Sales_raw_data!$C$6437,"High","low")</f>
        <v>High</v>
      </c>
    </row>
    <row r="5822" spans="1:3">
      <c r="A5822" s="1">
        <v>41</v>
      </c>
      <c r="B5822" s="2">
        <f>Walmart_Sales_raw_data!C5822</f>
        <v>1208191.61</v>
      </c>
      <c r="C5822" t="str">
        <f>IF(B5822&gt;=Walmart_Sales_raw_data!$C$6437,"High","low")</f>
        <v>High</v>
      </c>
    </row>
    <row r="5823" spans="1:3">
      <c r="A5823" s="3">
        <v>41</v>
      </c>
      <c r="B5823" s="2">
        <f>Walmart_Sales_raw_data!C5823</f>
        <v>1134767.28</v>
      </c>
      <c r="C5823" t="str">
        <f>IF(B5823&gt;=Walmart_Sales_raw_data!$C$6437,"High","low")</f>
        <v>High</v>
      </c>
    </row>
    <row r="5824" spans="1:3">
      <c r="A5824" s="1">
        <v>41</v>
      </c>
      <c r="B5824" s="2">
        <f>Walmart_Sales_raw_data!C5824</f>
        <v>1116295.24</v>
      </c>
      <c r="C5824" t="str">
        <f>IF(B5824&gt;=Walmart_Sales_raw_data!$C$6437,"High","low")</f>
        <v>High</v>
      </c>
    </row>
    <row r="5825" spans="1:3">
      <c r="A5825" s="3">
        <v>41</v>
      </c>
      <c r="B5825" s="2">
        <f>Walmart_Sales_raw_data!C5825</f>
        <v>1079398.81</v>
      </c>
      <c r="C5825" t="str">
        <f>IF(B5825&gt;=Walmart_Sales_raw_data!$C$6437,"High","low")</f>
        <v>High</v>
      </c>
    </row>
    <row r="5826" spans="1:3">
      <c r="A5826" s="1">
        <v>41</v>
      </c>
      <c r="B5826" s="2">
        <f>Walmart_Sales_raw_data!C5826</f>
        <v>1208825.6</v>
      </c>
      <c r="C5826" t="str">
        <f>IF(B5826&gt;=Walmart_Sales_raw_data!$C$6437,"High","low")</f>
        <v>High</v>
      </c>
    </row>
    <row r="5827" spans="1:3">
      <c r="A5827" s="3">
        <v>41</v>
      </c>
      <c r="B5827" s="2">
        <f>Walmart_Sales_raw_data!C5827</f>
        <v>1238844.56</v>
      </c>
      <c r="C5827" t="str">
        <f>IF(B5827&gt;=Walmart_Sales_raw_data!$C$6437,"High","low")</f>
        <v>High</v>
      </c>
    </row>
    <row r="5828" spans="1:3">
      <c r="A5828" s="1">
        <v>41</v>
      </c>
      <c r="B5828" s="2">
        <f>Walmart_Sales_raw_data!C5828</f>
        <v>1330451.46</v>
      </c>
      <c r="C5828" t="str">
        <f>IF(B5828&gt;=Walmart_Sales_raw_data!$C$6437,"High","low")</f>
        <v>High</v>
      </c>
    </row>
    <row r="5829" spans="1:3">
      <c r="A5829" s="3">
        <v>41</v>
      </c>
      <c r="B5829" s="2">
        <f>Walmart_Sales_raw_data!C5829</f>
        <v>1224915.66</v>
      </c>
      <c r="C5829" t="str">
        <f>IF(B5829&gt;=Walmart_Sales_raw_data!$C$6437,"High","low")</f>
        <v>High</v>
      </c>
    </row>
    <row r="5830" spans="1:3">
      <c r="A5830" s="1">
        <v>41</v>
      </c>
      <c r="B5830" s="2">
        <f>Walmart_Sales_raw_data!C5830</f>
        <v>1239813.26</v>
      </c>
      <c r="C5830" t="str">
        <f>IF(B5830&gt;=Walmart_Sales_raw_data!$C$6437,"High","low")</f>
        <v>High</v>
      </c>
    </row>
    <row r="5831" spans="1:3">
      <c r="A5831" s="3">
        <v>41</v>
      </c>
      <c r="B5831" s="2">
        <f>Walmart_Sales_raw_data!C5831</f>
        <v>1243814.77</v>
      </c>
      <c r="C5831" t="str">
        <f>IF(B5831&gt;=Walmart_Sales_raw_data!$C$6437,"High","low")</f>
        <v>High</v>
      </c>
    </row>
    <row r="5832" spans="1:3">
      <c r="A5832" s="1">
        <v>41</v>
      </c>
      <c r="B5832" s="2">
        <f>Walmart_Sales_raw_data!C5832</f>
        <v>1201511.62</v>
      </c>
      <c r="C5832" t="str">
        <f>IF(B5832&gt;=Walmart_Sales_raw_data!$C$6437,"High","low")</f>
        <v>High</v>
      </c>
    </row>
    <row r="5833" spans="1:3">
      <c r="A5833" s="3">
        <v>41</v>
      </c>
      <c r="B5833" s="2">
        <f>Walmart_Sales_raw_data!C5833</f>
        <v>1215354.38</v>
      </c>
      <c r="C5833" t="str">
        <f>IF(B5833&gt;=Walmart_Sales_raw_data!$C$6437,"High","low")</f>
        <v>High</v>
      </c>
    </row>
    <row r="5834" spans="1:3">
      <c r="A5834" s="1">
        <v>41</v>
      </c>
      <c r="B5834" s="2">
        <f>Walmart_Sales_raw_data!C5834</f>
        <v>1239423.19</v>
      </c>
      <c r="C5834" t="str">
        <f>IF(B5834&gt;=Walmart_Sales_raw_data!$C$6437,"High","low")</f>
        <v>High</v>
      </c>
    </row>
    <row r="5835" spans="1:3">
      <c r="A5835" s="3">
        <v>41</v>
      </c>
      <c r="B5835" s="2">
        <f>Walmart_Sales_raw_data!C5835</f>
        <v>1460234.31</v>
      </c>
      <c r="C5835" t="str">
        <f>IF(B5835&gt;=Walmart_Sales_raw_data!$C$6437,"High","low")</f>
        <v>High</v>
      </c>
    </row>
    <row r="5836" spans="1:3">
      <c r="A5836" s="1">
        <v>41</v>
      </c>
      <c r="B5836" s="2">
        <f>Walmart_Sales_raw_data!C5836</f>
        <v>1323004.73</v>
      </c>
      <c r="C5836" t="str">
        <f>IF(B5836&gt;=Walmart_Sales_raw_data!$C$6437,"High","low")</f>
        <v>High</v>
      </c>
    </row>
    <row r="5837" spans="1:3">
      <c r="A5837" s="3">
        <v>41</v>
      </c>
      <c r="B5837" s="2">
        <f>Walmart_Sales_raw_data!C5837</f>
        <v>1220815.33</v>
      </c>
      <c r="C5837" t="str">
        <f>IF(B5837&gt;=Walmart_Sales_raw_data!$C$6437,"High","low")</f>
        <v>High</v>
      </c>
    </row>
    <row r="5838" spans="1:3">
      <c r="A5838" s="1">
        <v>41</v>
      </c>
      <c r="B5838" s="2">
        <f>Walmart_Sales_raw_data!C5838</f>
        <v>1248950.65</v>
      </c>
      <c r="C5838" t="str">
        <f>IF(B5838&gt;=Walmart_Sales_raw_data!$C$6437,"High","low")</f>
        <v>High</v>
      </c>
    </row>
    <row r="5839" spans="1:3">
      <c r="A5839" s="3">
        <v>41</v>
      </c>
      <c r="B5839" s="2">
        <f>Walmart_Sales_raw_data!C5839</f>
        <v>1359770.73</v>
      </c>
      <c r="C5839" t="str">
        <f>IF(B5839&gt;=Walmart_Sales_raw_data!$C$6437,"High","low")</f>
        <v>High</v>
      </c>
    </row>
    <row r="5840" spans="1:3">
      <c r="A5840" s="1">
        <v>41</v>
      </c>
      <c r="B5840" s="2">
        <f>Walmart_Sales_raw_data!C5840</f>
        <v>1353285.1</v>
      </c>
      <c r="C5840" t="str">
        <f>IF(B5840&gt;=Walmart_Sales_raw_data!$C$6437,"High","low")</f>
        <v>High</v>
      </c>
    </row>
    <row r="5841" spans="1:3">
      <c r="A5841" s="3">
        <v>41</v>
      </c>
      <c r="B5841" s="2">
        <f>Walmart_Sales_raw_data!C5841</f>
        <v>1331514.44</v>
      </c>
      <c r="C5841" t="str">
        <f>IF(B5841&gt;=Walmart_Sales_raw_data!$C$6437,"High","low")</f>
        <v>High</v>
      </c>
    </row>
    <row r="5842" spans="1:3">
      <c r="A5842" s="1">
        <v>41</v>
      </c>
      <c r="B5842" s="2">
        <f>Walmart_Sales_raw_data!C5842</f>
        <v>1424500.47</v>
      </c>
      <c r="C5842" t="str">
        <f>IF(B5842&gt;=Walmart_Sales_raw_data!$C$6437,"High","low")</f>
        <v>High</v>
      </c>
    </row>
    <row r="5843" spans="1:3">
      <c r="A5843" s="3">
        <v>41</v>
      </c>
      <c r="B5843" s="2">
        <f>Walmart_Sales_raw_data!C5843</f>
        <v>1374891.36</v>
      </c>
      <c r="C5843" t="str">
        <f>IF(B5843&gt;=Walmart_Sales_raw_data!$C$6437,"High","low")</f>
        <v>High</v>
      </c>
    </row>
    <row r="5844" spans="1:3">
      <c r="A5844" s="1">
        <v>41</v>
      </c>
      <c r="B5844" s="2">
        <f>Walmart_Sales_raw_data!C5844</f>
        <v>1436383.84</v>
      </c>
      <c r="C5844" t="str">
        <f>IF(B5844&gt;=Walmart_Sales_raw_data!$C$6437,"High","low")</f>
        <v>High</v>
      </c>
    </row>
    <row r="5845" spans="1:3">
      <c r="A5845" s="3">
        <v>41</v>
      </c>
      <c r="B5845" s="2">
        <f>Walmart_Sales_raw_data!C5845</f>
        <v>1384584.59</v>
      </c>
      <c r="C5845" t="str">
        <f>IF(B5845&gt;=Walmart_Sales_raw_data!$C$6437,"High","low")</f>
        <v>High</v>
      </c>
    </row>
    <row r="5846" spans="1:3">
      <c r="A5846" s="1">
        <v>41</v>
      </c>
      <c r="B5846" s="2">
        <f>Walmart_Sales_raw_data!C5846</f>
        <v>1386407.17</v>
      </c>
      <c r="C5846" t="str">
        <f>IF(B5846&gt;=Walmart_Sales_raw_data!$C$6437,"High","low")</f>
        <v>High</v>
      </c>
    </row>
    <row r="5847" spans="1:3">
      <c r="A5847" s="3">
        <v>41</v>
      </c>
      <c r="B5847" s="2">
        <f>Walmart_Sales_raw_data!C5847</f>
        <v>1355600.01</v>
      </c>
      <c r="C5847" t="str">
        <f>IF(B5847&gt;=Walmart_Sales_raw_data!$C$6437,"High","low")</f>
        <v>High</v>
      </c>
    </row>
    <row r="5848" spans="1:3">
      <c r="A5848" s="1">
        <v>41</v>
      </c>
      <c r="B5848" s="2">
        <f>Walmart_Sales_raw_data!C5848</f>
        <v>1456300.89</v>
      </c>
      <c r="C5848" t="str">
        <f>IF(B5848&gt;=Walmart_Sales_raw_data!$C$6437,"High","low")</f>
        <v>High</v>
      </c>
    </row>
    <row r="5849" spans="1:3">
      <c r="A5849" s="3">
        <v>41</v>
      </c>
      <c r="B5849" s="2">
        <f>Walmart_Sales_raw_data!C5849</f>
        <v>1332594.07</v>
      </c>
      <c r="C5849" t="str">
        <f>IF(B5849&gt;=Walmart_Sales_raw_data!$C$6437,"High","low")</f>
        <v>High</v>
      </c>
    </row>
    <row r="5850" spans="1:3">
      <c r="A5850" s="1">
        <v>41</v>
      </c>
      <c r="B5850" s="2">
        <f>Walmart_Sales_raw_data!C5850</f>
        <v>1347175.93</v>
      </c>
      <c r="C5850" t="str">
        <f>IF(B5850&gt;=Walmart_Sales_raw_data!$C$6437,"High","low")</f>
        <v>High</v>
      </c>
    </row>
    <row r="5851" spans="1:3">
      <c r="A5851" s="3">
        <v>41</v>
      </c>
      <c r="B5851" s="2">
        <f>Walmart_Sales_raw_data!C5851</f>
        <v>1344723.97</v>
      </c>
      <c r="C5851" t="str">
        <f>IF(B5851&gt;=Walmart_Sales_raw_data!$C$6437,"High","low")</f>
        <v>High</v>
      </c>
    </row>
    <row r="5852" spans="1:3">
      <c r="A5852" s="1">
        <v>41</v>
      </c>
      <c r="B5852" s="2">
        <f>Walmart_Sales_raw_data!C5852</f>
        <v>1439607.35</v>
      </c>
      <c r="C5852" t="str">
        <f>IF(B5852&gt;=Walmart_Sales_raw_data!$C$6437,"High","low")</f>
        <v>High</v>
      </c>
    </row>
    <row r="5853" spans="1:3">
      <c r="A5853" s="3">
        <v>41</v>
      </c>
      <c r="B5853" s="2">
        <f>Walmart_Sales_raw_data!C5853</f>
        <v>1504545.94</v>
      </c>
      <c r="C5853" t="str">
        <f>IF(B5853&gt;=Walmart_Sales_raw_data!$C$6437,"High","low")</f>
        <v>High</v>
      </c>
    </row>
    <row r="5854" spans="1:3">
      <c r="A5854" s="1">
        <v>41</v>
      </c>
      <c r="B5854" s="2">
        <f>Walmart_Sales_raw_data!C5854</f>
        <v>1560590.05</v>
      </c>
      <c r="C5854" t="str">
        <f>IF(B5854&gt;=Walmart_Sales_raw_data!$C$6437,"High","low")</f>
        <v>High</v>
      </c>
    </row>
    <row r="5855" spans="1:3">
      <c r="A5855" s="3">
        <v>41</v>
      </c>
      <c r="B5855" s="2">
        <f>Walmart_Sales_raw_data!C5855</f>
        <v>1464462.85</v>
      </c>
      <c r="C5855" t="str">
        <f>IF(B5855&gt;=Walmart_Sales_raw_data!$C$6437,"High","low")</f>
        <v>High</v>
      </c>
    </row>
    <row r="5856" spans="1:3">
      <c r="A5856" s="1">
        <v>41</v>
      </c>
      <c r="B5856" s="2">
        <f>Walmart_Sales_raw_data!C5856</f>
        <v>1360517.52</v>
      </c>
      <c r="C5856" t="str">
        <f>IF(B5856&gt;=Walmart_Sales_raw_data!$C$6437,"High","low")</f>
        <v>High</v>
      </c>
    </row>
    <row r="5857" spans="1:3">
      <c r="A5857" s="3">
        <v>41</v>
      </c>
      <c r="B5857" s="2">
        <f>Walmart_Sales_raw_data!C5857</f>
        <v>1392143.82</v>
      </c>
      <c r="C5857" t="str">
        <f>IF(B5857&gt;=Walmart_Sales_raw_data!$C$6437,"High","low")</f>
        <v>High</v>
      </c>
    </row>
    <row r="5858" spans="1:3">
      <c r="A5858" s="1">
        <v>41</v>
      </c>
      <c r="B5858" s="2">
        <f>Walmart_Sales_raw_data!C5858</f>
        <v>1306644.25</v>
      </c>
      <c r="C5858" t="str">
        <f>IF(B5858&gt;=Walmart_Sales_raw_data!$C$6437,"High","low")</f>
        <v>High</v>
      </c>
    </row>
    <row r="5859" spans="1:3">
      <c r="A5859" s="3">
        <v>41</v>
      </c>
      <c r="B5859" s="2">
        <f>Walmart_Sales_raw_data!C5859</f>
        <v>1276609.36</v>
      </c>
      <c r="C5859" t="str">
        <f>IF(B5859&gt;=Walmart_Sales_raw_data!$C$6437,"High","low")</f>
        <v>High</v>
      </c>
    </row>
    <row r="5860" spans="1:3">
      <c r="A5860" s="1">
        <v>41</v>
      </c>
      <c r="B5860" s="2">
        <f>Walmart_Sales_raw_data!C5860</f>
        <v>1307928.01</v>
      </c>
      <c r="C5860" t="str">
        <f>IF(B5860&gt;=Walmart_Sales_raw_data!$C$6437,"High","low")</f>
        <v>High</v>
      </c>
    </row>
    <row r="5861" spans="1:3">
      <c r="A5861" s="3">
        <v>41</v>
      </c>
      <c r="B5861" s="2">
        <f>Walmart_Sales_raw_data!C5861</f>
        <v>1400160.95</v>
      </c>
      <c r="C5861" t="str">
        <f>IF(B5861&gt;=Walmart_Sales_raw_data!$C$6437,"High","low")</f>
        <v>High</v>
      </c>
    </row>
    <row r="5862" spans="1:3">
      <c r="A5862" s="1">
        <v>41</v>
      </c>
      <c r="B5862" s="2">
        <f>Walmart_Sales_raw_data!C5862</f>
        <v>1409544.97</v>
      </c>
      <c r="C5862" t="str">
        <f>IF(B5862&gt;=Walmart_Sales_raw_data!$C$6437,"High","low")</f>
        <v>High</v>
      </c>
    </row>
    <row r="5863" spans="1:3">
      <c r="A5863" s="3">
        <v>41</v>
      </c>
      <c r="B5863" s="2">
        <f>Walmart_Sales_raw_data!C5863</f>
        <v>1326197.24</v>
      </c>
      <c r="C5863" t="str">
        <f>IF(B5863&gt;=Walmart_Sales_raw_data!$C$6437,"High","low")</f>
        <v>High</v>
      </c>
    </row>
    <row r="5864" spans="1:3">
      <c r="A5864" s="1">
        <v>41</v>
      </c>
      <c r="B5864" s="2">
        <f>Walmart_Sales_raw_data!C5864</f>
        <v>1316542.59</v>
      </c>
      <c r="C5864" t="str">
        <f>IF(B5864&gt;=Walmart_Sales_raw_data!$C$6437,"High","low")</f>
        <v>High</v>
      </c>
    </row>
    <row r="5865" spans="1:3">
      <c r="A5865" s="3">
        <v>42</v>
      </c>
      <c r="B5865" s="2">
        <f>Walmart_Sales_raw_data!C5865</f>
        <v>543384.01</v>
      </c>
      <c r="C5865" t="str">
        <f>IF(B5865&gt;=Walmart_Sales_raw_data!$C$6437,"High","low")</f>
        <v>low</v>
      </c>
    </row>
    <row r="5866" spans="1:3">
      <c r="A5866" s="1">
        <v>42</v>
      </c>
      <c r="B5866" s="2">
        <f>Walmart_Sales_raw_data!C5866</f>
        <v>575709.96</v>
      </c>
      <c r="C5866" t="str">
        <f>IF(B5866&gt;=Walmart_Sales_raw_data!$C$6437,"High","low")</f>
        <v>low</v>
      </c>
    </row>
    <row r="5867" spans="1:3">
      <c r="A5867" s="3">
        <v>42</v>
      </c>
      <c r="B5867" s="2">
        <f>Walmart_Sales_raw_data!C5867</f>
        <v>508794.87</v>
      </c>
      <c r="C5867" t="str">
        <f>IF(B5867&gt;=Walmart_Sales_raw_data!$C$6437,"High","low")</f>
        <v>low</v>
      </c>
    </row>
    <row r="5868" spans="1:3">
      <c r="A5868" s="1">
        <v>42</v>
      </c>
      <c r="B5868" s="2">
        <f>Walmart_Sales_raw_data!C5868</f>
        <v>491510.58</v>
      </c>
      <c r="C5868" t="str">
        <f>IF(B5868&gt;=Walmart_Sales_raw_data!$C$6437,"High","low")</f>
        <v>low</v>
      </c>
    </row>
    <row r="5869" spans="1:3">
      <c r="A5869" s="3">
        <v>42</v>
      </c>
      <c r="B5869" s="2">
        <f>Walmart_Sales_raw_data!C5869</f>
        <v>554972.42</v>
      </c>
      <c r="C5869" t="str">
        <f>IF(B5869&gt;=Walmart_Sales_raw_data!$C$6437,"High","low")</f>
        <v>low</v>
      </c>
    </row>
    <row r="5870" spans="1:3">
      <c r="A5870" s="1">
        <v>42</v>
      </c>
      <c r="B5870" s="2">
        <f>Walmart_Sales_raw_data!C5870</f>
        <v>588363.62</v>
      </c>
      <c r="C5870" t="str">
        <f>IF(B5870&gt;=Walmart_Sales_raw_data!$C$6437,"High","low")</f>
        <v>low</v>
      </c>
    </row>
    <row r="5871" spans="1:3">
      <c r="A5871" s="3">
        <v>42</v>
      </c>
      <c r="B5871" s="2">
        <f>Walmart_Sales_raw_data!C5871</f>
        <v>519914.1</v>
      </c>
      <c r="C5871" t="str">
        <f>IF(B5871&gt;=Walmart_Sales_raw_data!$C$6437,"High","low")</f>
        <v>low</v>
      </c>
    </row>
    <row r="5872" spans="1:3">
      <c r="A5872" s="1">
        <v>42</v>
      </c>
      <c r="B5872" s="2">
        <f>Walmart_Sales_raw_data!C5872</f>
        <v>478021.68</v>
      </c>
      <c r="C5872" t="str">
        <f>IF(B5872&gt;=Walmart_Sales_raw_data!$C$6437,"High","low")</f>
        <v>low</v>
      </c>
    </row>
    <row r="5873" spans="1:3">
      <c r="A5873" s="3">
        <v>42</v>
      </c>
      <c r="B5873" s="2">
        <f>Walmart_Sales_raw_data!C5873</f>
        <v>505907.41</v>
      </c>
      <c r="C5873" t="str">
        <f>IF(B5873&gt;=Walmart_Sales_raw_data!$C$6437,"High","low")</f>
        <v>low</v>
      </c>
    </row>
    <row r="5874" spans="1:3">
      <c r="A5874" s="1">
        <v>42</v>
      </c>
      <c r="B5874" s="2">
        <f>Walmart_Sales_raw_data!C5874</f>
        <v>582552.26</v>
      </c>
      <c r="C5874" t="str">
        <f>IF(B5874&gt;=Walmart_Sales_raw_data!$C$6437,"High","low")</f>
        <v>low</v>
      </c>
    </row>
    <row r="5875" spans="1:3">
      <c r="A5875" s="3">
        <v>42</v>
      </c>
      <c r="B5875" s="2">
        <f>Walmart_Sales_raw_data!C5875</f>
        <v>549528.16</v>
      </c>
      <c r="C5875" t="str">
        <f>IF(B5875&gt;=Walmart_Sales_raw_data!$C$6437,"High","low")</f>
        <v>low</v>
      </c>
    </row>
    <row r="5876" spans="1:3">
      <c r="A5876" s="1">
        <v>42</v>
      </c>
      <c r="B5876" s="2">
        <f>Walmart_Sales_raw_data!C5876</f>
        <v>492364.77</v>
      </c>
      <c r="C5876" t="str">
        <f>IF(B5876&gt;=Walmart_Sales_raw_data!$C$6437,"High","low")</f>
        <v>low</v>
      </c>
    </row>
    <row r="5877" spans="1:3">
      <c r="A5877" s="3">
        <v>42</v>
      </c>
      <c r="B5877" s="2">
        <f>Walmart_Sales_raw_data!C5877</f>
        <v>477615.87</v>
      </c>
      <c r="C5877" t="str">
        <f>IF(B5877&gt;=Walmart_Sales_raw_data!$C$6437,"High","low")</f>
        <v>low</v>
      </c>
    </row>
    <row r="5878" spans="1:3">
      <c r="A5878" s="1">
        <v>42</v>
      </c>
      <c r="B5878" s="2">
        <f>Walmart_Sales_raw_data!C5878</f>
        <v>582846.22</v>
      </c>
      <c r="C5878" t="str">
        <f>IF(B5878&gt;=Walmart_Sales_raw_data!$C$6437,"High","low")</f>
        <v>low</v>
      </c>
    </row>
    <row r="5879" spans="1:3">
      <c r="A5879" s="3">
        <v>42</v>
      </c>
      <c r="B5879" s="2">
        <f>Walmart_Sales_raw_data!C5879</f>
        <v>564345.55</v>
      </c>
      <c r="C5879" t="str">
        <f>IF(B5879&gt;=Walmart_Sales_raw_data!$C$6437,"High","low")</f>
        <v>low</v>
      </c>
    </row>
    <row r="5880" spans="1:3">
      <c r="A5880" s="1">
        <v>42</v>
      </c>
      <c r="B5880" s="2">
        <f>Walmart_Sales_raw_data!C5880</f>
        <v>504403.16</v>
      </c>
      <c r="C5880" t="str">
        <f>IF(B5880&gt;=Walmart_Sales_raw_data!$C$6437,"High","low")</f>
        <v>low</v>
      </c>
    </row>
    <row r="5881" spans="1:3">
      <c r="A5881" s="3">
        <v>42</v>
      </c>
      <c r="B5881" s="2">
        <f>Walmart_Sales_raw_data!C5881</f>
        <v>484097.03</v>
      </c>
      <c r="C5881" t="str">
        <f>IF(B5881&gt;=Walmart_Sales_raw_data!$C$6437,"High","low")</f>
        <v>low</v>
      </c>
    </row>
    <row r="5882" spans="1:3">
      <c r="A5882" s="1">
        <v>42</v>
      </c>
      <c r="B5882" s="2">
        <f>Walmart_Sales_raw_data!C5882</f>
        <v>556046.12</v>
      </c>
      <c r="C5882" t="str">
        <f>IF(B5882&gt;=Walmart_Sales_raw_data!$C$6437,"High","low")</f>
        <v>low</v>
      </c>
    </row>
    <row r="5883" spans="1:3">
      <c r="A5883" s="3">
        <v>42</v>
      </c>
      <c r="B5883" s="2">
        <f>Walmart_Sales_raw_data!C5883</f>
        <v>607218.6</v>
      </c>
      <c r="C5883" t="str">
        <f>IF(B5883&gt;=Walmart_Sales_raw_data!$C$6437,"High","low")</f>
        <v>low</v>
      </c>
    </row>
    <row r="5884" spans="1:3">
      <c r="A5884" s="1">
        <v>42</v>
      </c>
      <c r="B5884" s="2">
        <f>Walmart_Sales_raw_data!C5884</f>
        <v>529418.64</v>
      </c>
      <c r="C5884" t="str">
        <f>IF(B5884&gt;=Walmart_Sales_raw_data!$C$6437,"High","low")</f>
        <v>low</v>
      </c>
    </row>
    <row r="5885" spans="1:3">
      <c r="A5885" s="3">
        <v>42</v>
      </c>
      <c r="B5885" s="2">
        <f>Walmart_Sales_raw_data!C5885</f>
        <v>484327.56</v>
      </c>
      <c r="C5885" t="str">
        <f>IF(B5885&gt;=Walmart_Sales_raw_data!$C$6437,"High","low")</f>
        <v>low</v>
      </c>
    </row>
    <row r="5886" spans="1:3">
      <c r="A5886" s="1">
        <v>42</v>
      </c>
      <c r="B5886" s="2">
        <f>Walmart_Sales_raw_data!C5886</f>
        <v>507168.8</v>
      </c>
      <c r="C5886" t="str">
        <f>IF(B5886&gt;=Walmart_Sales_raw_data!$C$6437,"High","low")</f>
        <v>low</v>
      </c>
    </row>
    <row r="5887" spans="1:3">
      <c r="A5887" s="3">
        <v>42</v>
      </c>
      <c r="B5887" s="2">
        <f>Walmart_Sales_raw_data!C5887</f>
        <v>570069.48</v>
      </c>
      <c r="C5887" t="str">
        <f>IF(B5887&gt;=Walmart_Sales_raw_data!$C$6437,"High","low")</f>
        <v>low</v>
      </c>
    </row>
    <row r="5888" spans="1:3">
      <c r="A5888" s="1">
        <v>42</v>
      </c>
      <c r="B5888" s="2">
        <f>Walmart_Sales_raw_data!C5888</f>
        <v>558837.27</v>
      </c>
      <c r="C5888" t="str">
        <f>IF(B5888&gt;=Walmart_Sales_raw_data!$C$6437,"High","low")</f>
        <v>low</v>
      </c>
    </row>
    <row r="5889" spans="1:3">
      <c r="A5889" s="3">
        <v>42</v>
      </c>
      <c r="B5889" s="2">
        <f>Walmart_Sales_raw_data!C5889</f>
        <v>491115.86</v>
      </c>
      <c r="C5889" t="str">
        <f>IF(B5889&gt;=Walmart_Sales_raw_data!$C$6437,"High","low")</f>
        <v>low</v>
      </c>
    </row>
    <row r="5890" spans="1:3">
      <c r="A5890" s="1">
        <v>42</v>
      </c>
      <c r="B5890" s="2">
        <f>Walmart_Sales_raw_data!C5890</f>
        <v>469598.57</v>
      </c>
      <c r="C5890" t="str">
        <f>IF(B5890&gt;=Walmart_Sales_raw_data!$C$6437,"High","low")</f>
        <v>low</v>
      </c>
    </row>
    <row r="5891" spans="1:3">
      <c r="A5891" s="3">
        <v>42</v>
      </c>
      <c r="B5891" s="2">
        <f>Walmart_Sales_raw_data!C5891</f>
        <v>579544.21</v>
      </c>
      <c r="C5891" t="str">
        <f>IF(B5891&gt;=Walmart_Sales_raw_data!$C$6437,"High","low")</f>
        <v>low</v>
      </c>
    </row>
    <row r="5892" spans="1:3">
      <c r="A5892" s="1">
        <v>42</v>
      </c>
      <c r="B5892" s="2">
        <f>Walmart_Sales_raw_data!C5892</f>
        <v>583079.97</v>
      </c>
      <c r="C5892" t="str">
        <f>IF(B5892&gt;=Walmart_Sales_raw_data!$C$6437,"High","low")</f>
        <v>low</v>
      </c>
    </row>
    <row r="5893" spans="1:3">
      <c r="A5893" s="3">
        <v>42</v>
      </c>
      <c r="B5893" s="2">
        <f>Walmart_Sales_raw_data!C5893</f>
        <v>500945.63</v>
      </c>
      <c r="C5893" t="str">
        <f>IF(B5893&gt;=Walmart_Sales_raw_data!$C$6437,"High","low")</f>
        <v>low</v>
      </c>
    </row>
    <row r="5894" spans="1:3">
      <c r="A5894" s="1">
        <v>42</v>
      </c>
      <c r="B5894" s="2">
        <f>Walmart_Sales_raw_data!C5894</f>
        <v>465993.51</v>
      </c>
      <c r="C5894" t="str">
        <f>IF(B5894&gt;=Walmart_Sales_raw_data!$C$6437,"High","low")</f>
        <v>low</v>
      </c>
    </row>
    <row r="5895" spans="1:3">
      <c r="A5895" s="3">
        <v>42</v>
      </c>
      <c r="B5895" s="2">
        <f>Walmart_Sales_raw_data!C5895</f>
        <v>524658.06</v>
      </c>
      <c r="C5895" t="str">
        <f>IF(B5895&gt;=Walmart_Sales_raw_data!$C$6437,"High","low")</f>
        <v>low</v>
      </c>
    </row>
    <row r="5896" spans="1:3">
      <c r="A5896" s="1">
        <v>42</v>
      </c>
      <c r="B5896" s="2">
        <f>Walmart_Sales_raw_data!C5896</f>
        <v>589091.04</v>
      </c>
      <c r="C5896" t="str">
        <f>IF(B5896&gt;=Walmart_Sales_raw_data!$C$6437,"High","low")</f>
        <v>low</v>
      </c>
    </row>
    <row r="5897" spans="1:3">
      <c r="A5897" s="3">
        <v>42</v>
      </c>
      <c r="B5897" s="2">
        <f>Walmart_Sales_raw_data!C5897</f>
        <v>536871.58</v>
      </c>
      <c r="C5897" t="str">
        <f>IF(B5897&gt;=Walmart_Sales_raw_data!$C$6437,"High","low")</f>
        <v>low</v>
      </c>
    </row>
    <row r="5898" spans="1:3">
      <c r="A5898" s="1">
        <v>42</v>
      </c>
      <c r="B5898" s="2">
        <f>Walmart_Sales_raw_data!C5898</f>
        <v>492262.96</v>
      </c>
      <c r="C5898" t="str">
        <f>IF(B5898&gt;=Walmart_Sales_raw_data!$C$6437,"High","low")</f>
        <v>low</v>
      </c>
    </row>
    <row r="5899" spans="1:3">
      <c r="A5899" s="3">
        <v>42</v>
      </c>
      <c r="B5899" s="2">
        <f>Walmart_Sales_raw_data!C5899</f>
        <v>481523.93</v>
      </c>
      <c r="C5899" t="str">
        <f>IF(B5899&gt;=Walmart_Sales_raw_data!$C$6437,"High","low")</f>
        <v>low</v>
      </c>
    </row>
    <row r="5900" spans="1:3">
      <c r="A5900" s="1">
        <v>42</v>
      </c>
      <c r="B5900" s="2">
        <f>Walmart_Sales_raw_data!C5900</f>
        <v>599759.45</v>
      </c>
      <c r="C5900" t="str">
        <f>IF(B5900&gt;=Walmart_Sales_raw_data!$C$6437,"High","low")</f>
        <v>low</v>
      </c>
    </row>
    <row r="5901" spans="1:3">
      <c r="A5901" s="3">
        <v>42</v>
      </c>
      <c r="B5901" s="2">
        <f>Walmart_Sales_raw_data!C5901</f>
        <v>559285.35</v>
      </c>
      <c r="C5901" t="str">
        <f>IF(B5901&gt;=Walmart_Sales_raw_data!$C$6437,"High","low")</f>
        <v>low</v>
      </c>
    </row>
    <row r="5902" spans="1:3">
      <c r="A5902" s="1">
        <v>42</v>
      </c>
      <c r="B5902" s="2">
        <f>Walmart_Sales_raw_data!C5902</f>
        <v>522467.51</v>
      </c>
      <c r="C5902" t="str">
        <f>IF(B5902&gt;=Walmart_Sales_raw_data!$C$6437,"High","low")</f>
        <v>low</v>
      </c>
    </row>
    <row r="5903" spans="1:3">
      <c r="A5903" s="3">
        <v>42</v>
      </c>
      <c r="B5903" s="2">
        <f>Walmart_Sales_raw_data!C5903</f>
        <v>476967.65</v>
      </c>
      <c r="C5903" t="str">
        <f>IF(B5903&gt;=Walmart_Sales_raw_data!$C$6437,"High","low")</f>
        <v>low</v>
      </c>
    </row>
    <row r="5904" spans="1:3">
      <c r="A5904" s="1">
        <v>42</v>
      </c>
      <c r="B5904" s="2">
        <f>Walmart_Sales_raw_data!C5904</f>
        <v>565390.4</v>
      </c>
      <c r="C5904" t="str">
        <f>IF(B5904&gt;=Walmart_Sales_raw_data!$C$6437,"High","low")</f>
        <v>low</v>
      </c>
    </row>
    <row r="5905" spans="1:3">
      <c r="A5905" s="3">
        <v>42</v>
      </c>
      <c r="B5905" s="2">
        <f>Walmart_Sales_raw_data!C5905</f>
        <v>588592.61</v>
      </c>
      <c r="C5905" t="str">
        <f>IF(B5905&gt;=Walmart_Sales_raw_data!$C$6437,"High","low")</f>
        <v>low</v>
      </c>
    </row>
    <row r="5906" spans="1:3">
      <c r="A5906" s="1">
        <v>42</v>
      </c>
      <c r="B5906" s="2">
        <f>Walmart_Sales_raw_data!C5906</f>
        <v>524316.21</v>
      </c>
      <c r="C5906" t="str">
        <f>IF(B5906&gt;=Walmart_Sales_raw_data!$C$6437,"High","low")</f>
        <v>low</v>
      </c>
    </row>
    <row r="5907" spans="1:3">
      <c r="A5907" s="3">
        <v>42</v>
      </c>
      <c r="B5907" s="2">
        <f>Walmart_Sales_raw_data!C5907</f>
        <v>522296.71</v>
      </c>
      <c r="C5907" t="str">
        <f>IF(B5907&gt;=Walmart_Sales_raw_data!$C$6437,"High","low")</f>
        <v>low</v>
      </c>
    </row>
    <row r="5908" spans="1:3">
      <c r="A5908" s="1">
        <v>42</v>
      </c>
      <c r="B5908" s="2">
        <f>Walmart_Sales_raw_data!C5908</f>
        <v>500250.8</v>
      </c>
      <c r="C5908" t="str">
        <f>IF(B5908&gt;=Walmart_Sales_raw_data!$C$6437,"High","low")</f>
        <v>low</v>
      </c>
    </row>
    <row r="5909" spans="1:3">
      <c r="A5909" s="3">
        <v>42</v>
      </c>
      <c r="B5909" s="2">
        <f>Walmart_Sales_raw_data!C5909</f>
        <v>585175.24</v>
      </c>
      <c r="C5909" t="str">
        <f>IF(B5909&gt;=Walmart_Sales_raw_data!$C$6437,"High","low")</f>
        <v>low</v>
      </c>
    </row>
    <row r="5910" spans="1:3">
      <c r="A5910" s="1">
        <v>42</v>
      </c>
      <c r="B5910" s="2">
        <f>Walmart_Sales_raw_data!C5910</f>
        <v>537455.65</v>
      </c>
      <c r="C5910" t="str">
        <f>IF(B5910&gt;=Walmart_Sales_raw_data!$C$6437,"High","low")</f>
        <v>low</v>
      </c>
    </row>
    <row r="5911" spans="1:3">
      <c r="A5911" s="3">
        <v>42</v>
      </c>
      <c r="B5911" s="2">
        <f>Walmart_Sales_raw_data!C5911</f>
        <v>555075.27</v>
      </c>
      <c r="C5911" t="str">
        <f>IF(B5911&gt;=Walmart_Sales_raw_data!$C$6437,"High","low")</f>
        <v>low</v>
      </c>
    </row>
    <row r="5912" spans="1:3">
      <c r="A5912" s="1">
        <v>42</v>
      </c>
      <c r="B5912" s="2">
        <f>Walmart_Sales_raw_data!C5912</f>
        <v>428953.6</v>
      </c>
      <c r="C5912" t="str">
        <f>IF(B5912&gt;=Walmart_Sales_raw_data!$C$6437,"High","low")</f>
        <v>low</v>
      </c>
    </row>
    <row r="5913" spans="1:3">
      <c r="A5913" s="3">
        <v>42</v>
      </c>
      <c r="B5913" s="2">
        <f>Walmart_Sales_raw_data!C5913</f>
        <v>592947.75</v>
      </c>
      <c r="C5913" t="str">
        <f>IF(B5913&gt;=Walmart_Sales_raw_data!$C$6437,"High","low")</f>
        <v>low</v>
      </c>
    </row>
    <row r="5914" spans="1:3">
      <c r="A5914" s="1">
        <v>42</v>
      </c>
      <c r="B5914" s="2">
        <f>Walmart_Sales_raw_data!C5914</f>
        <v>613899.15</v>
      </c>
      <c r="C5914" t="str">
        <f>IF(B5914&gt;=Walmart_Sales_raw_data!$C$6437,"High","low")</f>
        <v>low</v>
      </c>
    </row>
    <row r="5915" spans="1:3">
      <c r="A5915" s="3">
        <v>42</v>
      </c>
      <c r="B5915" s="2">
        <f>Walmart_Sales_raw_data!C5915</f>
        <v>533414.62</v>
      </c>
      <c r="C5915" t="str">
        <f>IF(B5915&gt;=Walmart_Sales_raw_data!$C$6437,"High","low")</f>
        <v>low</v>
      </c>
    </row>
    <row r="5916" spans="1:3">
      <c r="A5916" s="1">
        <v>42</v>
      </c>
      <c r="B5916" s="2">
        <f>Walmart_Sales_raw_data!C5916</f>
        <v>499081.79</v>
      </c>
      <c r="C5916" t="str">
        <f>IF(B5916&gt;=Walmart_Sales_raw_data!$C$6437,"High","low")</f>
        <v>low</v>
      </c>
    </row>
    <row r="5917" spans="1:3">
      <c r="A5917" s="3">
        <v>42</v>
      </c>
      <c r="B5917" s="2">
        <f>Walmart_Sales_raw_data!C5917</f>
        <v>586886.16</v>
      </c>
      <c r="C5917" t="str">
        <f>IF(B5917&gt;=Walmart_Sales_raw_data!$C$6437,"High","low")</f>
        <v>low</v>
      </c>
    </row>
    <row r="5918" spans="1:3">
      <c r="A5918" s="1">
        <v>42</v>
      </c>
      <c r="B5918" s="2">
        <f>Walmart_Sales_raw_data!C5918</f>
        <v>628063.88</v>
      </c>
      <c r="C5918" t="str">
        <f>IF(B5918&gt;=Walmart_Sales_raw_data!$C$6437,"High","low")</f>
        <v>low</v>
      </c>
    </row>
    <row r="5919" spans="1:3">
      <c r="A5919" s="3">
        <v>42</v>
      </c>
      <c r="B5919" s="2">
        <f>Walmart_Sales_raw_data!C5919</f>
        <v>556485.1</v>
      </c>
      <c r="C5919" t="str">
        <f>IF(B5919&gt;=Walmart_Sales_raw_data!$C$6437,"High","low")</f>
        <v>low</v>
      </c>
    </row>
    <row r="5920" spans="1:3">
      <c r="A5920" s="1">
        <v>42</v>
      </c>
      <c r="B5920" s="2">
        <f>Walmart_Sales_raw_data!C5920</f>
        <v>526904.08</v>
      </c>
      <c r="C5920" t="str">
        <f>IF(B5920&gt;=Walmart_Sales_raw_data!$C$6437,"High","low")</f>
        <v>low</v>
      </c>
    </row>
    <row r="5921" spans="1:3">
      <c r="A5921" s="3">
        <v>42</v>
      </c>
      <c r="B5921" s="2">
        <f>Walmart_Sales_raw_data!C5921</f>
        <v>570879.04</v>
      </c>
      <c r="C5921" t="str">
        <f>IF(B5921&gt;=Walmart_Sales_raw_data!$C$6437,"High","low")</f>
        <v>low</v>
      </c>
    </row>
    <row r="5922" spans="1:3">
      <c r="A5922" s="1">
        <v>42</v>
      </c>
      <c r="B5922" s="2">
        <f>Walmart_Sales_raw_data!C5922</f>
        <v>607294.56</v>
      </c>
      <c r="C5922" t="str">
        <f>IF(B5922&gt;=Walmart_Sales_raw_data!$C$6437,"High","low")</f>
        <v>low</v>
      </c>
    </row>
    <row r="5923" spans="1:3">
      <c r="A5923" s="3">
        <v>42</v>
      </c>
      <c r="B5923" s="2">
        <f>Walmart_Sales_raw_data!C5923</f>
        <v>558239.32</v>
      </c>
      <c r="C5923" t="str">
        <f>IF(B5923&gt;=Walmart_Sales_raw_data!$C$6437,"High","low")</f>
        <v>low</v>
      </c>
    </row>
    <row r="5924" spans="1:3">
      <c r="A5924" s="1">
        <v>42</v>
      </c>
      <c r="B5924" s="2">
        <f>Walmart_Sales_raw_data!C5924</f>
        <v>522673.62</v>
      </c>
      <c r="C5924" t="str">
        <f>IF(B5924&gt;=Walmart_Sales_raw_data!$C$6437,"High","low")</f>
        <v>low</v>
      </c>
    </row>
    <row r="5925" spans="1:3">
      <c r="A5925" s="3">
        <v>42</v>
      </c>
      <c r="B5925" s="2">
        <f>Walmart_Sales_raw_data!C5925</f>
        <v>508432.17</v>
      </c>
      <c r="C5925" t="str">
        <f>IF(B5925&gt;=Walmart_Sales_raw_data!$C$6437,"High","low")</f>
        <v>low</v>
      </c>
    </row>
    <row r="5926" spans="1:3">
      <c r="A5926" s="1">
        <v>42</v>
      </c>
      <c r="B5926" s="2">
        <f>Walmart_Sales_raw_data!C5926</f>
        <v>620087.35</v>
      </c>
      <c r="C5926" t="str">
        <f>IF(B5926&gt;=Walmart_Sales_raw_data!$C$6437,"High","low")</f>
        <v>low</v>
      </c>
    </row>
    <row r="5927" spans="1:3">
      <c r="A5927" s="3">
        <v>42</v>
      </c>
      <c r="B5927" s="2">
        <f>Walmart_Sales_raw_data!C5927</f>
        <v>597644.02</v>
      </c>
      <c r="C5927" t="str">
        <f>IF(B5927&gt;=Walmart_Sales_raw_data!$C$6437,"High","low")</f>
        <v>low</v>
      </c>
    </row>
    <row r="5928" spans="1:3">
      <c r="A5928" s="1">
        <v>42</v>
      </c>
      <c r="B5928" s="2">
        <f>Walmart_Sales_raw_data!C5928</f>
        <v>534597.69</v>
      </c>
      <c r="C5928" t="str">
        <f>IF(B5928&gt;=Walmart_Sales_raw_data!$C$6437,"High","low")</f>
        <v>low</v>
      </c>
    </row>
    <row r="5929" spans="1:3">
      <c r="A5929" s="3">
        <v>42</v>
      </c>
      <c r="B5929" s="2">
        <f>Walmart_Sales_raw_data!C5929</f>
        <v>496010.17</v>
      </c>
      <c r="C5929" t="str">
        <f>IF(B5929&gt;=Walmart_Sales_raw_data!$C$6437,"High","low")</f>
        <v>low</v>
      </c>
    </row>
    <row r="5930" spans="1:3">
      <c r="A5930" s="1">
        <v>42</v>
      </c>
      <c r="B5930" s="2">
        <f>Walmart_Sales_raw_data!C5930</f>
        <v>612337.35</v>
      </c>
      <c r="C5930" t="str">
        <f>IF(B5930&gt;=Walmart_Sales_raw_data!$C$6437,"High","low")</f>
        <v>low</v>
      </c>
    </row>
    <row r="5931" spans="1:3">
      <c r="A5931" s="3">
        <v>42</v>
      </c>
      <c r="B5931" s="2">
        <f>Walmart_Sales_raw_data!C5931</f>
        <v>603024.75</v>
      </c>
      <c r="C5931" t="str">
        <f>IF(B5931&gt;=Walmart_Sales_raw_data!$C$6437,"High","low")</f>
        <v>low</v>
      </c>
    </row>
    <row r="5932" spans="1:3">
      <c r="A5932" s="1">
        <v>42</v>
      </c>
      <c r="B5932" s="2">
        <f>Walmart_Sales_raw_data!C5932</f>
        <v>524559.95</v>
      </c>
      <c r="C5932" t="str">
        <f>IF(B5932&gt;=Walmart_Sales_raw_data!$C$6437,"High","low")</f>
        <v>low</v>
      </c>
    </row>
    <row r="5933" spans="1:3">
      <c r="A5933" s="3">
        <v>42</v>
      </c>
      <c r="B5933" s="2">
        <f>Walmart_Sales_raw_data!C5933</f>
        <v>503295.29</v>
      </c>
      <c r="C5933" t="str">
        <f>IF(B5933&gt;=Walmart_Sales_raw_data!$C$6437,"High","low")</f>
        <v>low</v>
      </c>
    </row>
    <row r="5934" spans="1:3">
      <c r="A5934" s="1">
        <v>42</v>
      </c>
      <c r="B5934" s="2">
        <f>Walmart_Sales_raw_data!C5934</f>
        <v>545109.3</v>
      </c>
      <c r="C5934" t="str">
        <f>IF(B5934&gt;=Walmart_Sales_raw_data!$C$6437,"High","low")</f>
        <v>low</v>
      </c>
    </row>
    <row r="5935" spans="1:3">
      <c r="A5935" s="3">
        <v>42</v>
      </c>
      <c r="B5935" s="2">
        <f>Walmart_Sales_raw_data!C5935</f>
        <v>616701.99</v>
      </c>
      <c r="C5935" t="str">
        <f>IF(B5935&gt;=Walmart_Sales_raw_data!$C$6437,"High","low")</f>
        <v>low</v>
      </c>
    </row>
    <row r="5936" spans="1:3">
      <c r="A5936" s="1">
        <v>42</v>
      </c>
      <c r="B5936" s="2">
        <f>Walmart_Sales_raw_data!C5936</f>
        <v>546675.65</v>
      </c>
      <c r="C5936" t="str">
        <f>IF(B5936&gt;=Walmart_Sales_raw_data!$C$6437,"High","low")</f>
        <v>low</v>
      </c>
    </row>
    <row r="5937" spans="1:3">
      <c r="A5937" s="3">
        <v>42</v>
      </c>
      <c r="B5937" s="2">
        <f>Walmart_Sales_raw_data!C5937</f>
        <v>501780.66</v>
      </c>
      <c r="C5937" t="str">
        <f>IF(B5937&gt;=Walmart_Sales_raw_data!$C$6437,"High","low")</f>
        <v>low</v>
      </c>
    </row>
    <row r="5938" spans="1:3">
      <c r="A5938" s="1">
        <v>42</v>
      </c>
      <c r="B5938" s="2">
        <f>Walmart_Sales_raw_data!C5938</f>
        <v>506343.83</v>
      </c>
      <c r="C5938" t="str">
        <f>IF(B5938&gt;=Walmart_Sales_raw_data!$C$6437,"High","low")</f>
        <v>low</v>
      </c>
    </row>
    <row r="5939" spans="1:3">
      <c r="A5939" s="3">
        <v>42</v>
      </c>
      <c r="B5939" s="2">
        <f>Walmart_Sales_raw_data!C5939</f>
        <v>593234.27</v>
      </c>
      <c r="C5939" t="str">
        <f>IF(B5939&gt;=Walmart_Sales_raw_data!$C$6437,"High","low")</f>
        <v>low</v>
      </c>
    </row>
    <row r="5940" spans="1:3">
      <c r="A5940" s="1">
        <v>42</v>
      </c>
      <c r="B5940" s="2">
        <f>Walmart_Sales_raw_data!C5940</f>
        <v>591703.82</v>
      </c>
      <c r="C5940" t="str">
        <f>IF(B5940&gt;=Walmart_Sales_raw_data!$C$6437,"High","low")</f>
        <v>low</v>
      </c>
    </row>
    <row r="5941" spans="1:3">
      <c r="A5941" s="3">
        <v>42</v>
      </c>
      <c r="B5941" s="2">
        <f>Walmart_Sales_raw_data!C5941</f>
        <v>511316.29</v>
      </c>
      <c r="C5941" t="str">
        <f>IF(B5941&gt;=Walmart_Sales_raw_data!$C$6437,"High","low")</f>
        <v>low</v>
      </c>
    </row>
    <row r="5942" spans="1:3">
      <c r="A5942" s="1">
        <v>42</v>
      </c>
      <c r="B5942" s="2">
        <f>Walmart_Sales_raw_data!C5942</f>
        <v>479256.8</v>
      </c>
      <c r="C5942" t="str">
        <f>IF(B5942&gt;=Walmart_Sales_raw_data!$C$6437,"High","low")</f>
        <v>low</v>
      </c>
    </row>
    <row r="5943" spans="1:3">
      <c r="A5943" s="3">
        <v>42</v>
      </c>
      <c r="B5943" s="2">
        <f>Walmart_Sales_raw_data!C5943</f>
        <v>572603.33</v>
      </c>
      <c r="C5943" t="str">
        <f>IF(B5943&gt;=Walmart_Sales_raw_data!$C$6437,"High","low")</f>
        <v>low</v>
      </c>
    </row>
    <row r="5944" spans="1:3">
      <c r="A5944" s="1">
        <v>42</v>
      </c>
      <c r="B5944" s="2">
        <f>Walmart_Sales_raw_data!C5944</f>
        <v>603147.26</v>
      </c>
      <c r="C5944" t="str">
        <f>IF(B5944&gt;=Walmart_Sales_raw_data!$C$6437,"High","low")</f>
        <v>low</v>
      </c>
    </row>
    <row r="5945" spans="1:3">
      <c r="A5945" s="3">
        <v>42</v>
      </c>
      <c r="B5945" s="2">
        <f>Walmart_Sales_raw_data!C5945</f>
        <v>526641.23</v>
      </c>
      <c r="C5945" t="str">
        <f>IF(B5945&gt;=Walmart_Sales_raw_data!$C$6437,"High","low")</f>
        <v>low</v>
      </c>
    </row>
    <row r="5946" spans="1:3">
      <c r="A5946" s="1">
        <v>42</v>
      </c>
      <c r="B5946" s="2">
        <f>Walmart_Sales_raw_data!C5946</f>
        <v>503720.98</v>
      </c>
      <c r="C5946" t="str">
        <f>IF(B5946&gt;=Walmart_Sales_raw_data!$C$6437,"High","low")</f>
        <v>low</v>
      </c>
    </row>
    <row r="5947" spans="1:3">
      <c r="A5947" s="3">
        <v>42</v>
      </c>
      <c r="B5947" s="2">
        <f>Walmart_Sales_raw_data!C5947</f>
        <v>537124.76</v>
      </c>
      <c r="C5947" t="str">
        <f>IF(B5947&gt;=Walmart_Sales_raw_data!$C$6437,"High","low")</f>
        <v>low</v>
      </c>
    </row>
    <row r="5948" spans="1:3">
      <c r="A5948" s="1">
        <v>42</v>
      </c>
      <c r="B5948" s="2">
        <f>Walmart_Sales_raw_data!C5948</f>
        <v>608390.94</v>
      </c>
      <c r="C5948" t="str">
        <f>IF(B5948&gt;=Walmart_Sales_raw_data!$C$6437,"High","low")</f>
        <v>low</v>
      </c>
    </row>
    <row r="5949" spans="1:3">
      <c r="A5949" s="3">
        <v>42</v>
      </c>
      <c r="B5949" s="2">
        <f>Walmart_Sales_raw_data!C5949</f>
        <v>576837.09</v>
      </c>
      <c r="C5949" t="str">
        <f>IF(B5949&gt;=Walmart_Sales_raw_data!$C$6437,"High","low")</f>
        <v>low</v>
      </c>
    </row>
    <row r="5950" spans="1:3">
      <c r="A5950" s="1">
        <v>42</v>
      </c>
      <c r="B5950" s="2">
        <f>Walmart_Sales_raw_data!C5950</f>
        <v>528486.45</v>
      </c>
      <c r="C5950" t="str">
        <f>IF(B5950&gt;=Walmart_Sales_raw_data!$C$6437,"High","low")</f>
        <v>low</v>
      </c>
    </row>
    <row r="5951" spans="1:3">
      <c r="A5951" s="3">
        <v>42</v>
      </c>
      <c r="B5951" s="2">
        <f>Walmart_Sales_raw_data!C5951</f>
        <v>510243.79</v>
      </c>
      <c r="C5951" t="str">
        <f>IF(B5951&gt;=Walmart_Sales_raw_data!$C$6437,"High","low")</f>
        <v>low</v>
      </c>
    </row>
    <row r="5952" spans="1:3">
      <c r="A5952" s="1">
        <v>42</v>
      </c>
      <c r="B5952" s="2">
        <f>Walmart_Sales_raw_data!C5952</f>
        <v>649111.23</v>
      </c>
      <c r="C5952" t="str">
        <f>IF(B5952&gt;=Walmart_Sales_raw_data!$C$6437,"High","low")</f>
        <v>low</v>
      </c>
    </row>
    <row r="5953" spans="1:3">
      <c r="A5953" s="3">
        <v>42</v>
      </c>
      <c r="B5953" s="2">
        <f>Walmart_Sales_raw_data!C5953</f>
        <v>613531.11</v>
      </c>
      <c r="C5953" t="str">
        <f>IF(B5953&gt;=Walmart_Sales_raw_data!$C$6437,"High","low")</f>
        <v>low</v>
      </c>
    </row>
    <row r="5954" spans="1:3">
      <c r="A5954" s="1">
        <v>42</v>
      </c>
      <c r="B5954" s="2">
        <f>Walmart_Sales_raw_data!C5954</f>
        <v>537276.41</v>
      </c>
      <c r="C5954" t="str">
        <f>IF(B5954&gt;=Walmart_Sales_raw_data!$C$6437,"High","low")</f>
        <v>low</v>
      </c>
    </row>
    <row r="5955" spans="1:3">
      <c r="A5955" s="3">
        <v>42</v>
      </c>
      <c r="B5955" s="2">
        <f>Walmart_Sales_raw_data!C5955</f>
        <v>515599.7</v>
      </c>
      <c r="C5955" t="str">
        <f>IF(B5955&gt;=Walmart_Sales_raw_data!$C$6437,"High","low")</f>
        <v>low</v>
      </c>
    </row>
    <row r="5956" spans="1:3">
      <c r="A5956" s="1">
        <v>42</v>
      </c>
      <c r="B5956" s="2">
        <f>Walmart_Sales_raw_data!C5956</f>
        <v>597667.21</v>
      </c>
      <c r="C5956" t="str">
        <f>IF(B5956&gt;=Walmart_Sales_raw_data!$C$6437,"High","low")</f>
        <v>low</v>
      </c>
    </row>
    <row r="5957" spans="1:3">
      <c r="A5957" s="3">
        <v>42</v>
      </c>
      <c r="B5957" s="2">
        <f>Walmart_Sales_raw_data!C5957</f>
        <v>643125.29</v>
      </c>
      <c r="C5957" t="str">
        <f>IF(B5957&gt;=Walmart_Sales_raw_data!$C$6437,"High","low")</f>
        <v>low</v>
      </c>
    </row>
    <row r="5958" spans="1:3">
      <c r="A5958" s="1">
        <v>42</v>
      </c>
      <c r="B5958" s="2">
        <f>Walmart_Sales_raw_data!C5958</f>
        <v>567673.87</v>
      </c>
      <c r="C5958" t="str">
        <f>IF(B5958&gt;=Walmart_Sales_raw_data!$C$6437,"High","low")</f>
        <v>low</v>
      </c>
    </row>
    <row r="5959" spans="1:3">
      <c r="A5959" s="3">
        <v>42</v>
      </c>
      <c r="B5959" s="2">
        <f>Walmart_Sales_raw_data!C5959</f>
        <v>577698.37</v>
      </c>
      <c r="C5959" t="str">
        <f>IF(B5959&gt;=Walmart_Sales_raw_data!$C$6437,"High","low")</f>
        <v>low</v>
      </c>
    </row>
    <row r="5960" spans="1:3">
      <c r="A5960" s="1">
        <v>42</v>
      </c>
      <c r="B5960" s="2">
        <f>Walmart_Sales_raw_data!C5960</f>
        <v>511883.36</v>
      </c>
      <c r="C5960" t="str">
        <f>IF(B5960&gt;=Walmart_Sales_raw_data!$C$6437,"High","low")</f>
        <v>low</v>
      </c>
    </row>
    <row r="5961" spans="1:3">
      <c r="A5961" s="3">
        <v>42</v>
      </c>
      <c r="B5961" s="2">
        <f>Walmart_Sales_raw_data!C5961</f>
        <v>619133.48</v>
      </c>
      <c r="C5961" t="str">
        <f>IF(B5961&gt;=Walmart_Sales_raw_data!$C$6437,"High","low")</f>
        <v>low</v>
      </c>
    </row>
    <row r="5962" spans="1:3">
      <c r="A5962" s="1">
        <v>42</v>
      </c>
      <c r="B5962" s="2">
        <f>Walmart_Sales_raw_data!C5962</f>
        <v>598437.98</v>
      </c>
      <c r="C5962" t="str">
        <f>IF(B5962&gt;=Walmart_Sales_raw_data!$C$6437,"High","low")</f>
        <v>low</v>
      </c>
    </row>
    <row r="5963" spans="1:3">
      <c r="A5963" s="3">
        <v>42</v>
      </c>
      <c r="B5963" s="2">
        <f>Walmart_Sales_raw_data!C5963</f>
        <v>575676.13</v>
      </c>
      <c r="C5963" t="str">
        <f>IF(B5963&gt;=Walmart_Sales_raw_data!$C$6437,"High","low")</f>
        <v>low</v>
      </c>
    </row>
    <row r="5964" spans="1:3">
      <c r="A5964" s="1">
        <v>42</v>
      </c>
      <c r="B5964" s="2">
        <f>Walmart_Sales_raw_data!C5964</f>
        <v>454412.28</v>
      </c>
      <c r="C5964" t="str">
        <f>IF(B5964&gt;=Walmart_Sales_raw_data!$C$6437,"High","low")</f>
        <v>low</v>
      </c>
    </row>
    <row r="5965" spans="1:3">
      <c r="A5965" s="3">
        <v>42</v>
      </c>
      <c r="B5965" s="2">
        <f>Walmart_Sales_raw_data!C5965</f>
        <v>636372.37</v>
      </c>
      <c r="C5965" t="str">
        <f>IF(B5965&gt;=Walmart_Sales_raw_data!$C$6437,"High","low")</f>
        <v>low</v>
      </c>
    </row>
    <row r="5966" spans="1:3">
      <c r="A5966" s="1">
        <v>42</v>
      </c>
      <c r="B5966" s="2">
        <f>Walmart_Sales_raw_data!C5966</f>
        <v>664348.2</v>
      </c>
      <c r="C5966" t="str">
        <f>IF(B5966&gt;=Walmart_Sales_raw_data!$C$6437,"High","low")</f>
        <v>low</v>
      </c>
    </row>
    <row r="5967" spans="1:3">
      <c r="A5967" s="3">
        <v>42</v>
      </c>
      <c r="B5967" s="2">
        <f>Walmart_Sales_raw_data!C5967</f>
        <v>579499.93</v>
      </c>
      <c r="C5967" t="str">
        <f>IF(B5967&gt;=Walmart_Sales_raw_data!$C$6437,"High","low")</f>
        <v>low</v>
      </c>
    </row>
    <row r="5968" spans="1:3">
      <c r="A5968" s="1">
        <v>42</v>
      </c>
      <c r="B5968" s="2">
        <f>Walmart_Sales_raw_data!C5968</f>
        <v>538978.67</v>
      </c>
      <c r="C5968" t="str">
        <f>IF(B5968&gt;=Walmart_Sales_raw_data!$C$6437,"High","low")</f>
        <v>low</v>
      </c>
    </row>
    <row r="5969" spans="1:3">
      <c r="A5969" s="3">
        <v>42</v>
      </c>
      <c r="B5969" s="2">
        <f>Walmart_Sales_raw_data!C5969</f>
        <v>588448.21</v>
      </c>
      <c r="C5969" t="str">
        <f>IF(B5969&gt;=Walmart_Sales_raw_data!$C$6437,"High","low")</f>
        <v>low</v>
      </c>
    </row>
    <row r="5970" spans="1:3">
      <c r="A5970" s="1">
        <v>42</v>
      </c>
      <c r="B5970" s="2">
        <f>Walmart_Sales_raw_data!C5970</f>
        <v>674919.45</v>
      </c>
      <c r="C5970" t="str">
        <f>IF(B5970&gt;=Walmart_Sales_raw_data!$C$6437,"High","low")</f>
        <v>low</v>
      </c>
    </row>
    <row r="5971" spans="1:3">
      <c r="A5971" s="3">
        <v>42</v>
      </c>
      <c r="B5971" s="2">
        <f>Walmart_Sales_raw_data!C5971</f>
        <v>606671.5</v>
      </c>
      <c r="C5971" t="str">
        <f>IF(B5971&gt;=Walmart_Sales_raw_data!$C$6437,"High","low")</f>
        <v>low</v>
      </c>
    </row>
    <row r="5972" spans="1:3">
      <c r="A5972" s="1">
        <v>42</v>
      </c>
      <c r="B5972" s="2">
        <f>Walmart_Sales_raw_data!C5972</f>
        <v>564304.15</v>
      </c>
      <c r="C5972" t="str">
        <f>IF(B5972&gt;=Walmart_Sales_raw_data!$C$6437,"High","low")</f>
        <v>low</v>
      </c>
    </row>
    <row r="5973" spans="1:3">
      <c r="A5973" s="3">
        <v>42</v>
      </c>
      <c r="B5973" s="2">
        <f>Walmart_Sales_raw_data!C5973</f>
        <v>585895.34</v>
      </c>
      <c r="C5973" t="str">
        <f>IF(B5973&gt;=Walmart_Sales_raw_data!$C$6437,"High","low")</f>
        <v>low</v>
      </c>
    </row>
    <row r="5974" spans="1:3">
      <c r="A5974" s="1">
        <v>42</v>
      </c>
      <c r="B5974" s="2">
        <f>Walmart_Sales_raw_data!C5974</f>
        <v>659816.15</v>
      </c>
      <c r="C5974" t="str">
        <f>IF(B5974&gt;=Walmart_Sales_raw_data!$C$6437,"High","low")</f>
        <v>low</v>
      </c>
    </row>
    <row r="5975" spans="1:3">
      <c r="A5975" s="3">
        <v>42</v>
      </c>
      <c r="B5975" s="2">
        <f>Walmart_Sales_raw_data!C5975</f>
        <v>618767.26</v>
      </c>
      <c r="C5975" t="str">
        <f>IF(B5975&gt;=Walmart_Sales_raw_data!$C$6437,"High","low")</f>
        <v>low</v>
      </c>
    </row>
    <row r="5976" spans="1:3">
      <c r="A5976" s="1">
        <v>42</v>
      </c>
      <c r="B5976" s="2">
        <f>Walmart_Sales_raw_data!C5976</f>
        <v>561226.38</v>
      </c>
      <c r="C5976" t="str">
        <f>IF(B5976&gt;=Walmart_Sales_raw_data!$C$6437,"High","low")</f>
        <v>low</v>
      </c>
    </row>
    <row r="5977" spans="1:3">
      <c r="A5977" s="3">
        <v>42</v>
      </c>
      <c r="B5977" s="2">
        <f>Walmart_Sales_raw_data!C5977</f>
        <v>544408.14</v>
      </c>
      <c r="C5977" t="str">
        <f>IF(B5977&gt;=Walmart_Sales_raw_data!$C$6437,"High","low")</f>
        <v>low</v>
      </c>
    </row>
    <row r="5978" spans="1:3">
      <c r="A5978" s="1">
        <v>42</v>
      </c>
      <c r="B5978" s="2">
        <f>Walmart_Sales_raw_data!C5978</f>
        <v>652312.11</v>
      </c>
      <c r="C5978" t="str">
        <f>IF(B5978&gt;=Walmart_Sales_raw_data!$C$6437,"High","low")</f>
        <v>low</v>
      </c>
    </row>
    <row r="5979" spans="1:3">
      <c r="A5979" s="3">
        <v>42</v>
      </c>
      <c r="B5979" s="2">
        <f>Walmart_Sales_raw_data!C5979</f>
        <v>639123.45</v>
      </c>
      <c r="C5979" t="str">
        <f>IF(B5979&gt;=Walmart_Sales_raw_data!$C$6437,"High","low")</f>
        <v>low</v>
      </c>
    </row>
    <row r="5980" spans="1:3">
      <c r="A5980" s="1">
        <v>42</v>
      </c>
      <c r="B5980" s="2">
        <f>Walmart_Sales_raw_data!C5980</f>
        <v>552529.23</v>
      </c>
      <c r="C5980" t="str">
        <f>IF(B5980&gt;=Walmart_Sales_raw_data!$C$6437,"High","low")</f>
        <v>low</v>
      </c>
    </row>
    <row r="5981" spans="1:3">
      <c r="A5981" s="3">
        <v>42</v>
      </c>
      <c r="B5981" s="2">
        <f>Walmart_Sales_raw_data!C5981</f>
        <v>526625.49</v>
      </c>
      <c r="C5981" t="str">
        <f>IF(B5981&gt;=Walmart_Sales_raw_data!$C$6437,"High","low")</f>
        <v>low</v>
      </c>
    </row>
    <row r="5982" spans="1:3">
      <c r="A5982" s="1">
        <v>42</v>
      </c>
      <c r="B5982" s="2">
        <f>Walmart_Sales_raw_data!C5982</f>
        <v>609274.89</v>
      </c>
      <c r="C5982" t="str">
        <f>IF(B5982&gt;=Walmart_Sales_raw_data!$C$6437,"High","low")</f>
        <v>low</v>
      </c>
    </row>
    <row r="5983" spans="1:3">
      <c r="A5983" s="3">
        <v>42</v>
      </c>
      <c r="B5983" s="2">
        <f>Walmart_Sales_raw_data!C5983</f>
        <v>643603.69</v>
      </c>
      <c r="C5983" t="str">
        <f>IF(B5983&gt;=Walmart_Sales_raw_data!$C$6437,"High","low")</f>
        <v>low</v>
      </c>
    </row>
    <row r="5984" spans="1:3">
      <c r="A5984" s="1">
        <v>42</v>
      </c>
      <c r="B5984" s="2">
        <f>Walmart_Sales_raw_data!C5984</f>
        <v>590636.38</v>
      </c>
      <c r="C5984" t="str">
        <f>IF(B5984&gt;=Walmart_Sales_raw_data!$C$6437,"High","low")</f>
        <v>low</v>
      </c>
    </row>
    <row r="5985" spans="1:3">
      <c r="A5985" s="3">
        <v>42</v>
      </c>
      <c r="B5985" s="2">
        <f>Walmart_Sales_raw_data!C5985</f>
        <v>535764.58</v>
      </c>
      <c r="C5985" t="str">
        <f>IF(B5985&gt;=Walmart_Sales_raw_data!$C$6437,"High","low")</f>
        <v>low</v>
      </c>
    </row>
    <row r="5986" spans="1:3">
      <c r="A5986" s="1">
        <v>42</v>
      </c>
      <c r="B5986" s="2">
        <f>Walmart_Sales_raw_data!C5986</f>
        <v>521953.78</v>
      </c>
      <c r="C5986" t="str">
        <f>IF(B5986&gt;=Walmart_Sales_raw_data!$C$6437,"High","low")</f>
        <v>low</v>
      </c>
    </row>
    <row r="5987" spans="1:3">
      <c r="A5987" s="3">
        <v>42</v>
      </c>
      <c r="B5987" s="2">
        <f>Walmart_Sales_raw_data!C5987</f>
        <v>642671.48</v>
      </c>
      <c r="C5987" t="str">
        <f>IF(B5987&gt;=Walmart_Sales_raw_data!$C$6437,"High","low")</f>
        <v>low</v>
      </c>
    </row>
    <row r="5988" spans="1:3">
      <c r="A5988" s="1">
        <v>42</v>
      </c>
      <c r="B5988" s="2">
        <f>Walmart_Sales_raw_data!C5988</f>
        <v>606309.13</v>
      </c>
      <c r="C5988" t="str">
        <f>IF(B5988&gt;=Walmart_Sales_raw_data!$C$6437,"High","low")</f>
        <v>low</v>
      </c>
    </row>
    <row r="5989" spans="1:3">
      <c r="A5989" s="3">
        <v>42</v>
      </c>
      <c r="B5989" s="2">
        <f>Walmart_Sales_raw_data!C5989</f>
        <v>540031.29</v>
      </c>
      <c r="C5989" t="str">
        <f>IF(B5989&gt;=Walmart_Sales_raw_data!$C$6437,"High","low")</f>
        <v>low</v>
      </c>
    </row>
    <row r="5990" spans="1:3">
      <c r="A5990" s="1">
        <v>42</v>
      </c>
      <c r="B5990" s="2">
        <f>Walmart_Sales_raw_data!C5990</f>
        <v>507403.77</v>
      </c>
      <c r="C5990" t="str">
        <f>IF(B5990&gt;=Walmart_Sales_raw_data!$C$6437,"High","low")</f>
        <v>low</v>
      </c>
    </row>
    <row r="5991" spans="1:3">
      <c r="A5991" s="3">
        <v>42</v>
      </c>
      <c r="B5991" s="2">
        <f>Walmart_Sales_raw_data!C5991</f>
        <v>618702.09</v>
      </c>
      <c r="C5991" t="str">
        <f>IF(B5991&gt;=Walmart_Sales_raw_data!$C$6437,"High","low")</f>
        <v>low</v>
      </c>
    </row>
    <row r="5992" spans="1:3">
      <c r="A5992" s="1">
        <v>42</v>
      </c>
      <c r="B5992" s="2">
        <f>Walmart_Sales_raw_data!C5992</f>
        <v>628099.08</v>
      </c>
      <c r="C5992" t="str">
        <f>IF(B5992&gt;=Walmart_Sales_raw_data!$C$6437,"High","low")</f>
        <v>low</v>
      </c>
    </row>
    <row r="5993" spans="1:3">
      <c r="A5993" s="3">
        <v>42</v>
      </c>
      <c r="B5993" s="2">
        <f>Walmart_Sales_raw_data!C5993</f>
        <v>530318.39</v>
      </c>
      <c r="C5993" t="str">
        <f>IF(B5993&gt;=Walmart_Sales_raw_data!$C$6437,"High","low")</f>
        <v>low</v>
      </c>
    </row>
    <row r="5994" spans="1:3">
      <c r="A5994" s="1">
        <v>42</v>
      </c>
      <c r="B5994" s="2">
        <f>Walmart_Sales_raw_data!C5994</f>
        <v>516352.21</v>
      </c>
      <c r="C5994" t="str">
        <f>IF(B5994&gt;=Walmart_Sales_raw_data!$C$6437,"High","low")</f>
        <v>low</v>
      </c>
    </row>
    <row r="5995" spans="1:3">
      <c r="A5995" s="3">
        <v>42</v>
      </c>
      <c r="B5995" s="2">
        <f>Walmart_Sales_raw_data!C5995</f>
        <v>573084.71</v>
      </c>
      <c r="C5995" t="str">
        <f>IF(B5995&gt;=Walmart_Sales_raw_data!$C$6437,"High","low")</f>
        <v>low</v>
      </c>
    </row>
    <row r="5996" spans="1:3">
      <c r="A5996" s="1">
        <v>42</v>
      </c>
      <c r="B5996" s="2">
        <f>Walmart_Sales_raw_data!C5996</f>
        <v>576620.31</v>
      </c>
      <c r="C5996" t="str">
        <f>IF(B5996&gt;=Walmart_Sales_raw_data!$C$6437,"High","low")</f>
        <v>low</v>
      </c>
    </row>
    <row r="5997" spans="1:3">
      <c r="A5997" s="3">
        <v>42</v>
      </c>
      <c r="B5997" s="2">
        <f>Walmart_Sales_raw_data!C5997</f>
        <v>575997.78</v>
      </c>
      <c r="C5997" t="str">
        <f>IF(B5997&gt;=Walmart_Sales_raw_data!$C$6437,"High","low")</f>
        <v>low</v>
      </c>
    </row>
    <row r="5998" spans="1:3">
      <c r="A5998" s="1">
        <v>42</v>
      </c>
      <c r="B5998" s="2">
        <f>Walmart_Sales_raw_data!C5998</f>
        <v>535537.03</v>
      </c>
      <c r="C5998" t="str">
        <f>IF(B5998&gt;=Walmart_Sales_raw_data!$C$6437,"High","low")</f>
        <v>low</v>
      </c>
    </row>
    <row r="5999" spans="1:3">
      <c r="A5999" s="3">
        <v>42</v>
      </c>
      <c r="B5999" s="2">
        <f>Walmart_Sales_raw_data!C5999</f>
        <v>504760.57</v>
      </c>
      <c r="C5999" t="str">
        <f>IF(B5999&gt;=Walmart_Sales_raw_data!$C$6437,"High","low")</f>
        <v>low</v>
      </c>
    </row>
    <row r="6000" spans="1:3">
      <c r="A6000" s="1">
        <v>42</v>
      </c>
      <c r="B6000" s="2">
        <f>Walmart_Sales_raw_data!C6000</f>
        <v>617405.35</v>
      </c>
      <c r="C6000" t="str">
        <f>IF(B6000&gt;=Walmart_Sales_raw_data!$C$6437,"High","low")</f>
        <v>low</v>
      </c>
    </row>
    <row r="6001" spans="1:3">
      <c r="A6001" s="3">
        <v>42</v>
      </c>
      <c r="B6001" s="2">
        <f>Walmart_Sales_raw_data!C6001</f>
        <v>586737.66</v>
      </c>
      <c r="C6001" t="str">
        <f>IF(B6001&gt;=Walmart_Sales_raw_data!$C$6437,"High","low")</f>
        <v>low</v>
      </c>
    </row>
    <row r="6002" spans="1:3">
      <c r="A6002" s="1">
        <v>42</v>
      </c>
      <c r="B6002" s="2">
        <f>Walmart_Sales_raw_data!C6002</f>
        <v>527165.7</v>
      </c>
      <c r="C6002" t="str">
        <f>IF(B6002&gt;=Walmart_Sales_raw_data!$C$6437,"High","low")</f>
        <v>low</v>
      </c>
    </row>
    <row r="6003" spans="1:3">
      <c r="A6003" s="3">
        <v>42</v>
      </c>
      <c r="B6003" s="2">
        <f>Walmart_Sales_raw_data!C6003</f>
        <v>505978.46</v>
      </c>
      <c r="C6003" t="str">
        <f>IF(B6003&gt;=Walmart_Sales_raw_data!$C$6437,"High","low")</f>
        <v>low</v>
      </c>
    </row>
    <row r="6004" spans="1:3">
      <c r="A6004" s="1">
        <v>42</v>
      </c>
      <c r="B6004" s="2">
        <f>Walmart_Sales_raw_data!C6004</f>
        <v>593162.53</v>
      </c>
      <c r="C6004" t="str">
        <f>IF(B6004&gt;=Walmart_Sales_raw_data!$C$6437,"High","low")</f>
        <v>low</v>
      </c>
    </row>
    <row r="6005" spans="1:3">
      <c r="A6005" s="3">
        <v>42</v>
      </c>
      <c r="B6005" s="2">
        <f>Walmart_Sales_raw_data!C6005</f>
        <v>612379.9</v>
      </c>
      <c r="C6005" t="str">
        <f>IF(B6005&gt;=Walmart_Sales_raw_data!$C$6437,"High","low")</f>
        <v>low</v>
      </c>
    </row>
    <row r="6006" spans="1:3">
      <c r="A6006" s="1">
        <v>42</v>
      </c>
      <c r="B6006" s="2">
        <f>Walmart_Sales_raw_data!C6006</f>
        <v>541406.98</v>
      </c>
      <c r="C6006" t="str">
        <f>IF(B6006&gt;=Walmart_Sales_raw_data!$C$6437,"High","low")</f>
        <v>low</v>
      </c>
    </row>
    <row r="6007" spans="1:3">
      <c r="A6007" s="3">
        <v>42</v>
      </c>
      <c r="B6007" s="2">
        <f>Walmart_Sales_raw_data!C6007</f>
        <v>514756.08</v>
      </c>
      <c r="C6007" t="str">
        <f>IF(B6007&gt;=Walmart_Sales_raw_data!$C$6437,"High","low")</f>
        <v>low</v>
      </c>
    </row>
    <row r="6008" spans="1:3">
      <c r="A6008" s="1">
        <v>43</v>
      </c>
      <c r="B6008" s="2">
        <f>Walmart_Sales_raw_data!C6008</f>
        <v>647029.28</v>
      </c>
      <c r="C6008" t="str">
        <f>IF(B6008&gt;=Walmart_Sales_raw_data!$C$6437,"High","low")</f>
        <v>low</v>
      </c>
    </row>
    <row r="6009" spans="1:3">
      <c r="A6009" s="3">
        <v>43</v>
      </c>
      <c r="B6009" s="2">
        <f>Walmart_Sales_raw_data!C6009</f>
        <v>682918.99</v>
      </c>
      <c r="C6009" t="str">
        <f>IF(B6009&gt;=Walmart_Sales_raw_data!$C$6437,"High","low")</f>
        <v>low</v>
      </c>
    </row>
    <row r="6010" spans="1:3">
      <c r="A6010" s="1">
        <v>43</v>
      </c>
      <c r="B6010" s="2">
        <f>Walmart_Sales_raw_data!C6010</f>
        <v>658997.55</v>
      </c>
      <c r="C6010" t="str">
        <f>IF(B6010&gt;=Walmart_Sales_raw_data!$C$6437,"High","low")</f>
        <v>low</v>
      </c>
    </row>
    <row r="6011" spans="1:3">
      <c r="A6011" s="3">
        <v>43</v>
      </c>
      <c r="B6011" s="2">
        <f>Walmart_Sales_raw_data!C6011</f>
        <v>618702.79</v>
      </c>
      <c r="C6011" t="str">
        <f>IF(B6011&gt;=Walmart_Sales_raw_data!$C$6437,"High","low")</f>
        <v>low</v>
      </c>
    </row>
    <row r="6012" spans="1:3">
      <c r="A6012" s="1">
        <v>43</v>
      </c>
      <c r="B6012" s="2">
        <f>Walmart_Sales_raw_data!C6012</f>
        <v>658600.05</v>
      </c>
      <c r="C6012" t="str">
        <f>IF(B6012&gt;=Walmart_Sales_raw_data!$C$6437,"High","low")</f>
        <v>low</v>
      </c>
    </row>
    <row r="6013" spans="1:3">
      <c r="A6013" s="3">
        <v>43</v>
      </c>
      <c r="B6013" s="2">
        <f>Walmart_Sales_raw_data!C6013</f>
        <v>645386.94</v>
      </c>
      <c r="C6013" t="str">
        <f>IF(B6013&gt;=Walmart_Sales_raw_data!$C$6437,"High","low")</f>
        <v>low</v>
      </c>
    </row>
    <row r="6014" spans="1:3">
      <c r="A6014" s="1">
        <v>43</v>
      </c>
      <c r="B6014" s="2">
        <f>Walmart_Sales_raw_data!C6014</f>
        <v>668098.49</v>
      </c>
      <c r="C6014" t="str">
        <f>IF(B6014&gt;=Walmart_Sales_raw_data!$C$6437,"High","low")</f>
        <v>low</v>
      </c>
    </row>
    <row r="6015" spans="1:3">
      <c r="A6015" s="3">
        <v>43</v>
      </c>
      <c r="B6015" s="2">
        <f>Walmart_Sales_raw_data!C6015</f>
        <v>623097.93</v>
      </c>
      <c r="C6015" t="str">
        <f>IF(B6015&gt;=Walmart_Sales_raw_data!$C$6437,"High","low")</f>
        <v>low</v>
      </c>
    </row>
    <row r="6016" spans="1:3">
      <c r="A6016" s="1">
        <v>43</v>
      </c>
      <c r="B6016" s="2">
        <f>Walmart_Sales_raw_data!C6016</f>
        <v>650102.8</v>
      </c>
      <c r="C6016" t="str">
        <f>IF(B6016&gt;=Walmart_Sales_raw_data!$C$6437,"High","low")</f>
        <v>low</v>
      </c>
    </row>
    <row r="6017" spans="1:3">
      <c r="A6017" s="3">
        <v>43</v>
      </c>
      <c r="B6017" s="2">
        <f>Walmart_Sales_raw_data!C6017</f>
        <v>693058.34</v>
      </c>
      <c r="C6017" t="str">
        <f>IF(B6017&gt;=Walmart_Sales_raw_data!$C$6437,"High","low")</f>
        <v>low</v>
      </c>
    </row>
    <row r="6018" spans="1:3">
      <c r="A6018" s="1">
        <v>43</v>
      </c>
      <c r="B6018" s="2">
        <f>Walmart_Sales_raw_data!C6018</f>
        <v>675282.2</v>
      </c>
      <c r="C6018" t="str">
        <f>IF(B6018&gt;=Walmart_Sales_raw_data!$C$6437,"High","low")</f>
        <v>low</v>
      </c>
    </row>
    <row r="6019" spans="1:3">
      <c r="A6019" s="3">
        <v>43</v>
      </c>
      <c r="B6019" s="2">
        <f>Walmart_Sales_raw_data!C6019</f>
        <v>638957.35</v>
      </c>
      <c r="C6019" t="str">
        <f>IF(B6019&gt;=Walmart_Sales_raw_data!$C$6437,"High","low")</f>
        <v>low</v>
      </c>
    </row>
    <row r="6020" spans="1:3">
      <c r="A6020" s="1">
        <v>43</v>
      </c>
      <c r="B6020" s="2">
        <f>Walmart_Sales_raw_data!C6020</f>
        <v>630740.11</v>
      </c>
      <c r="C6020" t="str">
        <f>IF(B6020&gt;=Walmart_Sales_raw_data!$C$6437,"High","low")</f>
        <v>low</v>
      </c>
    </row>
    <row r="6021" spans="1:3">
      <c r="A6021" s="3">
        <v>43</v>
      </c>
      <c r="B6021" s="2">
        <f>Walmart_Sales_raw_data!C6021</f>
        <v>691498.6</v>
      </c>
      <c r="C6021" t="str">
        <f>IF(B6021&gt;=Walmart_Sales_raw_data!$C$6437,"High","low")</f>
        <v>low</v>
      </c>
    </row>
    <row r="6022" spans="1:3">
      <c r="A6022" s="1">
        <v>43</v>
      </c>
      <c r="B6022" s="2">
        <f>Walmart_Sales_raw_data!C6022</f>
        <v>690851.59</v>
      </c>
      <c r="C6022" t="str">
        <f>IF(B6022&gt;=Walmart_Sales_raw_data!$C$6437,"High","low")</f>
        <v>low</v>
      </c>
    </row>
    <row r="6023" spans="1:3">
      <c r="A6023" s="3">
        <v>43</v>
      </c>
      <c r="B6023" s="2">
        <f>Walmart_Sales_raw_data!C6023</f>
        <v>672062.08</v>
      </c>
      <c r="C6023" t="str">
        <f>IF(B6023&gt;=Walmart_Sales_raw_data!$C$6437,"High","low")</f>
        <v>low</v>
      </c>
    </row>
    <row r="6024" spans="1:3">
      <c r="A6024" s="1">
        <v>43</v>
      </c>
      <c r="B6024" s="2">
        <f>Walmart_Sales_raw_data!C6024</f>
        <v>630315.76</v>
      </c>
      <c r="C6024" t="str">
        <f>IF(B6024&gt;=Walmart_Sales_raw_data!$C$6437,"High","low")</f>
        <v>low</v>
      </c>
    </row>
    <row r="6025" spans="1:3">
      <c r="A6025" s="3">
        <v>43</v>
      </c>
      <c r="B6025" s="2">
        <f>Walmart_Sales_raw_data!C6025</f>
        <v>682012.53</v>
      </c>
      <c r="C6025" t="str">
        <f>IF(B6025&gt;=Walmart_Sales_raw_data!$C$6437,"High","low")</f>
        <v>low</v>
      </c>
    </row>
    <row r="6026" spans="1:3">
      <c r="A6026" s="1">
        <v>43</v>
      </c>
      <c r="B6026" s="2">
        <f>Walmart_Sales_raw_data!C6026</f>
        <v>684023.95</v>
      </c>
      <c r="C6026" t="str">
        <f>IF(B6026&gt;=Walmart_Sales_raw_data!$C$6437,"High","low")</f>
        <v>low</v>
      </c>
    </row>
    <row r="6027" spans="1:3">
      <c r="A6027" s="3">
        <v>43</v>
      </c>
      <c r="B6027" s="2">
        <f>Walmart_Sales_raw_data!C6027</f>
        <v>700009.77</v>
      </c>
      <c r="C6027" t="str">
        <f>IF(B6027&gt;=Walmart_Sales_raw_data!$C$6437,"High","low")</f>
        <v>low</v>
      </c>
    </row>
    <row r="6028" spans="1:3">
      <c r="A6028" s="1">
        <v>43</v>
      </c>
      <c r="B6028" s="2">
        <f>Walmart_Sales_raw_data!C6028</f>
        <v>625196.14</v>
      </c>
      <c r="C6028" t="str">
        <f>IF(B6028&gt;=Walmart_Sales_raw_data!$C$6437,"High","low")</f>
        <v>low</v>
      </c>
    </row>
    <row r="6029" spans="1:3">
      <c r="A6029" s="3">
        <v>43</v>
      </c>
      <c r="B6029" s="2">
        <f>Walmart_Sales_raw_data!C6029</f>
        <v>667353.79</v>
      </c>
      <c r="C6029" t="str">
        <f>IF(B6029&gt;=Walmart_Sales_raw_data!$C$6437,"High","low")</f>
        <v>low</v>
      </c>
    </row>
    <row r="6030" spans="1:3">
      <c r="A6030" s="1">
        <v>43</v>
      </c>
      <c r="B6030" s="2">
        <f>Walmart_Sales_raw_data!C6030</f>
        <v>718748.33</v>
      </c>
      <c r="C6030" t="str">
        <f>IF(B6030&gt;=Walmart_Sales_raw_data!$C$6437,"High","low")</f>
        <v>low</v>
      </c>
    </row>
    <row r="6031" spans="1:3">
      <c r="A6031" s="3">
        <v>43</v>
      </c>
      <c r="B6031" s="2">
        <f>Walmart_Sales_raw_data!C6031</f>
        <v>696844.36</v>
      </c>
      <c r="C6031" t="str">
        <f>IF(B6031&gt;=Walmart_Sales_raw_data!$C$6437,"High","low")</f>
        <v>low</v>
      </c>
    </row>
    <row r="6032" spans="1:3">
      <c r="A6032" s="1">
        <v>43</v>
      </c>
      <c r="B6032" s="2">
        <f>Walmart_Sales_raw_data!C6032</f>
        <v>649035.55</v>
      </c>
      <c r="C6032" t="str">
        <f>IF(B6032&gt;=Walmart_Sales_raw_data!$C$6437,"High","low")</f>
        <v>low</v>
      </c>
    </row>
    <row r="6033" spans="1:3">
      <c r="A6033" s="3">
        <v>43</v>
      </c>
      <c r="B6033" s="2">
        <f>Walmart_Sales_raw_data!C6033</f>
        <v>622112.23</v>
      </c>
      <c r="C6033" t="str">
        <f>IF(B6033&gt;=Walmart_Sales_raw_data!$C$6437,"High","low")</f>
        <v>low</v>
      </c>
    </row>
    <row r="6034" spans="1:3">
      <c r="A6034" s="1">
        <v>43</v>
      </c>
      <c r="B6034" s="2">
        <f>Walmart_Sales_raw_data!C6034</f>
        <v>698536.06</v>
      </c>
      <c r="C6034" t="str">
        <f>IF(B6034&gt;=Walmart_Sales_raw_data!$C$6437,"High","low")</f>
        <v>low</v>
      </c>
    </row>
    <row r="6035" spans="1:3">
      <c r="A6035" s="3">
        <v>43</v>
      </c>
      <c r="B6035" s="2">
        <f>Walmart_Sales_raw_data!C6035</f>
        <v>713479.91</v>
      </c>
      <c r="C6035" t="str">
        <f>IF(B6035&gt;=Walmart_Sales_raw_data!$C$6437,"High","low")</f>
        <v>low</v>
      </c>
    </row>
    <row r="6036" spans="1:3">
      <c r="A6036" s="1">
        <v>43</v>
      </c>
      <c r="B6036" s="2">
        <f>Walmart_Sales_raw_data!C6036</f>
        <v>712869.09</v>
      </c>
      <c r="C6036" t="str">
        <f>IF(B6036&gt;=Walmart_Sales_raw_data!$C$6437,"High","low")</f>
        <v>low</v>
      </c>
    </row>
    <row r="6037" spans="1:3">
      <c r="A6037" s="3">
        <v>43</v>
      </c>
      <c r="B6037" s="2">
        <f>Walmart_Sales_raw_data!C6037</f>
        <v>655284.69</v>
      </c>
      <c r="C6037" t="str">
        <f>IF(B6037&gt;=Walmart_Sales_raw_data!$C$6437,"High","low")</f>
        <v>low</v>
      </c>
    </row>
    <row r="6038" spans="1:3">
      <c r="A6038" s="1">
        <v>43</v>
      </c>
      <c r="B6038" s="2">
        <f>Walmart_Sales_raw_data!C6038</f>
        <v>689326.91</v>
      </c>
      <c r="C6038" t="str">
        <f>IF(B6038&gt;=Walmart_Sales_raw_data!$C$6437,"High","low")</f>
        <v>low</v>
      </c>
    </row>
    <row r="6039" spans="1:3">
      <c r="A6039" s="3">
        <v>43</v>
      </c>
      <c r="B6039" s="2">
        <f>Walmart_Sales_raw_data!C6039</f>
        <v>722120.04</v>
      </c>
      <c r="C6039" t="str">
        <f>IF(B6039&gt;=Walmart_Sales_raw_data!$C$6437,"High","low")</f>
        <v>low</v>
      </c>
    </row>
    <row r="6040" spans="1:3">
      <c r="A6040" s="1">
        <v>43</v>
      </c>
      <c r="B6040" s="2">
        <f>Walmart_Sales_raw_data!C6040</f>
        <v>725043.04</v>
      </c>
      <c r="C6040" t="str">
        <f>IF(B6040&gt;=Walmart_Sales_raw_data!$C$6437,"High","low")</f>
        <v>low</v>
      </c>
    </row>
    <row r="6041" spans="1:3">
      <c r="A6041" s="3">
        <v>43</v>
      </c>
      <c r="B6041" s="2">
        <f>Walmart_Sales_raw_data!C6041</f>
        <v>650263.95</v>
      </c>
      <c r="C6041" t="str">
        <f>IF(B6041&gt;=Walmart_Sales_raw_data!$C$6437,"High","low")</f>
        <v>low</v>
      </c>
    </row>
    <row r="6042" spans="1:3">
      <c r="A6042" s="1">
        <v>43</v>
      </c>
      <c r="B6042" s="2">
        <f>Walmart_Sales_raw_data!C6042</f>
        <v>657108.77</v>
      </c>
      <c r="C6042" t="str">
        <f>IF(B6042&gt;=Walmart_Sales_raw_data!$C$6437,"High","low")</f>
        <v>low</v>
      </c>
    </row>
    <row r="6043" spans="1:3">
      <c r="A6043" s="3">
        <v>43</v>
      </c>
      <c r="B6043" s="2">
        <f>Walmart_Sales_raw_data!C6043</f>
        <v>713332.54</v>
      </c>
      <c r="C6043" t="str">
        <f>IF(B6043&gt;=Walmart_Sales_raw_data!$C$6437,"High","low")</f>
        <v>low</v>
      </c>
    </row>
    <row r="6044" spans="1:3">
      <c r="A6044" s="1">
        <v>43</v>
      </c>
      <c r="B6044" s="2">
        <f>Walmart_Sales_raw_data!C6044</f>
        <v>699852.68</v>
      </c>
      <c r="C6044" t="str">
        <f>IF(B6044&gt;=Walmart_Sales_raw_data!$C$6437,"High","low")</f>
        <v>low</v>
      </c>
    </row>
    <row r="6045" spans="1:3">
      <c r="A6045" s="3">
        <v>43</v>
      </c>
      <c r="B6045" s="2">
        <f>Walmart_Sales_raw_data!C6045</f>
        <v>680943.03</v>
      </c>
      <c r="C6045" t="str">
        <f>IF(B6045&gt;=Walmart_Sales_raw_data!$C$6437,"High","low")</f>
        <v>low</v>
      </c>
    </row>
    <row r="6046" spans="1:3">
      <c r="A6046" s="1">
        <v>43</v>
      </c>
      <c r="B6046" s="2">
        <f>Walmart_Sales_raw_data!C6046</f>
        <v>610076.32</v>
      </c>
      <c r="C6046" t="str">
        <f>IF(B6046&gt;=Walmart_Sales_raw_data!$C$6437,"High","low")</f>
        <v>low</v>
      </c>
    </row>
    <row r="6047" spans="1:3">
      <c r="A6047" s="3">
        <v>43</v>
      </c>
      <c r="B6047" s="2">
        <f>Walmart_Sales_raw_data!C6047</f>
        <v>605960.2</v>
      </c>
      <c r="C6047" t="str">
        <f>IF(B6047&gt;=Walmart_Sales_raw_data!$C$6437,"High","low")</f>
        <v>low</v>
      </c>
    </row>
    <row r="6048" spans="1:3">
      <c r="A6048" s="1">
        <v>43</v>
      </c>
      <c r="B6048" s="2">
        <f>Walmart_Sales_raw_data!C6048</f>
        <v>595421.23</v>
      </c>
      <c r="C6048" t="str">
        <f>IF(B6048&gt;=Walmart_Sales_raw_data!$C$6437,"High","low")</f>
        <v>low</v>
      </c>
    </row>
    <row r="6049" spans="1:3">
      <c r="A6049" s="3">
        <v>43</v>
      </c>
      <c r="B6049" s="2">
        <f>Walmart_Sales_raw_data!C6049</f>
        <v>589467.35</v>
      </c>
      <c r="C6049" t="str">
        <f>IF(B6049&gt;=Walmart_Sales_raw_data!$C$6437,"High","low")</f>
        <v>low</v>
      </c>
    </row>
    <row r="6050" spans="1:3">
      <c r="A6050" s="1">
        <v>43</v>
      </c>
      <c r="B6050" s="2">
        <f>Walmart_Sales_raw_data!C6050</f>
        <v>633520.34</v>
      </c>
      <c r="C6050" t="str">
        <f>IF(B6050&gt;=Walmart_Sales_raw_data!$C$6437,"High","low")</f>
        <v>low</v>
      </c>
    </row>
    <row r="6051" spans="1:3">
      <c r="A6051" s="3">
        <v>43</v>
      </c>
      <c r="B6051" s="2">
        <f>Walmart_Sales_raw_data!C6051</f>
        <v>557543.62</v>
      </c>
      <c r="C6051" t="str">
        <f>IF(B6051&gt;=Walmart_Sales_raw_data!$C$6437,"High","low")</f>
        <v>low</v>
      </c>
    </row>
    <row r="6052" spans="1:3">
      <c r="A6052" s="1">
        <v>43</v>
      </c>
      <c r="B6052" s="2">
        <f>Walmart_Sales_raw_data!C6052</f>
        <v>598679.02</v>
      </c>
      <c r="C6052" t="str">
        <f>IF(B6052&gt;=Walmart_Sales_raw_data!$C$6437,"High","low")</f>
        <v>low</v>
      </c>
    </row>
    <row r="6053" spans="1:3">
      <c r="A6053" s="3">
        <v>43</v>
      </c>
      <c r="B6053" s="2">
        <f>Walmart_Sales_raw_data!C6053</f>
        <v>615761.77</v>
      </c>
      <c r="C6053" t="str">
        <f>IF(B6053&gt;=Walmart_Sales_raw_data!$C$6437,"High","low")</f>
        <v>low</v>
      </c>
    </row>
    <row r="6054" spans="1:3">
      <c r="A6054" s="1">
        <v>43</v>
      </c>
      <c r="B6054" s="2">
        <f>Walmart_Sales_raw_data!C6054</f>
        <v>656637.63</v>
      </c>
      <c r="C6054" t="str">
        <f>IF(B6054&gt;=Walmart_Sales_raw_data!$C$6437,"High","low")</f>
        <v>low</v>
      </c>
    </row>
    <row r="6055" spans="1:3">
      <c r="A6055" s="3">
        <v>43</v>
      </c>
      <c r="B6055" s="2">
        <f>Walmart_Sales_raw_data!C6055</f>
        <v>534740.3</v>
      </c>
      <c r="C6055" t="str">
        <f>IF(B6055&gt;=Walmart_Sales_raw_data!$C$6437,"High","low")</f>
        <v>low</v>
      </c>
    </row>
    <row r="6056" spans="1:3">
      <c r="A6056" s="1">
        <v>43</v>
      </c>
      <c r="B6056" s="2">
        <f>Walmart_Sales_raw_data!C6056</f>
        <v>611796.61</v>
      </c>
      <c r="C6056" t="str">
        <f>IF(B6056&gt;=Walmart_Sales_raw_data!$C$6437,"High","low")</f>
        <v>low</v>
      </c>
    </row>
    <row r="6057" spans="1:3">
      <c r="A6057" s="3">
        <v>43</v>
      </c>
      <c r="B6057" s="2">
        <f>Walmart_Sales_raw_data!C6057</f>
        <v>614940.07</v>
      </c>
      <c r="C6057" t="str">
        <f>IF(B6057&gt;=Walmart_Sales_raw_data!$C$6437,"High","low")</f>
        <v>low</v>
      </c>
    </row>
    <row r="6058" spans="1:3">
      <c r="A6058" s="1">
        <v>43</v>
      </c>
      <c r="B6058" s="2">
        <f>Walmart_Sales_raw_data!C6058</f>
        <v>601004.79</v>
      </c>
      <c r="C6058" t="str">
        <f>IF(B6058&gt;=Walmart_Sales_raw_data!$C$6437,"High","low")</f>
        <v>low</v>
      </c>
    </row>
    <row r="6059" spans="1:3">
      <c r="A6059" s="3">
        <v>43</v>
      </c>
      <c r="B6059" s="2">
        <f>Walmart_Sales_raw_data!C6059</f>
        <v>562558.27</v>
      </c>
      <c r="C6059" t="str">
        <f>IF(B6059&gt;=Walmart_Sales_raw_data!$C$6437,"High","low")</f>
        <v>low</v>
      </c>
    </row>
    <row r="6060" spans="1:3">
      <c r="A6060" s="1">
        <v>43</v>
      </c>
      <c r="B6060" s="2">
        <f>Walmart_Sales_raw_data!C6060</f>
        <v>651521.77</v>
      </c>
      <c r="C6060" t="str">
        <f>IF(B6060&gt;=Walmart_Sales_raw_data!$C$6437,"High","low")</f>
        <v>low</v>
      </c>
    </row>
    <row r="6061" spans="1:3">
      <c r="A6061" s="3">
        <v>43</v>
      </c>
      <c r="B6061" s="2">
        <f>Walmart_Sales_raw_data!C6061</f>
        <v>635650.98</v>
      </c>
      <c r="C6061" t="str">
        <f>IF(B6061&gt;=Walmart_Sales_raw_data!$C$6437,"High","low")</f>
        <v>low</v>
      </c>
    </row>
    <row r="6062" spans="1:3">
      <c r="A6062" s="1">
        <v>43</v>
      </c>
      <c r="B6062" s="2">
        <f>Walmart_Sales_raw_data!C6062</f>
        <v>626627.77</v>
      </c>
      <c r="C6062" t="str">
        <f>IF(B6062&gt;=Walmart_Sales_raw_data!$C$6437,"High","low")</f>
        <v>low</v>
      </c>
    </row>
    <row r="6063" spans="1:3">
      <c r="A6063" s="3">
        <v>43</v>
      </c>
      <c r="B6063" s="2">
        <f>Walmart_Sales_raw_data!C6063</f>
        <v>592340.01</v>
      </c>
      <c r="C6063" t="str">
        <f>IF(B6063&gt;=Walmart_Sales_raw_data!$C$6437,"High","low")</f>
        <v>low</v>
      </c>
    </row>
    <row r="6064" spans="1:3">
      <c r="A6064" s="1">
        <v>43</v>
      </c>
      <c r="B6064" s="2">
        <f>Walmart_Sales_raw_data!C6064</f>
        <v>616345.25</v>
      </c>
      <c r="C6064" t="str">
        <f>IF(B6064&gt;=Walmart_Sales_raw_data!$C$6437,"High","low")</f>
        <v>low</v>
      </c>
    </row>
    <row r="6065" spans="1:3">
      <c r="A6065" s="3">
        <v>43</v>
      </c>
      <c r="B6065" s="2">
        <f>Walmart_Sales_raw_data!C6065</f>
        <v>629026.75</v>
      </c>
      <c r="C6065" t="str">
        <f>IF(B6065&gt;=Walmart_Sales_raw_data!$C$6437,"High","low")</f>
        <v>low</v>
      </c>
    </row>
    <row r="6066" spans="1:3">
      <c r="A6066" s="1">
        <v>43</v>
      </c>
      <c r="B6066" s="2">
        <f>Walmart_Sales_raw_data!C6066</f>
        <v>635171.05</v>
      </c>
      <c r="C6066" t="str">
        <f>IF(B6066&gt;=Walmart_Sales_raw_data!$C$6437,"High","low")</f>
        <v>low</v>
      </c>
    </row>
    <row r="6067" spans="1:3">
      <c r="A6067" s="3">
        <v>43</v>
      </c>
      <c r="B6067" s="2">
        <f>Walmart_Sales_raw_data!C6067</f>
        <v>585989.1</v>
      </c>
      <c r="C6067" t="str">
        <f>IF(B6067&gt;=Walmart_Sales_raw_data!$C$6437,"High","low")</f>
        <v>low</v>
      </c>
    </row>
    <row r="6068" spans="1:3">
      <c r="A6068" s="1">
        <v>43</v>
      </c>
      <c r="B6068" s="2">
        <f>Walmart_Sales_raw_data!C6068</f>
        <v>611585.54</v>
      </c>
      <c r="C6068" t="str">
        <f>IF(B6068&gt;=Walmart_Sales_raw_data!$C$6437,"High","low")</f>
        <v>low</v>
      </c>
    </row>
    <row r="6069" spans="1:3">
      <c r="A6069" s="3">
        <v>43</v>
      </c>
      <c r="B6069" s="2">
        <f>Walmart_Sales_raw_data!C6069</f>
        <v>650418.75</v>
      </c>
      <c r="C6069" t="str">
        <f>IF(B6069&gt;=Walmart_Sales_raw_data!$C$6437,"High","low")</f>
        <v>low</v>
      </c>
    </row>
    <row r="6070" spans="1:3">
      <c r="A6070" s="1">
        <v>43</v>
      </c>
      <c r="B6070" s="2">
        <f>Walmart_Sales_raw_data!C6070</f>
        <v>635758.03</v>
      </c>
      <c r="C6070" t="str">
        <f>IF(B6070&gt;=Walmart_Sales_raw_data!$C$6437,"High","low")</f>
        <v>low</v>
      </c>
    </row>
    <row r="6071" spans="1:3">
      <c r="A6071" s="3">
        <v>43</v>
      </c>
      <c r="B6071" s="2">
        <f>Walmart_Sales_raw_data!C6071</f>
        <v>638280.67</v>
      </c>
      <c r="C6071" t="str">
        <f>IF(B6071&gt;=Walmart_Sales_raw_data!$C$6437,"High","low")</f>
        <v>low</v>
      </c>
    </row>
    <row r="6072" spans="1:3">
      <c r="A6072" s="1">
        <v>43</v>
      </c>
      <c r="B6072" s="2">
        <f>Walmart_Sales_raw_data!C6072</f>
        <v>611464.21</v>
      </c>
      <c r="C6072" t="str">
        <f>IF(B6072&gt;=Walmart_Sales_raw_data!$C$6437,"High","low")</f>
        <v>low</v>
      </c>
    </row>
    <row r="6073" spans="1:3">
      <c r="A6073" s="3">
        <v>43</v>
      </c>
      <c r="B6073" s="2">
        <f>Walmart_Sales_raw_data!C6073</f>
        <v>649148.74</v>
      </c>
      <c r="C6073" t="str">
        <f>IF(B6073&gt;=Walmart_Sales_raw_data!$C$6437,"High","low")</f>
        <v>low</v>
      </c>
    </row>
    <row r="6074" spans="1:3">
      <c r="A6074" s="1">
        <v>43</v>
      </c>
      <c r="B6074" s="2">
        <f>Walmart_Sales_raw_data!C6074</f>
        <v>684655.91</v>
      </c>
      <c r="C6074" t="str">
        <f>IF(B6074&gt;=Walmart_Sales_raw_data!$C$6437,"High","low")</f>
        <v>low</v>
      </c>
    </row>
    <row r="6075" spans="1:3">
      <c r="A6075" s="3">
        <v>43</v>
      </c>
      <c r="B6075" s="2">
        <f>Walmart_Sales_raw_data!C6075</f>
        <v>648330.18</v>
      </c>
      <c r="C6075" t="str">
        <f>IF(B6075&gt;=Walmart_Sales_raw_data!$C$6437,"High","low")</f>
        <v>low</v>
      </c>
    </row>
    <row r="6076" spans="1:3">
      <c r="A6076" s="1">
        <v>43</v>
      </c>
      <c r="B6076" s="2">
        <f>Walmart_Sales_raw_data!C6076</f>
        <v>578209.63</v>
      </c>
      <c r="C6076" t="str">
        <f>IF(B6076&gt;=Walmart_Sales_raw_data!$C$6437,"High","low")</f>
        <v>low</v>
      </c>
    </row>
    <row r="6077" spans="1:3">
      <c r="A6077" s="3">
        <v>43</v>
      </c>
      <c r="B6077" s="2">
        <f>Walmart_Sales_raw_data!C6077</f>
        <v>630972.15</v>
      </c>
      <c r="C6077" t="str">
        <f>IF(B6077&gt;=Walmart_Sales_raw_data!$C$6437,"High","low")</f>
        <v>low</v>
      </c>
    </row>
    <row r="6078" spans="1:3">
      <c r="A6078" s="1">
        <v>43</v>
      </c>
      <c r="B6078" s="2">
        <f>Walmart_Sales_raw_data!C6078</f>
        <v>643041.71</v>
      </c>
      <c r="C6078" t="str">
        <f>IF(B6078&gt;=Walmart_Sales_raw_data!$C$6437,"High","low")</f>
        <v>low</v>
      </c>
    </row>
    <row r="6079" spans="1:3">
      <c r="A6079" s="3">
        <v>43</v>
      </c>
      <c r="B6079" s="2">
        <f>Walmart_Sales_raw_data!C6079</f>
        <v>665781.74</v>
      </c>
      <c r="C6079" t="str">
        <f>IF(B6079&gt;=Walmart_Sales_raw_data!$C$6437,"High","low")</f>
        <v>low</v>
      </c>
    </row>
    <row r="6080" spans="1:3">
      <c r="A6080" s="1">
        <v>43</v>
      </c>
      <c r="B6080" s="2">
        <f>Walmart_Sales_raw_data!C6080</f>
        <v>604925.08</v>
      </c>
      <c r="C6080" t="str">
        <f>IF(B6080&gt;=Walmart_Sales_raw_data!$C$6437,"High","low")</f>
        <v>low</v>
      </c>
    </row>
    <row r="6081" spans="1:3">
      <c r="A6081" s="3">
        <v>43</v>
      </c>
      <c r="B6081" s="2">
        <f>Walmart_Sales_raw_data!C6081</f>
        <v>586781.78</v>
      </c>
      <c r="C6081" t="str">
        <f>IF(B6081&gt;=Walmart_Sales_raw_data!$C$6437,"High","low")</f>
        <v>low</v>
      </c>
    </row>
    <row r="6082" spans="1:3">
      <c r="A6082" s="1">
        <v>43</v>
      </c>
      <c r="B6082" s="2">
        <f>Walmart_Sales_raw_data!C6082</f>
        <v>651147.83</v>
      </c>
      <c r="C6082" t="str">
        <f>IF(B6082&gt;=Walmart_Sales_raw_data!$C$6437,"High","low")</f>
        <v>low</v>
      </c>
    </row>
    <row r="6083" spans="1:3">
      <c r="A6083" s="3">
        <v>43</v>
      </c>
      <c r="B6083" s="2">
        <f>Walmart_Sales_raw_data!C6083</f>
        <v>631827.38</v>
      </c>
      <c r="C6083" t="str">
        <f>IF(B6083&gt;=Walmart_Sales_raw_data!$C$6437,"High","low")</f>
        <v>low</v>
      </c>
    </row>
    <row r="6084" spans="1:3">
      <c r="A6084" s="1">
        <v>43</v>
      </c>
      <c r="B6084" s="2">
        <f>Walmart_Sales_raw_data!C6084</f>
        <v>597354.39</v>
      </c>
      <c r="C6084" t="str">
        <f>IF(B6084&gt;=Walmart_Sales_raw_data!$C$6437,"High","low")</f>
        <v>low</v>
      </c>
    </row>
    <row r="6085" spans="1:3">
      <c r="A6085" s="3">
        <v>43</v>
      </c>
      <c r="B6085" s="2">
        <f>Walmart_Sales_raw_data!C6085</f>
        <v>533917.52</v>
      </c>
      <c r="C6085" t="str">
        <f>IF(B6085&gt;=Walmart_Sales_raw_data!$C$6437,"High","low")</f>
        <v>low</v>
      </c>
    </row>
    <row r="6086" spans="1:3">
      <c r="A6086" s="1">
        <v>43</v>
      </c>
      <c r="B6086" s="2">
        <f>Walmart_Sales_raw_data!C6086</f>
        <v>605956.59</v>
      </c>
      <c r="C6086" t="str">
        <f>IF(B6086&gt;=Walmart_Sales_raw_data!$C$6437,"High","low")</f>
        <v>low</v>
      </c>
    </row>
    <row r="6087" spans="1:3">
      <c r="A6087" s="3">
        <v>43</v>
      </c>
      <c r="B6087" s="2">
        <f>Walmart_Sales_raw_data!C6087</f>
        <v>595626.56</v>
      </c>
      <c r="C6087" t="str">
        <f>IF(B6087&gt;=Walmart_Sales_raw_data!$C$6437,"High","low")</f>
        <v>low</v>
      </c>
    </row>
    <row r="6088" spans="1:3">
      <c r="A6088" s="1">
        <v>43</v>
      </c>
      <c r="B6088" s="2">
        <f>Walmart_Sales_raw_data!C6088</f>
        <v>663396.32</v>
      </c>
      <c r="C6088" t="str">
        <f>IF(B6088&gt;=Walmart_Sales_raw_data!$C$6437,"High","low")</f>
        <v>low</v>
      </c>
    </row>
    <row r="6089" spans="1:3">
      <c r="A6089" s="3">
        <v>43</v>
      </c>
      <c r="B6089" s="2">
        <f>Walmart_Sales_raw_data!C6089</f>
        <v>561573.08</v>
      </c>
      <c r="C6089" t="str">
        <f>IF(B6089&gt;=Walmart_Sales_raw_data!$C$6437,"High","low")</f>
        <v>low</v>
      </c>
    </row>
    <row r="6090" spans="1:3">
      <c r="A6090" s="1">
        <v>43</v>
      </c>
      <c r="B6090" s="2">
        <f>Walmart_Sales_raw_data!C6090</f>
        <v>594224.9</v>
      </c>
      <c r="C6090" t="str">
        <f>IF(B6090&gt;=Walmart_Sales_raw_data!$C$6437,"High","low")</f>
        <v>low</v>
      </c>
    </row>
    <row r="6091" spans="1:3">
      <c r="A6091" s="3">
        <v>43</v>
      </c>
      <c r="B6091" s="2">
        <f>Walmart_Sales_raw_data!C6091</f>
        <v>649128.23</v>
      </c>
      <c r="C6091" t="str">
        <f>IF(B6091&gt;=Walmart_Sales_raw_data!$C$6437,"High","low")</f>
        <v>low</v>
      </c>
    </row>
    <row r="6092" spans="1:3">
      <c r="A6092" s="1">
        <v>43</v>
      </c>
      <c r="B6092" s="2">
        <f>Walmart_Sales_raw_data!C6092</f>
        <v>618877.13</v>
      </c>
      <c r="C6092" t="str">
        <f>IF(B6092&gt;=Walmart_Sales_raw_data!$C$6437,"High","low")</f>
        <v>low</v>
      </c>
    </row>
    <row r="6093" spans="1:3">
      <c r="A6093" s="3">
        <v>43</v>
      </c>
      <c r="B6093" s="2">
        <f>Walmart_Sales_raw_data!C6093</f>
        <v>586108.13</v>
      </c>
      <c r="C6093" t="str">
        <f>IF(B6093&gt;=Walmart_Sales_raw_data!$C$6437,"High","low")</f>
        <v>low</v>
      </c>
    </row>
    <row r="6094" spans="1:3">
      <c r="A6094" s="1">
        <v>43</v>
      </c>
      <c r="B6094" s="2">
        <f>Walmart_Sales_raw_data!C6094</f>
        <v>555183.72</v>
      </c>
      <c r="C6094" t="str">
        <f>IF(B6094&gt;=Walmart_Sales_raw_data!$C$6437,"High","low")</f>
        <v>low</v>
      </c>
    </row>
    <row r="6095" spans="1:3">
      <c r="A6095" s="3">
        <v>43</v>
      </c>
      <c r="B6095" s="2">
        <f>Walmart_Sales_raw_data!C6095</f>
        <v>642828.62</v>
      </c>
      <c r="C6095" t="str">
        <f>IF(B6095&gt;=Walmart_Sales_raw_data!$C$6437,"High","low")</f>
        <v>low</v>
      </c>
    </row>
    <row r="6096" spans="1:3">
      <c r="A6096" s="1">
        <v>43</v>
      </c>
      <c r="B6096" s="2">
        <f>Walmart_Sales_raw_data!C6096</f>
        <v>590984.56</v>
      </c>
      <c r="C6096" t="str">
        <f>IF(B6096&gt;=Walmart_Sales_raw_data!$C$6437,"High","low")</f>
        <v>low</v>
      </c>
    </row>
    <row r="6097" spans="1:3">
      <c r="A6097" s="3">
        <v>43</v>
      </c>
      <c r="B6097" s="2">
        <f>Walmart_Sales_raw_data!C6097</f>
        <v>594625.96</v>
      </c>
      <c r="C6097" t="str">
        <f>IF(B6097&gt;=Walmart_Sales_raw_data!$C$6437,"High","low")</f>
        <v>low</v>
      </c>
    </row>
    <row r="6098" spans="1:3">
      <c r="A6098" s="1">
        <v>43</v>
      </c>
      <c r="B6098" s="2">
        <f>Walmart_Sales_raw_data!C6098</f>
        <v>572516.57</v>
      </c>
      <c r="C6098" t="str">
        <f>IF(B6098&gt;=Walmart_Sales_raw_data!$C$6437,"High","low")</f>
        <v>low</v>
      </c>
    </row>
    <row r="6099" spans="1:3">
      <c r="A6099" s="3">
        <v>43</v>
      </c>
      <c r="B6099" s="2">
        <f>Walmart_Sales_raw_data!C6099</f>
        <v>641905.37</v>
      </c>
      <c r="C6099" t="str">
        <f>IF(B6099&gt;=Walmart_Sales_raw_data!$C$6437,"High","low")</f>
        <v>low</v>
      </c>
    </row>
    <row r="6100" spans="1:3">
      <c r="A6100" s="1">
        <v>43</v>
      </c>
      <c r="B6100" s="2">
        <f>Walmart_Sales_raw_data!C6100</f>
        <v>615975.5</v>
      </c>
      <c r="C6100" t="str">
        <f>IF(B6100&gt;=Walmart_Sales_raw_data!$C$6437,"High","low")</f>
        <v>low</v>
      </c>
    </row>
    <row r="6101" spans="1:3">
      <c r="A6101" s="3">
        <v>43</v>
      </c>
      <c r="B6101" s="2">
        <f>Walmart_Sales_raw_data!C6101</f>
        <v>628115.61</v>
      </c>
      <c r="C6101" t="str">
        <f>IF(B6101&gt;=Walmart_Sales_raw_data!$C$6437,"High","low")</f>
        <v>low</v>
      </c>
    </row>
    <row r="6102" spans="1:3">
      <c r="A6102" s="1">
        <v>43</v>
      </c>
      <c r="B6102" s="2">
        <f>Walmart_Sales_raw_data!C6102</f>
        <v>669965.22</v>
      </c>
      <c r="C6102" t="str">
        <f>IF(B6102&gt;=Walmart_Sales_raw_data!$C$6437,"High","low")</f>
        <v>low</v>
      </c>
    </row>
    <row r="6103" spans="1:3">
      <c r="A6103" s="3">
        <v>43</v>
      </c>
      <c r="B6103" s="2">
        <f>Walmart_Sales_raw_data!C6103</f>
        <v>585028.26</v>
      </c>
      <c r="C6103" t="str">
        <f>IF(B6103&gt;=Walmart_Sales_raw_data!$C$6437,"High","low")</f>
        <v>low</v>
      </c>
    </row>
    <row r="6104" spans="1:3">
      <c r="A6104" s="1">
        <v>43</v>
      </c>
      <c r="B6104" s="2">
        <f>Walmart_Sales_raw_data!C6104</f>
        <v>617898.07</v>
      </c>
      <c r="C6104" t="str">
        <f>IF(B6104&gt;=Walmart_Sales_raw_data!$C$6437,"High","low")</f>
        <v>low</v>
      </c>
    </row>
    <row r="6105" spans="1:3">
      <c r="A6105" s="3">
        <v>43</v>
      </c>
      <c r="B6105" s="2">
        <f>Walmart_Sales_raw_data!C6105</f>
        <v>665007.08</v>
      </c>
      <c r="C6105" t="str">
        <f>IF(B6105&gt;=Walmart_Sales_raw_data!$C$6437,"High","low")</f>
        <v>low</v>
      </c>
    </row>
    <row r="6106" spans="1:3">
      <c r="A6106" s="1">
        <v>43</v>
      </c>
      <c r="B6106" s="2">
        <f>Walmart_Sales_raw_data!C6106</f>
        <v>676290.46</v>
      </c>
      <c r="C6106" t="str">
        <f>IF(B6106&gt;=Walmart_Sales_raw_data!$C$6437,"High","low")</f>
        <v>low</v>
      </c>
    </row>
    <row r="6107" spans="1:3">
      <c r="A6107" s="3">
        <v>43</v>
      </c>
      <c r="B6107" s="2">
        <f>Walmart_Sales_raw_data!C6107</f>
        <v>505405.85</v>
      </c>
      <c r="C6107" t="str">
        <f>IF(B6107&gt;=Walmart_Sales_raw_data!$C$6437,"High","low")</f>
        <v>low</v>
      </c>
    </row>
    <row r="6108" spans="1:3">
      <c r="A6108" s="1">
        <v>43</v>
      </c>
      <c r="B6108" s="2">
        <f>Walmart_Sales_raw_data!C6108</f>
        <v>670993.01</v>
      </c>
      <c r="C6108" t="str">
        <f>IF(B6108&gt;=Walmart_Sales_raw_data!$C$6437,"High","low")</f>
        <v>low</v>
      </c>
    </row>
    <row r="6109" spans="1:3">
      <c r="A6109" s="3">
        <v>43</v>
      </c>
      <c r="B6109" s="2">
        <f>Walmart_Sales_raw_data!C6109</f>
        <v>663529.64</v>
      </c>
      <c r="C6109" t="str">
        <f>IF(B6109&gt;=Walmart_Sales_raw_data!$C$6437,"High","low")</f>
        <v>low</v>
      </c>
    </row>
    <row r="6110" spans="1:3">
      <c r="A6110" s="1">
        <v>43</v>
      </c>
      <c r="B6110" s="2">
        <f>Walmart_Sales_raw_data!C6110</f>
        <v>619225.65</v>
      </c>
      <c r="C6110" t="str">
        <f>IF(B6110&gt;=Walmart_Sales_raw_data!$C$6437,"High","low")</f>
        <v>low</v>
      </c>
    </row>
    <row r="6111" spans="1:3">
      <c r="A6111" s="3">
        <v>43</v>
      </c>
      <c r="B6111" s="2">
        <f>Walmart_Sales_raw_data!C6111</f>
        <v>587685.38</v>
      </c>
      <c r="C6111" t="str">
        <f>IF(B6111&gt;=Walmart_Sales_raw_data!$C$6437,"High","low")</f>
        <v>low</v>
      </c>
    </row>
    <row r="6112" spans="1:3">
      <c r="A6112" s="1">
        <v>43</v>
      </c>
      <c r="B6112" s="2">
        <f>Walmart_Sales_raw_data!C6112</f>
        <v>629176.71</v>
      </c>
      <c r="C6112" t="str">
        <f>IF(B6112&gt;=Walmart_Sales_raw_data!$C$6437,"High","low")</f>
        <v>low</v>
      </c>
    </row>
    <row r="6113" spans="1:3">
      <c r="A6113" s="3">
        <v>43</v>
      </c>
      <c r="B6113" s="2">
        <f>Walmart_Sales_raw_data!C6113</f>
        <v>662198.65</v>
      </c>
      <c r="C6113" t="str">
        <f>IF(B6113&gt;=Walmart_Sales_raw_data!$C$6437,"High","low")</f>
        <v>low</v>
      </c>
    </row>
    <row r="6114" spans="1:3">
      <c r="A6114" s="1">
        <v>43</v>
      </c>
      <c r="B6114" s="2">
        <f>Walmart_Sales_raw_data!C6114</f>
        <v>660632.05</v>
      </c>
      <c r="C6114" t="str">
        <f>IF(B6114&gt;=Walmart_Sales_raw_data!$C$6437,"High","low")</f>
        <v>low</v>
      </c>
    </row>
    <row r="6115" spans="1:3">
      <c r="A6115" s="3">
        <v>43</v>
      </c>
      <c r="B6115" s="2">
        <f>Walmart_Sales_raw_data!C6115</f>
        <v>613042.97</v>
      </c>
      <c r="C6115" t="str">
        <f>IF(B6115&gt;=Walmart_Sales_raw_data!$C$6437,"High","low")</f>
        <v>low</v>
      </c>
    </row>
    <row r="6116" spans="1:3">
      <c r="A6116" s="1">
        <v>43</v>
      </c>
      <c r="B6116" s="2">
        <f>Walmart_Sales_raw_data!C6116</f>
        <v>693249.98</v>
      </c>
      <c r="C6116" t="str">
        <f>IF(B6116&gt;=Walmart_Sales_raw_data!$C$6437,"High","low")</f>
        <v>low</v>
      </c>
    </row>
    <row r="6117" spans="1:3">
      <c r="A6117" s="3">
        <v>43</v>
      </c>
      <c r="B6117" s="2">
        <f>Walmart_Sales_raw_data!C6117</f>
        <v>636677.67</v>
      </c>
      <c r="C6117" t="str">
        <f>IF(B6117&gt;=Walmart_Sales_raw_data!$C$6437,"High","low")</f>
        <v>low</v>
      </c>
    </row>
    <row r="6118" spans="1:3">
      <c r="A6118" s="1">
        <v>43</v>
      </c>
      <c r="B6118" s="2">
        <f>Walmart_Sales_raw_data!C6118</f>
        <v>661707.02</v>
      </c>
      <c r="C6118" t="str">
        <f>IF(B6118&gt;=Walmart_Sales_raw_data!$C$6437,"High","low")</f>
        <v>low</v>
      </c>
    </row>
    <row r="6119" spans="1:3">
      <c r="A6119" s="3">
        <v>43</v>
      </c>
      <c r="B6119" s="2">
        <f>Walmart_Sales_raw_data!C6119</f>
        <v>610940.94</v>
      </c>
      <c r="C6119" t="str">
        <f>IF(B6119&gt;=Walmart_Sales_raw_data!$C$6437,"High","low")</f>
        <v>low</v>
      </c>
    </row>
    <row r="6120" spans="1:3">
      <c r="A6120" s="1">
        <v>43</v>
      </c>
      <c r="B6120" s="2">
        <f>Walmart_Sales_raw_data!C6120</f>
        <v>623258.4</v>
      </c>
      <c r="C6120" t="str">
        <f>IF(B6120&gt;=Walmart_Sales_raw_data!$C$6437,"High","low")</f>
        <v>low</v>
      </c>
    </row>
    <row r="6121" spans="1:3">
      <c r="A6121" s="3">
        <v>43</v>
      </c>
      <c r="B6121" s="2">
        <f>Walmart_Sales_raw_data!C6121</f>
        <v>658468.27</v>
      </c>
      <c r="C6121" t="str">
        <f>IF(B6121&gt;=Walmart_Sales_raw_data!$C$6437,"High","low")</f>
        <v>low</v>
      </c>
    </row>
    <row r="6122" spans="1:3">
      <c r="A6122" s="1">
        <v>43</v>
      </c>
      <c r="B6122" s="2">
        <f>Walmart_Sales_raw_data!C6122</f>
        <v>665687.92</v>
      </c>
      <c r="C6122" t="str">
        <f>IF(B6122&gt;=Walmart_Sales_raw_data!$C$6437,"High","low")</f>
        <v>low</v>
      </c>
    </row>
    <row r="6123" spans="1:3">
      <c r="A6123" s="3">
        <v>43</v>
      </c>
      <c r="B6123" s="2">
        <f>Walmart_Sales_raw_data!C6123</f>
        <v>638144.98</v>
      </c>
      <c r="C6123" t="str">
        <f>IF(B6123&gt;=Walmart_Sales_raw_data!$C$6437,"High","low")</f>
        <v>low</v>
      </c>
    </row>
    <row r="6124" spans="1:3">
      <c r="A6124" s="1">
        <v>43</v>
      </c>
      <c r="B6124" s="2">
        <f>Walmart_Sales_raw_data!C6124</f>
        <v>593138.59</v>
      </c>
      <c r="C6124" t="str">
        <f>IF(B6124&gt;=Walmart_Sales_raw_data!$C$6437,"High","low")</f>
        <v>low</v>
      </c>
    </row>
    <row r="6125" spans="1:3">
      <c r="A6125" s="3">
        <v>43</v>
      </c>
      <c r="B6125" s="2">
        <f>Walmart_Sales_raw_data!C6125</f>
        <v>637964.2</v>
      </c>
      <c r="C6125" t="str">
        <f>IF(B6125&gt;=Walmart_Sales_raw_data!$C$6437,"High","low")</f>
        <v>low</v>
      </c>
    </row>
    <row r="6126" spans="1:3">
      <c r="A6126" s="1">
        <v>43</v>
      </c>
      <c r="B6126" s="2">
        <f>Walmart_Sales_raw_data!C6126</f>
        <v>640159.04</v>
      </c>
      <c r="C6126" t="str">
        <f>IF(B6126&gt;=Walmart_Sales_raw_data!$C$6437,"High","low")</f>
        <v>low</v>
      </c>
    </row>
    <row r="6127" spans="1:3">
      <c r="A6127" s="3">
        <v>43</v>
      </c>
      <c r="B6127" s="2">
        <f>Walmart_Sales_raw_data!C6127</f>
        <v>648541.81</v>
      </c>
      <c r="C6127" t="str">
        <f>IF(B6127&gt;=Walmart_Sales_raw_data!$C$6437,"High","low")</f>
        <v>low</v>
      </c>
    </row>
    <row r="6128" spans="1:3">
      <c r="A6128" s="1">
        <v>43</v>
      </c>
      <c r="B6128" s="2">
        <f>Walmart_Sales_raw_data!C6128</f>
        <v>597406.39</v>
      </c>
      <c r="C6128" t="str">
        <f>IF(B6128&gt;=Walmart_Sales_raw_data!$C$6437,"High","low")</f>
        <v>low</v>
      </c>
    </row>
    <row r="6129" spans="1:3">
      <c r="A6129" s="3">
        <v>43</v>
      </c>
      <c r="B6129" s="2">
        <f>Walmart_Sales_raw_data!C6129</f>
        <v>605078.62</v>
      </c>
      <c r="C6129" t="str">
        <f>IF(B6129&gt;=Walmart_Sales_raw_data!$C$6437,"High","low")</f>
        <v>low</v>
      </c>
    </row>
    <row r="6130" spans="1:3">
      <c r="A6130" s="1">
        <v>43</v>
      </c>
      <c r="B6130" s="2">
        <f>Walmart_Sales_raw_data!C6130</f>
        <v>643032.51</v>
      </c>
      <c r="C6130" t="str">
        <f>IF(B6130&gt;=Walmart_Sales_raw_data!$C$6437,"High","low")</f>
        <v>low</v>
      </c>
    </row>
    <row r="6131" spans="1:3">
      <c r="A6131" s="3">
        <v>43</v>
      </c>
      <c r="B6131" s="2">
        <f>Walmart_Sales_raw_data!C6131</f>
        <v>634815.1</v>
      </c>
      <c r="C6131" t="str">
        <f>IF(B6131&gt;=Walmart_Sales_raw_data!$C$6437,"High","low")</f>
        <v>low</v>
      </c>
    </row>
    <row r="6132" spans="1:3">
      <c r="A6132" s="1">
        <v>43</v>
      </c>
      <c r="B6132" s="2">
        <f>Walmart_Sales_raw_data!C6132</f>
        <v>613270.79</v>
      </c>
      <c r="C6132" t="str">
        <f>IF(B6132&gt;=Walmart_Sales_raw_data!$C$6437,"High","low")</f>
        <v>low</v>
      </c>
    </row>
    <row r="6133" spans="1:3">
      <c r="A6133" s="3">
        <v>43</v>
      </c>
      <c r="B6133" s="2">
        <f>Walmart_Sales_raw_data!C6133</f>
        <v>593128.13</v>
      </c>
      <c r="C6133" t="str">
        <f>IF(B6133&gt;=Walmart_Sales_raw_data!$C$6437,"High","low")</f>
        <v>low</v>
      </c>
    </row>
    <row r="6134" spans="1:3">
      <c r="A6134" s="1">
        <v>43</v>
      </c>
      <c r="B6134" s="2">
        <f>Walmart_Sales_raw_data!C6134</f>
        <v>645618.59</v>
      </c>
      <c r="C6134" t="str">
        <f>IF(B6134&gt;=Walmart_Sales_raw_data!$C$6437,"High","low")</f>
        <v>low</v>
      </c>
    </row>
    <row r="6135" spans="1:3">
      <c r="A6135" s="3">
        <v>43</v>
      </c>
      <c r="B6135" s="2">
        <f>Walmart_Sales_raw_data!C6135</f>
        <v>627634.04</v>
      </c>
      <c r="C6135" t="str">
        <f>IF(B6135&gt;=Walmart_Sales_raw_data!$C$6437,"High","low")</f>
        <v>low</v>
      </c>
    </row>
    <row r="6136" spans="1:3">
      <c r="A6136" s="1">
        <v>43</v>
      </c>
      <c r="B6136" s="2">
        <f>Walmart_Sales_raw_data!C6136</f>
        <v>596554.05</v>
      </c>
      <c r="C6136" t="str">
        <f>IF(B6136&gt;=Walmart_Sales_raw_data!$C$6437,"High","low")</f>
        <v>low</v>
      </c>
    </row>
    <row r="6137" spans="1:3">
      <c r="A6137" s="3">
        <v>43</v>
      </c>
      <c r="B6137" s="2">
        <f>Walmart_Sales_raw_data!C6137</f>
        <v>572447.52</v>
      </c>
      <c r="C6137" t="str">
        <f>IF(B6137&gt;=Walmart_Sales_raw_data!$C$6437,"High","low")</f>
        <v>low</v>
      </c>
    </row>
    <row r="6138" spans="1:3">
      <c r="A6138" s="1">
        <v>43</v>
      </c>
      <c r="B6138" s="2">
        <f>Walmart_Sales_raw_data!C6138</f>
        <v>614378.94</v>
      </c>
      <c r="C6138" t="str">
        <f>IF(B6138&gt;=Walmart_Sales_raw_data!$C$6437,"High","low")</f>
        <v>low</v>
      </c>
    </row>
    <row r="6139" spans="1:3">
      <c r="A6139" s="3">
        <v>43</v>
      </c>
      <c r="B6139" s="2">
        <f>Walmart_Sales_raw_data!C6139</f>
        <v>643558.78</v>
      </c>
      <c r="C6139" t="str">
        <f>IF(B6139&gt;=Walmart_Sales_raw_data!$C$6437,"High","low")</f>
        <v>low</v>
      </c>
    </row>
    <row r="6140" spans="1:3">
      <c r="A6140" s="1">
        <v>43</v>
      </c>
      <c r="B6140" s="2">
        <f>Walmart_Sales_raw_data!C6140</f>
        <v>640210.85</v>
      </c>
      <c r="C6140" t="str">
        <f>IF(B6140&gt;=Walmart_Sales_raw_data!$C$6437,"High","low")</f>
        <v>low</v>
      </c>
    </row>
    <row r="6141" spans="1:3">
      <c r="A6141" s="3">
        <v>43</v>
      </c>
      <c r="B6141" s="2">
        <f>Walmart_Sales_raw_data!C6141</f>
        <v>598234.64</v>
      </c>
      <c r="C6141" t="str">
        <f>IF(B6141&gt;=Walmart_Sales_raw_data!$C$6437,"High","low")</f>
        <v>low</v>
      </c>
    </row>
    <row r="6142" spans="1:3">
      <c r="A6142" s="1">
        <v>43</v>
      </c>
      <c r="B6142" s="2">
        <f>Walmart_Sales_raw_data!C6142</f>
        <v>593141.29</v>
      </c>
      <c r="C6142" t="str">
        <f>IF(B6142&gt;=Walmart_Sales_raw_data!$C$6437,"High","low")</f>
        <v>low</v>
      </c>
    </row>
    <row r="6143" spans="1:3">
      <c r="A6143" s="3">
        <v>43</v>
      </c>
      <c r="B6143" s="2">
        <f>Walmart_Sales_raw_data!C6143</f>
        <v>663814.18</v>
      </c>
      <c r="C6143" t="str">
        <f>IF(B6143&gt;=Walmart_Sales_raw_data!$C$6437,"High","low")</f>
        <v>low</v>
      </c>
    </row>
    <row r="6144" spans="1:3">
      <c r="A6144" s="1">
        <v>43</v>
      </c>
      <c r="B6144" s="2">
        <f>Walmart_Sales_raw_data!C6144</f>
        <v>625196.94</v>
      </c>
      <c r="C6144" t="str">
        <f>IF(B6144&gt;=Walmart_Sales_raw_data!$C$6437,"High","low")</f>
        <v>low</v>
      </c>
    </row>
    <row r="6145" spans="1:3">
      <c r="A6145" s="3">
        <v>43</v>
      </c>
      <c r="B6145" s="2">
        <f>Walmart_Sales_raw_data!C6145</f>
        <v>601990.02</v>
      </c>
      <c r="C6145" t="str">
        <f>IF(B6145&gt;=Walmart_Sales_raw_data!$C$6437,"High","low")</f>
        <v>low</v>
      </c>
    </row>
    <row r="6146" spans="1:3">
      <c r="A6146" s="1">
        <v>43</v>
      </c>
      <c r="B6146" s="2">
        <f>Walmart_Sales_raw_data!C6146</f>
        <v>577792.32</v>
      </c>
      <c r="C6146" t="str">
        <f>IF(B6146&gt;=Walmart_Sales_raw_data!$C$6437,"High","low")</f>
        <v>low</v>
      </c>
    </row>
    <row r="6147" spans="1:3">
      <c r="A6147" s="3">
        <v>43</v>
      </c>
      <c r="B6147" s="2">
        <f>Walmart_Sales_raw_data!C6147</f>
        <v>642614.89</v>
      </c>
      <c r="C6147" t="str">
        <f>IF(B6147&gt;=Walmart_Sales_raw_data!$C$6437,"High","low")</f>
        <v>low</v>
      </c>
    </row>
    <row r="6148" spans="1:3">
      <c r="A6148" s="1">
        <v>43</v>
      </c>
      <c r="B6148" s="2">
        <f>Walmart_Sales_raw_data!C6148</f>
        <v>619369.72</v>
      </c>
      <c r="C6148" t="str">
        <f>IF(B6148&gt;=Walmart_Sales_raw_data!$C$6437,"High","low")</f>
        <v>low</v>
      </c>
    </row>
    <row r="6149" spans="1:3">
      <c r="A6149" s="3">
        <v>43</v>
      </c>
      <c r="B6149" s="2">
        <f>Walmart_Sales_raw_data!C6149</f>
        <v>623919.23</v>
      </c>
      <c r="C6149" t="str">
        <f>IF(B6149&gt;=Walmart_Sales_raw_data!$C$6437,"High","low")</f>
        <v>low</v>
      </c>
    </row>
    <row r="6150" spans="1:3">
      <c r="A6150" s="1">
        <v>43</v>
      </c>
      <c r="B6150" s="2">
        <f>Walmart_Sales_raw_data!C6150</f>
        <v>587603.55</v>
      </c>
      <c r="C6150" t="str">
        <f>IF(B6150&gt;=Walmart_Sales_raw_data!$C$6437,"High","low")</f>
        <v>low</v>
      </c>
    </row>
    <row r="6151" spans="1:3">
      <c r="A6151" s="3">
        <v>44</v>
      </c>
      <c r="B6151" s="2">
        <f>Walmart_Sales_raw_data!C6151</f>
        <v>281090.95</v>
      </c>
      <c r="C6151" t="str">
        <f>IF(B6151&gt;=Walmart_Sales_raw_data!$C$6437,"High","low")</f>
        <v>low</v>
      </c>
    </row>
    <row r="6152" spans="1:3">
      <c r="A6152" s="1">
        <v>44</v>
      </c>
      <c r="B6152" s="2">
        <f>Walmart_Sales_raw_data!C6152</f>
        <v>286857.13</v>
      </c>
      <c r="C6152" t="str">
        <f>IF(B6152&gt;=Walmart_Sales_raw_data!$C$6437,"High","low")</f>
        <v>low</v>
      </c>
    </row>
    <row r="6153" spans="1:3">
      <c r="A6153" s="3">
        <v>44</v>
      </c>
      <c r="B6153" s="2">
        <f>Walmart_Sales_raw_data!C6153</f>
        <v>267956.3</v>
      </c>
      <c r="C6153" t="str">
        <f>IF(B6153&gt;=Walmart_Sales_raw_data!$C$6437,"High","low")</f>
        <v>low</v>
      </c>
    </row>
    <row r="6154" spans="1:3">
      <c r="A6154" s="1">
        <v>44</v>
      </c>
      <c r="B6154" s="2">
        <f>Walmart_Sales_raw_data!C6154</f>
        <v>273079.07</v>
      </c>
      <c r="C6154" t="str">
        <f>IF(B6154&gt;=Walmart_Sales_raw_data!$C$6437,"High","low")</f>
        <v>low</v>
      </c>
    </row>
    <row r="6155" spans="1:3">
      <c r="A6155" s="3">
        <v>44</v>
      </c>
      <c r="B6155" s="2">
        <f>Walmart_Sales_raw_data!C6155</f>
        <v>284617.27</v>
      </c>
      <c r="C6155" t="str">
        <f>IF(B6155&gt;=Walmart_Sales_raw_data!$C$6437,"High","low")</f>
        <v>low</v>
      </c>
    </row>
    <row r="6156" spans="1:3">
      <c r="A6156" s="1">
        <v>44</v>
      </c>
      <c r="B6156" s="2">
        <f>Walmart_Sales_raw_data!C6156</f>
        <v>272190.83</v>
      </c>
      <c r="C6156" t="str">
        <f>IF(B6156&gt;=Walmart_Sales_raw_data!$C$6437,"High","low")</f>
        <v>low</v>
      </c>
    </row>
    <row r="6157" spans="1:3">
      <c r="A6157" s="3">
        <v>44</v>
      </c>
      <c r="B6157" s="2">
        <f>Walmart_Sales_raw_data!C6157</f>
        <v>269624.2</v>
      </c>
      <c r="C6157" t="str">
        <f>IF(B6157&gt;=Walmart_Sales_raw_data!$C$6437,"High","low")</f>
        <v>low</v>
      </c>
    </row>
    <row r="6158" spans="1:3">
      <c r="A6158" s="1">
        <v>44</v>
      </c>
      <c r="B6158" s="2">
        <f>Walmart_Sales_raw_data!C6158</f>
        <v>276279.49</v>
      </c>
      <c r="C6158" t="str">
        <f>IF(B6158&gt;=Walmart_Sales_raw_data!$C$6437,"High","low")</f>
        <v>low</v>
      </c>
    </row>
    <row r="6159" spans="1:3">
      <c r="A6159" s="3">
        <v>44</v>
      </c>
      <c r="B6159" s="2">
        <f>Walmart_Sales_raw_data!C6159</f>
        <v>286197.5</v>
      </c>
      <c r="C6159" t="str">
        <f>IF(B6159&gt;=Walmart_Sales_raw_data!$C$6437,"High","low")</f>
        <v>low</v>
      </c>
    </row>
    <row r="6160" spans="1:3">
      <c r="A6160" s="1">
        <v>44</v>
      </c>
      <c r="B6160" s="2">
        <f>Walmart_Sales_raw_data!C6160</f>
        <v>257361.3</v>
      </c>
      <c r="C6160" t="str">
        <f>IF(B6160&gt;=Walmart_Sales_raw_data!$C$6437,"High","low")</f>
        <v>low</v>
      </c>
    </row>
    <row r="6161" spans="1:3">
      <c r="A6161" s="3">
        <v>44</v>
      </c>
      <c r="B6161" s="2">
        <f>Walmart_Sales_raw_data!C6161</f>
        <v>280048.74</v>
      </c>
      <c r="C6161" t="str">
        <f>IF(B6161&gt;=Walmart_Sales_raw_data!$C$6437,"High","low")</f>
        <v>low</v>
      </c>
    </row>
    <row r="6162" spans="1:3">
      <c r="A6162" s="1">
        <v>44</v>
      </c>
      <c r="B6162" s="2">
        <f>Walmart_Sales_raw_data!C6162</f>
        <v>278287.04</v>
      </c>
      <c r="C6162" t="str">
        <f>IF(B6162&gt;=Walmart_Sales_raw_data!$C$6437,"High","low")</f>
        <v>low</v>
      </c>
    </row>
    <row r="6163" spans="1:3">
      <c r="A6163" s="3">
        <v>44</v>
      </c>
      <c r="B6163" s="2">
        <f>Walmart_Sales_raw_data!C6163</f>
        <v>272997.65</v>
      </c>
      <c r="C6163" t="str">
        <f>IF(B6163&gt;=Walmart_Sales_raw_data!$C$6437,"High","low")</f>
        <v>low</v>
      </c>
    </row>
    <row r="6164" spans="1:3">
      <c r="A6164" s="1">
        <v>44</v>
      </c>
      <c r="B6164" s="2">
        <f>Walmart_Sales_raw_data!C6164</f>
        <v>285379.86</v>
      </c>
      <c r="C6164" t="str">
        <f>IF(B6164&gt;=Walmart_Sales_raw_data!$C$6437,"High","low")</f>
        <v>low</v>
      </c>
    </row>
    <row r="6165" spans="1:3">
      <c r="A6165" s="3">
        <v>44</v>
      </c>
      <c r="B6165" s="2">
        <f>Walmart_Sales_raw_data!C6165</f>
        <v>286515.92</v>
      </c>
      <c r="C6165" t="str">
        <f>IF(B6165&gt;=Walmart_Sales_raw_data!$C$6437,"High","low")</f>
        <v>low</v>
      </c>
    </row>
    <row r="6166" spans="1:3">
      <c r="A6166" s="1">
        <v>44</v>
      </c>
      <c r="B6166" s="2">
        <f>Walmart_Sales_raw_data!C6166</f>
        <v>267065.35</v>
      </c>
      <c r="C6166" t="str">
        <f>IF(B6166&gt;=Walmart_Sales_raw_data!$C$6437,"High","low")</f>
        <v>low</v>
      </c>
    </row>
    <row r="6167" spans="1:3">
      <c r="A6167" s="3">
        <v>44</v>
      </c>
      <c r="B6167" s="2">
        <f>Walmart_Sales_raw_data!C6167</f>
        <v>291891.01</v>
      </c>
      <c r="C6167" t="str">
        <f>IF(B6167&gt;=Walmart_Sales_raw_data!$C$6437,"High","low")</f>
        <v>low</v>
      </c>
    </row>
    <row r="6168" spans="1:3">
      <c r="A6168" s="1">
        <v>44</v>
      </c>
      <c r="B6168" s="2">
        <f>Walmart_Sales_raw_data!C6168</f>
        <v>282351.82</v>
      </c>
      <c r="C6168" t="str">
        <f>IF(B6168&gt;=Walmart_Sales_raw_data!$C$6437,"High","low")</f>
        <v>low</v>
      </c>
    </row>
    <row r="6169" spans="1:3">
      <c r="A6169" s="3">
        <v>44</v>
      </c>
      <c r="B6169" s="2">
        <f>Walmart_Sales_raw_data!C6169</f>
        <v>296818.2</v>
      </c>
      <c r="C6169" t="str">
        <f>IF(B6169&gt;=Walmart_Sales_raw_data!$C$6437,"High","low")</f>
        <v>low</v>
      </c>
    </row>
    <row r="6170" spans="1:3">
      <c r="A6170" s="1">
        <v>44</v>
      </c>
      <c r="B6170" s="2">
        <f>Walmart_Sales_raw_data!C6170</f>
        <v>293481.36</v>
      </c>
      <c r="C6170" t="str">
        <f>IF(B6170&gt;=Walmart_Sales_raw_data!$C$6437,"High","low")</f>
        <v>low</v>
      </c>
    </row>
    <row r="6171" spans="1:3">
      <c r="A6171" s="3">
        <v>44</v>
      </c>
      <c r="B6171" s="2">
        <f>Walmart_Sales_raw_data!C6171</f>
        <v>288247.24</v>
      </c>
      <c r="C6171" t="str">
        <f>IF(B6171&gt;=Walmart_Sales_raw_data!$C$6437,"High","low")</f>
        <v>low</v>
      </c>
    </row>
    <row r="6172" spans="1:3">
      <c r="A6172" s="1">
        <v>44</v>
      </c>
      <c r="B6172" s="2">
        <f>Walmart_Sales_raw_data!C6172</f>
        <v>300628.19</v>
      </c>
      <c r="C6172" t="str">
        <f>IF(B6172&gt;=Walmart_Sales_raw_data!$C$6437,"High","low")</f>
        <v>low</v>
      </c>
    </row>
    <row r="6173" spans="1:3">
      <c r="A6173" s="3">
        <v>44</v>
      </c>
      <c r="B6173" s="2">
        <f>Walmart_Sales_raw_data!C6173</f>
        <v>280472.78</v>
      </c>
      <c r="C6173" t="str">
        <f>IF(B6173&gt;=Walmart_Sales_raw_data!$C$6437,"High","low")</f>
        <v>low</v>
      </c>
    </row>
    <row r="6174" spans="1:3">
      <c r="A6174" s="1">
        <v>44</v>
      </c>
      <c r="B6174" s="2">
        <f>Walmart_Sales_raw_data!C6174</f>
        <v>297099.95</v>
      </c>
      <c r="C6174" t="str">
        <f>IF(B6174&gt;=Walmart_Sales_raw_data!$C$6437,"High","low")</f>
        <v>low</v>
      </c>
    </row>
    <row r="6175" spans="1:3">
      <c r="A6175" s="3">
        <v>44</v>
      </c>
      <c r="B6175" s="2">
        <f>Walmart_Sales_raw_data!C6175</f>
        <v>292680.16</v>
      </c>
      <c r="C6175" t="str">
        <f>IF(B6175&gt;=Walmart_Sales_raw_data!$C$6437,"High","low")</f>
        <v>low</v>
      </c>
    </row>
    <row r="6176" spans="1:3">
      <c r="A6176" s="1">
        <v>44</v>
      </c>
      <c r="B6176" s="2">
        <f>Walmart_Sales_raw_data!C6176</f>
        <v>275020.96</v>
      </c>
      <c r="C6176" t="str">
        <f>IF(B6176&gt;=Walmart_Sales_raw_data!$C$6437,"High","low")</f>
        <v>low</v>
      </c>
    </row>
    <row r="6177" spans="1:3">
      <c r="A6177" s="3">
        <v>44</v>
      </c>
      <c r="B6177" s="2">
        <f>Walmart_Sales_raw_data!C6177</f>
        <v>296804.49</v>
      </c>
      <c r="C6177" t="str">
        <f>IF(B6177&gt;=Walmart_Sales_raw_data!$C$6437,"High","low")</f>
        <v>low</v>
      </c>
    </row>
    <row r="6178" spans="1:3">
      <c r="A6178" s="1">
        <v>44</v>
      </c>
      <c r="B6178" s="2">
        <f>Walmart_Sales_raw_data!C6178</f>
        <v>291028.09</v>
      </c>
      <c r="C6178" t="str">
        <f>IF(B6178&gt;=Walmart_Sales_raw_data!$C$6437,"High","low")</f>
        <v>low</v>
      </c>
    </row>
    <row r="6179" spans="1:3">
      <c r="A6179" s="3">
        <v>44</v>
      </c>
      <c r="B6179" s="2">
        <f>Walmart_Sales_raw_data!C6179</f>
        <v>284740.5</v>
      </c>
      <c r="C6179" t="str">
        <f>IF(B6179&gt;=Walmart_Sales_raw_data!$C$6437,"High","low")</f>
        <v>low</v>
      </c>
    </row>
    <row r="6180" spans="1:3">
      <c r="A6180" s="1">
        <v>44</v>
      </c>
      <c r="B6180" s="2">
        <f>Walmart_Sales_raw_data!C6180</f>
        <v>293155.08</v>
      </c>
      <c r="C6180" t="str">
        <f>IF(B6180&gt;=Walmart_Sales_raw_data!$C$6437,"High","low")</f>
        <v>low</v>
      </c>
    </row>
    <row r="6181" spans="1:3">
      <c r="A6181" s="3">
        <v>44</v>
      </c>
      <c r="B6181" s="2">
        <f>Walmart_Sales_raw_data!C6181</f>
        <v>295880.12</v>
      </c>
      <c r="C6181" t="str">
        <f>IF(B6181&gt;=Walmart_Sales_raw_data!$C$6437,"High","low")</f>
        <v>low</v>
      </c>
    </row>
    <row r="6182" spans="1:3">
      <c r="A6182" s="1">
        <v>44</v>
      </c>
      <c r="B6182" s="2">
        <f>Walmart_Sales_raw_data!C6182</f>
        <v>283455.13</v>
      </c>
      <c r="C6182" t="str">
        <f>IF(B6182&gt;=Walmart_Sales_raw_data!$C$6437,"High","low")</f>
        <v>low</v>
      </c>
    </row>
    <row r="6183" spans="1:3">
      <c r="A6183" s="3">
        <v>44</v>
      </c>
      <c r="B6183" s="2">
        <f>Walmart_Sales_raw_data!C6183</f>
        <v>279364.13</v>
      </c>
      <c r="C6183" t="str">
        <f>IF(B6183&gt;=Walmart_Sales_raw_data!$C$6437,"High","low")</f>
        <v>low</v>
      </c>
    </row>
    <row r="6184" spans="1:3">
      <c r="A6184" s="1">
        <v>44</v>
      </c>
      <c r="B6184" s="2">
        <f>Walmart_Sales_raw_data!C6184</f>
        <v>281313.78</v>
      </c>
      <c r="C6184" t="str">
        <f>IF(B6184&gt;=Walmart_Sales_raw_data!$C$6437,"High","low")</f>
        <v>low</v>
      </c>
    </row>
    <row r="6185" spans="1:3">
      <c r="A6185" s="3">
        <v>44</v>
      </c>
      <c r="B6185" s="2">
        <f>Walmart_Sales_raw_data!C6185</f>
        <v>300152.45</v>
      </c>
      <c r="C6185" t="str">
        <f>IF(B6185&gt;=Walmart_Sales_raw_data!$C$6437,"High","low")</f>
        <v>low</v>
      </c>
    </row>
    <row r="6186" spans="1:3">
      <c r="A6186" s="1">
        <v>44</v>
      </c>
      <c r="B6186" s="2">
        <f>Walmart_Sales_raw_data!C6186</f>
        <v>279524.44</v>
      </c>
      <c r="C6186" t="str">
        <f>IF(B6186&gt;=Walmart_Sales_raw_data!$C$6437,"High","low")</f>
        <v>low</v>
      </c>
    </row>
    <row r="6187" spans="1:3">
      <c r="A6187" s="3">
        <v>44</v>
      </c>
      <c r="B6187" s="2">
        <f>Walmart_Sales_raw_data!C6187</f>
        <v>268708.43</v>
      </c>
      <c r="C6187" t="str">
        <f>IF(B6187&gt;=Walmart_Sales_raw_data!$C$6437,"High","low")</f>
        <v>low</v>
      </c>
    </row>
    <row r="6188" spans="1:3">
      <c r="A6188" s="1">
        <v>44</v>
      </c>
      <c r="B6188" s="2">
        <f>Walmart_Sales_raw_data!C6188</f>
        <v>270110.3</v>
      </c>
      <c r="C6188" t="str">
        <f>IF(B6188&gt;=Walmart_Sales_raw_data!$C$6437,"High","low")</f>
        <v>low</v>
      </c>
    </row>
    <row r="6189" spans="1:3">
      <c r="A6189" s="3">
        <v>44</v>
      </c>
      <c r="B6189" s="2">
        <f>Walmart_Sales_raw_data!C6189</f>
        <v>286497.49</v>
      </c>
      <c r="C6189" t="str">
        <f>IF(B6189&gt;=Walmart_Sales_raw_data!$C$6437,"High","low")</f>
        <v>low</v>
      </c>
    </row>
    <row r="6190" spans="1:3">
      <c r="A6190" s="1">
        <v>44</v>
      </c>
      <c r="B6190" s="2">
        <f>Walmart_Sales_raw_data!C6190</f>
        <v>270516.84</v>
      </c>
      <c r="C6190" t="str">
        <f>IF(B6190&gt;=Walmart_Sales_raw_data!$C$6437,"High","low")</f>
        <v>low</v>
      </c>
    </row>
    <row r="6191" spans="1:3">
      <c r="A6191" s="3">
        <v>44</v>
      </c>
      <c r="B6191" s="2">
        <f>Walmart_Sales_raw_data!C6191</f>
        <v>281909.79</v>
      </c>
      <c r="C6191" t="str">
        <f>IF(B6191&gt;=Walmart_Sales_raw_data!$C$6437,"High","low")</f>
        <v>low</v>
      </c>
    </row>
    <row r="6192" spans="1:3">
      <c r="A6192" s="1">
        <v>44</v>
      </c>
      <c r="B6192" s="2">
        <f>Walmart_Sales_raw_data!C6192</f>
        <v>284322.52</v>
      </c>
      <c r="C6192" t="str">
        <f>IF(B6192&gt;=Walmart_Sales_raw_data!$C$6437,"High","low")</f>
        <v>low</v>
      </c>
    </row>
    <row r="6193" spans="1:3">
      <c r="A6193" s="3">
        <v>44</v>
      </c>
      <c r="B6193" s="2">
        <f>Walmart_Sales_raw_data!C6193</f>
        <v>307646.5</v>
      </c>
      <c r="C6193" t="str">
        <f>IF(B6193&gt;=Walmart_Sales_raw_data!$C$6437,"High","low")</f>
        <v>low</v>
      </c>
    </row>
    <row r="6194" spans="1:3">
      <c r="A6194" s="1">
        <v>44</v>
      </c>
      <c r="B6194" s="2">
        <f>Walmart_Sales_raw_data!C6194</f>
        <v>264214.12</v>
      </c>
      <c r="C6194" t="str">
        <f>IF(B6194&gt;=Walmart_Sales_raw_data!$C$6437,"High","low")</f>
        <v>low</v>
      </c>
    </row>
    <row r="6195" spans="1:3">
      <c r="A6195" s="3">
        <v>44</v>
      </c>
      <c r="B6195" s="2">
        <f>Walmart_Sales_raw_data!C6195</f>
        <v>278253.28</v>
      </c>
      <c r="C6195" t="str">
        <f>IF(B6195&gt;=Walmart_Sales_raw_data!$C$6437,"High","low")</f>
        <v>low</v>
      </c>
    </row>
    <row r="6196" spans="1:3">
      <c r="A6196" s="1">
        <v>44</v>
      </c>
      <c r="B6196" s="2">
        <f>Walmart_Sales_raw_data!C6196</f>
        <v>278646.35</v>
      </c>
      <c r="C6196" t="str">
        <f>IF(B6196&gt;=Walmart_Sales_raw_data!$C$6437,"High","low")</f>
        <v>low</v>
      </c>
    </row>
    <row r="6197" spans="1:3">
      <c r="A6197" s="3">
        <v>44</v>
      </c>
      <c r="B6197" s="2">
        <f>Walmart_Sales_raw_data!C6197</f>
        <v>365098.24</v>
      </c>
      <c r="C6197" t="str">
        <f>IF(B6197&gt;=Walmart_Sales_raw_data!$C$6437,"High","low")</f>
        <v>low</v>
      </c>
    </row>
    <row r="6198" spans="1:3">
      <c r="A6198" s="1">
        <v>44</v>
      </c>
      <c r="B6198" s="2">
        <f>Walmart_Sales_raw_data!C6198</f>
        <v>241937.11</v>
      </c>
      <c r="C6198" t="str">
        <f>IF(B6198&gt;=Walmart_Sales_raw_data!$C$6437,"High","low")</f>
        <v>low</v>
      </c>
    </row>
    <row r="6199" spans="1:3">
      <c r="A6199" s="3">
        <v>44</v>
      </c>
      <c r="B6199" s="2">
        <f>Walmart_Sales_raw_data!C6199</f>
        <v>288320.38</v>
      </c>
      <c r="C6199" t="str">
        <f>IF(B6199&gt;=Walmart_Sales_raw_data!$C$6437,"High","low")</f>
        <v>low</v>
      </c>
    </row>
    <row r="6200" spans="1:3">
      <c r="A6200" s="1">
        <v>44</v>
      </c>
      <c r="B6200" s="2">
        <f>Walmart_Sales_raw_data!C6200</f>
        <v>292859.36</v>
      </c>
      <c r="C6200" t="str">
        <f>IF(B6200&gt;=Walmart_Sales_raw_data!$C$6437,"High","low")</f>
        <v>low</v>
      </c>
    </row>
    <row r="6201" spans="1:3">
      <c r="A6201" s="3">
        <v>44</v>
      </c>
      <c r="B6201" s="2">
        <f>Walmart_Sales_raw_data!C6201</f>
        <v>276157.8</v>
      </c>
      <c r="C6201" t="str">
        <f>IF(B6201&gt;=Walmart_Sales_raw_data!$C$6437,"High","low")</f>
        <v>low</v>
      </c>
    </row>
    <row r="6202" spans="1:3">
      <c r="A6202" s="1">
        <v>44</v>
      </c>
      <c r="B6202" s="2">
        <f>Walmart_Sales_raw_data!C6202</f>
        <v>276011.4</v>
      </c>
      <c r="C6202" t="str">
        <f>IF(B6202&gt;=Walmart_Sales_raw_data!$C$6437,"High","low")</f>
        <v>low</v>
      </c>
    </row>
    <row r="6203" spans="1:3">
      <c r="A6203" s="3">
        <v>44</v>
      </c>
      <c r="B6203" s="2">
        <f>Walmart_Sales_raw_data!C6203</f>
        <v>293953.08</v>
      </c>
      <c r="C6203" t="str">
        <f>IF(B6203&gt;=Walmart_Sales_raw_data!$C$6437,"High","low")</f>
        <v>low</v>
      </c>
    </row>
    <row r="6204" spans="1:3">
      <c r="A6204" s="1">
        <v>44</v>
      </c>
      <c r="B6204" s="2">
        <f>Walmart_Sales_raw_data!C6204</f>
        <v>307486.73</v>
      </c>
      <c r="C6204" t="str">
        <f>IF(B6204&gt;=Walmart_Sales_raw_data!$C$6437,"High","low")</f>
        <v>low</v>
      </c>
    </row>
    <row r="6205" spans="1:3">
      <c r="A6205" s="3">
        <v>44</v>
      </c>
      <c r="B6205" s="2">
        <f>Walmart_Sales_raw_data!C6205</f>
        <v>280785.76</v>
      </c>
      <c r="C6205" t="str">
        <f>IF(B6205&gt;=Walmart_Sales_raw_data!$C$6437,"High","low")</f>
        <v>low</v>
      </c>
    </row>
    <row r="6206" spans="1:3">
      <c r="A6206" s="1">
        <v>44</v>
      </c>
      <c r="B6206" s="2">
        <f>Walmart_Sales_raw_data!C6206</f>
        <v>279427.93</v>
      </c>
      <c r="C6206" t="str">
        <f>IF(B6206&gt;=Walmart_Sales_raw_data!$C$6437,"High","low")</f>
        <v>low</v>
      </c>
    </row>
    <row r="6207" spans="1:3">
      <c r="A6207" s="3">
        <v>44</v>
      </c>
      <c r="B6207" s="2">
        <f>Walmart_Sales_raw_data!C6207</f>
        <v>293984.54</v>
      </c>
      <c r="C6207" t="str">
        <f>IF(B6207&gt;=Walmart_Sales_raw_data!$C$6437,"High","low")</f>
        <v>low</v>
      </c>
    </row>
    <row r="6208" spans="1:3">
      <c r="A6208" s="1">
        <v>44</v>
      </c>
      <c r="B6208" s="2">
        <f>Walmart_Sales_raw_data!C6208</f>
        <v>284496.14</v>
      </c>
      <c r="C6208" t="str">
        <f>IF(B6208&gt;=Walmart_Sales_raw_data!$C$6437,"High","low")</f>
        <v>low</v>
      </c>
    </row>
    <row r="6209" spans="1:3">
      <c r="A6209" s="3">
        <v>44</v>
      </c>
      <c r="B6209" s="2">
        <f>Walmart_Sales_raw_data!C6209</f>
        <v>281699.68</v>
      </c>
      <c r="C6209" t="str">
        <f>IF(B6209&gt;=Walmart_Sales_raw_data!$C$6437,"High","low")</f>
        <v>low</v>
      </c>
    </row>
    <row r="6210" spans="1:3">
      <c r="A6210" s="1">
        <v>44</v>
      </c>
      <c r="B6210" s="2">
        <f>Walmart_Sales_raw_data!C6210</f>
        <v>285031.81</v>
      </c>
      <c r="C6210" t="str">
        <f>IF(B6210&gt;=Walmart_Sales_raw_data!$C$6437,"High","low")</f>
        <v>low</v>
      </c>
    </row>
    <row r="6211" spans="1:3">
      <c r="A6211" s="3">
        <v>44</v>
      </c>
      <c r="B6211" s="2">
        <f>Walmart_Sales_raw_data!C6211</f>
        <v>281514.26</v>
      </c>
      <c r="C6211" t="str">
        <f>IF(B6211&gt;=Walmart_Sales_raw_data!$C$6437,"High","low")</f>
        <v>low</v>
      </c>
    </row>
    <row r="6212" spans="1:3">
      <c r="A6212" s="1">
        <v>44</v>
      </c>
      <c r="B6212" s="2">
        <f>Walmart_Sales_raw_data!C6212</f>
        <v>292498.61</v>
      </c>
      <c r="C6212" t="str">
        <f>IF(B6212&gt;=Walmart_Sales_raw_data!$C$6437,"High","low")</f>
        <v>low</v>
      </c>
    </row>
    <row r="6213" spans="1:3">
      <c r="A6213" s="3">
        <v>44</v>
      </c>
      <c r="B6213" s="2">
        <f>Walmart_Sales_raw_data!C6213</f>
        <v>289667.55</v>
      </c>
      <c r="C6213" t="str">
        <f>IF(B6213&gt;=Walmart_Sales_raw_data!$C$6437,"High","low")</f>
        <v>low</v>
      </c>
    </row>
    <row r="6214" spans="1:3">
      <c r="A6214" s="1">
        <v>44</v>
      </c>
      <c r="B6214" s="2">
        <f>Walmart_Sales_raw_data!C6214</f>
        <v>280357.3</v>
      </c>
      <c r="C6214" t="str">
        <f>IF(B6214&gt;=Walmart_Sales_raw_data!$C$6437,"High","low")</f>
        <v>low</v>
      </c>
    </row>
    <row r="6215" spans="1:3">
      <c r="A6215" s="3">
        <v>44</v>
      </c>
      <c r="B6215" s="2">
        <f>Walmart_Sales_raw_data!C6215</f>
        <v>281247.97</v>
      </c>
      <c r="C6215" t="str">
        <f>IF(B6215&gt;=Walmart_Sales_raw_data!$C$6437,"High","low")</f>
        <v>low</v>
      </c>
    </row>
    <row r="6216" spans="1:3">
      <c r="A6216" s="1">
        <v>44</v>
      </c>
      <c r="B6216" s="2">
        <f>Walmart_Sales_raw_data!C6216</f>
        <v>299354.67</v>
      </c>
      <c r="C6216" t="str">
        <f>IF(B6216&gt;=Walmart_Sales_raw_data!$C$6437,"High","low")</f>
        <v>low</v>
      </c>
    </row>
    <row r="6217" spans="1:3">
      <c r="A6217" s="3">
        <v>44</v>
      </c>
      <c r="B6217" s="2">
        <f>Walmart_Sales_raw_data!C6217</f>
        <v>307095.31</v>
      </c>
      <c r="C6217" t="str">
        <f>IF(B6217&gt;=Walmart_Sales_raw_data!$C$6437,"High","low")</f>
        <v>low</v>
      </c>
    </row>
    <row r="6218" spans="1:3">
      <c r="A6218" s="1">
        <v>44</v>
      </c>
      <c r="B6218" s="2">
        <f>Walmart_Sales_raw_data!C6218</f>
        <v>303559.23</v>
      </c>
      <c r="C6218" t="str">
        <f>IF(B6218&gt;=Walmart_Sales_raw_data!$C$6437,"High","low")</f>
        <v>low</v>
      </c>
    </row>
    <row r="6219" spans="1:3">
      <c r="A6219" s="3">
        <v>44</v>
      </c>
      <c r="B6219" s="2">
        <f>Walmart_Sales_raw_data!C6219</f>
        <v>308442.49</v>
      </c>
      <c r="C6219" t="str">
        <f>IF(B6219&gt;=Walmart_Sales_raw_data!$C$6437,"High","low")</f>
        <v>low</v>
      </c>
    </row>
    <row r="6220" spans="1:3">
      <c r="A6220" s="1">
        <v>44</v>
      </c>
      <c r="B6220" s="2">
        <f>Walmart_Sales_raw_data!C6220</f>
        <v>308950.04</v>
      </c>
      <c r="C6220" t="str">
        <f>IF(B6220&gt;=Walmart_Sales_raw_data!$C$6437,"High","low")</f>
        <v>low</v>
      </c>
    </row>
    <row r="6221" spans="1:3">
      <c r="A6221" s="3">
        <v>44</v>
      </c>
      <c r="B6221" s="2">
        <f>Walmart_Sales_raw_data!C6221</f>
        <v>308770.42</v>
      </c>
      <c r="C6221" t="str">
        <f>IF(B6221&gt;=Walmart_Sales_raw_data!$C$6437,"High","low")</f>
        <v>low</v>
      </c>
    </row>
    <row r="6222" spans="1:3">
      <c r="A6222" s="1">
        <v>44</v>
      </c>
      <c r="B6222" s="2">
        <f>Walmart_Sales_raw_data!C6222</f>
        <v>300255.87</v>
      </c>
      <c r="C6222" t="str">
        <f>IF(B6222&gt;=Walmart_Sales_raw_data!$C$6437,"High","low")</f>
        <v>low</v>
      </c>
    </row>
    <row r="6223" spans="1:3">
      <c r="A6223" s="3">
        <v>44</v>
      </c>
      <c r="B6223" s="2">
        <f>Walmart_Sales_raw_data!C6223</f>
        <v>296765.59</v>
      </c>
      <c r="C6223" t="str">
        <f>IF(B6223&gt;=Walmart_Sales_raw_data!$C$6437,"High","low")</f>
        <v>low</v>
      </c>
    </row>
    <row r="6224" spans="1:3">
      <c r="A6224" s="1">
        <v>44</v>
      </c>
      <c r="B6224" s="2">
        <f>Walmart_Sales_raw_data!C6224</f>
        <v>315273.08</v>
      </c>
      <c r="C6224" t="str">
        <f>IF(B6224&gt;=Walmart_Sales_raw_data!$C$6437,"High","low")</f>
        <v>low</v>
      </c>
    </row>
    <row r="6225" spans="1:3">
      <c r="A6225" s="3">
        <v>44</v>
      </c>
      <c r="B6225" s="2">
        <f>Walmart_Sales_raw_data!C6225</f>
        <v>295339.01</v>
      </c>
      <c r="C6225" t="str">
        <f>IF(B6225&gt;=Walmart_Sales_raw_data!$C$6437,"High","low")</f>
        <v>low</v>
      </c>
    </row>
    <row r="6226" spans="1:3">
      <c r="A6226" s="1">
        <v>44</v>
      </c>
      <c r="B6226" s="2">
        <f>Walmart_Sales_raw_data!C6226</f>
        <v>289201.21</v>
      </c>
      <c r="C6226" t="str">
        <f>IF(B6226&gt;=Walmart_Sales_raw_data!$C$6437,"High","low")</f>
        <v>low</v>
      </c>
    </row>
    <row r="6227" spans="1:3">
      <c r="A6227" s="3">
        <v>44</v>
      </c>
      <c r="B6227" s="2">
        <f>Walmart_Sales_raw_data!C6227</f>
        <v>303108.81</v>
      </c>
      <c r="C6227" t="str">
        <f>IF(B6227&gt;=Walmart_Sales_raw_data!$C$6437,"High","low")</f>
        <v>low</v>
      </c>
    </row>
    <row r="6228" spans="1:3">
      <c r="A6228" s="1">
        <v>44</v>
      </c>
      <c r="B6228" s="2">
        <f>Walmart_Sales_raw_data!C6228</f>
        <v>279677</v>
      </c>
      <c r="C6228" t="str">
        <f>IF(B6228&gt;=Walmart_Sales_raw_data!$C$6437,"High","low")</f>
        <v>low</v>
      </c>
    </row>
    <row r="6229" spans="1:3">
      <c r="A6229" s="3">
        <v>44</v>
      </c>
      <c r="B6229" s="2">
        <f>Walmart_Sales_raw_data!C6229</f>
        <v>298080.45</v>
      </c>
      <c r="C6229" t="str">
        <f>IF(B6229&gt;=Walmart_Sales_raw_data!$C$6437,"High","low")</f>
        <v>low</v>
      </c>
    </row>
    <row r="6230" spans="1:3">
      <c r="A6230" s="1">
        <v>44</v>
      </c>
      <c r="B6230" s="2">
        <f>Walmart_Sales_raw_data!C6230</f>
        <v>290399.66</v>
      </c>
      <c r="C6230" t="str">
        <f>IF(B6230&gt;=Walmart_Sales_raw_data!$C$6437,"High","low")</f>
        <v>low</v>
      </c>
    </row>
    <row r="6231" spans="1:3">
      <c r="A6231" s="3">
        <v>44</v>
      </c>
      <c r="B6231" s="2">
        <f>Walmart_Sales_raw_data!C6231</f>
        <v>290909.69</v>
      </c>
      <c r="C6231" t="str">
        <f>IF(B6231&gt;=Walmart_Sales_raw_data!$C$6437,"High","low")</f>
        <v>low</v>
      </c>
    </row>
    <row r="6232" spans="1:3">
      <c r="A6232" s="1">
        <v>44</v>
      </c>
      <c r="B6232" s="2">
        <f>Walmart_Sales_raw_data!C6232</f>
        <v>324174.79</v>
      </c>
      <c r="C6232" t="str">
        <f>IF(B6232&gt;=Walmart_Sales_raw_data!$C$6437,"High","low")</f>
        <v>low</v>
      </c>
    </row>
    <row r="6233" spans="1:3">
      <c r="A6233" s="3">
        <v>44</v>
      </c>
      <c r="B6233" s="2">
        <f>Walmart_Sales_raw_data!C6233</f>
        <v>309543.52</v>
      </c>
      <c r="C6233" t="str">
        <f>IF(B6233&gt;=Walmart_Sales_raw_data!$C$6437,"High","low")</f>
        <v>low</v>
      </c>
    </row>
    <row r="6234" spans="1:3">
      <c r="A6234" s="1">
        <v>44</v>
      </c>
      <c r="B6234" s="2">
        <f>Walmart_Sales_raw_data!C6234</f>
        <v>295811.25</v>
      </c>
      <c r="C6234" t="str">
        <f>IF(B6234&gt;=Walmart_Sales_raw_data!$C$6437,"High","low")</f>
        <v>low</v>
      </c>
    </row>
    <row r="6235" spans="1:3">
      <c r="A6235" s="3">
        <v>44</v>
      </c>
      <c r="B6235" s="2">
        <f>Walmart_Sales_raw_data!C6235</f>
        <v>303974.28</v>
      </c>
      <c r="C6235" t="str">
        <f>IF(B6235&gt;=Walmart_Sales_raw_data!$C$6437,"High","low")</f>
        <v>low</v>
      </c>
    </row>
    <row r="6236" spans="1:3">
      <c r="A6236" s="1">
        <v>44</v>
      </c>
      <c r="B6236" s="2">
        <f>Walmart_Sales_raw_data!C6236</f>
        <v>307409.13</v>
      </c>
      <c r="C6236" t="str">
        <f>IF(B6236&gt;=Walmart_Sales_raw_data!$C$6437,"High","low")</f>
        <v>low</v>
      </c>
    </row>
    <row r="6237" spans="1:3">
      <c r="A6237" s="3">
        <v>44</v>
      </c>
      <c r="B6237" s="2">
        <f>Walmart_Sales_raw_data!C6237</f>
        <v>299757.75</v>
      </c>
      <c r="C6237" t="str">
        <f>IF(B6237&gt;=Walmart_Sales_raw_data!$C$6437,"High","low")</f>
        <v>low</v>
      </c>
    </row>
    <row r="6238" spans="1:3">
      <c r="A6238" s="1">
        <v>44</v>
      </c>
      <c r="B6238" s="2">
        <f>Walmart_Sales_raw_data!C6238</f>
        <v>312577.36</v>
      </c>
      <c r="C6238" t="str">
        <f>IF(B6238&gt;=Walmart_Sales_raw_data!$C$6437,"High","low")</f>
        <v>low</v>
      </c>
    </row>
    <row r="6239" spans="1:3">
      <c r="A6239" s="3">
        <v>44</v>
      </c>
      <c r="B6239" s="2">
        <f>Walmart_Sales_raw_data!C6239</f>
        <v>293031.78</v>
      </c>
      <c r="C6239" t="str">
        <f>IF(B6239&gt;=Walmart_Sales_raw_data!$C$6437,"High","low")</f>
        <v>low</v>
      </c>
    </row>
    <row r="6240" spans="1:3">
      <c r="A6240" s="1">
        <v>44</v>
      </c>
      <c r="B6240" s="2">
        <f>Walmart_Sales_raw_data!C6240</f>
        <v>305969.81</v>
      </c>
      <c r="C6240" t="str">
        <f>IF(B6240&gt;=Walmart_Sales_raw_data!$C$6437,"High","low")</f>
        <v>low</v>
      </c>
    </row>
    <row r="6241" spans="1:3">
      <c r="A6241" s="3">
        <v>44</v>
      </c>
      <c r="B6241" s="2">
        <f>Walmart_Sales_raw_data!C6241</f>
        <v>306336.07</v>
      </c>
      <c r="C6241" t="str">
        <f>IF(B6241&gt;=Walmart_Sales_raw_data!$C$6437,"High","low")</f>
        <v>low</v>
      </c>
    </row>
    <row r="6242" spans="1:3">
      <c r="A6242" s="1">
        <v>44</v>
      </c>
      <c r="B6242" s="2">
        <f>Walmart_Sales_raw_data!C6242</f>
        <v>307126.34</v>
      </c>
      <c r="C6242" t="str">
        <f>IF(B6242&gt;=Walmart_Sales_raw_data!$C$6437,"High","low")</f>
        <v>low</v>
      </c>
    </row>
    <row r="6243" spans="1:3">
      <c r="A6243" s="3">
        <v>44</v>
      </c>
      <c r="B6243" s="2">
        <f>Walmart_Sales_raw_data!C6243</f>
        <v>312233.56</v>
      </c>
      <c r="C6243" t="str">
        <f>IF(B6243&gt;=Walmart_Sales_raw_data!$C$6437,"High","low")</f>
        <v>low</v>
      </c>
    </row>
    <row r="6244" spans="1:3">
      <c r="A6244" s="1">
        <v>44</v>
      </c>
      <c r="B6244" s="2">
        <f>Walmart_Sales_raw_data!C6244</f>
        <v>310531.04</v>
      </c>
      <c r="C6244" t="str">
        <f>IF(B6244&gt;=Walmart_Sales_raw_data!$C$6437,"High","low")</f>
        <v>low</v>
      </c>
    </row>
    <row r="6245" spans="1:3">
      <c r="A6245" s="3">
        <v>44</v>
      </c>
      <c r="B6245" s="2">
        <f>Walmart_Sales_raw_data!C6245</f>
        <v>309129.01</v>
      </c>
      <c r="C6245" t="str">
        <f>IF(B6245&gt;=Walmart_Sales_raw_data!$C$6437,"High","low")</f>
        <v>low</v>
      </c>
    </row>
    <row r="6246" spans="1:3">
      <c r="A6246" s="1">
        <v>44</v>
      </c>
      <c r="B6246" s="2">
        <f>Walmart_Sales_raw_data!C6246</f>
        <v>284309.34</v>
      </c>
      <c r="C6246" t="str">
        <f>IF(B6246&gt;=Walmart_Sales_raw_data!$C$6437,"High","low")</f>
        <v>low</v>
      </c>
    </row>
    <row r="6247" spans="1:3">
      <c r="A6247" s="3">
        <v>44</v>
      </c>
      <c r="B6247" s="2">
        <f>Walmart_Sales_raw_data!C6247</f>
        <v>304300.91</v>
      </c>
      <c r="C6247" t="str">
        <f>IF(B6247&gt;=Walmart_Sales_raw_data!$C$6437,"High","low")</f>
        <v>low</v>
      </c>
    </row>
    <row r="6248" spans="1:3">
      <c r="A6248" s="1">
        <v>44</v>
      </c>
      <c r="B6248" s="2">
        <f>Walmart_Sales_raw_data!C6248</f>
        <v>311144.16</v>
      </c>
      <c r="C6248" t="str">
        <f>IF(B6248&gt;=Walmart_Sales_raw_data!$C$6437,"High","low")</f>
        <v>low</v>
      </c>
    </row>
    <row r="6249" spans="1:3">
      <c r="A6249" s="3">
        <v>44</v>
      </c>
      <c r="B6249" s="2">
        <f>Walmart_Sales_raw_data!C6249</f>
        <v>376233.89</v>
      </c>
      <c r="C6249" t="str">
        <f>IF(B6249&gt;=Walmart_Sales_raw_data!$C$6437,"High","low")</f>
        <v>low</v>
      </c>
    </row>
    <row r="6250" spans="1:3">
      <c r="A6250" s="1">
        <v>44</v>
      </c>
      <c r="B6250" s="2">
        <f>Walmart_Sales_raw_data!C6250</f>
        <v>263917.85</v>
      </c>
      <c r="C6250" t="str">
        <f>IF(B6250&gt;=Walmart_Sales_raw_data!$C$6437,"High","low")</f>
        <v>low</v>
      </c>
    </row>
    <row r="6251" spans="1:3">
      <c r="A6251" s="3">
        <v>44</v>
      </c>
      <c r="B6251" s="2">
        <f>Walmart_Sales_raw_data!C6251</f>
        <v>325327.93</v>
      </c>
      <c r="C6251" t="str">
        <f>IF(B6251&gt;=Walmart_Sales_raw_data!$C$6437,"High","low")</f>
        <v>low</v>
      </c>
    </row>
    <row r="6252" spans="1:3">
      <c r="A6252" s="1">
        <v>44</v>
      </c>
      <c r="B6252" s="2">
        <f>Walmart_Sales_raw_data!C6252</f>
        <v>312361.88</v>
      </c>
      <c r="C6252" t="str">
        <f>IF(B6252&gt;=Walmart_Sales_raw_data!$C$6437,"High","low")</f>
        <v>low</v>
      </c>
    </row>
    <row r="6253" spans="1:3">
      <c r="A6253" s="3">
        <v>44</v>
      </c>
      <c r="B6253" s="2">
        <f>Walmart_Sales_raw_data!C6253</f>
        <v>316948.39</v>
      </c>
      <c r="C6253" t="str">
        <f>IF(B6253&gt;=Walmart_Sales_raw_data!$C$6437,"High","low")</f>
        <v>low</v>
      </c>
    </row>
    <row r="6254" spans="1:3">
      <c r="A6254" s="1">
        <v>44</v>
      </c>
      <c r="B6254" s="2">
        <f>Walmart_Sales_raw_data!C6254</f>
        <v>308295.38</v>
      </c>
      <c r="C6254" t="str">
        <f>IF(B6254&gt;=Walmart_Sales_raw_data!$C$6437,"High","low")</f>
        <v>low</v>
      </c>
    </row>
    <row r="6255" spans="1:3">
      <c r="A6255" s="3">
        <v>44</v>
      </c>
      <c r="B6255" s="2">
        <f>Walmart_Sales_raw_data!C6255</f>
        <v>325986.05</v>
      </c>
      <c r="C6255" t="str">
        <f>IF(B6255&gt;=Walmart_Sales_raw_data!$C$6437,"High","low")</f>
        <v>low</v>
      </c>
    </row>
    <row r="6256" spans="1:3">
      <c r="A6256" s="1">
        <v>44</v>
      </c>
      <c r="B6256" s="2">
        <f>Walmart_Sales_raw_data!C6256</f>
        <v>325377.97</v>
      </c>
      <c r="C6256" t="str">
        <f>IF(B6256&gt;=Walmart_Sales_raw_data!$C$6437,"High","low")</f>
        <v>low</v>
      </c>
    </row>
    <row r="6257" spans="1:3">
      <c r="A6257" s="3">
        <v>44</v>
      </c>
      <c r="B6257" s="2">
        <f>Walmart_Sales_raw_data!C6257</f>
        <v>320691.21</v>
      </c>
      <c r="C6257" t="str">
        <f>IF(B6257&gt;=Walmart_Sales_raw_data!$C$6437,"High","low")</f>
        <v>low</v>
      </c>
    </row>
    <row r="6258" spans="1:3">
      <c r="A6258" s="1">
        <v>44</v>
      </c>
      <c r="B6258" s="2">
        <f>Walmart_Sales_raw_data!C6258</f>
        <v>315641.8</v>
      </c>
      <c r="C6258" t="str">
        <f>IF(B6258&gt;=Walmart_Sales_raw_data!$C$6437,"High","low")</f>
        <v>low</v>
      </c>
    </row>
    <row r="6259" spans="1:3">
      <c r="A6259" s="3">
        <v>44</v>
      </c>
      <c r="B6259" s="2">
        <f>Walmart_Sales_raw_data!C6259</f>
        <v>316687.22</v>
      </c>
      <c r="C6259" t="str">
        <f>IF(B6259&gt;=Walmart_Sales_raw_data!$C$6437,"High","low")</f>
        <v>low</v>
      </c>
    </row>
    <row r="6260" spans="1:3">
      <c r="A6260" s="1">
        <v>44</v>
      </c>
      <c r="B6260" s="2">
        <f>Walmart_Sales_raw_data!C6260</f>
        <v>303438.24</v>
      </c>
      <c r="C6260" t="str">
        <f>IF(B6260&gt;=Walmart_Sales_raw_data!$C$6437,"High","low")</f>
        <v>low</v>
      </c>
    </row>
    <row r="6261" spans="1:3">
      <c r="A6261" s="3">
        <v>44</v>
      </c>
      <c r="B6261" s="2">
        <f>Walmart_Sales_raw_data!C6261</f>
        <v>331965.95</v>
      </c>
      <c r="C6261" t="str">
        <f>IF(B6261&gt;=Walmart_Sales_raw_data!$C$6437,"High","low")</f>
        <v>low</v>
      </c>
    </row>
    <row r="6262" spans="1:3">
      <c r="A6262" s="1">
        <v>44</v>
      </c>
      <c r="B6262" s="2">
        <f>Walmart_Sales_raw_data!C6262</f>
        <v>296947.06</v>
      </c>
      <c r="C6262" t="str">
        <f>IF(B6262&gt;=Walmart_Sales_raw_data!$C$6437,"High","low")</f>
        <v>low</v>
      </c>
    </row>
    <row r="6263" spans="1:3">
      <c r="A6263" s="3">
        <v>44</v>
      </c>
      <c r="B6263" s="2">
        <f>Walmart_Sales_raw_data!C6263</f>
        <v>310027.29</v>
      </c>
      <c r="C6263" t="str">
        <f>IF(B6263&gt;=Walmart_Sales_raw_data!$C$6437,"High","low")</f>
        <v>low</v>
      </c>
    </row>
    <row r="6264" spans="1:3">
      <c r="A6264" s="1">
        <v>44</v>
      </c>
      <c r="B6264" s="2">
        <f>Walmart_Sales_raw_data!C6264</f>
        <v>320021.1</v>
      </c>
      <c r="C6264" t="str">
        <f>IF(B6264&gt;=Walmart_Sales_raw_data!$C$6437,"High","low")</f>
        <v>low</v>
      </c>
    </row>
    <row r="6265" spans="1:3">
      <c r="A6265" s="3">
        <v>44</v>
      </c>
      <c r="B6265" s="2">
        <f>Walmart_Sales_raw_data!C6265</f>
        <v>311390.22</v>
      </c>
      <c r="C6265" t="str">
        <f>IF(B6265&gt;=Walmart_Sales_raw_data!$C$6437,"High","low")</f>
        <v>low</v>
      </c>
    </row>
    <row r="6266" spans="1:3">
      <c r="A6266" s="1">
        <v>44</v>
      </c>
      <c r="B6266" s="2">
        <f>Walmart_Sales_raw_data!C6266</f>
        <v>323233.8</v>
      </c>
      <c r="C6266" t="str">
        <f>IF(B6266&gt;=Walmart_Sales_raw_data!$C$6437,"High","low")</f>
        <v>low</v>
      </c>
    </row>
    <row r="6267" spans="1:3">
      <c r="A6267" s="3">
        <v>44</v>
      </c>
      <c r="B6267" s="2">
        <f>Walmart_Sales_raw_data!C6267</f>
        <v>330338.36</v>
      </c>
      <c r="C6267" t="str">
        <f>IF(B6267&gt;=Walmart_Sales_raw_data!$C$6437,"High","low")</f>
        <v>low</v>
      </c>
    </row>
    <row r="6268" spans="1:3">
      <c r="A6268" s="1">
        <v>44</v>
      </c>
      <c r="B6268" s="2">
        <f>Walmart_Sales_raw_data!C6268</f>
        <v>326053.28</v>
      </c>
      <c r="C6268" t="str">
        <f>IF(B6268&gt;=Walmart_Sales_raw_data!$C$6437,"High","low")</f>
        <v>low</v>
      </c>
    </row>
    <row r="6269" spans="1:3">
      <c r="A6269" s="3">
        <v>44</v>
      </c>
      <c r="B6269" s="2">
        <f>Walmart_Sales_raw_data!C6269</f>
        <v>341381.08</v>
      </c>
      <c r="C6269" t="str">
        <f>IF(B6269&gt;=Walmart_Sales_raw_data!$C$6437,"High","low")</f>
        <v>low</v>
      </c>
    </row>
    <row r="6270" spans="1:3">
      <c r="A6270" s="1">
        <v>44</v>
      </c>
      <c r="B6270" s="2">
        <f>Walmart_Sales_raw_data!C6270</f>
        <v>334042.43</v>
      </c>
      <c r="C6270" t="str">
        <f>IF(B6270&gt;=Walmart_Sales_raw_data!$C$6437,"High","low")</f>
        <v>low</v>
      </c>
    </row>
    <row r="6271" spans="1:3">
      <c r="A6271" s="3">
        <v>44</v>
      </c>
      <c r="B6271" s="2">
        <f>Walmart_Sales_raw_data!C6271</f>
        <v>343268.29</v>
      </c>
      <c r="C6271" t="str">
        <f>IF(B6271&gt;=Walmart_Sales_raw_data!$C$6437,"High","low")</f>
        <v>low</v>
      </c>
    </row>
    <row r="6272" spans="1:3">
      <c r="A6272" s="1">
        <v>44</v>
      </c>
      <c r="B6272" s="2">
        <f>Walmart_Sales_raw_data!C6272</f>
        <v>323410.94</v>
      </c>
      <c r="C6272" t="str">
        <f>IF(B6272&gt;=Walmart_Sales_raw_data!$C$6437,"High","low")</f>
        <v>low</v>
      </c>
    </row>
    <row r="6273" spans="1:3">
      <c r="A6273" s="3">
        <v>44</v>
      </c>
      <c r="B6273" s="2">
        <f>Walmart_Sales_raw_data!C6273</f>
        <v>340238.38</v>
      </c>
      <c r="C6273" t="str">
        <f>IF(B6273&gt;=Walmart_Sales_raw_data!$C$6437,"High","low")</f>
        <v>low</v>
      </c>
    </row>
    <row r="6274" spans="1:3">
      <c r="A6274" s="1">
        <v>44</v>
      </c>
      <c r="B6274" s="2">
        <f>Walmart_Sales_raw_data!C6274</f>
        <v>338400.82</v>
      </c>
      <c r="C6274" t="str">
        <f>IF(B6274&gt;=Walmart_Sales_raw_data!$C$6437,"High","low")</f>
        <v>low</v>
      </c>
    </row>
    <row r="6275" spans="1:3">
      <c r="A6275" s="3">
        <v>44</v>
      </c>
      <c r="B6275" s="2">
        <f>Walmart_Sales_raw_data!C6275</f>
        <v>336241</v>
      </c>
      <c r="C6275" t="str">
        <f>IF(B6275&gt;=Walmart_Sales_raw_data!$C$6437,"High","low")</f>
        <v>low</v>
      </c>
    </row>
    <row r="6276" spans="1:3">
      <c r="A6276" s="1">
        <v>44</v>
      </c>
      <c r="B6276" s="2">
        <f>Walmart_Sales_raw_data!C6276</f>
        <v>338386.08</v>
      </c>
      <c r="C6276" t="str">
        <f>IF(B6276&gt;=Walmart_Sales_raw_data!$C$6437,"High","low")</f>
        <v>low</v>
      </c>
    </row>
    <row r="6277" spans="1:3">
      <c r="A6277" s="3">
        <v>44</v>
      </c>
      <c r="B6277" s="2">
        <f>Walmart_Sales_raw_data!C6277</f>
        <v>358461.58</v>
      </c>
      <c r="C6277" t="str">
        <f>IF(B6277&gt;=Walmart_Sales_raw_data!$C$6437,"High","low")</f>
        <v>low</v>
      </c>
    </row>
    <row r="6278" spans="1:3">
      <c r="A6278" s="1">
        <v>44</v>
      </c>
      <c r="B6278" s="2">
        <f>Walmart_Sales_raw_data!C6278</f>
        <v>336479.49</v>
      </c>
      <c r="C6278" t="str">
        <f>IF(B6278&gt;=Walmart_Sales_raw_data!$C$6437,"High","low")</f>
        <v>low</v>
      </c>
    </row>
    <row r="6279" spans="1:3">
      <c r="A6279" s="3">
        <v>44</v>
      </c>
      <c r="B6279" s="2">
        <f>Walmart_Sales_raw_data!C6279</f>
        <v>337819.16</v>
      </c>
      <c r="C6279" t="str">
        <f>IF(B6279&gt;=Walmart_Sales_raw_data!$C$6437,"High","low")</f>
        <v>low</v>
      </c>
    </row>
    <row r="6280" spans="1:3">
      <c r="A6280" s="1">
        <v>44</v>
      </c>
      <c r="B6280" s="2">
        <f>Walmart_Sales_raw_data!C6280</f>
        <v>319855.26</v>
      </c>
      <c r="C6280" t="str">
        <f>IF(B6280&gt;=Walmart_Sales_raw_data!$C$6437,"High","low")</f>
        <v>low</v>
      </c>
    </row>
    <row r="6281" spans="1:3">
      <c r="A6281" s="3">
        <v>44</v>
      </c>
      <c r="B6281" s="2">
        <f>Walmart_Sales_raw_data!C6281</f>
        <v>342385.38</v>
      </c>
      <c r="C6281" t="str">
        <f>IF(B6281&gt;=Walmart_Sales_raw_data!$C$6437,"High","low")</f>
        <v>low</v>
      </c>
    </row>
    <row r="6282" spans="1:3">
      <c r="A6282" s="1">
        <v>44</v>
      </c>
      <c r="B6282" s="2">
        <f>Walmart_Sales_raw_data!C6282</f>
        <v>333594.81</v>
      </c>
      <c r="C6282" t="str">
        <f>IF(B6282&gt;=Walmart_Sales_raw_data!$C$6437,"High","low")</f>
        <v>low</v>
      </c>
    </row>
    <row r="6283" spans="1:3">
      <c r="A6283" s="3">
        <v>44</v>
      </c>
      <c r="B6283" s="2">
        <f>Walmart_Sales_raw_data!C6283</f>
        <v>327389.51</v>
      </c>
      <c r="C6283" t="str">
        <f>IF(B6283&gt;=Walmart_Sales_raw_data!$C$6437,"High","low")</f>
        <v>low</v>
      </c>
    </row>
    <row r="6284" spans="1:3">
      <c r="A6284" s="1">
        <v>44</v>
      </c>
      <c r="B6284" s="2">
        <f>Walmart_Sales_raw_data!C6284</f>
        <v>337985.74</v>
      </c>
      <c r="C6284" t="str">
        <f>IF(B6284&gt;=Walmart_Sales_raw_data!$C$6437,"High","low")</f>
        <v>low</v>
      </c>
    </row>
    <row r="6285" spans="1:3">
      <c r="A6285" s="3">
        <v>44</v>
      </c>
      <c r="B6285" s="2">
        <f>Walmart_Sales_raw_data!C6285</f>
        <v>339490.69</v>
      </c>
      <c r="C6285" t="str">
        <f>IF(B6285&gt;=Walmart_Sales_raw_data!$C$6437,"High","low")</f>
        <v>low</v>
      </c>
    </row>
    <row r="6286" spans="1:3">
      <c r="A6286" s="1">
        <v>44</v>
      </c>
      <c r="B6286" s="2">
        <f>Walmart_Sales_raw_data!C6286</f>
        <v>338737.33</v>
      </c>
      <c r="C6286" t="str">
        <f>IF(B6286&gt;=Walmart_Sales_raw_data!$C$6437,"High","low")</f>
        <v>low</v>
      </c>
    </row>
    <row r="6287" spans="1:3">
      <c r="A6287" s="3">
        <v>44</v>
      </c>
      <c r="B6287" s="2">
        <f>Walmart_Sales_raw_data!C6287</f>
        <v>347726.67</v>
      </c>
      <c r="C6287" t="str">
        <f>IF(B6287&gt;=Walmart_Sales_raw_data!$C$6437,"High","low")</f>
        <v>low</v>
      </c>
    </row>
    <row r="6288" spans="1:3">
      <c r="A6288" s="1">
        <v>44</v>
      </c>
      <c r="B6288" s="2">
        <f>Walmart_Sales_raw_data!C6288</f>
        <v>336017.6</v>
      </c>
      <c r="C6288" t="str">
        <f>IF(B6288&gt;=Walmart_Sales_raw_data!$C$6437,"High","low")</f>
        <v>low</v>
      </c>
    </row>
    <row r="6289" spans="1:3">
      <c r="A6289" s="3">
        <v>44</v>
      </c>
      <c r="B6289" s="2">
        <f>Walmart_Sales_raw_data!C6289</f>
        <v>355307.94</v>
      </c>
      <c r="C6289" t="str">
        <f>IF(B6289&gt;=Walmart_Sales_raw_data!$C$6437,"High","low")</f>
        <v>low</v>
      </c>
    </row>
    <row r="6290" spans="1:3">
      <c r="A6290" s="1">
        <v>44</v>
      </c>
      <c r="B6290" s="2">
        <f>Walmart_Sales_raw_data!C6290</f>
        <v>337390.44</v>
      </c>
      <c r="C6290" t="str">
        <f>IF(B6290&gt;=Walmart_Sales_raw_data!$C$6437,"High","low")</f>
        <v>low</v>
      </c>
    </row>
    <row r="6291" spans="1:3">
      <c r="A6291" s="3">
        <v>44</v>
      </c>
      <c r="B6291" s="2">
        <f>Walmart_Sales_raw_data!C6291</f>
        <v>337796.13</v>
      </c>
      <c r="C6291" t="str">
        <f>IF(B6291&gt;=Walmart_Sales_raw_data!$C$6437,"High","low")</f>
        <v>low</v>
      </c>
    </row>
    <row r="6292" spans="1:3">
      <c r="A6292" s="1">
        <v>44</v>
      </c>
      <c r="B6292" s="2">
        <f>Walmart_Sales_raw_data!C6292</f>
        <v>323766.77</v>
      </c>
      <c r="C6292" t="str">
        <f>IF(B6292&gt;=Walmart_Sales_raw_data!$C$6437,"High","low")</f>
        <v>low</v>
      </c>
    </row>
    <row r="6293" spans="1:3">
      <c r="A6293" s="3">
        <v>44</v>
      </c>
      <c r="B6293" s="2">
        <f>Walmart_Sales_raw_data!C6293</f>
        <v>361067.07</v>
      </c>
      <c r="C6293" t="str">
        <f>IF(B6293&gt;=Walmart_Sales_raw_data!$C$6437,"High","low")</f>
        <v>low</v>
      </c>
    </row>
    <row r="6294" spans="1:3">
      <c r="A6294" s="1">
        <v>45</v>
      </c>
      <c r="B6294" s="2">
        <f>Walmart_Sales_raw_data!C6294</f>
        <v>890689.51</v>
      </c>
      <c r="C6294" t="str">
        <f>IF(B6294&gt;=Walmart_Sales_raw_data!$C$6437,"High","low")</f>
        <v>low</v>
      </c>
    </row>
    <row r="6295" spans="1:3">
      <c r="A6295" s="3">
        <v>45</v>
      </c>
      <c r="B6295" s="2">
        <f>Walmart_Sales_raw_data!C6295</f>
        <v>656988.64</v>
      </c>
      <c r="C6295" t="str">
        <f>IF(B6295&gt;=Walmart_Sales_raw_data!$C$6437,"High","low")</f>
        <v>low</v>
      </c>
    </row>
    <row r="6296" spans="1:3">
      <c r="A6296" s="1">
        <v>45</v>
      </c>
      <c r="B6296" s="2">
        <f>Walmart_Sales_raw_data!C6296</f>
        <v>841264.04</v>
      </c>
      <c r="C6296" t="str">
        <f>IF(B6296&gt;=Walmart_Sales_raw_data!$C$6437,"High","low")</f>
        <v>low</v>
      </c>
    </row>
    <row r="6297" spans="1:3">
      <c r="A6297" s="3">
        <v>45</v>
      </c>
      <c r="B6297" s="2">
        <f>Walmart_Sales_raw_data!C6297</f>
        <v>741891.65</v>
      </c>
      <c r="C6297" t="str">
        <f>IF(B6297&gt;=Walmart_Sales_raw_data!$C$6437,"High","low")</f>
        <v>low</v>
      </c>
    </row>
    <row r="6298" spans="1:3">
      <c r="A6298" s="1">
        <v>45</v>
      </c>
      <c r="B6298" s="2">
        <f>Walmart_Sales_raw_data!C6298</f>
        <v>777951.22</v>
      </c>
      <c r="C6298" t="str">
        <f>IF(B6298&gt;=Walmart_Sales_raw_data!$C$6437,"High","low")</f>
        <v>low</v>
      </c>
    </row>
    <row r="6299" spans="1:3">
      <c r="A6299" s="3">
        <v>45</v>
      </c>
      <c r="B6299" s="2">
        <f>Walmart_Sales_raw_data!C6299</f>
        <v>765687.42</v>
      </c>
      <c r="C6299" t="str">
        <f>IF(B6299&gt;=Walmart_Sales_raw_data!$C$6437,"High","low")</f>
        <v>low</v>
      </c>
    </row>
    <row r="6300" spans="1:3">
      <c r="A6300" s="1">
        <v>45</v>
      </c>
      <c r="B6300" s="2">
        <f>Walmart_Sales_raw_data!C6300</f>
        <v>773819.49</v>
      </c>
      <c r="C6300" t="str">
        <f>IF(B6300&gt;=Walmart_Sales_raw_data!$C$6437,"High","low")</f>
        <v>low</v>
      </c>
    </row>
    <row r="6301" spans="1:3">
      <c r="A6301" s="3">
        <v>45</v>
      </c>
      <c r="B6301" s="2">
        <f>Walmart_Sales_raw_data!C6301</f>
        <v>782563.38</v>
      </c>
      <c r="C6301" t="str">
        <f>IF(B6301&gt;=Walmart_Sales_raw_data!$C$6437,"High","low")</f>
        <v>low</v>
      </c>
    </row>
    <row r="6302" spans="1:3">
      <c r="A6302" s="1">
        <v>45</v>
      </c>
      <c r="B6302" s="2">
        <f>Walmart_Sales_raw_data!C6302</f>
        <v>877235.96</v>
      </c>
      <c r="C6302" t="str">
        <f>IF(B6302&gt;=Walmart_Sales_raw_data!$C$6437,"High","low")</f>
        <v>low</v>
      </c>
    </row>
    <row r="6303" spans="1:3">
      <c r="A6303" s="3">
        <v>45</v>
      </c>
      <c r="B6303" s="2">
        <f>Walmart_Sales_raw_data!C6303</f>
        <v>833782.7</v>
      </c>
      <c r="C6303" t="str">
        <f>IF(B6303&gt;=Walmart_Sales_raw_data!$C$6437,"High","low")</f>
        <v>low</v>
      </c>
    </row>
    <row r="6304" spans="1:3">
      <c r="A6304" s="1">
        <v>45</v>
      </c>
      <c r="B6304" s="2">
        <f>Walmart_Sales_raw_data!C6304</f>
        <v>782221.96</v>
      </c>
      <c r="C6304" t="str">
        <f>IF(B6304&gt;=Walmart_Sales_raw_data!$C$6437,"High","low")</f>
        <v>low</v>
      </c>
    </row>
    <row r="6305" spans="1:3">
      <c r="A6305" s="3">
        <v>45</v>
      </c>
      <c r="B6305" s="2">
        <f>Walmart_Sales_raw_data!C6305</f>
        <v>749779.1</v>
      </c>
      <c r="C6305" t="str">
        <f>IF(B6305&gt;=Walmart_Sales_raw_data!$C$6437,"High","low")</f>
        <v>low</v>
      </c>
    </row>
    <row r="6306" spans="1:3">
      <c r="A6306" s="1">
        <v>45</v>
      </c>
      <c r="B6306" s="2">
        <f>Walmart_Sales_raw_data!C6306</f>
        <v>737265.57</v>
      </c>
      <c r="C6306" t="str">
        <f>IF(B6306&gt;=Walmart_Sales_raw_data!$C$6437,"High","low")</f>
        <v>low</v>
      </c>
    </row>
    <row r="6307" spans="1:3">
      <c r="A6307" s="3">
        <v>45</v>
      </c>
      <c r="B6307" s="2">
        <f>Walmart_Sales_raw_data!C6307</f>
        <v>812190.76</v>
      </c>
      <c r="C6307" t="str">
        <f>IF(B6307&gt;=Walmart_Sales_raw_data!$C$6437,"High","low")</f>
        <v>low</v>
      </c>
    </row>
    <row r="6308" spans="1:3">
      <c r="A6308" s="1">
        <v>45</v>
      </c>
      <c r="B6308" s="2">
        <f>Walmart_Sales_raw_data!C6308</f>
        <v>758182.2</v>
      </c>
      <c r="C6308" t="str">
        <f>IF(B6308&gt;=Walmart_Sales_raw_data!$C$6437,"High","low")</f>
        <v>low</v>
      </c>
    </row>
    <row r="6309" spans="1:3">
      <c r="A6309" s="3">
        <v>45</v>
      </c>
      <c r="B6309" s="2">
        <f>Walmart_Sales_raw_data!C6309</f>
        <v>747888.25</v>
      </c>
      <c r="C6309" t="str">
        <f>IF(B6309&gt;=Walmart_Sales_raw_data!$C$6437,"High","low")</f>
        <v>low</v>
      </c>
    </row>
    <row r="6310" spans="1:3">
      <c r="A6310" s="1">
        <v>45</v>
      </c>
      <c r="B6310" s="2">
        <f>Walmart_Sales_raw_data!C6310</f>
        <v>801098.43</v>
      </c>
      <c r="C6310" t="str">
        <f>IF(B6310&gt;=Walmart_Sales_raw_data!$C$6437,"High","low")</f>
        <v>low</v>
      </c>
    </row>
    <row r="6311" spans="1:3">
      <c r="A6311" s="3">
        <v>45</v>
      </c>
      <c r="B6311" s="2">
        <f>Walmart_Sales_raw_data!C6311</f>
        <v>837548.62</v>
      </c>
      <c r="C6311" t="str">
        <f>IF(B6311&gt;=Walmart_Sales_raw_data!$C$6437,"High","low")</f>
        <v>low</v>
      </c>
    </row>
    <row r="6312" spans="1:3">
      <c r="A6312" s="1">
        <v>45</v>
      </c>
      <c r="B6312" s="2">
        <f>Walmart_Sales_raw_data!C6312</f>
        <v>794698.77</v>
      </c>
      <c r="C6312" t="str">
        <f>IF(B6312&gt;=Walmart_Sales_raw_data!$C$6437,"High","low")</f>
        <v>low</v>
      </c>
    </row>
    <row r="6313" spans="1:3">
      <c r="A6313" s="3">
        <v>45</v>
      </c>
      <c r="B6313" s="2">
        <f>Walmart_Sales_raw_data!C6313</f>
        <v>815130.5</v>
      </c>
      <c r="C6313" t="str">
        <f>IF(B6313&gt;=Walmart_Sales_raw_data!$C$6437,"High","low")</f>
        <v>low</v>
      </c>
    </row>
    <row r="6314" spans="1:3">
      <c r="A6314" s="1">
        <v>45</v>
      </c>
      <c r="B6314" s="2">
        <f>Walmart_Sales_raw_data!C6314</f>
        <v>792299.15</v>
      </c>
      <c r="C6314" t="str">
        <f>IF(B6314&gt;=Walmart_Sales_raw_data!$C$6437,"High","low")</f>
        <v>low</v>
      </c>
    </row>
    <row r="6315" spans="1:3">
      <c r="A6315" s="3">
        <v>45</v>
      </c>
      <c r="B6315" s="2">
        <f>Walmart_Sales_raw_data!C6315</f>
        <v>800147.84</v>
      </c>
      <c r="C6315" t="str">
        <f>IF(B6315&gt;=Walmart_Sales_raw_data!$C$6437,"High","low")</f>
        <v>low</v>
      </c>
    </row>
    <row r="6316" spans="1:3">
      <c r="A6316" s="1">
        <v>45</v>
      </c>
      <c r="B6316" s="2">
        <f>Walmart_Sales_raw_data!C6316</f>
        <v>787062</v>
      </c>
      <c r="C6316" t="str">
        <f>IF(B6316&gt;=Walmart_Sales_raw_data!$C$6437,"High","low")</f>
        <v>low</v>
      </c>
    </row>
    <row r="6317" spans="1:3">
      <c r="A6317" s="3">
        <v>45</v>
      </c>
      <c r="B6317" s="2">
        <f>Walmart_Sales_raw_data!C6317</f>
        <v>723708.99</v>
      </c>
      <c r="C6317" t="str">
        <f>IF(B6317&gt;=Walmart_Sales_raw_data!$C$6437,"High","low")</f>
        <v>low</v>
      </c>
    </row>
    <row r="6318" spans="1:3">
      <c r="A6318" s="1">
        <v>45</v>
      </c>
      <c r="B6318" s="2">
        <f>Walmart_Sales_raw_data!C6318</f>
        <v>714601.11</v>
      </c>
      <c r="C6318" t="str">
        <f>IF(B6318&gt;=Walmart_Sales_raw_data!$C$6437,"High","low")</f>
        <v>low</v>
      </c>
    </row>
    <row r="6319" spans="1:3">
      <c r="A6319" s="3">
        <v>45</v>
      </c>
      <c r="B6319" s="2">
        <f>Walmart_Sales_raw_data!C6319</f>
        <v>716859.27</v>
      </c>
      <c r="C6319" t="str">
        <f>IF(B6319&gt;=Walmart_Sales_raw_data!$C$6437,"High","low")</f>
        <v>low</v>
      </c>
    </row>
    <row r="6320" spans="1:3">
      <c r="A6320" s="1">
        <v>45</v>
      </c>
      <c r="B6320" s="2">
        <f>Walmart_Sales_raw_data!C6320</f>
        <v>746517.32</v>
      </c>
      <c r="C6320" t="str">
        <f>IF(B6320&gt;=Walmart_Sales_raw_data!$C$6437,"High","low")</f>
        <v>low</v>
      </c>
    </row>
    <row r="6321" spans="1:3">
      <c r="A6321" s="3">
        <v>45</v>
      </c>
      <c r="B6321" s="2">
        <f>Walmart_Sales_raw_data!C6321</f>
        <v>722262.21</v>
      </c>
      <c r="C6321" t="str">
        <f>IF(B6321&gt;=Walmart_Sales_raw_data!$C$6437,"High","low")</f>
        <v>low</v>
      </c>
    </row>
    <row r="6322" spans="1:3">
      <c r="A6322" s="1">
        <v>45</v>
      </c>
      <c r="B6322" s="2">
        <f>Walmart_Sales_raw_data!C6322</f>
        <v>708568.29</v>
      </c>
      <c r="C6322" t="str">
        <f>IF(B6322&gt;=Walmart_Sales_raw_data!$C$6437,"High","low")</f>
        <v>low</v>
      </c>
    </row>
    <row r="6323" spans="1:3">
      <c r="A6323" s="3">
        <v>45</v>
      </c>
      <c r="B6323" s="2">
        <f>Walmart_Sales_raw_data!C6323</f>
        <v>721744.33</v>
      </c>
      <c r="C6323" t="str">
        <f>IF(B6323&gt;=Walmart_Sales_raw_data!$C$6437,"High","low")</f>
        <v>low</v>
      </c>
    </row>
    <row r="6324" spans="1:3">
      <c r="A6324" s="1">
        <v>45</v>
      </c>
      <c r="B6324" s="2">
        <f>Walmart_Sales_raw_data!C6324</f>
        <v>790144.7</v>
      </c>
      <c r="C6324" t="str">
        <f>IF(B6324&gt;=Walmart_Sales_raw_data!$C$6437,"High","low")</f>
        <v>low</v>
      </c>
    </row>
    <row r="6325" spans="1:3">
      <c r="A6325" s="3">
        <v>45</v>
      </c>
      <c r="B6325" s="2">
        <f>Walmart_Sales_raw_data!C6325</f>
        <v>721460.22</v>
      </c>
      <c r="C6325" t="str">
        <f>IF(B6325&gt;=Walmart_Sales_raw_data!$C$6437,"High","low")</f>
        <v>low</v>
      </c>
    </row>
    <row r="6326" spans="1:3">
      <c r="A6326" s="1">
        <v>45</v>
      </c>
      <c r="B6326" s="2">
        <f>Walmart_Sales_raw_data!C6326</f>
        <v>716987.58</v>
      </c>
      <c r="C6326" t="str">
        <f>IF(B6326&gt;=Walmart_Sales_raw_data!$C$6437,"High","low")</f>
        <v>low</v>
      </c>
    </row>
    <row r="6327" spans="1:3">
      <c r="A6327" s="3">
        <v>45</v>
      </c>
      <c r="B6327" s="2">
        <f>Walmart_Sales_raw_data!C6327</f>
        <v>678228.58</v>
      </c>
      <c r="C6327" t="str">
        <f>IF(B6327&gt;=Walmart_Sales_raw_data!$C$6437,"High","low")</f>
        <v>low</v>
      </c>
    </row>
    <row r="6328" spans="1:3">
      <c r="A6328" s="1">
        <v>45</v>
      </c>
      <c r="B6328" s="2">
        <f>Walmart_Sales_raw_data!C6328</f>
        <v>690007.76</v>
      </c>
      <c r="C6328" t="str">
        <f>IF(B6328&gt;=Walmart_Sales_raw_data!$C$6437,"High","low")</f>
        <v>low</v>
      </c>
    </row>
    <row r="6329" spans="1:3">
      <c r="A6329" s="3">
        <v>45</v>
      </c>
      <c r="B6329" s="2">
        <f>Walmart_Sales_raw_data!C6329</f>
        <v>745782.1</v>
      </c>
      <c r="C6329" t="str">
        <f>IF(B6329&gt;=Walmart_Sales_raw_data!$C$6437,"High","low")</f>
        <v>low</v>
      </c>
    </row>
    <row r="6330" spans="1:3">
      <c r="A6330" s="1">
        <v>45</v>
      </c>
      <c r="B6330" s="2">
        <f>Walmart_Sales_raw_data!C6330</f>
        <v>715263.3</v>
      </c>
      <c r="C6330" t="str">
        <f>IF(B6330&gt;=Walmart_Sales_raw_data!$C$6437,"High","low")</f>
        <v>low</v>
      </c>
    </row>
    <row r="6331" spans="1:3">
      <c r="A6331" s="3">
        <v>45</v>
      </c>
      <c r="B6331" s="2">
        <f>Walmart_Sales_raw_data!C6331</f>
        <v>730899.37</v>
      </c>
      <c r="C6331" t="str">
        <f>IF(B6331&gt;=Walmart_Sales_raw_data!$C$6437,"High","low")</f>
        <v>low</v>
      </c>
    </row>
    <row r="6332" spans="1:3">
      <c r="A6332" s="1">
        <v>45</v>
      </c>
      <c r="B6332" s="2">
        <f>Walmart_Sales_raw_data!C6332</f>
        <v>732859.76</v>
      </c>
      <c r="C6332" t="str">
        <f>IF(B6332&gt;=Walmart_Sales_raw_data!$C$6437,"High","low")</f>
        <v>low</v>
      </c>
    </row>
    <row r="6333" spans="1:3">
      <c r="A6333" s="3">
        <v>45</v>
      </c>
      <c r="B6333" s="2">
        <f>Walmart_Sales_raw_data!C6333</f>
        <v>764014.06</v>
      </c>
      <c r="C6333" t="str">
        <f>IF(B6333&gt;=Walmart_Sales_raw_data!$C$6437,"High","low")</f>
        <v>low</v>
      </c>
    </row>
    <row r="6334" spans="1:3">
      <c r="A6334" s="1">
        <v>45</v>
      </c>
      <c r="B6334" s="2">
        <f>Walmart_Sales_raw_data!C6334</f>
        <v>765648.93</v>
      </c>
      <c r="C6334" t="str">
        <f>IF(B6334&gt;=Walmart_Sales_raw_data!$C$6437,"High","low")</f>
        <v>low</v>
      </c>
    </row>
    <row r="6335" spans="1:3">
      <c r="A6335" s="3">
        <v>45</v>
      </c>
      <c r="B6335" s="2">
        <f>Walmart_Sales_raw_data!C6335</f>
        <v>723987.85</v>
      </c>
      <c r="C6335" t="str">
        <f>IF(B6335&gt;=Walmart_Sales_raw_data!$C$6437,"High","low")</f>
        <v>low</v>
      </c>
    </row>
    <row r="6336" spans="1:3">
      <c r="A6336" s="1">
        <v>45</v>
      </c>
      <c r="B6336" s="2">
        <f>Walmart_Sales_raw_data!C6336</f>
        <v>1182500.16</v>
      </c>
      <c r="C6336" t="str">
        <f>IF(B6336&gt;=Walmart_Sales_raw_data!$C$6437,"High","low")</f>
        <v>High</v>
      </c>
    </row>
    <row r="6337" spans="1:3">
      <c r="A6337" s="3">
        <v>45</v>
      </c>
      <c r="B6337" s="2">
        <f>Walmart_Sales_raw_data!C6337</f>
        <v>879244.9</v>
      </c>
      <c r="C6337" t="str">
        <f>IF(B6337&gt;=Walmart_Sales_raw_data!$C$6437,"High","low")</f>
        <v>low</v>
      </c>
    </row>
    <row r="6338" spans="1:3">
      <c r="A6338" s="1">
        <v>45</v>
      </c>
      <c r="B6338" s="2">
        <f>Walmart_Sales_raw_data!C6338</f>
        <v>1002364.34</v>
      </c>
      <c r="C6338" t="str">
        <f>IF(B6338&gt;=Walmart_Sales_raw_data!$C$6437,"High","low")</f>
        <v>low</v>
      </c>
    </row>
    <row r="6339" spans="1:3">
      <c r="A6339" s="3">
        <v>45</v>
      </c>
      <c r="B6339" s="2">
        <f>Walmart_Sales_raw_data!C6339</f>
        <v>1123282.85</v>
      </c>
      <c r="C6339" t="str">
        <f>IF(B6339&gt;=Walmart_Sales_raw_data!$C$6437,"High","low")</f>
        <v>High</v>
      </c>
    </row>
    <row r="6340" spans="1:3">
      <c r="A6340" s="1">
        <v>45</v>
      </c>
      <c r="B6340" s="2">
        <f>Walmart_Sales_raw_data!C6340</f>
        <v>1682862.03</v>
      </c>
      <c r="C6340" t="str">
        <f>IF(B6340&gt;=Walmart_Sales_raw_data!$C$6437,"High","low")</f>
        <v>High</v>
      </c>
    </row>
    <row r="6341" spans="1:3">
      <c r="A6341" s="3">
        <v>45</v>
      </c>
      <c r="B6341" s="2">
        <f>Walmart_Sales_raw_data!C6341</f>
        <v>679156.2</v>
      </c>
      <c r="C6341" t="str">
        <f>IF(B6341&gt;=Walmart_Sales_raw_data!$C$6437,"High","low")</f>
        <v>low</v>
      </c>
    </row>
    <row r="6342" spans="1:3">
      <c r="A6342" s="1">
        <v>45</v>
      </c>
      <c r="B6342" s="2">
        <f>Walmart_Sales_raw_data!C6342</f>
        <v>680254.35</v>
      </c>
      <c r="C6342" t="str">
        <f>IF(B6342&gt;=Walmart_Sales_raw_data!$C$6437,"High","low")</f>
        <v>low</v>
      </c>
    </row>
    <row r="6343" spans="1:3">
      <c r="A6343" s="3">
        <v>45</v>
      </c>
      <c r="B6343" s="2">
        <f>Walmart_Sales_raw_data!C6343</f>
        <v>654018.95</v>
      </c>
      <c r="C6343" t="str">
        <f>IF(B6343&gt;=Walmart_Sales_raw_data!$C$6437,"High","low")</f>
        <v>low</v>
      </c>
    </row>
    <row r="6344" spans="1:3">
      <c r="A6344" s="1">
        <v>45</v>
      </c>
      <c r="B6344" s="2">
        <f>Walmart_Sales_raw_data!C6344</f>
        <v>644285.33</v>
      </c>
      <c r="C6344" t="str">
        <f>IF(B6344&gt;=Walmart_Sales_raw_data!$C$6437,"High","low")</f>
        <v>low</v>
      </c>
    </row>
    <row r="6345" spans="1:3">
      <c r="A6345" s="3">
        <v>45</v>
      </c>
      <c r="B6345" s="2">
        <f>Walmart_Sales_raw_data!C6345</f>
        <v>617207.58</v>
      </c>
      <c r="C6345" t="str">
        <f>IF(B6345&gt;=Walmart_Sales_raw_data!$C$6437,"High","low")</f>
        <v>low</v>
      </c>
    </row>
    <row r="6346" spans="1:3">
      <c r="A6346" s="1">
        <v>45</v>
      </c>
      <c r="B6346" s="2">
        <f>Walmart_Sales_raw_data!C6346</f>
        <v>759442.33</v>
      </c>
      <c r="C6346" t="str">
        <f>IF(B6346&gt;=Walmart_Sales_raw_data!$C$6437,"High","low")</f>
        <v>low</v>
      </c>
    </row>
    <row r="6347" spans="1:3">
      <c r="A6347" s="3">
        <v>45</v>
      </c>
      <c r="B6347" s="2">
        <f>Walmart_Sales_raw_data!C6347</f>
        <v>766456</v>
      </c>
      <c r="C6347" t="str">
        <f>IF(B6347&gt;=Walmart_Sales_raw_data!$C$6437,"High","low")</f>
        <v>low</v>
      </c>
    </row>
    <row r="6348" spans="1:3">
      <c r="A6348" s="1">
        <v>45</v>
      </c>
      <c r="B6348" s="2">
        <f>Walmart_Sales_raw_data!C6348</f>
        <v>802253.41</v>
      </c>
      <c r="C6348" t="str">
        <f>IF(B6348&gt;=Walmart_Sales_raw_data!$C$6437,"High","low")</f>
        <v>low</v>
      </c>
    </row>
    <row r="6349" spans="1:3">
      <c r="A6349" s="3">
        <v>45</v>
      </c>
      <c r="B6349" s="2">
        <f>Walmart_Sales_raw_data!C6349</f>
        <v>733716.78</v>
      </c>
      <c r="C6349" t="str">
        <f>IF(B6349&gt;=Walmart_Sales_raw_data!$C$6437,"High","low")</f>
        <v>low</v>
      </c>
    </row>
    <row r="6350" spans="1:3">
      <c r="A6350" s="1">
        <v>45</v>
      </c>
      <c r="B6350" s="2">
        <f>Walmart_Sales_raw_data!C6350</f>
        <v>761880.36</v>
      </c>
      <c r="C6350" t="str">
        <f>IF(B6350&gt;=Walmart_Sales_raw_data!$C$6437,"High","low")</f>
        <v>low</v>
      </c>
    </row>
    <row r="6351" spans="1:3">
      <c r="A6351" s="3">
        <v>45</v>
      </c>
      <c r="B6351" s="2">
        <f>Walmart_Sales_raw_data!C6351</f>
        <v>714014.73</v>
      </c>
      <c r="C6351" t="str">
        <f>IF(B6351&gt;=Walmart_Sales_raw_data!$C$6437,"High","low")</f>
        <v>low</v>
      </c>
    </row>
    <row r="6352" spans="1:3">
      <c r="A6352" s="1">
        <v>45</v>
      </c>
      <c r="B6352" s="2">
        <f>Walmart_Sales_raw_data!C6352</f>
        <v>733564.77</v>
      </c>
      <c r="C6352" t="str">
        <f>IF(B6352&gt;=Walmart_Sales_raw_data!$C$6437,"High","low")</f>
        <v>low</v>
      </c>
    </row>
    <row r="6353" spans="1:3">
      <c r="A6353" s="3">
        <v>45</v>
      </c>
      <c r="B6353" s="2">
        <f>Walmart_Sales_raw_data!C6353</f>
        <v>719737.25</v>
      </c>
      <c r="C6353" t="str">
        <f>IF(B6353&gt;=Walmart_Sales_raw_data!$C$6437,"High","low")</f>
        <v>low</v>
      </c>
    </row>
    <row r="6354" spans="1:3">
      <c r="A6354" s="1">
        <v>45</v>
      </c>
      <c r="B6354" s="2">
        <f>Walmart_Sales_raw_data!C6354</f>
        <v>712425.76</v>
      </c>
      <c r="C6354" t="str">
        <f>IF(B6354&gt;=Walmart_Sales_raw_data!$C$6437,"High","low")</f>
        <v>low</v>
      </c>
    </row>
    <row r="6355" spans="1:3">
      <c r="A6355" s="3">
        <v>45</v>
      </c>
      <c r="B6355" s="2">
        <f>Walmart_Sales_raw_data!C6355</f>
        <v>750182.71</v>
      </c>
      <c r="C6355" t="str">
        <f>IF(B6355&gt;=Walmart_Sales_raw_data!$C$6437,"High","low")</f>
        <v>low</v>
      </c>
    </row>
    <row r="6356" spans="1:3">
      <c r="A6356" s="1">
        <v>45</v>
      </c>
      <c r="B6356" s="2">
        <f>Walmart_Sales_raw_data!C6356</f>
        <v>765270.02</v>
      </c>
      <c r="C6356" t="str">
        <f>IF(B6356&gt;=Walmart_Sales_raw_data!$C$6437,"High","low")</f>
        <v>low</v>
      </c>
    </row>
    <row r="6357" spans="1:3">
      <c r="A6357" s="3">
        <v>45</v>
      </c>
      <c r="B6357" s="2">
        <f>Walmart_Sales_raw_data!C6357</f>
        <v>813630.44</v>
      </c>
      <c r="C6357" t="str">
        <f>IF(B6357&gt;=Walmart_Sales_raw_data!$C$6437,"High","low")</f>
        <v>low</v>
      </c>
    </row>
    <row r="6358" spans="1:3">
      <c r="A6358" s="1">
        <v>45</v>
      </c>
      <c r="B6358" s="2">
        <f>Walmart_Sales_raw_data!C6358</f>
        <v>786561.61</v>
      </c>
      <c r="C6358" t="str">
        <f>IF(B6358&gt;=Walmart_Sales_raw_data!$C$6437,"High","low")</f>
        <v>low</v>
      </c>
    </row>
    <row r="6359" spans="1:3">
      <c r="A6359" s="3">
        <v>45</v>
      </c>
      <c r="B6359" s="2">
        <f>Walmart_Sales_raw_data!C6359</f>
        <v>810150.64</v>
      </c>
      <c r="C6359" t="str">
        <f>IF(B6359&gt;=Walmart_Sales_raw_data!$C$6437,"High","low")</f>
        <v>low</v>
      </c>
    </row>
    <row r="6360" spans="1:3">
      <c r="A6360" s="1">
        <v>45</v>
      </c>
      <c r="B6360" s="2">
        <f>Walmart_Sales_raw_data!C6360</f>
        <v>793889.1</v>
      </c>
      <c r="C6360" t="str">
        <f>IF(B6360&gt;=Walmart_Sales_raw_data!$C$6437,"High","low")</f>
        <v>low</v>
      </c>
    </row>
    <row r="6361" spans="1:3">
      <c r="A6361" s="3">
        <v>45</v>
      </c>
      <c r="B6361" s="2">
        <f>Walmart_Sales_raw_data!C6361</f>
        <v>727163.67</v>
      </c>
      <c r="C6361" t="str">
        <f>IF(B6361&gt;=Walmart_Sales_raw_data!$C$6437,"High","low")</f>
        <v>low</v>
      </c>
    </row>
    <row r="6362" spans="1:3">
      <c r="A6362" s="1">
        <v>45</v>
      </c>
      <c r="B6362" s="2">
        <f>Walmart_Sales_raw_data!C6362</f>
        <v>817653.25</v>
      </c>
      <c r="C6362" t="str">
        <f>IF(B6362&gt;=Walmart_Sales_raw_data!$C$6437,"High","low")</f>
        <v>low</v>
      </c>
    </row>
    <row r="6363" spans="1:3">
      <c r="A6363" s="3">
        <v>45</v>
      </c>
      <c r="B6363" s="2">
        <f>Walmart_Sales_raw_data!C6363</f>
        <v>877423.45</v>
      </c>
      <c r="C6363" t="str">
        <f>IF(B6363&gt;=Walmart_Sales_raw_data!$C$6437,"High","low")</f>
        <v>low</v>
      </c>
    </row>
    <row r="6364" spans="1:3">
      <c r="A6364" s="1">
        <v>45</v>
      </c>
      <c r="B6364" s="2">
        <f>Walmart_Sales_raw_data!C6364</f>
        <v>814395.17</v>
      </c>
      <c r="C6364" t="str">
        <f>IF(B6364&gt;=Walmart_Sales_raw_data!$C$6437,"High","low")</f>
        <v>low</v>
      </c>
    </row>
    <row r="6365" spans="1:3">
      <c r="A6365" s="3">
        <v>45</v>
      </c>
      <c r="B6365" s="2">
        <f>Walmart_Sales_raw_data!C6365</f>
        <v>811153.67</v>
      </c>
      <c r="C6365" t="str">
        <f>IF(B6365&gt;=Walmart_Sales_raw_data!$C$6437,"High","low")</f>
        <v>low</v>
      </c>
    </row>
    <row r="6366" spans="1:3">
      <c r="A6366" s="1">
        <v>45</v>
      </c>
      <c r="B6366" s="2">
        <f>Walmart_Sales_raw_data!C6366</f>
        <v>762861.78</v>
      </c>
      <c r="C6366" t="str">
        <f>IF(B6366&gt;=Walmart_Sales_raw_data!$C$6437,"High","low")</f>
        <v>low</v>
      </c>
    </row>
    <row r="6367" spans="1:3">
      <c r="A6367" s="3">
        <v>45</v>
      </c>
      <c r="B6367" s="2">
        <f>Walmart_Sales_raw_data!C6367</f>
        <v>791495.25</v>
      </c>
      <c r="C6367" t="str">
        <f>IF(B6367&gt;=Walmart_Sales_raw_data!$C$6437,"High","low")</f>
        <v>low</v>
      </c>
    </row>
    <row r="6368" spans="1:3">
      <c r="A6368" s="1">
        <v>45</v>
      </c>
      <c r="B6368" s="2">
        <f>Walmart_Sales_raw_data!C6368</f>
        <v>768718.11</v>
      </c>
      <c r="C6368" t="str">
        <f>IF(B6368&gt;=Walmart_Sales_raw_data!$C$6437,"High","low")</f>
        <v>low</v>
      </c>
    </row>
    <row r="6369" spans="1:3">
      <c r="A6369" s="3">
        <v>45</v>
      </c>
      <c r="B6369" s="2">
        <f>Walmart_Sales_raw_data!C6369</f>
        <v>748435.2</v>
      </c>
      <c r="C6369" t="str">
        <f>IF(B6369&gt;=Walmart_Sales_raw_data!$C$6437,"High","low")</f>
        <v>low</v>
      </c>
    </row>
    <row r="6370" spans="1:3">
      <c r="A6370" s="1">
        <v>45</v>
      </c>
      <c r="B6370" s="2">
        <f>Walmart_Sales_raw_data!C6370</f>
        <v>741625.25</v>
      </c>
      <c r="C6370" t="str">
        <f>IF(B6370&gt;=Walmart_Sales_raw_data!$C$6437,"High","low")</f>
        <v>low</v>
      </c>
    </row>
    <row r="6371" spans="1:3">
      <c r="A6371" s="3">
        <v>45</v>
      </c>
      <c r="B6371" s="2">
        <f>Walmart_Sales_raw_data!C6371</f>
        <v>704680.97</v>
      </c>
      <c r="C6371" t="str">
        <f>IF(B6371&gt;=Walmart_Sales_raw_data!$C$6437,"High","low")</f>
        <v>low</v>
      </c>
    </row>
    <row r="6372" spans="1:3">
      <c r="A6372" s="1">
        <v>45</v>
      </c>
      <c r="B6372" s="2">
        <f>Walmart_Sales_raw_data!C6372</f>
        <v>765996.92</v>
      </c>
      <c r="C6372" t="str">
        <f>IF(B6372&gt;=Walmart_Sales_raw_data!$C$6437,"High","low")</f>
        <v>low</v>
      </c>
    </row>
    <row r="6373" spans="1:3">
      <c r="A6373" s="3">
        <v>45</v>
      </c>
      <c r="B6373" s="2">
        <f>Walmart_Sales_raw_data!C6373</f>
        <v>724180.89</v>
      </c>
      <c r="C6373" t="str">
        <f>IF(B6373&gt;=Walmart_Sales_raw_data!$C$6437,"High","low")</f>
        <v>low</v>
      </c>
    </row>
    <row r="6374" spans="1:3">
      <c r="A6374" s="1">
        <v>45</v>
      </c>
      <c r="B6374" s="2">
        <f>Walmart_Sales_raw_data!C6374</f>
        <v>712362.72</v>
      </c>
      <c r="C6374" t="str">
        <f>IF(B6374&gt;=Walmart_Sales_raw_data!$C$6437,"High","low")</f>
        <v>low</v>
      </c>
    </row>
    <row r="6375" spans="1:3">
      <c r="A6375" s="3">
        <v>45</v>
      </c>
      <c r="B6375" s="2">
        <f>Walmart_Sales_raw_data!C6375</f>
        <v>833979.01</v>
      </c>
      <c r="C6375" t="str">
        <f>IF(B6375&gt;=Walmart_Sales_raw_data!$C$6437,"High","low")</f>
        <v>low</v>
      </c>
    </row>
    <row r="6376" spans="1:3">
      <c r="A6376" s="1">
        <v>45</v>
      </c>
      <c r="B6376" s="2">
        <f>Walmart_Sales_raw_data!C6376</f>
        <v>726482.39</v>
      </c>
      <c r="C6376" t="str">
        <f>IF(B6376&gt;=Walmart_Sales_raw_data!$C$6437,"High","low")</f>
        <v>low</v>
      </c>
    </row>
    <row r="6377" spans="1:3">
      <c r="A6377" s="3">
        <v>45</v>
      </c>
      <c r="B6377" s="2">
        <f>Walmart_Sales_raw_data!C6377</f>
        <v>746129.56</v>
      </c>
      <c r="C6377" t="str">
        <f>IF(B6377&gt;=Walmart_Sales_raw_data!$C$6437,"High","low")</f>
        <v>low</v>
      </c>
    </row>
    <row r="6378" spans="1:3">
      <c r="A6378" s="1">
        <v>45</v>
      </c>
      <c r="B6378" s="2">
        <f>Walmart_Sales_raw_data!C6378</f>
        <v>711367.56</v>
      </c>
      <c r="C6378" t="str">
        <f>IF(B6378&gt;=Walmart_Sales_raw_data!$C$6437,"High","low")</f>
        <v>low</v>
      </c>
    </row>
    <row r="6379" spans="1:3">
      <c r="A6379" s="3">
        <v>45</v>
      </c>
      <c r="B6379" s="2">
        <f>Walmart_Sales_raw_data!C6379</f>
        <v>714106.42</v>
      </c>
      <c r="C6379" t="str">
        <f>IF(B6379&gt;=Walmart_Sales_raw_data!$C$6437,"High","low")</f>
        <v>low</v>
      </c>
    </row>
    <row r="6380" spans="1:3">
      <c r="A6380" s="1">
        <v>45</v>
      </c>
      <c r="B6380" s="2">
        <f>Walmart_Sales_raw_data!C6380</f>
        <v>698986.34</v>
      </c>
      <c r="C6380" t="str">
        <f>IF(B6380&gt;=Walmart_Sales_raw_data!$C$6437,"High","low")</f>
        <v>low</v>
      </c>
    </row>
    <row r="6381" spans="1:3">
      <c r="A6381" s="3">
        <v>45</v>
      </c>
      <c r="B6381" s="2">
        <f>Walmart_Sales_raw_data!C6381</f>
        <v>753447.05</v>
      </c>
      <c r="C6381" t="str">
        <f>IF(B6381&gt;=Walmart_Sales_raw_data!$C$6437,"High","low")</f>
        <v>low</v>
      </c>
    </row>
    <row r="6382" spans="1:3">
      <c r="A6382" s="1">
        <v>45</v>
      </c>
      <c r="B6382" s="2">
        <f>Walmart_Sales_raw_data!C6382</f>
        <v>720946.99</v>
      </c>
      <c r="C6382" t="str">
        <f>IF(B6382&gt;=Walmart_Sales_raw_data!$C$6437,"High","low")</f>
        <v>low</v>
      </c>
    </row>
    <row r="6383" spans="1:3">
      <c r="A6383" s="3">
        <v>45</v>
      </c>
      <c r="B6383" s="2">
        <f>Walmart_Sales_raw_data!C6383</f>
        <v>771686.4</v>
      </c>
      <c r="C6383" t="str">
        <f>IF(B6383&gt;=Walmart_Sales_raw_data!$C$6437,"High","low")</f>
        <v>low</v>
      </c>
    </row>
    <row r="6384" spans="1:3">
      <c r="A6384" s="1">
        <v>45</v>
      </c>
      <c r="B6384" s="2">
        <f>Walmart_Sales_raw_data!C6384</f>
        <v>781694.57</v>
      </c>
      <c r="C6384" t="str">
        <f>IF(B6384&gt;=Walmart_Sales_raw_data!$C$6437,"High","low")</f>
        <v>low</v>
      </c>
    </row>
    <row r="6385" spans="1:3">
      <c r="A6385" s="3">
        <v>45</v>
      </c>
      <c r="B6385" s="2">
        <f>Walmart_Sales_raw_data!C6385</f>
        <v>833429.22</v>
      </c>
      <c r="C6385" t="str">
        <f>IF(B6385&gt;=Walmart_Sales_raw_data!$C$6437,"High","low")</f>
        <v>low</v>
      </c>
    </row>
    <row r="6386" spans="1:3">
      <c r="A6386" s="1">
        <v>45</v>
      </c>
      <c r="B6386" s="2">
        <f>Walmart_Sales_raw_data!C6386</f>
        <v>808624.82</v>
      </c>
      <c r="C6386" t="str">
        <f>IF(B6386&gt;=Walmart_Sales_raw_data!$C$6437,"High","low")</f>
        <v>low</v>
      </c>
    </row>
    <row r="6387" spans="1:3">
      <c r="A6387" s="3">
        <v>45</v>
      </c>
      <c r="B6387" s="2">
        <f>Walmart_Sales_raw_data!C6387</f>
        <v>773603.77</v>
      </c>
      <c r="C6387" t="str">
        <f>IF(B6387&gt;=Walmart_Sales_raw_data!$C$6437,"High","low")</f>
        <v>low</v>
      </c>
    </row>
    <row r="6388" spans="1:3">
      <c r="A6388" s="1">
        <v>45</v>
      </c>
      <c r="B6388" s="2">
        <f>Walmart_Sales_raw_data!C6388</f>
        <v>1170672.94</v>
      </c>
      <c r="C6388" t="str">
        <f>IF(B6388&gt;=Walmart_Sales_raw_data!$C$6437,"High","low")</f>
        <v>High</v>
      </c>
    </row>
    <row r="6389" spans="1:3">
      <c r="A6389" s="3">
        <v>45</v>
      </c>
      <c r="B6389" s="2">
        <f>Walmart_Sales_raw_data!C6389</f>
        <v>875699.81</v>
      </c>
      <c r="C6389" t="str">
        <f>IF(B6389&gt;=Walmart_Sales_raw_data!$C$6437,"High","low")</f>
        <v>low</v>
      </c>
    </row>
    <row r="6390" spans="1:3">
      <c r="A6390" s="1">
        <v>45</v>
      </c>
      <c r="B6390" s="2">
        <f>Walmart_Sales_raw_data!C6390</f>
        <v>957155.31</v>
      </c>
      <c r="C6390" t="str">
        <f>IF(B6390&gt;=Walmart_Sales_raw_data!$C$6437,"High","low")</f>
        <v>low</v>
      </c>
    </row>
    <row r="6391" spans="1:3">
      <c r="A6391" s="3">
        <v>45</v>
      </c>
      <c r="B6391" s="2">
        <f>Walmart_Sales_raw_data!C6391</f>
        <v>1078905.68</v>
      </c>
      <c r="C6391" t="str">
        <f>IF(B6391&gt;=Walmart_Sales_raw_data!$C$6437,"High","low")</f>
        <v>High</v>
      </c>
    </row>
    <row r="6392" spans="1:3">
      <c r="A6392" s="1">
        <v>45</v>
      </c>
      <c r="B6392" s="2">
        <f>Walmart_Sales_raw_data!C6392</f>
        <v>1521957.99</v>
      </c>
      <c r="C6392" t="str">
        <f>IF(B6392&gt;=Walmart_Sales_raw_data!$C$6437,"High","low")</f>
        <v>High</v>
      </c>
    </row>
    <row r="6393" spans="1:3">
      <c r="A6393" s="3">
        <v>45</v>
      </c>
      <c r="B6393" s="2">
        <f>Walmart_Sales_raw_data!C6393</f>
        <v>869403.63</v>
      </c>
      <c r="C6393" t="str">
        <f>IF(B6393&gt;=Walmart_Sales_raw_data!$C$6437,"High","low")</f>
        <v>low</v>
      </c>
    </row>
    <row r="6394" spans="1:3">
      <c r="A6394" s="1">
        <v>45</v>
      </c>
      <c r="B6394" s="2">
        <f>Walmart_Sales_raw_data!C6394</f>
        <v>714081.05</v>
      </c>
      <c r="C6394" t="str">
        <f>IF(B6394&gt;=Walmart_Sales_raw_data!$C$6437,"High","low")</f>
        <v>low</v>
      </c>
    </row>
    <row r="6395" spans="1:3">
      <c r="A6395" s="3">
        <v>45</v>
      </c>
      <c r="B6395" s="2">
        <f>Walmart_Sales_raw_data!C6395</f>
        <v>676615.53</v>
      </c>
      <c r="C6395" t="str">
        <f>IF(B6395&gt;=Walmart_Sales_raw_data!$C$6437,"High","low")</f>
        <v>low</v>
      </c>
    </row>
    <row r="6396" spans="1:3">
      <c r="A6396" s="1">
        <v>45</v>
      </c>
      <c r="B6396" s="2">
        <f>Walmart_Sales_raw_data!C6396</f>
        <v>700392.21</v>
      </c>
      <c r="C6396" t="str">
        <f>IF(B6396&gt;=Walmart_Sales_raw_data!$C$6437,"High","low")</f>
        <v>low</v>
      </c>
    </row>
    <row r="6397" spans="1:3">
      <c r="A6397" s="3">
        <v>45</v>
      </c>
      <c r="B6397" s="2">
        <f>Walmart_Sales_raw_data!C6397</f>
        <v>624081.64</v>
      </c>
      <c r="C6397" t="str">
        <f>IF(B6397&gt;=Walmart_Sales_raw_data!$C$6437,"High","low")</f>
        <v>low</v>
      </c>
    </row>
    <row r="6398" spans="1:3">
      <c r="A6398" s="1">
        <v>45</v>
      </c>
      <c r="B6398" s="2">
        <f>Walmart_Sales_raw_data!C6398</f>
        <v>757330.95</v>
      </c>
      <c r="C6398" t="str">
        <f>IF(B6398&gt;=Walmart_Sales_raw_data!$C$6437,"High","low")</f>
        <v>low</v>
      </c>
    </row>
    <row r="6399" spans="1:3">
      <c r="A6399" s="3">
        <v>45</v>
      </c>
      <c r="B6399" s="2">
        <f>Walmart_Sales_raw_data!C6399</f>
        <v>803657.12</v>
      </c>
      <c r="C6399" t="str">
        <f>IF(B6399&gt;=Walmart_Sales_raw_data!$C$6437,"High","low")</f>
        <v>low</v>
      </c>
    </row>
    <row r="6400" spans="1:3">
      <c r="A6400" s="1">
        <v>45</v>
      </c>
      <c r="B6400" s="2">
        <f>Walmart_Sales_raw_data!C6400</f>
        <v>858853.75</v>
      </c>
      <c r="C6400" t="str">
        <f>IF(B6400&gt;=Walmart_Sales_raw_data!$C$6437,"High","low")</f>
        <v>low</v>
      </c>
    </row>
    <row r="6401" spans="1:3">
      <c r="A6401" s="3">
        <v>45</v>
      </c>
      <c r="B6401" s="2">
        <f>Walmart_Sales_raw_data!C6401</f>
        <v>753060.78</v>
      </c>
      <c r="C6401" t="str">
        <f>IF(B6401&gt;=Walmart_Sales_raw_data!$C$6437,"High","low")</f>
        <v>low</v>
      </c>
    </row>
    <row r="6402" spans="1:3">
      <c r="A6402" s="1">
        <v>45</v>
      </c>
      <c r="B6402" s="2">
        <f>Walmart_Sales_raw_data!C6402</f>
        <v>782796.01</v>
      </c>
      <c r="C6402" t="str">
        <f>IF(B6402&gt;=Walmart_Sales_raw_data!$C$6437,"High","low")</f>
        <v>low</v>
      </c>
    </row>
    <row r="6403" spans="1:3">
      <c r="A6403" s="3">
        <v>45</v>
      </c>
      <c r="B6403" s="2">
        <f>Walmart_Sales_raw_data!C6403</f>
        <v>776968.87</v>
      </c>
      <c r="C6403" t="str">
        <f>IF(B6403&gt;=Walmart_Sales_raw_data!$C$6437,"High","low")</f>
        <v>low</v>
      </c>
    </row>
    <row r="6404" spans="1:3">
      <c r="A6404" s="1">
        <v>45</v>
      </c>
      <c r="B6404" s="2">
        <f>Walmart_Sales_raw_data!C6404</f>
        <v>788340.23</v>
      </c>
      <c r="C6404" t="str">
        <f>IF(B6404&gt;=Walmart_Sales_raw_data!$C$6437,"High","low")</f>
        <v>low</v>
      </c>
    </row>
    <row r="6405" spans="1:3">
      <c r="A6405" s="3">
        <v>45</v>
      </c>
      <c r="B6405" s="2">
        <f>Walmart_Sales_raw_data!C6405</f>
        <v>791835.37</v>
      </c>
      <c r="C6405" t="str">
        <f>IF(B6405&gt;=Walmart_Sales_raw_data!$C$6437,"High","low")</f>
        <v>low</v>
      </c>
    </row>
    <row r="6406" spans="1:3">
      <c r="A6406" s="1">
        <v>45</v>
      </c>
      <c r="B6406" s="2">
        <f>Walmart_Sales_raw_data!C6406</f>
        <v>777254.06</v>
      </c>
      <c r="C6406" t="str">
        <f>IF(B6406&gt;=Walmart_Sales_raw_data!$C$6437,"High","low")</f>
        <v>low</v>
      </c>
    </row>
    <row r="6407" spans="1:3">
      <c r="A6407" s="3">
        <v>45</v>
      </c>
      <c r="B6407" s="2">
        <f>Walmart_Sales_raw_data!C6407</f>
        <v>899479.43</v>
      </c>
      <c r="C6407" t="str">
        <f>IF(B6407&gt;=Walmart_Sales_raw_data!$C$6437,"High","low")</f>
        <v>low</v>
      </c>
    </row>
    <row r="6408" spans="1:3">
      <c r="A6408" s="1">
        <v>45</v>
      </c>
      <c r="B6408" s="2">
        <f>Walmart_Sales_raw_data!C6408</f>
        <v>781970.6</v>
      </c>
      <c r="C6408" t="str">
        <f>IF(B6408&gt;=Walmart_Sales_raw_data!$C$6437,"High","low")</f>
        <v>low</v>
      </c>
    </row>
    <row r="6409" spans="1:3">
      <c r="A6409" s="3">
        <v>45</v>
      </c>
      <c r="B6409" s="2">
        <f>Walmart_Sales_raw_data!C6409</f>
        <v>776661.74</v>
      </c>
      <c r="C6409" t="str">
        <f>IF(B6409&gt;=Walmart_Sales_raw_data!$C$6437,"High","low")</f>
        <v>low</v>
      </c>
    </row>
    <row r="6410" spans="1:3">
      <c r="A6410" s="1">
        <v>45</v>
      </c>
      <c r="B6410" s="2">
        <f>Walmart_Sales_raw_data!C6410</f>
        <v>711571.88</v>
      </c>
      <c r="C6410" t="str">
        <f>IF(B6410&gt;=Walmart_Sales_raw_data!$C$6437,"High","low")</f>
        <v>low</v>
      </c>
    </row>
    <row r="6411" spans="1:3">
      <c r="A6411" s="3">
        <v>45</v>
      </c>
      <c r="B6411" s="2">
        <f>Walmart_Sales_raw_data!C6411</f>
        <v>782300.68</v>
      </c>
      <c r="C6411" t="str">
        <f>IF(B6411&gt;=Walmart_Sales_raw_data!$C$6437,"High","low")</f>
        <v>low</v>
      </c>
    </row>
    <row r="6412" spans="1:3">
      <c r="A6412" s="1">
        <v>45</v>
      </c>
      <c r="B6412" s="2">
        <f>Walmart_Sales_raw_data!C6412</f>
        <v>770487.37</v>
      </c>
      <c r="C6412" t="str">
        <f>IF(B6412&gt;=Walmart_Sales_raw_data!$C$6437,"High","low")</f>
        <v>low</v>
      </c>
    </row>
    <row r="6413" spans="1:3">
      <c r="A6413" s="3">
        <v>45</v>
      </c>
      <c r="B6413" s="2">
        <f>Walmart_Sales_raw_data!C6413</f>
        <v>800842.28</v>
      </c>
      <c r="C6413" t="str">
        <f>IF(B6413&gt;=Walmart_Sales_raw_data!$C$6437,"High","low")</f>
        <v>low</v>
      </c>
    </row>
    <row r="6414" spans="1:3">
      <c r="A6414" s="1">
        <v>45</v>
      </c>
      <c r="B6414" s="2">
        <f>Walmart_Sales_raw_data!C6414</f>
        <v>817741.17</v>
      </c>
      <c r="C6414" t="str">
        <f>IF(B6414&gt;=Walmart_Sales_raw_data!$C$6437,"High","low")</f>
        <v>low</v>
      </c>
    </row>
    <row r="6415" spans="1:3">
      <c r="A6415" s="3">
        <v>45</v>
      </c>
      <c r="B6415" s="2">
        <f>Walmart_Sales_raw_data!C6415</f>
        <v>837144.63</v>
      </c>
      <c r="C6415" t="str">
        <f>IF(B6415&gt;=Walmart_Sales_raw_data!$C$6437,"High","low")</f>
        <v>low</v>
      </c>
    </row>
    <row r="6416" spans="1:3">
      <c r="A6416" s="1">
        <v>45</v>
      </c>
      <c r="B6416" s="2">
        <f>Walmart_Sales_raw_data!C6416</f>
        <v>795133</v>
      </c>
      <c r="C6416" t="str">
        <f>IF(B6416&gt;=Walmart_Sales_raw_data!$C$6437,"High","low")</f>
        <v>low</v>
      </c>
    </row>
    <row r="6417" spans="1:3">
      <c r="A6417" s="3">
        <v>45</v>
      </c>
      <c r="B6417" s="2">
        <f>Walmart_Sales_raw_data!C6417</f>
        <v>821498.18</v>
      </c>
      <c r="C6417" t="str">
        <f>IF(B6417&gt;=Walmart_Sales_raw_data!$C$6437,"High","low")</f>
        <v>low</v>
      </c>
    </row>
    <row r="6418" spans="1:3">
      <c r="A6418" s="1">
        <v>45</v>
      </c>
      <c r="B6418" s="2">
        <f>Walmart_Sales_raw_data!C6418</f>
        <v>822569.16</v>
      </c>
      <c r="C6418" t="str">
        <f>IF(B6418&gt;=Walmart_Sales_raw_data!$C$6437,"High","low")</f>
        <v>low</v>
      </c>
    </row>
    <row r="6419" spans="1:3">
      <c r="A6419" s="3">
        <v>45</v>
      </c>
      <c r="B6419" s="2">
        <f>Walmart_Sales_raw_data!C6419</f>
        <v>773367.71</v>
      </c>
      <c r="C6419" t="str">
        <f>IF(B6419&gt;=Walmart_Sales_raw_data!$C$6437,"High","low")</f>
        <v>low</v>
      </c>
    </row>
    <row r="6420" spans="1:3">
      <c r="A6420" s="1">
        <v>45</v>
      </c>
      <c r="B6420" s="2">
        <f>Walmart_Sales_raw_data!C6420</f>
        <v>843361.1</v>
      </c>
      <c r="C6420" t="str">
        <f>IF(B6420&gt;=Walmart_Sales_raw_data!$C$6437,"High","low")</f>
        <v>low</v>
      </c>
    </row>
    <row r="6421" spans="1:3">
      <c r="A6421" s="3">
        <v>45</v>
      </c>
      <c r="B6421" s="2">
        <f>Walmart_Sales_raw_data!C6421</f>
        <v>749817.08</v>
      </c>
      <c r="C6421" t="str">
        <f>IF(B6421&gt;=Walmart_Sales_raw_data!$C$6437,"High","low")</f>
        <v>low</v>
      </c>
    </row>
    <row r="6422" spans="1:3">
      <c r="A6422" s="1">
        <v>45</v>
      </c>
      <c r="B6422" s="2">
        <f>Walmart_Sales_raw_data!C6422</f>
        <v>737613.65</v>
      </c>
      <c r="C6422" t="str">
        <f>IF(B6422&gt;=Walmart_Sales_raw_data!$C$6437,"High","low")</f>
        <v>low</v>
      </c>
    </row>
    <row r="6423" spans="1:3">
      <c r="A6423" s="3">
        <v>45</v>
      </c>
      <c r="B6423" s="2">
        <f>Walmart_Sales_raw_data!C6423</f>
        <v>711671.58</v>
      </c>
      <c r="C6423" t="str">
        <f>IF(B6423&gt;=Walmart_Sales_raw_data!$C$6437,"High","low")</f>
        <v>low</v>
      </c>
    </row>
    <row r="6424" spans="1:3">
      <c r="A6424" s="1">
        <v>45</v>
      </c>
      <c r="B6424" s="2">
        <f>Walmart_Sales_raw_data!C6424</f>
        <v>725729.51</v>
      </c>
      <c r="C6424" t="str">
        <f>IF(B6424&gt;=Walmart_Sales_raw_data!$C$6437,"High","low")</f>
        <v>low</v>
      </c>
    </row>
    <row r="6425" spans="1:3">
      <c r="A6425" s="3">
        <v>45</v>
      </c>
      <c r="B6425" s="2">
        <f>Walmart_Sales_raw_data!C6425</f>
        <v>733037.32</v>
      </c>
      <c r="C6425" t="str">
        <f>IF(B6425&gt;=Walmart_Sales_raw_data!$C$6437,"High","low")</f>
        <v>low</v>
      </c>
    </row>
    <row r="6426" spans="1:3">
      <c r="A6426" s="1">
        <v>45</v>
      </c>
      <c r="B6426" s="2">
        <f>Walmart_Sales_raw_data!C6426</f>
        <v>722496.93</v>
      </c>
      <c r="C6426" t="str">
        <f>IF(B6426&gt;=Walmart_Sales_raw_data!$C$6437,"High","low")</f>
        <v>low</v>
      </c>
    </row>
    <row r="6427" spans="1:3">
      <c r="A6427" s="3">
        <v>45</v>
      </c>
      <c r="B6427" s="2">
        <f>Walmart_Sales_raw_data!C6427</f>
        <v>718232.26</v>
      </c>
      <c r="C6427" t="str">
        <f>IF(B6427&gt;=Walmart_Sales_raw_data!$C$6437,"High","low")</f>
        <v>low</v>
      </c>
    </row>
    <row r="6428" spans="1:3">
      <c r="A6428" s="1">
        <v>45</v>
      </c>
      <c r="B6428" s="2">
        <f>Walmart_Sales_raw_data!C6428</f>
        <v>734297.87</v>
      </c>
      <c r="C6428" t="str">
        <f>IF(B6428&gt;=Walmart_Sales_raw_data!$C$6437,"High","low")</f>
        <v>low</v>
      </c>
    </row>
    <row r="6429" spans="1:3">
      <c r="A6429" s="3">
        <v>45</v>
      </c>
      <c r="B6429" s="2">
        <f>Walmart_Sales_raw_data!C6429</f>
        <v>766512.66</v>
      </c>
      <c r="C6429" t="str">
        <f>IF(B6429&gt;=Walmart_Sales_raw_data!$C$6437,"High","low")</f>
        <v>low</v>
      </c>
    </row>
    <row r="6430" spans="1:3">
      <c r="A6430" s="1">
        <v>45</v>
      </c>
      <c r="B6430" s="2">
        <f>Walmart_Sales_raw_data!C6430</f>
        <v>702238.27</v>
      </c>
      <c r="C6430" t="str">
        <f>IF(B6430&gt;=Walmart_Sales_raw_data!$C$6437,"High","low")</f>
        <v>low</v>
      </c>
    </row>
    <row r="6431" spans="1:3">
      <c r="A6431" s="3">
        <v>45</v>
      </c>
      <c r="B6431" s="2">
        <f>Walmart_Sales_raw_data!C6431</f>
        <v>723086.2</v>
      </c>
      <c r="C6431" t="str">
        <f>IF(B6431&gt;=Walmart_Sales_raw_data!$C$6437,"High","low")</f>
        <v>low</v>
      </c>
    </row>
    <row r="6432" spans="1:3">
      <c r="A6432" s="1">
        <v>45</v>
      </c>
      <c r="B6432" s="2">
        <f>Walmart_Sales_raw_data!C6432</f>
        <v>713173.95</v>
      </c>
      <c r="C6432" t="str">
        <f>IF(B6432&gt;=Walmart_Sales_raw_data!$C$6437,"High","low")</f>
        <v>low</v>
      </c>
    </row>
    <row r="6433" spans="1:3">
      <c r="A6433" s="3">
        <v>45</v>
      </c>
      <c r="B6433" s="2">
        <f>Walmart_Sales_raw_data!C6433</f>
        <v>733455.07</v>
      </c>
      <c r="C6433" t="str">
        <f>IF(B6433&gt;=Walmart_Sales_raw_data!$C$6437,"High","low")</f>
        <v>low</v>
      </c>
    </row>
    <row r="6434" spans="1:3">
      <c r="A6434" s="1">
        <v>45</v>
      </c>
      <c r="B6434" s="2">
        <f>Walmart_Sales_raw_data!C6434</f>
        <v>734464.36</v>
      </c>
      <c r="C6434" t="str">
        <f>IF(B6434&gt;=Walmart_Sales_raw_data!$C$6437,"High","low")</f>
        <v>low</v>
      </c>
    </row>
    <row r="6435" spans="1:3">
      <c r="A6435" s="3">
        <v>45</v>
      </c>
      <c r="B6435" s="2">
        <f>Walmart_Sales_raw_data!C6435</f>
        <v>718125.53</v>
      </c>
      <c r="C6435" t="str">
        <f>IF(B6435&gt;=Walmart_Sales_raw_data!$C$6437,"High","low")</f>
        <v>low</v>
      </c>
    </row>
    <row r="6436" spans="1:3">
      <c r="A6436" s="4">
        <v>45</v>
      </c>
      <c r="B6436" s="2">
        <f>Walmart_Sales_raw_data!C6436</f>
        <v>760281.43</v>
      </c>
      <c r="C6436" t="str">
        <f>IF(B6436&gt;=Walmart_Sales_raw_data!$C$6437,"High","low")</f>
        <v>low</v>
      </c>
    </row>
  </sheetData>
  <sortState ref="A2:C6436">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10</vt:i4>
      </vt:variant>
    </vt:vector>
  </HeadingPairs>
  <TitlesOfParts>
    <vt:vector size="10" baseType="lpstr">
      <vt:lpstr>Walmart_Sales_raw_data</vt:lpstr>
      <vt:lpstr>Average_weeklysales_per_store</vt:lpstr>
      <vt:lpstr>Sum_of_weeklysales_per_store</vt:lpstr>
      <vt:lpstr>Store_performance</vt:lpstr>
      <vt:lpstr>Consistency_report</vt:lpstr>
      <vt:lpstr>Economic_data_correlations</vt:lpstr>
      <vt:lpstr>Holiday_impact_by_store</vt:lpstr>
      <vt:lpstr>Holiday_vs_non_holidays</vt:lpstr>
      <vt:lpstr>list_of_stores</vt:lpstr>
      <vt:lpstr>sales_level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Alade Ebenezer</cp:lastModifiedBy>
  <dcterms:created xsi:type="dcterms:W3CDTF">2026-01-18T11:54:00Z</dcterms:created>
  <dcterms:modified xsi:type="dcterms:W3CDTF">2026-01-28T16:29:58Z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3D8C5B78B4A741109837F07E3C5C9315_13</vt:lpwstr>
  </property>
  <property fmtid="{D5CDD505-2E9C-101B-9397-08002B2CF9AE}" pid="3" name="KSOProductBuildVer">
    <vt:lpwstr>2057-12.2.0.23197</vt:lpwstr>
  </property>
</Properties>
</file>